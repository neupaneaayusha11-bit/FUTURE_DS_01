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_Data" sheetId="2" state="visible" r:id="rId2"/>
    <sheet name="Monthly" sheetId="3" state="visible" r:id="rId3"/>
    <sheet name="Category" sheetId="4" state="visible" r:id="rId4"/>
    <sheet name="Region" sheetId="5" state="visible" r:id="rId5"/>
    <sheet name="Products" sheetId="6" state="visible" r:id="rId6"/>
    <sheet name="Yearly" sheetId="7" state="visible" r:id="rId7"/>
    <sheet name="Discount" sheetId="8" state="visible" r:id="rId8"/>
    <sheet name="Region_x_Category" sheetId="9" state="visible" r:id="rId9"/>
    <sheet name="Insights" sheetId="10" state="visible" r:id="rId10"/>
    <sheet name="Cleaning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sz val="11"/>
    </font>
    <font>
      <name val="Arial"/>
      <i val="1"/>
      <sz val="9"/>
    </font>
    <font>
      <name val="Arial"/>
      <b val="1"/>
      <color rgb="001F3864"/>
      <sz val="18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7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'Monthly'!$A$2:$A$37</f>
            </numRef>
          </cat>
          <val>
            <numRef>
              <f>'Monthly'!$B$2:$B$37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'Category'!B1</f>
            </strRef>
          </tx>
          <spPr>
            <a:ln>
              <a:prstDash val="solid"/>
            </a:ln>
          </spPr>
          <cat>
            <numRef>
              <f>'Category'!$A$2:$A$4</f>
            </numRef>
          </cat>
          <val>
            <numRef>
              <f>'Category'!$B$2:$B$4</f>
            </numRef>
          </val>
        </ser>
        <ser>
          <idx val="1"/>
          <order val="1"/>
          <tx>
            <strRef>
              <f>'Category'!C1</f>
            </strRef>
          </tx>
          <spPr>
            <a:ln>
              <a:prstDash val="solid"/>
            </a:ln>
          </spPr>
          <cat>
            <numRef>
              <f>'Category'!$A$2:$A$4</f>
            </numRef>
          </cat>
          <val>
            <numRef>
              <f>'Category'!$C$2:$C$4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'Region'!B1</f>
            </strRef>
          </tx>
          <spPr>
            <a:ln>
              <a:prstDash val="solid"/>
            </a:ln>
          </spPr>
          <cat>
            <numRef>
              <f>'Region'!$A$2:$A$5</f>
            </numRef>
          </cat>
          <val>
            <numRef>
              <f>'Region'!$B$2:$B$5</f>
            </numRef>
          </val>
        </ser>
        <ser>
          <idx val="1"/>
          <order val="1"/>
          <tx>
            <strRef>
              <f>'Region'!C1</f>
            </strRef>
          </tx>
          <spPr>
            <a:ln>
              <a:prstDash val="solid"/>
            </a:ln>
          </spPr>
          <cat>
            <numRef>
              <f>'Region'!$A$2:$A$5</f>
            </numRef>
          </cat>
          <val>
            <numRef>
              <f>'Region'!$C$2:$C$5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'Products'!B1</f>
            </strRef>
          </tx>
          <spPr>
            <a:ln>
              <a:prstDash val="solid"/>
            </a:ln>
          </spPr>
          <cat>
            <numRef>
              <f>'Products'!$A$2:$A$15</f>
            </numRef>
          </cat>
          <val>
            <numRef>
              <f>'Products'!$B$2:$B$15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Margin by Discount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'Discount'!D1</f>
            </strRef>
          </tx>
          <spPr>
            <a:ln>
              <a:prstDash val="solid"/>
            </a:ln>
          </spPr>
          <cat>
            <numRef>
              <f>'Discount'!$A$2:$A$6</f>
            </numRef>
          </cat>
          <val>
            <numRef>
              <f>'Discount'!$D$2:$D$6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11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4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39</row>
      <rowOff>0</rowOff>
    </from>
    <ext cx="540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Business Sales Performance Dashboard (2023-2025)</t>
        </is>
      </c>
    </row>
    <row r="2">
      <c r="A2" s="2" t="inlineStr">
        <is>
          <t>Source: simulated sales data (Clean_Data sheet). All KPIs are live formulas.</t>
        </is>
      </c>
    </row>
    <row r="4">
      <c r="A4" s="3" t="inlineStr">
        <is>
          <t>Total Revenue</t>
        </is>
      </c>
      <c r="B4" s="3" t="inlineStr">
        <is>
          <t>Total Profit</t>
        </is>
      </c>
      <c r="C4" s="3" t="inlineStr">
        <is>
          <t>Profit Margin</t>
        </is>
      </c>
      <c r="D4" s="3" t="inlineStr">
        <is>
          <t>Orders</t>
        </is>
      </c>
      <c r="E4" s="3" t="inlineStr">
        <is>
          <t>Avg Order Value</t>
        </is>
      </c>
      <c r="F4" s="3" t="inlineStr">
        <is>
          <t>2025 vs 2024</t>
        </is>
      </c>
    </row>
    <row r="5">
      <c r="A5" s="4">
        <f>SUM(Clean_Data!$L$2:$L$5873)</f>
        <v/>
      </c>
      <c r="B5" s="4">
        <f>SUM(Clean_Data!$N$2:$N$5873)</f>
        <v/>
      </c>
      <c r="C5" s="5">
        <f>B5/A5</f>
        <v/>
      </c>
      <c r="D5" s="4">
        <f>COUNTA(Clean_Data!$A$2:$A$5873)</f>
        <v/>
      </c>
      <c r="E5" s="4">
        <f>A5/D5</f>
        <v/>
      </c>
      <c r="F5" s="5">
        <f>Yearly!G4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7" customWidth="1" min="4" max="4"/>
    <col width="9" customWidth="1" min="5" max="5"/>
    <col width="15" customWidth="1" min="6" max="6"/>
    <col width="13" customWidth="1" min="7" max="7"/>
    <col width="12" customWidth="1" min="8" max="8"/>
    <col width="9" customWidth="1" min="9" max="9"/>
    <col width="10" customWidth="1" min="10" max="10"/>
    <col width="9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OrderID</t>
        </is>
      </c>
      <c r="B1" s="6" t="inlineStr">
        <is>
          <t>OrderDate</t>
        </is>
      </c>
      <c r="C1" s="6" t="inlineStr">
        <is>
          <t>Month</t>
        </is>
      </c>
      <c r="D1" s="6" t="inlineStr">
        <is>
          <t>Year</t>
        </is>
      </c>
      <c r="E1" s="6" t="inlineStr">
        <is>
          <t>Region</t>
        </is>
      </c>
      <c r="F1" s="6" t="inlineStr">
        <is>
          <t>Category</t>
        </is>
      </c>
      <c r="G1" s="6" t="inlineStr">
        <is>
          <t>Product</t>
        </is>
      </c>
      <c r="H1" s="6" t="inlineStr">
        <is>
          <t>Segment</t>
        </is>
      </c>
      <c r="I1" s="6" t="inlineStr">
        <is>
          <t>Quantity</t>
        </is>
      </c>
      <c r="J1" s="6" t="inlineStr">
        <is>
          <t>UnitPrice</t>
        </is>
      </c>
      <c r="K1" s="6" t="inlineStr">
        <is>
          <t>Discount</t>
        </is>
      </c>
      <c r="L1" s="6" t="inlineStr">
        <is>
          <t>Revenue</t>
        </is>
      </c>
      <c r="M1" s="6" t="inlineStr">
        <is>
          <t>Cost</t>
        </is>
      </c>
      <c r="N1" s="6" t="inlineStr">
        <is>
          <t>Profit</t>
        </is>
      </c>
    </row>
    <row r="2">
      <c r="A2" s="7" t="inlineStr">
        <is>
          <t>ORD-05482</t>
        </is>
      </c>
      <c r="B2" s="8" t="n">
        <v>44927</v>
      </c>
      <c r="C2" s="9" t="n">
        <v>44927</v>
      </c>
      <c r="D2" s="7" t="n">
        <v>2023</v>
      </c>
      <c r="E2" s="7" t="inlineStr">
        <is>
          <t>South</t>
        </is>
      </c>
      <c r="F2" s="7" t="inlineStr">
        <is>
          <t>Office Supplies</t>
        </is>
      </c>
      <c r="G2" s="7" t="inlineStr">
        <is>
          <t>Printer Ink</t>
        </is>
      </c>
      <c r="H2" s="7" t="inlineStr">
        <is>
          <t>Consumer</t>
        </is>
      </c>
      <c r="I2" s="7" t="n">
        <v>8</v>
      </c>
      <c r="J2" s="10" t="n">
        <v>62.02</v>
      </c>
      <c r="K2" s="11" t="n">
        <v>0.2</v>
      </c>
      <c r="L2" s="10">
        <f>I2*J2*(1-K2)</f>
        <v/>
      </c>
      <c r="M2" s="10" t="n">
        <v>288</v>
      </c>
      <c r="N2" s="10">
        <f>L2-M2</f>
        <v/>
      </c>
    </row>
    <row r="3">
      <c r="A3" s="7" t="inlineStr">
        <is>
          <t>ORD-03151</t>
        </is>
      </c>
      <c r="B3" s="8" t="n">
        <v>44928</v>
      </c>
      <c r="C3" s="9" t="n">
        <v>44927</v>
      </c>
      <c r="D3" s="7" t="n">
        <v>2023</v>
      </c>
      <c r="E3" s="7" t="inlineStr">
        <is>
          <t>East</t>
        </is>
      </c>
      <c r="F3" s="7" t="inlineStr">
        <is>
          <t>Office Supplies</t>
        </is>
      </c>
      <c r="G3" s="7" t="inlineStr">
        <is>
          <t>Paper</t>
        </is>
      </c>
      <c r="H3" s="7" t="inlineStr">
        <is>
          <t>Consumer</t>
        </is>
      </c>
      <c r="I3" s="7" t="n">
        <v>4</v>
      </c>
      <c r="J3" s="10" t="n">
        <v>24.12</v>
      </c>
      <c r="K3" s="11" t="n">
        <v>0</v>
      </c>
      <c r="L3" s="10">
        <f>I3*J3*(1-K3)</f>
        <v/>
      </c>
      <c r="M3" s="10" t="n">
        <v>50</v>
      </c>
      <c r="N3" s="10">
        <f>L3-M3</f>
        <v/>
      </c>
    </row>
    <row r="4">
      <c r="A4" s="7" t="inlineStr">
        <is>
          <t>ORD-04642</t>
        </is>
      </c>
      <c r="B4" s="8" t="n">
        <v>44928</v>
      </c>
      <c r="C4" s="9" t="n">
        <v>44927</v>
      </c>
      <c r="D4" s="7" t="n">
        <v>2023</v>
      </c>
      <c r="E4" s="7" t="inlineStr">
        <is>
          <t>North</t>
        </is>
      </c>
      <c r="F4" s="7" t="inlineStr">
        <is>
          <t>Furniture</t>
        </is>
      </c>
      <c r="G4" s="7" t="inlineStr">
        <is>
          <t>Bookcase</t>
        </is>
      </c>
      <c r="H4" s="7" t="inlineStr">
        <is>
          <t>Consumer</t>
        </is>
      </c>
      <c r="I4" s="7" t="n">
        <v>4</v>
      </c>
      <c r="J4" s="10" t="n">
        <v>174.95</v>
      </c>
      <c r="K4" s="11" t="n">
        <v>0.2</v>
      </c>
      <c r="L4" s="10">
        <f>I4*J4*(1-K4)</f>
        <v/>
      </c>
      <c r="M4" s="10" t="n">
        <v>576</v>
      </c>
      <c r="N4" s="10">
        <f>L4-M4</f>
        <v/>
      </c>
    </row>
    <row r="5">
      <c r="A5" s="7" t="inlineStr">
        <is>
          <t>ORD-03453</t>
        </is>
      </c>
      <c r="B5" s="8" t="n">
        <v>44928</v>
      </c>
      <c r="C5" s="9" t="n">
        <v>44927</v>
      </c>
      <c r="D5" s="7" t="n">
        <v>2023</v>
      </c>
      <c r="E5" s="7" t="inlineStr">
        <is>
          <t>South</t>
        </is>
      </c>
      <c r="F5" s="7" t="inlineStr">
        <is>
          <t>Office Supplies</t>
        </is>
      </c>
      <c r="G5" s="7" t="inlineStr">
        <is>
          <t>Binder</t>
        </is>
      </c>
      <c r="H5" s="7" t="inlineStr">
        <is>
          <t>Home Office</t>
        </is>
      </c>
      <c r="I5" s="7" t="n">
        <v>6</v>
      </c>
      <c r="J5" s="10" t="n">
        <v>7.89</v>
      </c>
      <c r="K5" s="11" t="n">
        <v>0.1</v>
      </c>
      <c r="L5" s="10">
        <f>I5*J5*(1-K5)</f>
        <v/>
      </c>
      <c r="M5" s="10" t="n">
        <v>19.2</v>
      </c>
      <c r="N5" s="10">
        <f>L5-M5</f>
        <v/>
      </c>
    </row>
    <row r="6">
      <c r="A6" s="7" t="inlineStr">
        <is>
          <t>ORD-02880</t>
        </is>
      </c>
      <c r="B6" s="8" t="n">
        <v>44928</v>
      </c>
      <c r="C6" s="9" t="n">
        <v>44927</v>
      </c>
      <c r="D6" s="7" t="n">
        <v>2023</v>
      </c>
      <c r="E6" s="7" t="inlineStr">
        <is>
          <t>East</t>
        </is>
      </c>
      <c r="F6" s="7" t="inlineStr">
        <is>
          <t>Technology</t>
        </is>
      </c>
      <c r="G6" s="7" t="inlineStr">
        <is>
          <t>Keyboard</t>
        </is>
      </c>
      <c r="H6" s="7" t="inlineStr">
        <is>
          <t>Corporate</t>
        </is>
      </c>
      <c r="I6" s="7" t="n">
        <v>2</v>
      </c>
      <c r="J6" s="10" t="n">
        <v>46.11</v>
      </c>
      <c r="K6" s="11" t="n">
        <v>0</v>
      </c>
      <c r="L6" s="10">
        <f>I6*J6*(1-K6)</f>
        <v/>
      </c>
      <c r="M6" s="10" t="n">
        <v>49.5</v>
      </c>
      <c r="N6" s="10">
        <f>L6-M6</f>
        <v/>
      </c>
    </row>
    <row r="7">
      <c r="A7" s="7" t="inlineStr">
        <is>
          <t>ORD-01158</t>
        </is>
      </c>
      <c r="B7" s="8" t="n">
        <v>44928</v>
      </c>
      <c r="C7" s="9" t="n">
        <v>44927</v>
      </c>
      <c r="D7" s="7" t="n">
        <v>2023</v>
      </c>
      <c r="E7" s="7" t="inlineStr">
        <is>
          <t>North</t>
        </is>
      </c>
      <c r="F7" s="7" t="inlineStr">
        <is>
          <t>Office Supplies</t>
        </is>
      </c>
      <c r="G7" s="7" t="inlineStr">
        <is>
          <t>Pens</t>
        </is>
      </c>
      <c r="H7" s="7" t="inlineStr">
        <is>
          <t>Consumer</t>
        </is>
      </c>
      <c r="I7" s="7" t="n">
        <v>6</v>
      </c>
      <c r="J7" s="10" t="n">
        <v>12.1</v>
      </c>
      <c r="K7" s="11" t="n">
        <v>0.3</v>
      </c>
      <c r="L7" s="10">
        <f>I7*J7*(1-K7)</f>
        <v/>
      </c>
      <c r="M7" s="10" t="n">
        <v>32.4</v>
      </c>
      <c r="N7" s="10">
        <f>L7-M7</f>
        <v/>
      </c>
    </row>
    <row r="8">
      <c r="A8" s="7" t="inlineStr">
        <is>
          <t>ORD-01837</t>
        </is>
      </c>
      <c r="B8" s="8" t="n">
        <v>44928</v>
      </c>
      <c r="C8" s="9" t="n">
        <v>44927</v>
      </c>
      <c r="D8" s="7" t="n">
        <v>2023</v>
      </c>
      <c r="E8" s="7" t="inlineStr">
        <is>
          <t>West</t>
        </is>
      </c>
      <c r="F8" s="7" t="inlineStr">
        <is>
          <t>Office Supplies</t>
        </is>
      </c>
      <c r="G8" s="7" t="inlineStr">
        <is>
          <t>Printer Ink</t>
        </is>
      </c>
      <c r="H8" s="7" t="inlineStr">
        <is>
          <t>Home Office</t>
        </is>
      </c>
      <c r="I8" s="7" t="n">
        <v>9</v>
      </c>
      <c r="J8" s="10" t="n">
        <v>60.73</v>
      </c>
      <c r="K8" s="11" t="n">
        <v>0.1</v>
      </c>
      <c r="L8" s="10">
        <f>I8*J8*(1-K8)</f>
        <v/>
      </c>
      <c r="M8" s="10" t="n">
        <v>324</v>
      </c>
      <c r="N8" s="10">
        <f>L8-M8</f>
        <v/>
      </c>
    </row>
    <row r="9">
      <c r="A9" s="7" t="inlineStr">
        <is>
          <t>ORD-03503</t>
        </is>
      </c>
      <c r="B9" s="8" t="n">
        <v>44928</v>
      </c>
      <c r="C9" s="9" t="n">
        <v>44927</v>
      </c>
      <c r="D9" s="7" t="n">
        <v>2023</v>
      </c>
      <c r="E9" s="7" t="inlineStr">
        <is>
          <t>South</t>
        </is>
      </c>
      <c r="F9" s="7" t="inlineStr">
        <is>
          <t>Office Supplies</t>
        </is>
      </c>
      <c r="G9" s="7" t="inlineStr">
        <is>
          <t>Binder</t>
        </is>
      </c>
      <c r="H9" s="7" t="inlineStr">
        <is>
          <t>Consumer</t>
        </is>
      </c>
      <c r="I9" s="7" t="n">
        <v>8</v>
      </c>
      <c r="J9" s="10" t="n">
        <v>7.68</v>
      </c>
      <c r="K9" s="11" t="n">
        <v>0.2</v>
      </c>
      <c r="L9" s="10">
        <f>I9*J9*(1-K9)</f>
        <v/>
      </c>
      <c r="M9" s="10" t="n">
        <v>25.6</v>
      </c>
      <c r="N9" s="10">
        <f>L9-M9</f>
        <v/>
      </c>
    </row>
    <row r="10">
      <c r="A10" s="7" t="inlineStr">
        <is>
          <t>ORD-05540</t>
        </is>
      </c>
      <c r="B10" s="8" t="n">
        <v>44929</v>
      </c>
      <c r="C10" s="9" t="n">
        <v>44927</v>
      </c>
      <c r="D10" s="7" t="n">
        <v>2023</v>
      </c>
      <c r="E10" s="7" t="inlineStr">
        <is>
          <t>South</t>
        </is>
      </c>
      <c r="F10" s="7" t="inlineStr">
        <is>
          <t>Office Supplies</t>
        </is>
      </c>
      <c r="G10" s="7" t="inlineStr">
        <is>
          <t>Pens</t>
        </is>
      </c>
      <c r="H10" s="7" t="inlineStr">
        <is>
          <t>Corporate</t>
        </is>
      </c>
      <c r="I10" s="7" t="n">
        <v>14</v>
      </c>
      <c r="J10" s="10" t="n">
        <v>12.3</v>
      </c>
      <c r="K10" s="11" t="n">
        <v>0.3</v>
      </c>
      <c r="L10" s="10">
        <f>I10*J10*(1-K10)</f>
        <v/>
      </c>
      <c r="M10" s="10" t="n">
        <v>75.59999999999999</v>
      </c>
      <c r="N10" s="10">
        <f>L10-M10</f>
        <v/>
      </c>
    </row>
    <row r="11">
      <c r="A11" s="7" t="inlineStr">
        <is>
          <t>ORD-01221</t>
        </is>
      </c>
      <c r="B11" s="8" t="n">
        <v>44929</v>
      </c>
      <c r="C11" s="9" t="n">
        <v>44927</v>
      </c>
      <c r="D11" s="7" t="n">
        <v>2023</v>
      </c>
      <c r="E11" s="7" t="inlineStr">
        <is>
          <t>West</t>
        </is>
      </c>
      <c r="F11" s="7" t="inlineStr">
        <is>
          <t>Technology</t>
        </is>
      </c>
      <c r="G11" s="7" t="inlineStr">
        <is>
          <t>Keyboard</t>
        </is>
      </c>
      <c r="H11" s="7" t="inlineStr">
        <is>
          <t>Corporate</t>
        </is>
      </c>
      <c r="I11" s="7" t="n">
        <v>3</v>
      </c>
      <c r="J11" s="10" t="n">
        <v>47.12</v>
      </c>
      <c r="K11" s="11" t="n">
        <v>0.05</v>
      </c>
      <c r="L11" s="10">
        <f>I11*J11*(1-K11)</f>
        <v/>
      </c>
      <c r="M11" s="10" t="n">
        <v>74.25</v>
      </c>
      <c r="N11" s="10">
        <f>L11-M11</f>
        <v/>
      </c>
    </row>
    <row r="12">
      <c r="A12" s="7" t="inlineStr">
        <is>
          <t>ORD-00744</t>
        </is>
      </c>
      <c r="B12" s="8" t="n">
        <v>44929</v>
      </c>
      <c r="C12" s="9" t="n">
        <v>44927</v>
      </c>
      <c r="D12" s="7" t="n">
        <v>2023</v>
      </c>
      <c r="E12" s="7" t="inlineStr">
        <is>
          <t>West</t>
        </is>
      </c>
      <c r="F12" s="7" t="inlineStr">
        <is>
          <t>Office Supplies</t>
        </is>
      </c>
      <c r="G12" s="7" t="inlineStr">
        <is>
          <t>Stapler</t>
        </is>
      </c>
      <c r="H12" s="7" t="inlineStr">
        <is>
          <t>Corporate</t>
        </is>
      </c>
      <c r="I12" s="7" t="n">
        <v>5</v>
      </c>
      <c r="J12" s="10" t="n">
        <v>15.68</v>
      </c>
      <c r="K12" s="11" t="n">
        <v>0.2</v>
      </c>
      <c r="L12" s="10">
        <f>I12*J12*(1-K12)</f>
        <v/>
      </c>
      <c r="M12" s="10" t="n">
        <v>37.5</v>
      </c>
      <c r="N12" s="10">
        <f>L12-M12</f>
        <v/>
      </c>
    </row>
    <row r="13">
      <c r="A13" s="7" t="inlineStr">
        <is>
          <t>ORD-00741</t>
        </is>
      </c>
      <c r="B13" s="8" t="n">
        <v>44930</v>
      </c>
      <c r="C13" s="9" t="n">
        <v>44927</v>
      </c>
      <c r="D13" s="7" t="n">
        <v>2023</v>
      </c>
      <c r="E13" s="7" t="inlineStr">
        <is>
          <t>East</t>
        </is>
      </c>
      <c r="F13" s="7" t="inlineStr">
        <is>
          <t>Office Supplies</t>
        </is>
      </c>
      <c r="G13" s="7" t="inlineStr">
        <is>
          <t>Pens</t>
        </is>
      </c>
      <c r="H13" s="7" t="inlineStr">
        <is>
          <t>Home Office</t>
        </is>
      </c>
      <c r="I13" s="7" t="n">
        <v>2</v>
      </c>
      <c r="J13" s="10" t="n">
        <v>11.41</v>
      </c>
      <c r="K13" s="11" t="n">
        <v>0</v>
      </c>
      <c r="L13" s="10">
        <f>I13*J13*(1-K13)</f>
        <v/>
      </c>
      <c r="M13" s="10" t="n">
        <v>10.8</v>
      </c>
      <c r="N13" s="10">
        <f>L13-M13</f>
        <v/>
      </c>
    </row>
    <row r="14">
      <c r="A14" s="7" t="inlineStr">
        <is>
          <t>ORD-04553</t>
        </is>
      </c>
      <c r="B14" s="8" t="n">
        <v>44930</v>
      </c>
      <c r="C14" s="9" t="n">
        <v>44927</v>
      </c>
      <c r="D14" s="7" t="n">
        <v>2023</v>
      </c>
      <c r="E14" s="7" t="inlineStr">
        <is>
          <t>North</t>
        </is>
      </c>
      <c r="F14" s="7" t="inlineStr">
        <is>
          <t>Office Supplies</t>
        </is>
      </c>
      <c r="G14" s="7" t="inlineStr">
        <is>
          <t>Paper</t>
        </is>
      </c>
      <c r="H14" s="7" t="inlineStr">
        <is>
          <t>Corporate</t>
        </is>
      </c>
      <c r="I14" s="7" t="n">
        <v>6</v>
      </c>
      <c r="J14" s="10" t="n">
        <v>25.29</v>
      </c>
      <c r="K14" s="11" t="n">
        <v>0.2</v>
      </c>
      <c r="L14" s="10">
        <f>I14*J14*(1-K14)</f>
        <v/>
      </c>
      <c r="M14" s="10" t="n">
        <v>75</v>
      </c>
      <c r="N14" s="10">
        <f>L14-M14</f>
        <v/>
      </c>
    </row>
    <row r="15">
      <c r="A15" s="7" t="inlineStr">
        <is>
          <t>ORD-03877</t>
        </is>
      </c>
      <c r="B15" s="8" t="n">
        <v>44930</v>
      </c>
      <c r="C15" s="9" t="n">
        <v>44927</v>
      </c>
      <c r="D15" s="7" t="n">
        <v>2023</v>
      </c>
      <c r="E15" s="7" t="inlineStr">
        <is>
          <t>North</t>
        </is>
      </c>
      <c r="F15" s="7" t="inlineStr">
        <is>
          <t>Office Supplies</t>
        </is>
      </c>
      <c r="G15" s="7" t="inlineStr">
        <is>
          <t>Binder</t>
        </is>
      </c>
      <c r="H15" s="7" t="inlineStr">
        <is>
          <t>Home Office</t>
        </is>
      </c>
      <c r="I15" s="7" t="n">
        <v>4</v>
      </c>
      <c r="J15" s="10" t="n">
        <v>8</v>
      </c>
      <c r="K15" s="11" t="n">
        <v>0.1</v>
      </c>
      <c r="L15" s="10">
        <f>I15*J15*(1-K15)</f>
        <v/>
      </c>
      <c r="M15" s="10" t="n">
        <v>12.8</v>
      </c>
      <c r="N15" s="10">
        <f>L15-M15</f>
        <v/>
      </c>
    </row>
    <row r="16">
      <c r="A16" s="7" t="inlineStr">
        <is>
          <t>ORD-04419</t>
        </is>
      </c>
      <c r="B16" s="8" t="n">
        <v>44931</v>
      </c>
      <c r="C16" s="9" t="n">
        <v>44927</v>
      </c>
      <c r="D16" s="7" t="n">
        <v>2023</v>
      </c>
      <c r="E16" s="7" t="inlineStr">
        <is>
          <t>West</t>
        </is>
      </c>
      <c r="F16" s="7" t="inlineStr">
        <is>
          <t>Technology</t>
        </is>
      </c>
      <c r="G16" s="7" t="inlineStr">
        <is>
          <t>Laptop</t>
        </is>
      </c>
      <c r="H16" s="7" t="inlineStr">
        <is>
          <t>Consumer</t>
        </is>
      </c>
      <c r="I16" s="7" t="n">
        <v>3</v>
      </c>
      <c r="J16" s="10" t="n">
        <v>914.5700000000001</v>
      </c>
      <c r="K16" s="11" t="n">
        <v>0.05</v>
      </c>
      <c r="L16" s="10">
        <f>I16*J16*(1-K16)</f>
        <v/>
      </c>
      <c r="M16" s="10" t="n">
        <v>2106</v>
      </c>
      <c r="N16" s="10">
        <f>L16-M16</f>
        <v/>
      </c>
    </row>
    <row r="17">
      <c r="A17" s="7" t="inlineStr">
        <is>
          <t>ORD-00998</t>
        </is>
      </c>
      <c r="B17" s="8" t="n">
        <v>44931</v>
      </c>
      <c r="C17" s="9" t="n">
        <v>44927</v>
      </c>
      <c r="D17" s="7" t="n">
        <v>2023</v>
      </c>
      <c r="E17" s="7" t="inlineStr">
        <is>
          <t>East</t>
        </is>
      </c>
      <c r="F17" s="7" t="inlineStr">
        <is>
          <t>Office Supplies</t>
        </is>
      </c>
      <c r="G17" s="7" t="inlineStr">
        <is>
          <t>Paper</t>
        </is>
      </c>
      <c r="H17" s="7" t="inlineStr">
        <is>
          <t>Consumer</t>
        </is>
      </c>
      <c r="I17" s="7" t="n">
        <v>7</v>
      </c>
      <c r="J17" s="10" t="n">
        <v>26.07</v>
      </c>
      <c r="K17" s="11" t="n">
        <v>0</v>
      </c>
      <c r="L17" s="10">
        <f>I17*J17*(1-K17)</f>
        <v/>
      </c>
      <c r="M17" s="10" t="n">
        <v>87.5</v>
      </c>
      <c r="N17" s="10">
        <f>L17-M17</f>
        <v/>
      </c>
    </row>
    <row r="18">
      <c r="A18" s="7" t="inlineStr">
        <is>
          <t>ORD-03492</t>
        </is>
      </c>
      <c r="B18" s="8" t="n">
        <v>44931</v>
      </c>
      <c r="C18" s="9" t="n">
        <v>44927</v>
      </c>
      <c r="D18" s="7" t="n">
        <v>2023</v>
      </c>
      <c r="E18" s="7" t="inlineStr">
        <is>
          <t>North</t>
        </is>
      </c>
      <c r="F18" s="7" t="inlineStr">
        <is>
          <t>Office Supplies</t>
        </is>
      </c>
      <c r="G18" s="7" t="inlineStr">
        <is>
          <t>Paper</t>
        </is>
      </c>
      <c r="H18" s="7" t="inlineStr">
        <is>
          <t>Consumer</t>
        </is>
      </c>
      <c r="I18" s="7" t="n">
        <v>13</v>
      </c>
      <c r="J18" s="10" t="n">
        <v>24.34</v>
      </c>
      <c r="K18" s="11" t="n">
        <v>0.1</v>
      </c>
      <c r="L18" s="10">
        <f>I18*J18*(1-K18)</f>
        <v/>
      </c>
      <c r="M18" s="10" t="n">
        <v>162.5</v>
      </c>
      <c r="N18" s="10">
        <f>L18-M18</f>
        <v/>
      </c>
    </row>
    <row r="19">
      <c r="A19" s="7" t="inlineStr">
        <is>
          <t>ORD-02731</t>
        </is>
      </c>
      <c r="B19" s="8" t="n">
        <v>44932</v>
      </c>
      <c r="C19" s="9" t="n">
        <v>44927</v>
      </c>
      <c r="D19" s="7" t="n">
        <v>2023</v>
      </c>
      <c r="E19" s="7" t="inlineStr">
        <is>
          <t>West</t>
        </is>
      </c>
      <c r="F19" s="7" t="inlineStr">
        <is>
          <t>Office Supplies</t>
        </is>
      </c>
      <c r="G19" s="7" t="inlineStr">
        <is>
          <t>Pens</t>
        </is>
      </c>
      <c r="H19" s="7" t="inlineStr">
        <is>
          <t>Corporate</t>
        </is>
      </c>
      <c r="I19" s="7" t="n">
        <v>9</v>
      </c>
      <c r="J19" s="10" t="n">
        <v>11.44</v>
      </c>
      <c r="K19" s="11" t="n">
        <v>0.1</v>
      </c>
      <c r="L19" s="10">
        <f>I19*J19*(1-K19)</f>
        <v/>
      </c>
      <c r="M19" s="10" t="n">
        <v>48.6</v>
      </c>
      <c r="N19" s="10">
        <f>L19-M19</f>
        <v/>
      </c>
    </row>
    <row r="20">
      <c r="A20" s="7" t="inlineStr">
        <is>
          <t>ORD-04315</t>
        </is>
      </c>
      <c r="B20" s="8" t="n">
        <v>44932</v>
      </c>
      <c r="C20" s="9" t="n">
        <v>44927</v>
      </c>
      <c r="D20" s="7" t="n">
        <v>2023</v>
      </c>
      <c r="E20" s="7" t="inlineStr">
        <is>
          <t>South</t>
        </is>
      </c>
      <c r="F20" s="7" t="inlineStr">
        <is>
          <t>Office Supplies</t>
        </is>
      </c>
      <c r="G20" s="7" t="inlineStr">
        <is>
          <t>Paper</t>
        </is>
      </c>
      <c r="H20" s="7" t="inlineStr">
        <is>
          <t>Consumer</t>
        </is>
      </c>
      <c r="I20" s="7" t="n">
        <v>5</v>
      </c>
      <c r="J20" s="10" t="n">
        <v>23.81</v>
      </c>
      <c r="K20" s="11" t="n">
        <v>0.05</v>
      </c>
      <c r="L20" s="10">
        <f>I20*J20*(1-K20)</f>
        <v/>
      </c>
      <c r="M20" s="10" t="n">
        <v>62.5</v>
      </c>
      <c r="N20" s="10">
        <f>L20-M20</f>
        <v/>
      </c>
    </row>
    <row r="21">
      <c r="A21" s="7" t="inlineStr">
        <is>
          <t>ORD-05183</t>
        </is>
      </c>
      <c r="B21" s="8" t="n">
        <v>44933</v>
      </c>
      <c r="C21" s="9" t="n">
        <v>44927</v>
      </c>
      <c r="D21" s="7" t="n">
        <v>2023</v>
      </c>
      <c r="E21" s="7" t="inlineStr">
        <is>
          <t>South</t>
        </is>
      </c>
      <c r="F21" s="7" t="inlineStr">
        <is>
          <t>Furniture</t>
        </is>
      </c>
      <c r="G21" s="7" t="inlineStr">
        <is>
          <t>Desk</t>
        </is>
      </c>
      <c r="H21" s="7" t="inlineStr">
        <is>
          <t>Home Office</t>
        </is>
      </c>
      <c r="I21" s="7" t="n">
        <v>1</v>
      </c>
      <c r="J21" s="10" t="n">
        <v>440.11</v>
      </c>
      <c r="K21" s="11" t="n">
        <v>0.2</v>
      </c>
      <c r="L21" s="10">
        <f>I21*J21*(1-K21)</f>
        <v/>
      </c>
      <c r="M21" s="10" t="n">
        <v>382.5</v>
      </c>
      <c r="N21" s="10">
        <f>L21-M21</f>
        <v/>
      </c>
    </row>
    <row r="22">
      <c r="A22" s="7" t="inlineStr">
        <is>
          <t>ORD-02585</t>
        </is>
      </c>
      <c r="B22" s="8" t="n">
        <v>44934</v>
      </c>
      <c r="C22" s="9" t="n">
        <v>44927</v>
      </c>
      <c r="D22" s="7" t="n">
        <v>2023</v>
      </c>
      <c r="E22" s="7" t="inlineStr">
        <is>
          <t>North</t>
        </is>
      </c>
      <c r="F22" s="7" t="inlineStr">
        <is>
          <t>Office Supplies</t>
        </is>
      </c>
      <c r="G22" s="7" t="inlineStr">
        <is>
          <t>Binder</t>
        </is>
      </c>
      <c r="H22" s="7" t="inlineStr">
        <is>
          <t>Corporate</t>
        </is>
      </c>
      <c r="I22" s="7" t="n">
        <v>2</v>
      </c>
      <c r="J22" s="10" t="n">
        <v>7.86</v>
      </c>
      <c r="K22" s="11" t="n">
        <v>0.2</v>
      </c>
      <c r="L22" s="10">
        <f>I22*J22*(1-K22)</f>
        <v/>
      </c>
      <c r="M22" s="10" t="n">
        <v>6.4</v>
      </c>
      <c r="N22" s="10">
        <f>L22-M22</f>
        <v/>
      </c>
    </row>
    <row r="23">
      <c r="A23" s="7" t="inlineStr">
        <is>
          <t>ORD-03606</t>
        </is>
      </c>
      <c r="B23" s="8" t="n">
        <v>44934</v>
      </c>
      <c r="C23" s="9" t="n">
        <v>44927</v>
      </c>
      <c r="D23" s="7" t="n">
        <v>2023</v>
      </c>
      <c r="E23" s="7" t="inlineStr">
        <is>
          <t>North</t>
        </is>
      </c>
      <c r="F23" s="7" t="inlineStr">
        <is>
          <t>Office Supplies</t>
        </is>
      </c>
      <c r="G23" s="7" t="inlineStr">
        <is>
          <t>Pens</t>
        </is>
      </c>
      <c r="H23" s="7" t="inlineStr">
        <is>
          <t>Consumer</t>
        </is>
      </c>
      <c r="I23" s="7" t="n">
        <v>14</v>
      </c>
      <c r="J23" s="10" t="n">
        <v>11.53</v>
      </c>
      <c r="K23" s="11" t="n">
        <v>0.05</v>
      </c>
      <c r="L23" s="10">
        <f>I23*J23*(1-K23)</f>
        <v/>
      </c>
      <c r="M23" s="10" t="n">
        <v>75.59999999999999</v>
      </c>
      <c r="N23" s="10">
        <f>L23-M23</f>
        <v/>
      </c>
    </row>
    <row r="24">
      <c r="A24" s="7" t="inlineStr">
        <is>
          <t>ORD-03207</t>
        </is>
      </c>
      <c r="B24" s="8" t="n">
        <v>44934</v>
      </c>
      <c r="C24" s="9" t="n">
        <v>44927</v>
      </c>
      <c r="D24" s="7" t="n">
        <v>2023</v>
      </c>
      <c r="E24" s="7" t="inlineStr">
        <is>
          <t>South</t>
        </is>
      </c>
      <c r="F24" s="7" t="inlineStr">
        <is>
          <t>Technology</t>
        </is>
      </c>
      <c r="G24" s="7" t="inlineStr">
        <is>
          <t>Keyboard</t>
        </is>
      </c>
      <c r="H24" s="7" t="inlineStr">
        <is>
          <t>Corporate</t>
        </is>
      </c>
      <c r="I24" s="7" t="n">
        <v>3</v>
      </c>
      <c r="J24" s="10" t="n">
        <v>46.3</v>
      </c>
      <c r="K24" s="11" t="n">
        <v>0.1</v>
      </c>
      <c r="L24" s="10">
        <f>I24*J24*(1-K24)</f>
        <v/>
      </c>
      <c r="M24" s="10" t="n">
        <v>74.25</v>
      </c>
      <c r="N24" s="10">
        <f>L24-M24</f>
        <v/>
      </c>
    </row>
    <row r="25">
      <c r="A25" s="7" t="inlineStr">
        <is>
          <t>ORD-00811</t>
        </is>
      </c>
      <c r="B25" s="8" t="n">
        <v>44934</v>
      </c>
      <c r="C25" s="9" t="n">
        <v>44927</v>
      </c>
      <c r="D25" s="7" t="n">
        <v>2023</v>
      </c>
      <c r="E25" s="7" t="inlineStr">
        <is>
          <t>West</t>
        </is>
      </c>
      <c r="F25" s="7" t="inlineStr">
        <is>
          <t>Office Supplies</t>
        </is>
      </c>
      <c r="G25" s="7" t="inlineStr">
        <is>
          <t>Pens</t>
        </is>
      </c>
      <c r="H25" s="7" t="inlineStr">
        <is>
          <t>Corporate</t>
        </is>
      </c>
      <c r="I25" s="7" t="n">
        <v>4</v>
      </c>
      <c r="J25" s="10" t="n">
        <v>11.8</v>
      </c>
      <c r="K25" s="11" t="n">
        <v>0.1</v>
      </c>
      <c r="L25" s="10">
        <f>I25*J25*(1-K25)</f>
        <v/>
      </c>
      <c r="M25" s="10" t="n">
        <v>21.6</v>
      </c>
      <c r="N25" s="10">
        <f>L25-M25</f>
        <v/>
      </c>
    </row>
    <row r="26">
      <c r="A26" s="7" t="inlineStr">
        <is>
          <t>ORD-05156</t>
        </is>
      </c>
      <c r="B26" s="8" t="n">
        <v>44934</v>
      </c>
      <c r="C26" s="9" t="n">
        <v>44927</v>
      </c>
      <c r="D26" s="7" t="n">
        <v>2023</v>
      </c>
      <c r="E26" s="7" t="inlineStr">
        <is>
          <t>West</t>
        </is>
      </c>
      <c r="F26" s="7" t="inlineStr">
        <is>
          <t>Office Supplies</t>
        </is>
      </c>
      <c r="G26" s="7" t="inlineStr">
        <is>
          <t>Printer Ink</t>
        </is>
      </c>
      <c r="H26" s="7" t="inlineStr">
        <is>
          <t>Corporate</t>
        </is>
      </c>
      <c r="I26" s="7" t="n">
        <v>12</v>
      </c>
      <c r="J26" s="10" t="n">
        <v>58.39</v>
      </c>
      <c r="K26" s="11" t="n">
        <v>0.05</v>
      </c>
      <c r="L26" s="10">
        <f>I26*J26*(1-K26)</f>
        <v/>
      </c>
      <c r="M26" s="10" t="n">
        <v>432</v>
      </c>
      <c r="N26" s="10">
        <f>L26-M26</f>
        <v/>
      </c>
    </row>
    <row r="27">
      <c r="A27" s="7" t="inlineStr">
        <is>
          <t>ORD-03179</t>
        </is>
      </c>
      <c r="B27" s="8" t="n">
        <v>44935</v>
      </c>
      <c r="C27" s="9" t="n">
        <v>44927</v>
      </c>
      <c r="D27" s="7" t="n">
        <v>2023</v>
      </c>
      <c r="E27" s="7" t="inlineStr">
        <is>
          <t>South</t>
        </is>
      </c>
      <c r="F27" s="7" t="inlineStr">
        <is>
          <t>Technology</t>
        </is>
      </c>
      <c r="G27" s="7" t="inlineStr">
        <is>
          <t>Laptop</t>
        </is>
      </c>
      <c r="H27" s="7" t="inlineStr">
        <is>
          <t>Corporate</t>
        </is>
      </c>
      <c r="I27" s="7" t="n">
        <v>2</v>
      </c>
      <c r="J27" s="10" t="n">
        <v>858.45</v>
      </c>
      <c r="K27" s="11" t="n">
        <v>0</v>
      </c>
      <c r="L27" s="10">
        <f>I27*J27*(1-K27)</f>
        <v/>
      </c>
      <c r="M27" s="10" t="n">
        <v>1404</v>
      </c>
      <c r="N27" s="10">
        <f>L27-M27</f>
        <v/>
      </c>
    </row>
    <row r="28">
      <c r="A28" s="7" t="inlineStr">
        <is>
          <t>ORD-04773</t>
        </is>
      </c>
      <c r="B28" s="8" t="n">
        <v>44935</v>
      </c>
      <c r="C28" s="9" t="n">
        <v>44927</v>
      </c>
      <c r="D28" s="7" t="n">
        <v>2023</v>
      </c>
      <c r="E28" s="7" t="inlineStr">
        <is>
          <t>East</t>
        </is>
      </c>
      <c r="F28" s="7" t="inlineStr">
        <is>
          <t>Technology</t>
        </is>
      </c>
      <c r="G28" s="7" t="inlineStr">
        <is>
          <t>Keyboard</t>
        </is>
      </c>
      <c r="H28" s="7" t="inlineStr">
        <is>
          <t>Home Office</t>
        </is>
      </c>
      <c r="I28" s="7" t="n">
        <v>3</v>
      </c>
      <c r="J28" s="10" t="n">
        <v>45.95</v>
      </c>
      <c r="K28" s="11" t="n">
        <v>0.05</v>
      </c>
      <c r="L28" s="10">
        <f>I28*J28*(1-K28)</f>
        <v/>
      </c>
      <c r="M28" s="10" t="n">
        <v>74.25</v>
      </c>
      <c r="N28" s="10">
        <f>L28-M28</f>
        <v/>
      </c>
    </row>
    <row r="29">
      <c r="A29" s="7" t="inlineStr">
        <is>
          <t>ORD-01617</t>
        </is>
      </c>
      <c r="B29" s="8" t="n">
        <v>44935</v>
      </c>
      <c r="C29" s="9" t="n">
        <v>44927</v>
      </c>
      <c r="D29" s="7" t="n">
        <v>2023</v>
      </c>
      <c r="E29" s="7" t="inlineStr">
        <is>
          <t>West</t>
        </is>
      </c>
      <c r="F29" s="7" t="inlineStr">
        <is>
          <t>Office Supplies</t>
        </is>
      </c>
      <c r="G29" s="7" t="inlineStr">
        <is>
          <t>Printer Ink</t>
        </is>
      </c>
      <c r="H29" s="7" t="inlineStr">
        <is>
          <t>Consumer</t>
        </is>
      </c>
      <c r="I29" s="7" t="n">
        <v>13</v>
      </c>
      <c r="J29" s="10" t="n">
        <v>57.51</v>
      </c>
      <c r="K29" s="11" t="n">
        <v>0</v>
      </c>
      <c r="L29" s="10">
        <f>I29*J29*(1-K29)</f>
        <v/>
      </c>
      <c r="M29" s="10" t="n">
        <v>468</v>
      </c>
      <c r="N29" s="10">
        <f>L29-M29</f>
        <v/>
      </c>
    </row>
    <row r="30">
      <c r="A30" s="7" t="inlineStr">
        <is>
          <t>ORD-05228</t>
        </is>
      </c>
      <c r="B30" s="8" t="n">
        <v>44935</v>
      </c>
      <c r="C30" s="9" t="n">
        <v>44927</v>
      </c>
      <c r="D30" s="7" t="n">
        <v>2023</v>
      </c>
      <c r="E30" s="7" t="inlineStr">
        <is>
          <t>South</t>
        </is>
      </c>
      <c r="F30" s="7" t="inlineStr">
        <is>
          <t>Furniture</t>
        </is>
      </c>
      <c r="G30" s="7" t="inlineStr">
        <is>
          <t>Office Chair</t>
        </is>
      </c>
      <c r="H30" s="7" t="inlineStr">
        <is>
          <t>Corporate</t>
        </is>
      </c>
      <c r="I30" s="7" t="n">
        <v>1</v>
      </c>
      <c r="J30" s="10" t="n">
        <v>219.83</v>
      </c>
      <c r="K30" s="11" t="n">
        <v>0.2</v>
      </c>
      <c r="L30" s="10">
        <f>I30*J30*(1-K30)</f>
        <v/>
      </c>
      <c r="M30" s="10" t="n">
        <v>180.4</v>
      </c>
      <c r="N30" s="10">
        <f>L30-M30</f>
        <v/>
      </c>
    </row>
    <row r="31">
      <c r="A31" s="7" t="inlineStr">
        <is>
          <t>ORD-05178</t>
        </is>
      </c>
      <c r="B31" s="8" t="n">
        <v>44935</v>
      </c>
      <c r="C31" s="9" t="n">
        <v>44927</v>
      </c>
      <c r="D31" s="7" t="n">
        <v>2023</v>
      </c>
      <c r="E31" s="7" t="inlineStr">
        <is>
          <t>South</t>
        </is>
      </c>
      <c r="F31" s="7" t="inlineStr">
        <is>
          <t>Furniture</t>
        </is>
      </c>
      <c r="G31" s="7" t="inlineStr">
        <is>
          <t>Desk</t>
        </is>
      </c>
      <c r="H31" s="7" t="inlineStr">
        <is>
          <t>Corporate</t>
        </is>
      </c>
      <c r="I31" s="7" t="n">
        <v>1</v>
      </c>
      <c r="J31" s="10" t="n">
        <v>437.17</v>
      </c>
      <c r="K31" s="11" t="n">
        <v>0</v>
      </c>
      <c r="L31" s="10">
        <f>I31*J31*(1-K31)</f>
        <v/>
      </c>
      <c r="M31" s="10" t="n">
        <v>382.5</v>
      </c>
      <c r="N31" s="10">
        <f>L31-M31</f>
        <v/>
      </c>
    </row>
    <row r="32">
      <c r="A32" s="7" t="inlineStr">
        <is>
          <t>ORD-03038</t>
        </is>
      </c>
      <c r="B32" s="8" t="n">
        <v>44936</v>
      </c>
      <c r="C32" s="9" t="n">
        <v>44927</v>
      </c>
      <c r="D32" s="7" t="n">
        <v>2023</v>
      </c>
      <c r="E32" s="7" t="inlineStr">
        <is>
          <t>East</t>
        </is>
      </c>
      <c r="F32" s="7" t="inlineStr">
        <is>
          <t>Office Supplies</t>
        </is>
      </c>
      <c r="G32" s="7" t="inlineStr">
        <is>
          <t>Pens</t>
        </is>
      </c>
      <c r="H32" s="7" t="inlineStr">
        <is>
          <t>Consumer</t>
        </is>
      </c>
      <c r="I32" s="7" t="n">
        <v>5</v>
      </c>
      <c r="J32" s="10" t="n">
        <v>12.51</v>
      </c>
      <c r="K32" s="11" t="n">
        <v>0.05</v>
      </c>
      <c r="L32" s="10">
        <f>I32*J32*(1-K32)</f>
        <v/>
      </c>
      <c r="M32" s="10" t="n">
        <v>27</v>
      </c>
      <c r="N32" s="10">
        <f>L32-M32</f>
        <v/>
      </c>
    </row>
    <row r="33">
      <c r="A33" s="7" t="inlineStr">
        <is>
          <t>ORD-00775</t>
        </is>
      </c>
      <c r="B33" s="8" t="n">
        <v>44936</v>
      </c>
      <c r="C33" s="9" t="n">
        <v>44927</v>
      </c>
      <c r="D33" s="7" t="n">
        <v>2023</v>
      </c>
      <c r="E33" s="7" t="inlineStr">
        <is>
          <t>East</t>
        </is>
      </c>
      <c r="F33" s="7" t="inlineStr">
        <is>
          <t>Office Supplies</t>
        </is>
      </c>
      <c r="G33" s="7" t="inlineStr">
        <is>
          <t>Paper</t>
        </is>
      </c>
      <c r="H33" s="7" t="inlineStr">
        <is>
          <t>Consumer</t>
        </is>
      </c>
      <c r="I33" s="7" t="n">
        <v>14</v>
      </c>
      <c r="J33" s="10" t="n">
        <v>25.68</v>
      </c>
      <c r="K33" s="11" t="n">
        <v>0</v>
      </c>
      <c r="L33" s="10">
        <f>I33*J33*(1-K33)</f>
        <v/>
      </c>
      <c r="M33" s="10" t="n">
        <v>175</v>
      </c>
      <c r="N33" s="10">
        <f>L33-M33</f>
        <v/>
      </c>
    </row>
    <row r="34">
      <c r="A34" s="7" t="inlineStr">
        <is>
          <t>ORD-01314</t>
        </is>
      </c>
      <c r="B34" s="8" t="n">
        <v>44936</v>
      </c>
      <c r="C34" s="9" t="n">
        <v>44927</v>
      </c>
      <c r="D34" s="7" t="n">
        <v>2023</v>
      </c>
      <c r="E34" s="7" t="inlineStr">
        <is>
          <t>South</t>
        </is>
      </c>
      <c r="F34" s="7" t="inlineStr">
        <is>
          <t>Office Supplies</t>
        </is>
      </c>
      <c r="G34" s="7" t="inlineStr">
        <is>
          <t>Binder</t>
        </is>
      </c>
      <c r="H34" s="7" t="inlineStr">
        <is>
          <t>Corporate</t>
        </is>
      </c>
      <c r="I34" s="7" t="n">
        <v>14</v>
      </c>
      <c r="J34" s="10" t="n">
        <v>7.76</v>
      </c>
      <c r="K34" s="11" t="n">
        <v>0.2</v>
      </c>
      <c r="L34" s="10">
        <f>I34*J34*(1-K34)</f>
        <v/>
      </c>
      <c r="M34" s="10" t="n">
        <v>44.8</v>
      </c>
      <c r="N34" s="10">
        <f>L34-M34</f>
        <v/>
      </c>
    </row>
    <row r="35">
      <c r="A35" s="7" t="inlineStr">
        <is>
          <t>ORD-02299</t>
        </is>
      </c>
      <c r="B35" s="8" t="n">
        <v>44936</v>
      </c>
      <c r="C35" s="9" t="n">
        <v>44927</v>
      </c>
      <c r="D35" s="7" t="n">
        <v>2023</v>
      </c>
      <c r="E35" s="7" t="inlineStr">
        <is>
          <t>West</t>
        </is>
      </c>
      <c r="F35" s="7" t="inlineStr">
        <is>
          <t>Office Supplies</t>
        </is>
      </c>
      <c r="G35" s="7" t="inlineStr">
        <is>
          <t>Stapler</t>
        </is>
      </c>
      <c r="H35" s="7" t="inlineStr">
        <is>
          <t>Consumer</t>
        </is>
      </c>
      <c r="I35" s="7" t="n">
        <v>14</v>
      </c>
      <c r="J35" s="10" t="n">
        <v>15.66</v>
      </c>
      <c r="K35" s="11" t="n">
        <v>0.2</v>
      </c>
      <c r="L35" s="10">
        <f>I35*J35*(1-K35)</f>
        <v/>
      </c>
      <c r="M35" s="10" t="n">
        <v>105</v>
      </c>
      <c r="N35" s="10">
        <f>L35-M35</f>
        <v/>
      </c>
    </row>
    <row r="36">
      <c r="A36" s="7" t="inlineStr">
        <is>
          <t>ORD-00423</t>
        </is>
      </c>
      <c r="B36" s="8" t="n">
        <v>44937</v>
      </c>
      <c r="C36" s="9" t="n">
        <v>44927</v>
      </c>
      <c r="D36" s="7" t="n">
        <v>2023</v>
      </c>
      <c r="E36" s="7" t="inlineStr">
        <is>
          <t>South</t>
        </is>
      </c>
      <c r="F36" s="7" t="inlineStr">
        <is>
          <t>Office Supplies</t>
        </is>
      </c>
      <c r="G36" s="7" t="inlineStr">
        <is>
          <t>Binder</t>
        </is>
      </c>
      <c r="H36" s="7" t="inlineStr">
        <is>
          <t>Consumer</t>
        </is>
      </c>
      <c r="I36" s="7" t="n">
        <v>5</v>
      </c>
      <c r="J36" s="10" t="n">
        <v>7.87</v>
      </c>
      <c r="K36" s="11" t="n">
        <v>0.05</v>
      </c>
      <c r="L36" s="10">
        <f>I36*J36*(1-K36)</f>
        <v/>
      </c>
      <c r="M36" s="10" t="n">
        <v>16</v>
      </c>
      <c r="N36" s="10">
        <f>L36-M36</f>
        <v/>
      </c>
    </row>
    <row r="37">
      <c r="A37" s="7" t="inlineStr">
        <is>
          <t>ORD-01323</t>
        </is>
      </c>
      <c r="B37" s="8" t="n">
        <v>44937</v>
      </c>
      <c r="C37" s="9" t="n">
        <v>44927</v>
      </c>
      <c r="D37" s="7" t="n">
        <v>2023</v>
      </c>
      <c r="E37" s="7" t="inlineStr">
        <is>
          <t>East</t>
        </is>
      </c>
      <c r="F37" s="7" t="inlineStr">
        <is>
          <t>Office Supplies</t>
        </is>
      </c>
      <c r="G37" s="7" t="inlineStr">
        <is>
          <t>Paper</t>
        </is>
      </c>
      <c r="H37" s="7" t="inlineStr">
        <is>
          <t>Corporate</t>
        </is>
      </c>
      <c r="I37" s="7" t="n">
        <v>7</v>
      </c>
      <c r="J37" s="10" t="n">
        <v>24.59</v>
      </c>
      <c r="K37" s="11" t="n">
        <v>0</v>
      </c>
      <c r="L37" s="10">
        <f>I37*J37*(1-K37)</f>
        <v/>
      </c>
      <c r="M37" s="10" t="n">
        <v>87.5</v>
      </c>
      <c r="N37" s="10">
        <f>L37-M37</f>
        <v/>
      </c>
    </row>
    <row r="38">
      <c r="A38" s="7" t="inlineStr">
        <is>
          <t>ORD-05424</t>
        </is>
      </c>
      <c r="B38" s="8" t="n">
        <v>44938</v>
      </c>
      <c r="C38" s="9" t="n">
        <v>44927</v>
      </c>
      <c r="D38" s="7" t="n">
        <v>2023</v>
      </c>
      <c r="E38" s="7" t="inlineStr">
        <is>
          <t>West</t>
        </is>
      </c>
      <c r="F38" s="7" t="inlineStr">
        <is>
          <t>Office Supplies</t>
        </is>
      </c>
      <c r="G38" s="7" t="inlineStr">
        <is>
          <t>Paper</t>
        </is>
      </c>
      <c r="H38" s="7" t="inlineStr">
        <is>
          <t>Consumer</t>
        </is>
      </c>
      <c r="I38" s="7" t="n">
        <v>13</v>
      </c>
      <c r="J38" s="10" t="n">
        <v>26.03</v>
      </c>
      <c r="K38" s="11" t="n">
        <v>0.05</v>
      </c>
      <c r="L38" s="10">
        <f>I38*J38*(1-K38)</f>
        <v/>
      </c>
      <c r="M38" s="10" t="n">
        <v>162.5</v>
      </c>
      <c r="N38" s="10">
        <f>L38-M38</f>
        <v/>
      </c>
    </row>
    <row r="39">
      <c r="A39" s="7" t="inlineStr">
        <is>
          <t>ORD-04775</t>
        </is>
      </c>
      <c r="B39" s="8" t="n">
        <v>44938</v>
      </c>
      <c r="C39" s="9" t="n">
        <v>44927</v>
      </c>
      <c r="D39" s="7" t="n">
        <v>2023</v>
      </c>
      <c r="E39" s="7" t="inlineStr">
        <is>
          <t>West</t>
        </is>
      </c>
      <c r="F39" s="7" t="inlineStr">
        <is>
          <t>Office Supplies</t>
        </is>
      </c>
      <c r="G39" s="7" t="inlineStr">
        <is>
          <t>Paper</t>
        </is>
      </c>
      <c r="H39" s="7" t="inlineStr">
        <is>
          <t>Consumer</t>
        </is>
      </c>
      <c r="I39" s="7" t="n">
        <v>14</v>
      </c>
      <c r="J39" s="10" t="n">
        <v>26.24</v>
      </c>
      <c r="K39" s="11" t="n">
        <v>0</v>
      </c>
      <c r="L39" s="10">
        <f>I39*J39*(1-K39)</f>
        <v/>
      </c>
      <c r="M39" s="10" t="n">
        <v>175</v>
      </c>
      <c r="N39" s="10">
        <f>L39-M39</f>
        <v/>
      </c>
    </row>
    <row r="40">
      <c r="A40" s="7" t="inlineStr">
        <is>
          <t>ORD-05451</t>
        </is>
      </c>
      <c r="B40" s="8" t="n">
        <v>44938</v>
      </c>
      <c r="C40" s="9" t="n">
        <v>44927</v>
      </c>
      <c r="D40" s="7" t="n">
        <v>2023</v>
      </c>
      <c r="E40" s="7" t="inlineStr">
        <is>
          <t>North</t>
        </is>
      </c>
      <c r="F40" s="7" t="inlineStr">
        <is>
          <t>Office Supplies</t>
        </is>
      </c>
      <c r="G40" s="7" t="inlineStr">
        <is>
          <t>Binder</t>
        </is>
      </c>
      <c r="H40" s="7" t="inlineStr">
        <is>
          <t>Consumer</t>
        </is>
      </c>
      <c r="I40" s="7" t="n">
        <v>10</v>
      </c>
      <c r="J40" s="10" t="n">
        <v>7.88</v>
      </c>
      <c r="K40" s="11" t="n">
        <v>0</v>
      </c>
      <c r="L40" s="10">
        <f>I40*J40*(1-K40)</f>
        <v/>
      </c>
      <c r="M40" s="10" t="n">
        <v>32</v>
      </c>
      <c r="N40" s="10">
        <f>L40-M40</f>
        <v/>
      </c>
    </row>
    <row r="41">
      <c r="A41" s="7" t="inlineStr">
        <is>
          <t>ORD-04156</t>
        </is>
      </c>
      <c r="B41" s="8" t="n">
        <v>44939</v>
      </c>
      <c r="C41" s="9" t="n">
        <v>44927</v>
      </c>
      <c r="D41" s="7" t="n">
        <v>2023</v>
      </c>
      <c r="E41" s="7" t="inlineStr">
        <is>
          <t>East</t>
        </is>
      </c>
      <c r="F41" s="7" t="inlineStr">
        <is>
          <t>Technology</t>
        </is>
      </c>
      <c r="G41" s="7" t="inlineStr">
        <is>
          <t>Keyboard</t>
        </is>
      </c>
      <c r="H41" s="7" t="inlineStr">
        <is>
          <t>Home Office</t>
        </is>
      </c>
      <c r="I41" s="7" t="n">
        <v>1</v>
      </c>
      <c r="J41" s="10" t="n">
        <v>45.53</v>
      </c>
      <c r="K41" s="11" t="n">
        <v>0</v>
      </c>
      <c r="L41" s="10">
        <f>I41*J41*(1-K41)</f>
        <v/>
      </c>
      <c r="M41" s="10" t="n">
        <v>24.75</v>
      </c>
      <c r="N41" s="10">
        <f>L41-M41</f>
        <v/>
      </c>
    </row>
    <row r="42">
      <c r="A42" s="7" t="inlineStr">
        <is>
          <t>ORD-03439</t>
        </is>
      </c>
      <c r="B42" s="8" t="n">
        <v>44940</v>
      </c>
      <c r="C42" s="9" t="n">
        <v>44927</v>
      </c>
      <c r="D42" s="7" t="n">
        <v>2023</v>
      </c>
      <c r="E42" s="7" t="inlineStr">
        <is>
          <t>East</t>
        </is>
      </c>
      <c r="F42" s="7" t="inlineStr">
        <is>
          <t>Technology</t>
        </is>
      </c>
      <c r="G42" s="7" t="inlineStr">
        <is>
          <t>Keyboard</t>
        </is>
      </c>
      <c r="H42" s="7" t="inlineStr">
        <is>
          <t>Home Office</t>
        </is>
      </c>
      <c r="I42" s="7" t="n">
        <v>2</v>
      </c>
      <c r="J42" s="10" t="n">
        <v>43.58</v>
      </c>
      <c r="K42" s="11" t="n">
        <v>0.1</v>
      </c>
      <c r="L42" s="10">
        <f>I42*J42*(1-K42)</f>
        <v/>
      </c>
      <c r="M42" s="10" t="n">
        <v>49.5</v>
      </c>
      <c r="N42" s="10">
        <f>L42-M42</f>
        <v/>
      </c>
    </row>
    <row r="43">
      <c r="A43" s="7" t="inlineStr">
        <is>
          <t>ORD-03463</t>
        </is>
      </c>
      <c r="B43" s="8" t="n">
        <v>44940</v>
      </c>
      <c r="C43" s="9" t="n">
        <v>44927</v>
      </c>
      <c r="D43" s="7" t="n">
        <v>2023</v>
      </c>
      <c r="E43" s="7" t="inlineStr">
        <is>
          <t>West</t>
        </is>
      </c>
      <c r="F43" s="7" t="inlineStr">
        <is>
          <t>Furniture</t>
        </is>
      </c>
      <c r="G43" s="7" t="inlineStr">
        <is>
          <t>Desk</t>
        </is>
      </c>
      <c r="H43" s="7" t="inlineStr">
        <is>
          <t>Corporate</t>
        </is>
      </c>
      <c r="I43" s="7" t="n">
        <v>1</v>
      </c>
      <c r="J43" s="10" t="n">
        <v>432.03</v>
      </c>
      <c r="K43" s="11" t="n">
        <v>0</v>
      </c>
      <c r="L43" s="10">
        <f>I43*J43*(1-K43)</f>
        <v/>
      </c>
      <c r="M43" s="10" t="n">
        <v>382.5</v>
      </c>
      <c r="N43" s="10">
        <f>L43-M43</f>
        <v/>
      </c>
    </row>
    <row r="44">
      <c r="A44" s="7" t="inlineStr">
        <is>
          <t>ORD-04991</t>
        </is>
      </c>
      <c r="B44" s="8" t="n">
        <v>44940</v>
      </c>
      <c r="C44" s="9" t="n">
        <v>44927</v>
      </c>
      <c r="D44" s="7" t="n">
        <v>2023</v>
      </c>
      <c r="E44" s="7" t="inlineStr">
        <is>
          <t>South</t>
        </is>
      </c>
      <c r="F44" s="7" t="inlineStr">
        <is>
          <t>Office Supplies</t>
        </is>
      </c>
      <c r="G44" s="7" t="inlineStr">
        <is>
          <t>Paper</t>
        </is>
      </c>
      <c r="H44" s="7" t="inlineStr">
        <is>
          <t>Consumer</t>
        </is>
      </c>
      <c r="I44" s="7" t="n">
        <v>8</v>
      </c>
      <c r="J44" s="10" t="n">
        <v>26.04</v>
      </c>
      <c r="K44" s="11" t="n">
        <v>0.3</v>
      </c>
      <c r="L44" s="10">
        <f>I44*J44*(1-K44)</f>
        <v/>
      </c>
      <c r="M44" s="10" t="n">
        <v>100</v>
      </c>
      <c r="N44" s="10">
        <f>L44-M44</f>
        <v/>
      </c>
    </row>
    <row r="45">
      <c r="A45" s="7" t="inlineStr">
        <is>
          <t>ORD-01101</t>
        </is>
      </c>
      <c r="B45" s="8" t="n">
        <v>44941</v>
      </c>
      <c r="C45" s="9" t="n">
        <v>44927</v>
      </c>
      <c r="D45" s="7" t="n">
        <v>2023</v>
      </c>
      <c r="E45" s="7" t="inlineStr">
        <is>
          <t>East</t>
        </is>
      </c>
      <c r="F45" s="7" t="inlineStr">
        <is>
          <t>Technology</t>
        </is>
      </c>
      <c r="G45" s="7" t="inlineStr">
        <is>
          <t>Laptop</t>
        </is>
      </c>
      <c r="H45" s="7" t="inlineStr">
        <is>
          <t>Consumer</t>
        </is>
      </c>
      <c r="I45" s="7" t="n">
        <v>2</v>
      </c>
      <c r="J45" s="10" t="n">
        <v>875.4</v>
      </c>
      <c r="K45" s="11" t="n">
        <v>0.05</v>
      </c>
      <c r="L45" s="10">
        <f>I45*J45*(1-K45)</f>
        <v/>
      </c>
      <c r="M45" s="10" t="n">
        <v>1404</v>
      </c>
      <c r="N45" s="10">
        <f>L45-M45</f>
        <v/>
      </c>
    </row>
    <row r="46">
      <c r="A46" s="7" t="inlineStr">
        <is>
          <t>ORD-00595</t>
        </is>
      </c>
      <c r="B46" s="8" t="n">
        <v>44941</v>
      </c>
      <c r="C46" s="9" t="n">
        <v>44927</v>
      </c>
      <c r="D46" s="7" t="n">
        <v>2023</v>
      </c>
      <c r="E46" s="7" t="inlineStr">
        <is>
          <t>North</t>
        </is>
      </c>
      <c r="F46" s="7" t="inlineStr">
        <is>
          <t>Technology</t>
        </is>
      </c>
      <c r="G46" s="7" t="inlineStr">
        <is>
          <t>Smartphone</t>
        </is>
      </c>
      <c r="H46" s="7" t="inlineStr">
        <is>
          <t>Corporate</t>
        </is>
      </c>
      <c r="I46" s="7" t="n">
        <v>2</v>
      </c>
      <c r="J46" s="10" t="n">
        <v>602.8200000000001</v>
      </c>
      <c r="K46" s="11" t="n">
        <v>0.3</v>
      </c>
      <c r="L46" s="10">
        <f>I46*J46*(1-K46)</f>
        <v/>
      </c>
      <c r="M46" s="10" t="n">
        <v>900</v>
      </c>
      <c r="N46" s="10">
        <f>L46-M46</f>
        <v/>
      </c>
    </row>
    <row r="47">
      <c r="A47" s="7" t="inlineStr">
        <is>
          <t>ORD-02922</t>
        </is>
      </c>
      <c r="B47" s="8" t="n">
        <v>44941</v>
      </c>
      <c r="C47" s="9" t="n">
        <v>44927</v>
      </c>
      <c r="D47" s="7" t="n">
        <v>2023</v>
      </c>
      <c r="E47" s="7" t="inlineStr">
        <is>
          <t>South</t>
        </is>
      </c>
      <c r="F47" s="7" t="inlineStr">
        <is>
          <t>Technology</t>
        </is>
      </c>
      <c r="G47" s="7" t="inlineStr">
        <is>
          <t>Laptop</t>
        </is>
      </c>
      <c r="H47" s="7" t="inlineStr">
        <is>
          <t>Corporate</t>
        </is>
      </c>
      <c r="I47" s="7" t="n">
        <v>1</v>
      </c>
      <c r="J47" s="10" t="n">
        <v>865.6</v>
      </c>
      <c r="K47" s="11" t="n">
        <v>0.2</v>
      </c>
      <c r="L47" s="10">
        <f>I47*J47*(1-K47)</f>
        <v/>
      </c>
      <c r="M47" s="10" t="n">
        <v>702</v>
      </c>
      <c r="N47" s="10">
        <f>L47-M47</f>
        <v/>
      </c>
    </row>
    <row r="48">
      <c r="A48" s="7" t="inlineStr">
        <is>
          <t>ORD-04281</t>
        </is>
      </c>
      <c r="B48" s="8" t="n">
        <v>44941</v>
      </c>
      <c r="C48" s="9" t="n">
        <v>44927</v>
      </c>
      <c r="D48" s="7" t="n">
        <v>2023</v>
      </c>
      <c r="E48" s="7" t="inlineStr">
        <is>
          <t>South</t>
        </is>
      </c>
      <c r="F48" s="7" t="inlineStr">
        <is>
          <t>Office Supplies</t>
        </is>
      </c>
      <c r="G48" s="7" t="inlineStr">
        <is>
          <t>Pens</t>
        </is>
      </c>
      <c r="H48" s="7" t="inlineStr">
        <is>
          <t>Home Office</t>
        </is>
      </c>
      <c r="I48" s="7" t="n">
        <v>12</v>
      </c>
      <c r="J48" s="10" t="n">
        <v>12.03</v>
      </c>
      <c r="K48" s="11" t="n">
        <v>0.2</v>
      </c>
      <c r="L48" s="10">
        <f>I48*J48*(1-K48)</f>
        <v/>
      </c>
      <c r="M48" s="10" t="n">
        <v>64.8</v>
      </c>
      <c r="N48" s="10">
        <f>L48-M48</f>
        <v/>
      </c>
    </row>
    <row r="49">
      <c r="A49" s="7" t="inlineStr">
        <is>
          <t>ORD-00052</t>
        </is>
      </c>
      <c r="B49" s="8" t="n">
        <v>44941</v>
      </c>
      <c r="C49" s="9" t="n">
        <v>44927</v>
      </c>
      <c r="D49" s="7" t="n">
        <v>2023</v>
      </c>
      <c r="E49" s="7" t="inlineStr">
        <is>
          <t>East</t>
        </is>
      </c>
      <c r="F49" s="7" t="inlineStr">
        <is>
          <t>Technology</t>
        </is>
      </c>
      <c r="G49" s="7" t="inlineStr">
        <is>
          <t>Keyboard</t>
        </is>
      </c>
      <c r="H49" s="7" t="inlineStr">
        <is>
          <t>Consumer</t>
        </is>
      </c>
      <c r="I49" s="7" t="n">
        <v>2</v>
      </c>
      <c r="J49" s="10" t="n">
        <v>45.17</v>
      </c>
      <c r="K49" s="11" t="n">
        <v>0.1</v>
      </c>
      <c r="L49" s="10">
        <f>I49*J49*(1-K49)</f>
        <v/>
      </c>
      <c r="M49" s="10" t="n">
        <v>49.5</v>
      </c>
      <c r="N49" s="10">
        <f>L49-M49</f>
        <v/>
      </c>
    </row>
    <row r="50">
      <c r="A50" s="7" t="inlineStr">
        <is>
          <t>ORD-05031</t>
        </is>
      </c>
      <c r="B50" s="8" t="n">
        <v>44941</v>
      </c>
      <c r="C50" s="9" t="n">
        <v>44927</v>
      </c>
      <c r="D50" s="7" t="n">
        <v>2023</v>
      </c>
      <c r="E50" s="7" t="inlineStr">
        <is>
          <t>East</t>
        </is>
      </c>
      <c r="F50" s="7" t="inlineStr">
        <is>
          <t>Office Supplies</t>
        </is>
      </c>
      <c r="G50" s="7" t="inlineStr">
        <is>
          <t>Stapler</t>
        </is>
      </c>
      <c r="H50" s="7" t="inlineStr">
        <is>
          <t>Corporate</t>
        </is>
      </c>
      <c r="I50" s="7" t="n">
        <v>8</v>
      </c>
      <c r="J50" s="10" t="n">
        <v>15.73</v>
      </c>
      <c r="K50" s="11" t="n">
        <v>0</v>
      </c>
      <c r="L50" s="10">
        <f>I50*J50*(1-K50)</f>
        <v/>
      </c>
      <c r="M50" s="10" t="n">
        <v>60</v>
      </c>
      <c r="N50" s="10">
        <f>L50-M50</f>
        <v/>
      </c>
    </row>
    <row r="51">
      <c r="A51" s="7" t="inlineStr">
        <is>
          <t>ORD-02384</t>
        </is>
      </c>
      <c r="B51" s="8" t="n">
        <v>44943</v>
      </c>
      <c r="C51" s="9" t="n">
        <v>44927</v>
      </c>
      <c r="D51" s="7" t="n">
        <v>2023</v>
      </c>
      <c r="E51" s="7" t="inlineStr">
        <is>
          <t>West</t>
        </is>
      </c>
      <c r="F51" s="7" t="inlineStr">
        <is>
          <t>Office Supplies</t>
        </is>
      </c>
      <c r="G51" s="7" t="inlineStr">
        <is>
          <t>Pens</t>
        </is>
      </c>
      <c r="H51" s="7" t="inlineStr">
        <is>
          <t>Consumer</t>
        </is>
      </c>
      <c r="I51" s="7" t="n">
        <v>2</v>
      </c>
      <c r="J51" s="10" t="n">
        <v>12.54</v>
      </c>
      <c r="K51" s="11" t="n">
        <v>0</v>
      </c>
      <c r="L51" s="10">
        <f>I51*J51*(1-K51)</f>
        <v/>
      </c>
      <c r="M51" s="10" t="n">
        <v>10.8</v>
      </c>
      <c r="N51" s="10">
        <f>L51-M51</f>
        <v/>
      </c>
    </row>
    <row r="52">
      <c r="A52" s="7" t="inlineStr">
        <is>
          <t>ORD-05594</t>
        </is>
      </c>
      <c r="B52" s="8" t="n">
        <v>44945</v>
      </c>
      <c r="C52" s="9" t="n">
        <v>44927</v>
      </c>
      <c r="D52" s="7" t="n">
        <v>2023</v>
      </c>
      <c r="E52" s="7" t="inlineStr">
        <is>
          <t>South</t>
        </is>
      </c>
      <c r="F52" s="7" t="inlineStr">
        <is>
          <t>Office Supplies</t>
        </is>
      </c>
      <c r="G52" s="7" t="inlineStr">
        <is>
          <t>Paper</t>
        </is>
      </c>
      <c r="H52" s="7" t="inlineStr">
        <is>
          <t>Corporate</t>
        </is>
      </c>
      <c r="I52" s="7" t="n">
        <v>4</v>
      </c>
      <c r="J52" s="10" t="n">
        <v>26.1</v>
      </c>
      <c r="K52" s="11" t="n">
        <v>0.2</v>
      </c>
      <c r="L52" s="10">
        <f>I52*J52*(1-K52)</f>
        <v/>
      </c>
      <c r="M52" s="10" t="n">
        <v>50</v>
      </c>
      <c r="N52" s="10">
        <f>L52-M52</f>
        <v/>
      </c>
    </row>
    <row r="53">
      <c r="A53" s="7" t="inlineStr">
        <is>
          <t>ORD-00766</t>
        </is>
      </c>
      <c r="B53" s="8" t="n">
        <v>44945</v>
      </c>
      <c r="C53" s="9" t="n">
        <v>44927</v>
      </c>
      <c r="D53" s="7" t="n">
        <v>2023</v>
      </c>
      <c r="E53" s="7" t="inlineStr">
        <is>
          <t>South</t>
        </is>
      </c>
      <c r="F53" s="7" t="inlineStr">
        <is>
          <t>Office Supplies</t>
        </is>
      </c>
      <c r="G53" s="7" t="inlineStr">
        <is>
          <t>Paper</t>
        </is>
      </c>
      <c r="H53" s="7" t="inlineStr">
        <is>
          <t>Consumer</t>
        </is>
      </c>
      <c r="I53" s="7" t="n">
        <v>9</v>
      </c>
      <c r="J53" s="10" t="n">
        <v>25.75</v>
      </c>
      <c r="K53" s="11" t="n">
        <v>0.1</v>
      </c>
      <c r="L53" s="10">
        <f>I53*J53*(1-K53)</f>
        <v/>
      </c>
      <c r="M53" s="10" t="n">
        <v>112.5</v>
      </c>
      <c r="N53" s="10">
        <f>L53-M53</f>
        <v/>
      </c>
    </row>
    <row r="54">
      <c r="A54" s="7" t="inlineStr">
        <is>
          <t>ORD-05922</t>
        </is>
      </c>
      <c r="B54" s="8" t="n">
        <v>44945</v>
      </c>
      <c r="C54" s="9" t="n">
        <v>44927</v>
      </c>
      <c r="D54" s="7" t="n">
        <v>2023</v>
      </c>
      <c r="E54" s="7" t="inlineStr">
        <is>
          <t>South</t>
        </is>
      </c>
      <c r="F54" s="7" t="inlineStr">
        <is>
          <t>Office Supplies</t>
        </is>
      </c>
      <c r="G54" s="7" t="inlineStr">
        <is>
          <t>Pens</t>
        </is>
      </c>
      <c r="H54" s="7" t="inlineStr">
        <is>
          <t>Home Office</t>
        </is>
      </c>
      <c r="I54" s="7" t="n">
        <v>10</v>
      </c>
      <c r="J54" s="10" t="n">
        <v>11.55</v>
      </c>
      <c r="K54" s="11" t="n">
        <v>0.3</v>
      </c>
      <c r="L54" s="10">
        <f>I54*J54*(1-K54)</f>
        <v/>
      </c>
      <c r="M54" s="10" t="n">
        <v>54</v>
      </c>
      <c r="N54" s="10">
        <f>L54-M54</f>
        <v/>
      </c>
    </row>
    <row r="55">
      <c r="A55" s="7" t="inlineStr">
        <is>
          <t>ORD-04966</t>
        </is>
      </c>
      <c r="B55" s="8" t="n">
        <v>44945</v>
      </c>
      <c r="C55" s="9" t="n">
        <v>44927</v>
      </c>
      <c r="D55" s="7" t="n">
        <v>2023</v>
      </c>
      <c r="E55" s="7" t="inlineStr">
        <is>
          <t>West</t>
        </is>
      </c>
      <c r="F55" s="7" t="inlineStr">
        <is>
          <t>Office Supplies</t>
        </is>
      </c>
      <c r="G55" s="7" t="inlineStr">
        <is>
          <t>Paper</t>
        </is>
      </c>
      <c r="H55" s="7" t="inlineStr">
        <is>
          <t>Corporate</t>
        </is>
      </c>
      <c r="I55" s="7" t="n">
        <v>14</v>
      </c>
      <c r="J55" s="10" t="n">
        <v>23.97</v>
      </c>
      <c r="K55" s="11" t="n">
        <v>0</v>
      </c>
      <c r="L55" s="10">
        <f>I55*J55*(1-K55)</f>
        <v/>
      </c>
      <c r="M55" s="10" t="n">
        <v>175</v>
      </c>
      <c r="N55" s="10">
        <f>L55-M55</f>
        <v/>
      </c>
    </row>
    <row r="56">
      <c r="A56" s="7" t="inlineStr">
        <is>
          <t>ORD-03377</t>
        </is>
      </c>
      <c r="B56" s="8" t="n">
        <v>44946</v>
      </c>
      <c r="C56" s="9" t="n">
        <v>44927</v>
      </c>
      <c r="D56" s="7" t="n">
        <v>2023</v>
      </c>
      <c r="E56" s="7" t="inlineStr">
        <is>
          <t>North</t>
        </is>
      </c>
      <c r="F56" s="7" t="inlineStr">
        <is>
          <t>Office Supplies</t>
        </is>
      </c>
      <c r="G56" s="7" t="inlineStr">
        <is>
          <t>Stapler</t>
        </is>
      </c>
      <c r="H56" s="7" t="inlineStr">
        <is>
          <t>Home Office</t>
        </is>
      </c>
      <c r="I56" s="7" t="n">
        <v>7</v>
      </c>
      <c r="J56" s="10" t="n">
        <v>15.2</v>
      </c>
      <c r="K56" s="11" t="n">
        <v>0.1</v>
      </c>
      <c r="L56" s="10">
        <f>I56*J56*(1-K56)</f>
        <v/>
      </c>
      <c r="M56" s="10" t="n">
        <v>52.5</v>
      </c>
      <c r="N56" s="10">
        <f>L56-M56</f>
        <v/>
      </c>
    </row>
    <row r="57">
      <c r="A57" s="7" t="inlineStr">
        <is>
          <t>ORD-05625</t>
        </is>
      </c>
      <c r="B57" s="8" t="n">
        <v>44947</v>
      </c>
      <c r="C57" s="9" t="n">
        <v>44927</v>
      </c>
      <c r="D57" s="7" t="n">
        <v>2023</v>
      </c>
      <c r="E57" s="7" t="inlineStr">
        <is>
          <t>North</t>
        </is>
      </c>
      <c r="F57" s="7" t="inlineStr">
        <is>
          <t>Furniture</t>
        </is>
      </c>
      <c r="G57" s="7" t="inlineStr">
        <is>
          <t>Sofa</t>
        </is>
      </c>
      <c r="H57" s="7" t="inlineStr">
        <is>
          <t>Home Office</t>
        </is>
      </c>
      <c r="I57" s="7" t="n">
        <v>3</v>
      </c>
      <c r="J57" s="10" t="n">
        <v>678.92</v>
      </c>
      <c r="K57" s="11" t="n">
        <v>0.3</v>
      </c>
      <c r="L57" s="10">
        <f>I57*J57*(1-K57)</f>
        <v/>
      </c>
      <c r="M57" s="10" t="n">
        <v>1848</v>
      </c>
      <c r="N57" s="10">
        <f>L57-M57</f>
        <v/>
      </c>
    </row>
    <row r="58">
      <c r="A58" s="7" t="inlineStr">
        <is>
          <t>ORD-02940</t>
        </is>
      </c>
      <c r="B58" s="8" t="n">
        <v>44948</v>
      </c>
      <c r="C58" s="9" t="n">
        <v>44927</v>
      </c>
      <c r="D58" s="7" t="n">
        <v>2023</v>
      </c>
      <c r="E58" s="7" t="inlineStr">
        <is>
          <t>North</t>
        </is>
      </c>
      <c r="F58" s="7" t="inlineStr">
        <is>
          <t>Technology</t>
        </is>
      </c>
      <c r="G58" s="7" t="inlineStr">
        <is>
          <t>Keyboard</t>
        </is>
      </c>
      <c r="H58" s="7" t="inlineStr">
        <is>
          <t>Consumer</t>
        </is>
      </c>
      <c r="I58" s="7" t="n">
        <v>3</v>
      </c>
      <c r="J58" s="10" t="n">
        <v>46.41</v>
      </c>
      <c r="K58" s="11" t="n">
        <v>0</v>
      </c>
      <c r="L58" s="10">
        <f>I58*J58*(1-K58)</f>
        <v/>
      </c>
      <c r="M58" s="10" t="n">
        <v>74.25</v>
      </c>
      <c r="N58" s="10">
        <f>L58-M58</f>
        <v/>
      </c>
    </row>
    <row r="59">
      <c r="A59" s="7" t="inlineStr">
        <is>
          <t>ORD-04838</t>
        </is>
      </c>
      <c r="B59" s="8" t="n">
        <v>44948</v>
      </c>
      <c r="C59" s="9" t="n">
        <v>44927</v>
      </c>
      <c r="D59" s="7" t="n">
        <v>2023</v>
      </c>
      <c r="E59" s="7" t="inlineStr">
        <is>
          <t>South</t>
        </is>
      </c>
      <c r="F59" s="7" t="inlineStr">
        <is>
          <t>Technology</t>
        </is>
      </c>
      <c r="G59" s="7" t="inlineStr">
        <is>
          <t>Monitor</t>
        </is>
      </c>
      <c r="H59" s="7" t="inlineStr">
        <is>
          <t>Consumer</t>
        </is>
      </c>
      <c r="I59" s="7" t="n">
        <v>3</v>
      </c>
      <c r="J59" s="10" t="n">
        <v>250.64</v>
      </c>
      <c r="K59" s="11" t="n">
        <v>0.3</v>
      </c>
      <c r="L59" s="10">
        <f>I59*J59*(1-K59)</f>
        <v/>
      </c>
      <c r="M59" s="10" t="n">
        <v>540</v>
      </c>
      <c r="N59" s="10">
        <f>L59-M59</f>
        <v/>
      </c>
    </row>
    <row r="60">
      <c r="A60" s="7" t="inlineStr">
        <is>
          <t>ORD-02394</t>
        </is>
      </c>
      <c r="B60" s="8" t="n">
        <v>44948</v>
      </c>
      <c r="C60" s="9" t="n">
        <v>44927</v>
      </c>
      <c r="D60" s="7" t="n">
        <v>2023</v>
      </c>
      <c r="E60" s="7" t="inlineStr">
        <is>
          <t>South</t>
        </is>
      </c>
      <c r="F60" s="7" t="inlineStr">
        <is>
          <t>Office Supplies</t>
        </is>
      </c>
      <c r="G60" s="7" t="inlineStr">
        <is>
          <t>Binder</t>
        </is>
      </c>
      <c r="H60" s="7" t="inlineStr">
        <is>
          <t>Home Office</t>
        </is>
      </c>
      <c r="I60" s="7" t="n">
        <v>6</v>
      </c>
      <c r="J60" s="10" t="n">
        <v>8.24</v>
      </c>
      <c r="K60" s="11" t="n">
        <v>0.1</v>
      </c>
      <c r="L60" s="10">
        <f>I60*J60*(1-K60)</f>
        <v/>
      </c>
      <c r="M60" s="10" t="n">
        <v>19.2</v>
      </c>
      <c r="N60" s="10">
        <f>L60-M60</f>
        <v/>
      </c>
    </row>
    <row r="61">
      <c r="A61" s="7" t="inlineStr">
        <is>
          <t>ORD-00535</t>
        </is>
      </c>
      <c r="B61" s="8" t="n">
        <v>44948</v>
      </c>
      <c r="C61" s="9" t="n">
        <v>44927</v>
      </c>
      <c r="D61" s="7" t="n">
        <v>2023</v>
      </c>
      <c r="E61" s="7" t="inlineStr">
        <is>
          <t>East</t>
        </is>
      </c>
      <c r="F61" s="7" t="inlineStr">
        <is>
          <t>Furniture</t>
        </is>
      </c>
      <c r="G61" s="7" t="inlineStr">
        <is>
          <t>Office Chair</t>
        </is>
      </c>
      <c r="H61" s="7" t="inlineStr">
        <is>
          <t>Consumer</t>
        </is>
      </c>
      <c r="I61" s="7" t="n">
        <v>3</v>
      </c>
      <c r="J61" s="10" t="n">
        <v>217.24</v>
      </c>
      <c r="K61" s="11" t="n">
        <v>0.2</v>
      </c>
      <c r="L61" s="10">
        <f>I61*J61*(1-K61)</f>
        <v/>
      </c>
      <c r="M61" s="10" t="n">
        <v>541.2</v>
      </c>
      <c r="N61" s="10">
        <f>L61-M61</f>
        <v/>
      </c>
    </row>
    <row r="62">
      <c r="A62" s="7" t="inlineStr">
        <is>
          <t>ORD-01911</t>
        </is>
      </c>
      <c r="B62" s="8" t="n">
        <v>44948</v>
      </c>
      <c r="C62" s="9" t="n">
        <v>44927</v>
      </c>
      <c r="D62" s="7" t="n">
        <v>2023</v>
      </c>
      <c r="E62" s="7" t="inlineStr">
        <is>
          <t>North</t>
        </is>
      </c>
      <c r="F62" s="7" t="inlineStr">
        <is>
          <t>Technology</t>
        </is>
      </c>
      <c r="G62" s="7" t="inlineStr">
        <is>
          <t>Laptop</t>
        </is>
      </c>
      <c r="H62" s="7" t="inlineStr">
        <is>
          <t>Corporate</t>
        </is>
      </c>
      <c r="I62" s="7" t="n">
        <v>3</v>
      </c>
      <c r="J62" s="10" t="n">
        <v>881.96</v>
      </c>
      <c r="K62" s="11" t="n">
        <v>0</v>
      </c>
      <c r="L62" s="10">
        <f>I62*J62*(1-K62)</f>
        <v/>
      </c>
      <c r="M62" s="10" t="n">
        <v>2106</v>
      </c>
      <c r="N62" s="10">
        <f>L62-M62</f>
        <v/>
      </c>
    </row>
    <row r="63">
      <c r="A63" s="7" t="inlineStr">
        <is>
          <t>ORD-02958</t>
        </is>
      </c>
      <c r="B63" s="8" t="n">
        <v>44950</v>
      </c>
      <c r="C63" s="9" t="n">
        <v>44927</v>
      </c>
      <c r="D63" s="7" t="n">
        <v>2023</v>
      </c>
      <c r="E63" s="7" t="inlineStr">
        <is>
          <t>South</t>
        </is>
      </c>
      <c r="F63" s="7" t="inlineStr">
        <is>
          <t>Office Supplies</t>
        </is>
      </c>
      <c r="G63" s="7" t="inlineStr">
        <is>
          <t>Paper</t>
        </is>
      </c>
      <c r="H63" s="7" t="inlineStr">
        <is>
          <t>Consumer</t>
        </is>
      </c>
      <c r="I63" s="7" t="n">
        <v>3</v>
      </c>
      <c r="J63" s="10" t="n">
        <v>25.78</v>
      </c>
      <c r="K63" s="11" t="n">
        <v>0.2</v>
      </c>
      <c r="L63" s="10">
        <f>I63*J63*(1-K63)</f>
        <v/>
      </c>
      <c r="M63" s="10" t="n">
        <v>37.5</v>
      </c>
      <c r="N63" s="10">
        <f>L63-M63</f>
        <v/>
      </c>
    </row>
    <row r="64">
      <c r="A64" s="7" t="inlineStr">
        <is>
          <t>ORD-02719</t>
        </is>
      </c>
      <c r="B64" s="8" t="n">
        <v>44950</v>
      </c>
      <c r="C64" s="9" t="n">
        <v>44927</v>
      </c>
      <c r="D64" s="7" t="n">
        <v>2023</v>
      </c>
      <c r="E64" s="7" t="inlineStr">
        <is>
          <t>East</t>
        </is>
      </c>
      <c r="F64" s="7" t="inlineStr">
        <is>
          <t>Office Supplies</t>
        </is>
      </c>
      <c r="G64" s="7" t="inlineStr">
        <is>
          <t>Stapler</t>
        </is>
      </c>
      <c r="H64" s="7" t="inlineStr">
        <is>
          <t>Consumer</t>
        </is>
      </c>
      <c r="I64" s="7" t="n">
        <v>6</v>
      </c>
      <c r="J64" s="10" t="n">
        <v>14.72</v>
      </c>
      <c r="K64" s="11" t="n">
        <v>0</v>
      </c>
      <c r="L64" s="10">
        <f>I64*J64*(1-K64)</f>
        <v/>
      </c>
      <c r="M64" s="10" t="n">
        <v>45</v>
      </c>
      <c r="N64" s="10">
        <f>L64-M64</f>
        <v/>
      </c>
    </row>
    <row r="65">
      <c r="A65" s="7" t="inlineStr">
        <is>
          <t>ORD-01952</t>
        </is>
      </c>
      <c r="B65" s="8" t="n">
        <v>44950</v>
      </c>
      <c r="C65" s="9" t="n">
        <v>44927</v>
      </c>
      <c r="D65" s="7" t="n">
        <v>2023</v>
      </c>
      <c r="E65" s="7" t="inlineStr">
        <is>
          <t>South</t>
        </is>
      </c>
      <c r="F65" s="7" t="inlineStr">
        <is>
          <t>Office Supplies</t>
        </is>
      </c>
      <c r="G65" s="7" t="inlineStr">
        <is>
          <t>Paper</t>
        </is>
      </c>
      <c r="H65" s="7" t="inlineStr">
        <is>
          <t>Corporate</t>
        </is>
      </c>
      <c r="I65" s="7" t="n">
        <v>14</v>
      </c>
      <c r="J65" s="10" t="n">
        <v>25.85</v>
      </c>
      <c r="K65" s="11" t="n">
        <v>0.05</v>
      </c>
      <c r="L65" s="10">
        <f>I65*J65*(1-K65)</f>
        <v/>
      </c>
      <c r="M65" s="10" t="n">
        <v>175</v>
      </c>
      <c r="N65" s="10">
        <f>L65-M65</f>
        <v/>
      </c>
    </row>
    <row r="66">
      <c r="A66" s="7" t="inlineStr">
        <is>
          <t>ORD-04305</t>
        </is>
      </c>
      <c r="B66" s="8" t="n">
        <v>44950</v>
      </c>
      <c r="C66" s="9" t="n">
        <v>44927</v>
      </c>
      <c r="D66" s="7" t="n">
        <v>2023</v>
      </c>
      <c r="E66" s="7" t="inlineStr">
        <is>
          <t>North</t>
        </is>
      </c>
      <c r="F66" s="7" t="inlineStr">
        <is>
          <t>Office Supplies</t>
        </is>
      </c>
      <c r="G66" s="7" t="inlineStr">
        <is>
          <t>Pens</t>
        </is>
      </c>
      <c r="H66" s="7" t="inlineStr">
        <is>
          <t>Home Office</t>
        </is>
      </c>
      <c r="I66" s="7" t="n">
        <v>7</v>
      </c>
      <c r="J66" s="10" t="n">
        <v>12.03</v>
      </c>
      <c r="K66" s="11" t="n">
        <v>0.3</v>
      </c>
      <c r="L66" s="10">
        <f>I66*J66*(1-K66)</f>
        <v/>
      </c>
      <c r="M66" s="10" t="n">
        <v>37.8</v>
      </c>
      <c r="N66" s="10">
        <f>L66-M66</f>
        <v/>
      </c>
    </row>
    <row r="67">
      <c r="A67" s="7" t="inlineStr">
        <is>
          <t>ORD-03321</t>
        </is>
      </c>
      <c r="B67" s="8" t="n">
        <v>44951</v>
      </c>
      <c r="C67" s="9" t="n">
        <v>44927</v>
      </c>
      <c r="D67" s="7" t="n">
        <v>2023</v>
      </c>
      <c r="E67" s="7" t="inlineStr">
        <is>
          <t>South</t>
        </is>
      </c>
      <c r="F67" s="7" t="inlineStr">
        <is>
          <t>Office Supplies</t>
        </is>
      </c>
      <c r="G67" s="7" t="inlineStr">
        <is>
          <t>Pens</t>
        </is>
      </c>
      <c r="H67" s="7" t="inlineStr">
        <is>
          <t>Corporate</t>
        </is>
      </c>
      <c r="I67" s="7" t="n">
        <v>14</v>
      </c>
      <c r="J67" s="10" t="n">
        <v>11.77</v>
      </c>
      <c r="K67" s="11" t="n">
        <v>0.1</v>
      </c>
      <c r="L67" s="10">
        <f>I67*J67*(1-K67)</f>
        <v/>
      </c>
      <c r="M67" s="10" t="n">
        <v>75.59999999999999</v>
      </c>
      <c r="N67" s="10">
        <f>L67-M67</f>
        <v/>
      </c>
    </row>
    <row r="68">
      <c r="A68" s="7" t="inlineStr">
        <is>
          <t>ORD-00841</t>
        </is>
      </c>
      <c r="B68" s="8" t="n">
        <v>44951</v>
      </c>
      <c r="C68" s="9" t="n">
        <v>44927</v>
      </c>
      <c r="D68" s="7" t="n">
        <v>2023</v>
      </c>
      <c r="E68" s="7" t="inlineStr">
        <is>
          <t>South</t>
        </is>
      </c>
      <c r="F68" s="7" t="inlineStr">
        <is>
          <t>Office Supplies</t>
        </is>
      </c>
      <c r="G68" s="7" t="inlineStr">
        <is>
          <t>Binder</t>
        </is>
      </c>
      <c r="H68" s="7" t="inlineStr">
        <is>
          <t>Corporate</t>
        </is>
      </c>
      <c r="I68" s="7" t="n">
        <v>14</v>
      </c>
      <c r="J68" s="10" t="n">
        <v>8.4</v>
      </c>
      <c r="K68" s="11" t="n">
        <v>0.2</v>
      </c>
      <c r="L68" s="10">
        <f>I68*J68*(1-K68)</f>
        <v/>
      </c>
      <c r="M68" s="10" t="n">
        <v>44.8</v>
      </c>
      <c r="N68" s="10">
        <f>L68-M68</f>
        <v/>
      </c>
    </row>
    <row r="69">
      <c r="A69" s="7" t="inlineStr">
        <is>
          <t>ORD-02539</t>
        </is>
      </c>
      <c r="B69" s="8" t="n">
        <v>44951</v>
      </c>
      <c r="C69" s="9" t="n">
        <v>44927</v>
      </c>
      <c r="D69" s="7" t="n">
        <v>2023</v>
      </c>
      <c r="E69" s="7" t="inlineStr">
        <is>
          <t>West</t>
        </is>
      </c>
      <c r="F69" s="7" t="inlineStr">
        <is>
          <t>Office Supplies</t>
        </is>
      </c>
      <c r="G69" s="7" t="inlineStr">
        <is>
          <t>Paper</t>
        </is>
      </c>
      <c r="H69" s="7" t="inlineStr">
        <is>
          <t>Home Office</t>
        </is>
      </c>
      <c r="I69" s="7" t="n">
        <v>10</v>
      </c>
      <c r="J69" s="10" t="n">
        <v>25.25</v>
      </c>
      <c r="K69" s="11" t="n">
        <v>0</v>
      </c>
      <c r="L69" s="10">
        <f>I69*J69*(1-K69)</f>
        <v/>
      </c>
      <c r="M69" s="10" t="n">
        <v>125</v>
      </c>
      <c r="N69" s="10">
        <f>L69-M69</f>
        <v/>
      </c>
    </row>
    <row r="70">
      <c r="A70" s="7" t="inlineStr">
        <is>
          <t>ORD-00395</t>
        </is>
      </c>
      <c r="B70" s="8" t="n">
        <v>44951</v>
      </c>
      <c r="C70" s="9" t="n">
        <v>44927</v>
      </c>
      <c r="D70" s="7" t="n">
        <v>2023</v>
      </c>
      <c r="E70" s="7" t="inlineStr">
        <is>
          <t>South</t>
        </is>
      </c>
      <c r="F70" s="7" t="inlineStr">
        <is>
          <t>Furniture</t>
        </is>
      </c>
      <c r="G70" s="7" t="inlineStr">
        <is>
          <t>Desk</t>
        </is>
      </c>
      <c r="H70" s="7" t="inlineStr">
        <is>
          <t>Consumer</t>
        </is>
      </c>
      <c r="I70" s="7" t="n">
        <v>2</v>
      </c>
      <c r="J70" s="10" t="n">
        <v>429.65</v>
      </c>
      <c r="K70" s="11" t="n">
        <v>0.1</v>
      </c>
      <c r="L70" s="10">
        <f>I70*J70*(1-K70)</f>
        <v/>
      </c>
      <c r="M70" s="10" t="n">
        <v>765</v>
      </c>
      <c r="N70" s="10">
        <f>L70-M70</f>
        <v/>
      </c>
    </row>
    <row r="71">
      <c r="A71" s="7" t="inlineStr">
        <is>
          <t>ORD-05305</t>
        </is>
      </c>
      <c r="B71" s="8" t="n">
        <v>44951</v>
      </c>
      <c r="C71" s="9" t="n">
        <v>44927</v>
      </c>
      <c r="D71" s="7" t="n">
        <v>2023</v>
      </c>
      <c r="E71" s="7" t="inlineStr">
        <is>
          <t>South</t>
        </is>
      </c>
      <c r="F71" s="7" t="inlineStr">
        <is>
          <t>Technology</t>
        </is>
      </c>
      <c r="G71" s="7" t="inlineStr">
        <is>
          <t>Headphones</t>
        </is>
      </c>
      <c r="H71" s="7" t="inlineStr">
        <is>
          <t>Home Office</t>
        </is>
      </c>
      <c r="I71" s="7" t="n">
        <v>2</v>
      </c>
      <c r="J71" s="10" t="n">
        <v>123.92</v>
      </c>
      <c r="K71" s="11" t="n">
        <v>0.05</v>
      </c>
      <c r="L71" s="10">
        <f>I71*J71*(1-K71)</f>
        <v/>
      </c>
      <c r="M71" s="10" t="n">
        <v>144</v>
      </c>
      <c r="N71" s="10">
        <f>L71-M71</f>
        <v/>
      </c>
    </row>
    <row r="72">
      <c r="A72" s="7" t="inlineStr">
        <is>
          <t>ORD-03218</t>
        </is>
      </c>
      <c r="B72" s="8" t="n">
        <v>44952</v>
      </c>
      <c r="C72" s="9" t="n">
        <v>44927</v>
      </c>
      <c r="D72" s="7" t="n">
        <v>2023</v>
      </c>
      <c r="E72" s="7" t="inlineStr">
        <is>
          <t>North</t>
        </is>
      </c>
      <c r="F72" s="7" t="inlineStr">
        <is>
          <t>Office Supplies</t>
        </is>
      </c>
      <c r="G72" s="7" t="inlineStr">
        <is>
          <t>Pens</t>
        </is>
      </c>
      <c r="H72" s="7" t="inlineStr">
        <is>
          <t>Corporate</t>
        </is>
      </c>
      <c r="I72" s="7" t="n">
        <v>15</v>
      </c>
      <c r="J72" s="10" t="n">
        <v>12.02</v>
      </c>
      <c r="K72" s="11" t="n">
        <v>0</v>
      </c>
      <c r="L72" s="10">
        <f>I72*J72*(1-K72)</f>
        <v/>
      </c>
      <c r="M72" s="10" t="n">
        <v>81</v>
      </c>
      <c r="N72" s="10">
        <f>L72-M72</f>
        <v/>
      </c>
    </row>
    <row r="73">
      <c r="A73" s="7" t="inlineStr">
        <is>
          <t>ORD-02115</t>
        </is>
      </c>
      <c r="B73" s="8" t="n">
        <v>44954</v>
      </c>
      <c r="C73" s="9" t="n">
        <v>44927</v>
      </c>
      <c r="D73" s="7" t="n">
        <v>2023</v>
      </c>
      <c r="E73" s="7" t="inlineStr">
        <is>
          <t>West</t>
        </is>
      </c>
      <c r="F73" s="7" t="inlineStr">
        <is>
          <t>Office Supplies</t>
        </is>
      </c>
      <c r="G73" s="7" t="inlineStr">
        <is>
          <t>Binder</t>
        </is>
      </c>
      <c r="H73" s="7" t="inlineStr">
        <is>
          <t>Consumer</t>
        </is>
      </c>
      <c r="I73" s="7" t="n">
        <v>6</v>
      </c>
      <c r="J73" s="10" t="n">
        <v>7.73</v>
      </c>
      <c r="K73" s="11" t="n">
        <v>0.2</v>
      </c>
      <c r="L73" s="10">
        <f>I73*J73*(1-K73)</f>
        <v/>
      </c>
      <c r="M73" s="10" t="n">
        <v>19.2</v>
      </c>
      <c r="N73" s="10">
        <f>L73-M73</f>
        <v/>
      </c>
    </row>
    <row r="74">
      <c r="A74" s="7" t="inlineStr">
        <is>
          <t>ORD-03996</t>
        </is>
      </c>
      <c r="B74" s="8" t="n">
        <v>44954</v>
      </c>
      <c r="C74" s="9" t="n">
        <v>44927</v>
      </c>
      <c r="D74" s="7" t="n">
        <v>2023</v>
      </c>
      <c r="E74" s="7" t="inlineStr">
        <is>
          <t>East</t>
        </is>
      </c>
      <c r="F74" s="7" t="inlineStr">
        <is>
          <t>Furniture</t>
        </is>
      </c>
      <c r="G74" s="7" t="inlineStr">
        <is>
          <t>Bookcase</t>
        </is>
      </c>
      <c r="H74" s="7" t="inlineStr">
        <is>
          <t>Corporate</t>
        </is>
      </c>
      <c r="I74" s="7" t="n">
        <v>1</v>
      </c>
      <c r="J74" s="10" t="n">
        <v>174.68</v>
      </c>
      <c r="K74" s="11" t="n">
        <v>0.1</v>
      </c>
      <c r="L74" s="10">
        <f>I74*J74*(1-K74)</f>
        <v/>
      </c>
      <c r="M74" s="10" t="n">
        <v>144</v>
      </c>
      <c r="N74" s="10">
        <f>L74-M74</f>
        <v/>
      </c>
    </row>
    <row r="75">
      <c r="A75" s="7" t="inlineStr">
        <is>
          <t>ORD-04222</t>
        </is>
      </c>
      <c r="B75" s="8" t="n">
        <v>44954</v>
      </c>
      <c r="C75" s="9" t="n">
        <v>44927</v>
      </c>
      <c r="D75" s="7" t="n">
        <v>2023</v>
      </c>
      <c r="E75" s="7" t="inlineStr">
        <is>
          <t>South</t>
        </is>
      </c>
      <c r="F75" s="7" t="inlineStr">
        <is>
          <t>Office Supplies</t>
        </is>
      </c>
      <c r="G75" s="7" t="inlineStr">
        <is>
          <t>Binder</t>
        </is>
      </c>
      <c r="H75" s="7" t="inlineStr">
        <is>
          <t>Corporate</t>
        </is>
      </c>
      <c r="I75" s="7" t="n">
        <v>5</v>
      </c>
      <c r="J75" s="10" t="n">
        <v>7.9</v>
      </c>
      <c r="K75" s="11" t="n">
        <v>0.3</v>
      </c>
      <c r="L75" s="10">
        <f>I75*J75*(1-K75)</f>
        <v/>
      </c>
      <c r="M75" s="10" t="n">
        <v>16</v>
      </c>
      <c r="N75" s="10">
        <f>L75-M75</f>
        <v/>
      </c>
    </row>
    <row r="76">
      <c r="A76" s="7" t="inlineStr">
        <is>
          <t>ORD-04418</t>
        </is>
      </c>
      <c r="B76" s="8" t="n">
        <v>44954</v>
      </c>
      <c r="C76" s="9" t="n">
        <v>44927</v>
      </c>
      <c r="D76" s="7" t="n">
        <v>2023</v>
      </c>
      <c r="E76" s="7" t="inlineStr">
        <is>
          <t>West</t>
        </is>
      </c>
      <c r="F76" s="7" t="inlineStr">
        <is>
          <t>Technology</t>
        </is>
      </c>
      <c r="G76" s="7" t="inlineStr">
        <is>
          <t>Headphones</t>
        </is>
      </c>
      <c r="H76" s="7" t="inlineStr">
        <is>
          <t>Corporate</t>
        </is>
      </c>
      <c r="I76" s="7" t="n">
        <v>2</v>
      </c>
      <c r="J76" s="10" t="n">
        <v>121.44</v>
      </c>
      <c r="K76" s="11" t="n">
        <v>0</v>
      </c>
      <c r="L76" s="10">
        <f>I76*J76*(1-K76)</f>
        <v/>
      </c>
      <c r="M76" s="10" t="n">
        <v>144</v>
      </c>
      <c r="N76" s="10">
        <f>L76-M76</f>
        <v/>
      </c>
    </row>
    <row r="77">
      <c r="A77" s="7" t="inlineStr">
        <is>
          <t>ORD-02023</t>
        </is>
      </c>
      <c r="B77" s="8" t="n">
        <v>44954</v>
      </c>
      <c r="C77" s="9" t="n">
        <v>44927</v>
      </c>
      <c r="D77" s="7" t="n">
        <v>2023</v>
      </c>
      <c r="E77" s="7" t="inlineStr">
        <is>
          <t>North</t>
        </is>
      </c>
      <c r="F77" s="7" t="inlineStr">
        <is>
          <t>Technology</t>
        </is>
      </c>
      <c r="G77" s="7" t="inlineStr">
        <is>
          <t>Keyboard</t>
        </is>
      </c>
      <c r="H77" s="7" t="inlineStr">
        <is>
          <t>Corporate</t>
        </is>
      </c>
      <c r="I77" s="7" t="n">
        <v>1</v>
      </c>
      <c r="J77" s="10" t="n">
        <v>45.11</v>
      </c>
      <c r="K77" s="11" t="n">
        <v>0.1</v>
      </c>
      <c r="L77" s="10">
        <f>I77*J77*(1-K77)</f>
        <v/>
      </c>
      <c r="M77" s="10" t="n">
        <v>24.75</v>
      </c>
      <c r="N77" s="10">
        <f>L77-M77</f>
        <v/>
      </c>
    </row>
    <row r="78">
      <c r="A78" s="7" t="inlineStr">
        <is>
          <t>ORD-00205</t>
        </is>
      </c>
      <c r="B78" s="8" t="n">
        <v>44954</v>
      </c>
      <c r="C78" s="9" t="n">
        <v>44927</v>
      </c>
      <c r="D78" s="7" t="n">
        <v>2023</v>
      </c>
      <c r="E78" s="7" t="inlineStr">
        <is>
          <t>West</t>
        </is>
      </c>
      <c r="F78" s="7" t="inlineStr">
        <is>
          <t>Technology</t>
        </is>
      </c>
      <c r="G78" s="7" t="inlineStr">
        <is>
          <t>Laptop</t>
        </is>
      </c>
      <c r="H78" s="7" t="inlineStr">
        <is>
          <t>Corporate</t>
        </is>
      </c>
      <c r="I78" s="7" t="n">
        <v>1</v>
      </c>
      <c r="J78" s="10" t="n">
        <v>864.87</v>
      </c>
      <c r="K78" s="11" t="n">
        <v>0.2</v>
      </c>
      <c r="L78" s="10">
        <f>I78*J78*(1-K78)</f>
        <v/>
      </c>
      <c r="M78" s="10" t="n">
        <v>702</v>
      </c>
      <c r="N78" s="10">
        <f>L78-M78</f>
        <v/>
      </c>
    </row>
    <row r="79">
      <c r="A79" s="7" t="inlineStr">
        <is>
          <t>ORD-00519</t>
        </is>
      </c>
      <c r="B79" s="8" t="n">
        <v>44955</v>
      </c>
      <c r="C79" s="9" t="n">
        <v>44927</v>
      </c>
      <c r="D79" s="7" t="n">
        <v>2023</v>
      </c>
      <c r="E79" s="7" t="inlineStr">
        <is>
          <t>West</t>
        </is>
      </c>
      <c r="F79" s="7" t="inlineStr">
        <is>
          <t>Office Supplies</t>
        </is>
      </c>
      <c r="G79" s="7" t="inlineStr">
        <is>
          <t>Binder</t>
        </is>
      </c>
      <c r="H79" s="7" t="inlineStr">
        <is>
          <t>Consumer</t>
        </is>
      </c>
      <c r="I79" s="7" t="n">
        <v>15</v>
      </c>
      <c r="J79" s="10" t="n">
        <v>8.06</v>
      </c>
      <c r="K79" s="11" t="n">
        <v>0.3</v>
      </c>
      <c r="L79" s="10">
        <f>I79*J79*(1-K79)</f>
        <v/>
      </c>
      <c r="M79" s="10" t="n">
        <v>48</v>
      </c>
      <c r="N79" s="10">
        <f>L79-M79</f>
        <v/>
      </c>
    </row>
    <row r="80">
      <c r="A80" s="7" t="inlineStr">
        <is>
          <t>ORD-05686</t>
        </is>
      </c>
      <c r="B80" s="8" t="n">
        <v>44956</v>
      </c>
      <c r="C80" s="9" t="n">
        <v>44927</v>
      </c>
      <c r="D80" s="7" t="n">
        <v>2023</v>
      </c>
      <c r="E80" s="7" t="inlineStr">
        <is>
          <t>North</t>
        </is>
      </c>
      <c r="F80" s="7" t="inlineStr">
        <is>
          <t>Technology</t>
        </is>
      </c>
      <c r="G80" s="7" t="inlineStr">
        <is>
          <t>Keyboard</t>
        </is>
      </c>
      <c r="H80" s="7" t="inlineStr">
        <is>
          <t>Consumer</t>
        </is>
      </c>
      <c r="I80" s="7" t="n">
        <v>3</v>
      </c>
      <c r="J80" s="10" t="n">
        <v>44.15</v>
      </c>
      <c r="K80" s="11" t="n">
        <v>0.05</v>
      </c>
      <c r="L80" s="10">
        <f>I80*J80*(1-K80)</f>
        <v/>
      </c>
      <c r="M80" s="10" t="n">
        <v>74.25</v>
      </c>
      <c r="N80" s="10">
        <f>L80-M80</f>
        <v/>
      </c>
    </row>
    <row r="81">
      <c r="A81" s="7" t="inlineStr">
        <is>
          <t>ORD-03801</t>
        </is>
      </c>
      <c r="B81" s="8" t="n">
        <v>44957</v>
      </c>
      <c r="C81" s="9" t="n">
        <v>44927</v>
      </c>
      <c r="D81" s="7" t="n">
        <v>2023</v>
      </c>
      <c r="E81" s="7" t="inlineStr">
        <is>
          <t>West</t>
        </is>
      </c>
      <c r="F81" s="7" t="inlineStr">
        <is>
          <t>Office Supplies</t>
        </is>
      </c>
      <c r="G81" s="7" t="inlineStr">
        <is>
          <t>Paper</t>
        </is>
      </c>
      <c r="H81" s="7" t="inlineStr">
        <is>
          <t>Corporate</t>
        </is>
      </c>
      <c r="I81" s="7" t="n">
        <v>12</v>
      </c>
      <c r="J81" s="10" t="n">
        <v>26.03</v>
      </c>
      <c r="K81" s="11" t="n">
        <v>0.1</v>
      </c>
      <c r="L81" s="10">
        <f>I81*J81*(1-K81)</f>
        <v/>
      </c>
      <c r="M81" s="10" t="n">
        <v>150</v>
      </c>
      <c r="N81" s="10">
        <f>L81-M81</f>
        <v/>
      </c>
    </row>
    <row r="82">
      <c r="A82" s="7" t="inlineStr">
        <is>
          <t>ORD-02571</t>
        </is>
      </c>
      <c r="B82" s="8" t="n">
        <v>44957</v>
      </c>
      <c r="C82" s="9" t="n">
        <v>44927</v>
      </c>
      <c r="D82" s="7" t="n">
        <v>2023</v>
      </c>
      <c r="E82" s="7" t="inlineStr">
        <is>
          <t>South</t>
        </is>
      </c>
      <c r="F82" s="7" t="inlineStr">
        <is>
          <t>Office Supplies</t>
        </is>
      </c>
      <c r="G82" s="7" t="inlineStr">
        <is>
          <t>Paper</t>
        </is>
      </c>
      <c r="H82" s="7" t="inlineStr">
        <is>
          <t>Home Office</t>
        </is>
      </c>
      <c r="I82" s="7" t="n">
        <v>10</v>
      </c>
      <c r="J82" s="10" t="n">
        <v>25.94</v>
      </c>
      <c r="K82" s="11" t="n">
        <v>0.05</v>
      </c>
      <c r="L82" s="10">
        <f>I82*J82*(1-K82)</f>
        <v/>
      </c>
      <c r="M82" s="10" t="n">
        <v>125</v>
      </c>
      <c r="N82" s="10">
        <f>L82-M82</f>
        <v/>
      </c>
    </row>
    <row r="83">
      <c r="A83" s="7" t="inlineStr">
        <is>
          <t>ORD-05662</t>
        </is>
      </c>
      <c r="B83" s="8" t="n">
        <v>44957</v>
      </c>
      <c r="C83" s="9" t="n">
        <v>44927</v>
      </c>
      <c r="D83" s="7" t="n">
        <v>2023</v>
      </c>
      <c r="E83" s="7" t="inlineStr">
        <is>
          <t>East</t>
        </is>
      </c>
      <c r="F83" s="7" t="inlineStr">
        <is>
          <t>Office Supplies</t>
        </is>
      </c>
      <c r="G83" s="7" t="inlineStr">
        <is>
          <t>Pens</t>
        </is>
      </c>
      <c r="H83" s="7" t="inlineStr">
        <is>
          <t>Consumer</t>
        </is>
      </c>
      <c r="I83" s="7" t="n">
        <v>10</v>
      </c>
      <c r="J83" s="10" t="n">
        <v>12.06</v>
      </c>
      <c r="K83" s="11" t="n">
        <v>0</v>
      </c>
      <c r="L83" s="10">
        <f>I83*J83*(1-K83)</f>
        <v/>
      </c>
      <c r="M83" s="10" t="n">
        <v>54</v>
      </c>
      <c r="N83" s="10">
        <f>L83-M83</f>
        <v/>
      </c>
    </row>
    <row r="84">
      <c r="A84" s="7" t="inlineStr">
        <is>
          <t>ORD-02052</t>
        </is>
      </c>
      <c r="B84" s="8" t="n">
        <v>44958</v>
      </c>
      <c r="C84" s="9" t="n">
        <v>44958</v>
      </c>
      <c r="D84" s="7" t="n">
        <v>2023</v>
      </c>
      <c r="E84" s="7" t="inlineStr">
        <is>
          <t>South</t>
        </is>
      </c>
      <c r="F84" s="7" t="inlineStr">
        <is>
          <t>Office Supplies</t>
        </is>
      </c>
      <c r="G84" s="7" t="inlineStr">
        <is>
          <t>Binder</t>
        </is>
      </c>
      <c r="H84" s="7" t="inlineStr">
        <is>
          <t>Home Office</t>
        </is>
      </c>
      <c r="I84" s="7" t="n">
        <v>9</v>
      </c>
      <c r="J84" s="10" t="n">
        <v>7.66</v>
      </c>
      <c r="K84" s="11" t="n">
        <v>0</v>
      </c>
      <c r="L84" s="10">
        <f>I84*J84*(1-K84)</f>
        <v/>
      </c>
      <c r="M84" s="10" t="n">
        <v>28.8</v>
      </c>
      <c r="N84" s="10">
        <f>L84-M84</f>
        <v/>
      </c>
    </row>
    <row r="85">
      <c r="A85" s="7" t="inlineStr">
        <is>
          <t>ORD-04816</t>
        </is>
      </c>
      <c r="B85" s="8" t="n">
        <v>44958</v>
      </c>
      <c r="C85" s="9" t="n">
        <v>44958</v>
      </c>
      <c r="D85" s="7" t="n">
        <v>2023</v>
      </c>
      <c r="E85" s="7" t="inlineStr">
        <is>
          <t>West</t>
        </is>
      </c>
      <c r="F85" s="7" t="inlineStr">
        <is>
          <t>Office Supplies</t>
        </is>
      </c>
      <c r="G85" s="7" t="inlineStr">
        <is>
          <t>Paper</t>
        </is>
      </c>
      <c r="H85" s="7" t="inlineStr">
        <is>
          <t>Corporate</t>
        </is>
      </c>
      <c r="I85" s="7" t="n">
        <v>10</v>
      </c>
      <c r="J85" s="10" t="n">
        <v>24.75</v>
      </c>
      <c r="K85" s="11" t="n">
        <v>0</v>
      </c>
      <c r="L85" s="10">
        <f>I85*J85*(1-K85)</f>
        <v/>
      </c>
      <c r="M85" s="10" t="n">
        <v>125</v>
      </c>
      <c r="N85" s="10">
        <f>L85-M85</f>
        <v/>
      </c>
    </row>
    <row r="86">
      <c r="A86" s="7" t="inlineStr">
        <is>
          <t>ORD-03071</t>
        </is>
      </c>
      <c r="B86" s="8" t="n">
        <v>44958</v>
      </c>
      <c r="C86" s="9" t="n">
        <v>44958</v>
      </c>
      <c r="D86" s="7" t="n">
        <v>2023</v>
      </c>
      <c r="E86" s="7" t="inlineStr">
        <is>
          <t>West</t>
        </is>
      </c>
      <c r="F86" s="7" t="inlineStr">
        <is>
          <t>Office Supplies</t>
        </is>
      </c>
      <c r="G86" s="7" t="inlineStr">
        <is>
          <t>Printer Ink</t>
        </is>
      </c>
      <c r="H86" s="7" t="inlineStr">
        <is>
          <t>Consumer</t>
        </is>
      </c>
      <c r="I86" s="7" t="n">
        <v>3</v>
      </c>
      <c r="J86" s="10" t="n">
        <v>59.4</v>
      </c>
      <c r="K86" s="11" t="n">
        <v>0</v>
      </c>
      <c r="L86" s="10">
        <f>I86*J86*(1-K86)</f>
        <v/>
      </c>
      <c r="M86" s="10" t="n">
        <v>108</v>
      </c>
      <c r="N86" s="10">
        <f>L86-M86</f>
        <v/>
      </c>
    </row>
    <row r="87">
      <c r="A87" s="7" t="inlineStr">
        <is>
          <t>ORD-02534</t>
        </is>
      </c>
      <c r="B87" s="8" t="n">
        <v>44959</v>
      </c>
      <c r="C87" s="9" t="n">
        <v>44958</v>
      </c>
      <c r="D87" s="7" t="n">
        <v>2023</v>
      </c>
      <c r="E87" s="7" t="inlineStr">
        <is>
          <t>North</t>
        </is>
      </c>
      <c r="F87" s="7" t="inlineStr">
        <is>
          <t>Furniture</t>
        </is>
      </c>
      <c r="G87" s="7" t="inlineStr">
        <is>
          <t>Office Chair</t>
        </is>
      </c>
      <c r="H87" s="7" t="inlineStr">
        <is>
          <t>Consumer</t>
        </is>
      </c>
      <c r="I87" s="7" t="n">
        <v>4</v>
      </c>
      <c r="J87" s="10" t="n">
        <v>220.89</v>
      </c>
      <c r="K87" s="11" t="n">
        <v>0</v>
      </c>
      <c r="L87" s="10">
        <f>I87*J87*(1-K87)</f>
        <v/>
      </c>
      <c r="M87" s="10" t="n">
        <v>721.6</v>
      </c>
      <c r="N87" s="10">
        <f>L87-M87</f>
        <v/>
      </c>
    </row>
    <row r="88">
      <c r="A88" s="7" t="inlineStr">
        <is>
          <t>ORD-04792</t>
        </is>
      </c>
      <c r="B88" s="8" t="n">
        <v>44959</v>
      </c>
      <c r="C88" s="9" t="n">
        <v>44958</v>
      </c>
      <c r="D88" s="7" t="n">
        <v>2023</v>
      </c>
      <c r="E88" s="7" t="inlineStr">
        <is>
          <t>South</t>
        </is>
      </c>
      <c r="F88" s="7" t="inlineStr">
        <is>
          <t>Office Supplies</t>
        </is>
      </c>
      <c r="G88" s="7" t="inlineStr">
        <is>
          <t>Printer Ink</t>
        </is>
      </c>
      <c r="H88" s="7" t="inlineStr">
        <is>
          <t>Corporate</t>
        </is>
      </c>
      <c r="I88" s="7" t="n">
        <v>9</v>
      </c>
      <c r="J88" s="10" t="n">
        <v>57.49</v>
      </c>
      <c r="K88" s="11" t="n">
        <v>0.05</v>
      </c>
      <c r="L88" s="10">
        <f>I88*J88*(1-K88)</f>
        <v/>
      </c>
      <c r="M88" s="10" t="n">
        <v>324</v>
      </c>
      <c r="N88" s="10">
        <f>L88-M88</f>
        <v/>
      </c>
    </row>
    <row r="89">
      <c r="A89" s="7" t="inlineStr">
        <is>
          <t>ORD-03532</t>
        </is>
      </c>
      <c r="B89" s="8" t="n">
        <v>44959</v>
      </c>
      <c r="C89" s="9" t="n">
        <v>44958</v>
      </c>
      <c r="D89" s="7" t="n">
        <v>2023</v>
      </c>
      <c r="E89" s="7" t="inlineStr">
        <is>
          <t>South</t>
        </is>
      </c>
      <c r="F89" s="7" t="inlineStr">
        <is>
          <t>Technology</t>
        </is>
      </c>
      <c r="G89" s="7" t="inlineStr">
        <is>
          <t>Keyboard</t>
        </is>
      </c>
      <c r="H89" s="7" t="inlineStr">
        <is>
          <t>Home Office</t>
        </is>
      </c>
      <c r="I89" s="7" t="n">
        <v>1</v>
      </c>
      <c r="J89" s="10" t="n">
        <v>45.54</v>
      </c>
      <c r="K89" s="11" t="n">
        <v>0.3</v>
      </c>
      <c r="L89" s="10">
        <f>I89*J89*(1-K89)</f>
        <v/>
      </c>
      <c r="M89" s="10" t="n">
        <v>24.75</v>
      </c>
      <c r="N89" s="10">
        <f>L89-M89</f>
        <v/>
      </c>
    </row>
    <row r="90">
      <c r="A90" s="7" t="inlineStr">
        <is>
          <t>ORD-00812</t>
        </is>
      </c>
      <c r="B90" s="8" t="n">
        <v>44959</v>
      </c>
      <c r="C90" s="9" t="n">
        <v>44958</v>
      </c>
      <c r="D90" s="7" t="n">
        <v>2023</v>
      </c>
      <c r="E90" s="7" t="inlineStr">
        <is>
          <t>West</t>
        </is>
      </c>
      <c r="F90" s="7" t="inlineStr">
        <is>
          <t>Office Supplies</t>
        </is>
      </c>
      <c r="G90" s="7" t="inlineStr">
        <is>
          <t>Pens</t>
        </is>
      </c>
      <c r="H90" s="7" t="inlineStr">
        <is>
          <t>Corporate</t>
        </is>
      </c>
      <c r="I90" s="7" t="n">
        <v>2</v>
      </c>
      <c r="J90" s="10" t="n">
        <v>12.25</v>
      </c>
      <c r="K90" s="11" t="n">
        <v>0</v>
      </c>
      <c r="L90" s="10">
        <f>I90*J90*(1-K90)</f>
        <v/>
      </c>
      <c r="M90" s="10" t="n">
        <v>10.8</v>
      </c>
      <c r="N90" s="10">
        <f>L90-M90</f>
        <v/>
      </c>
    </row>
    <row r="91">
      <c r="A91" s="7" t="inlineStr">
        <is>
          <t>ORD-00683</t>
        </is>
      </c>
      <c r="B91" s="8" t="n">
        <v>44961</v>
      </c>
      <c r="C91" s="9" t="n">
        <v>44958</v>
      </c>
      <c r="D91" s="7" t="n">
        <v>2023</v>
      </c>
      <c r="E91" s="7" t="inlineStr">
        <is>
          <t>East</t>
        </is>
      </c>
      <c r="F91" s="7" t="inlineStr">
        <is>
          <t>Technology</t>
        </is>
      </c>
      <c r="G91" s="7" t="inlineStr">
        <is>
          <t>Laptop</t>
        </is>
      </c>
      <c r="H91" s="7" t="inlineStr">
        <is>
          <t>Consumer</t>
        </is>
      </c>
      <c r="I91" s="7" t="n">
        <v>3</v>
      </c>
      <c r="J91" s="10" t="n">
        <v>905.03</v>
      </c>
      <c r="K91" s="11" t="n">
        <v>0.2</v>
      </c>
      <c r="L91" s="10">
        <f>I91*J91*(1-K91)</f>
        <v/>
      </c>
      <c r="M91" s="10" t="n">
        <v>2106</v>
      </c>
      <c r="N91" s="10">
        <f>L91-M91</f>
        <v/>
      </c>
    </row>
    <row r="92">
      <c r="A92" s="7" t="inlineStr">
        <is>
          <t>ORD-01949</t>
        </is>
      </c>
      <c r="B92" s="8" t="n">
        <v>44961</v>
      </c>
      <c r="C92" s="9" t="n">
        <v>44958</v>
      </c>
      <c r="D92" s="7" t="n">
        <v>2023</v>
      </c>
      <c r="E92" s="7" t="inlineStr">
        <is>
          <t>West</t>
        </is>
      </c>
      <c r="F92" s="7" t="inlineStr">
        <is>
          <t>Furniture</t>
        </is>
      </c>
      <c r="G92" s="7" t="inlineStr">
        <is>
          <t>Desk</t>
        </is>
      </c>
      <c r="H92" s="7" t="inlineStr">
        <is>
          <t>Home Office</t>
        </is>
      </c>
      <c r="I92" s="7" t="n">
        <v>4</v>
      </c>
      <c r="J92" s="10" t="n">
        <v>431.91</v>
      </c>
      <c r="K92" s="11" t="n">
        <v>0.3</v>
      </c>
      <c r="L92" s="10">
        <f>I92*J92*(1-K92)</f>
        <v/>
      </c>
      <c r="M92" s="10" t="n">
        <v>1530</v>
      </c>
      <c r="N92" s="10">
        <f>L92-M92</f>
        <v/>
      </c>
    </row>
    <row r="93">
      <c r="A93" s="7" t="inlineStr">
        <is>
          <t>ORD-00239</t>
        </is>
      </c>
      <c r="B93" s="8" t="n">
        <v>44961</v>
      </c>
      <c r="C93" s="9" t="n">
        <v>44958</v>
      </c>
      <c r="D93" s="7" t="n">
        <v>2023</v>
      </c>
      <c r="E93" s="7" t="inlineStr">
        <is>
          <t>North</t>
        </is>
      </c>
      <c r="F93" s="7" t="inlineStr">
        <is>
          <t>Furniture</t>
        </is>
      </c>
      <c r="G93" s="7" t="inlineStr">
        <is>
          <t>Desk</t>
        </is>
      </c>
      <c r="H93" s="7" t="inlineStr">
        <is>
          <t>Home Office</t>
        </is>
      </c>
      <c r="I93" s="7" t="n">
        <v>1</v>
      </c>
      <c r="J93" s="10" t="n">
        <v>471.09</v>
      </c>
      <c r="K93" s="11" t="n">
        <v>0.1</v>
      </c>
      <c r="L93" s="10">
        <f>I93*J93*(1-K93)</f>
        <v/>
      </c>
      <c r="M93" s="10" t="n">
        <v>382.5</v>
      </c>
      <c r="N93" s="10">
        <f>L93-M93</f>
        <v/>
      </c>
    </row>
    <row r="94">
      <c r="A94" s="7" t="inlineStr">
        <is>
          <t>ORD-01929</t>
        </is>
      </c>
      <c r="B94" s="8" t="n">
        <v>44962</v>
      </c>
      <c r="C94" s="9" t="n">
        <v>44958</v>
      </c>
      <c r="D94" s="7" t="n">
        <v>2023</v>
      </c>
      <c r="E94" s="7" t="inlineStr">
        <is>
          <t>West</t>
        </is>
      </c>
      <c r="F94" s="7" t="inlineStr">
        <is>
          <t>Office Supplies</t>
        </is>
      </c>
      <c r="G94" s="7" t="inlineStr">
        <is>
          <t>Binder</t>
        </is>
      </c>
      <c r="H94" s="7" t="inlineStr">
        <is>
          <t>Corporate</t>
        </is>
      </c>
      <c r="I94" s="7" t="n">
        <v>11</v>
      </c>
      <c r="J94" s="10" t="n">
        <v>7.91</v>
      </c>
      <c r="K94" s="11" t="n">
        <v>0.05</v>
      </c>
      <c r="L94" s="10">
        <f>I94*J94*(1-K94)</f>
        <v/>
      </c>
      <c r="M94" s="10" t="n">
        <v>35.2</v>
      </c>
      <c r="N94" s="10">
        <f>L94-M94</f>
        <v/>
      </c>
    </row>
    <row r="95">
      <c r="A95" s="7" t="inlineStr">
        <is>
          <t>ORD-04337</t>
        </is>
      </c>
      <c r="B95" s="8" t="n">
        <v>44962</v>
      </c>
      <c r="C95" s="9" t="n">
        <v>44958</v>
      </c>
      <c r="D95" s="7" t="n">
        <v>2023</v>
      </c>
      <c r="E95" s="7" t="inlineStr">
        <is>
          <t>South</t>
        </is>
      </c>
      <c r="F95" s="7" t="inlineStr">
        <is>
          <t>Furniture</t>
        </is>
      </c>
      <c r="G95" s="7" t="inlineStr">
        <is>
          <t>Desk</t>
        </is>
      </c>
      <c r="H95" s="7" t="inlineStr">
        <is>
          <t>Consumer</t>
        </is>
      </c>
      <c r="I95" s="7" t="n">
        <v>1</v>
      </c>
      <c r="J95" s="10" t="n">
        <v>445.26</v>
      </c>
      <c r="K95" s="11" t="n">
        <v>0.05</v>
      </c>
      <c r="L95" s="10">
        <f>I95*J95*(1-K95)</f>
        <v/>
      </c>
      <c r="M95" s="10" t="n">
        <v>382.5</v>
      </c>
      <c r="N95" s="10">
        <f>L95-M95</f>
        <v/>
      </c>
    </row>
    <row r="96">
      <c r="A96" s="7" t="inlineStr">
        <is>
          <t>ORD-00826</t>
        </is>
      </c>
      <c r="B96" s="8" t="n">
        <v>44962</v>
      </c>
      <c r="C96" s="9" t="n">
        <v>44958</v>
      </c>
      <c r="D96" s="7" t="n">
        <v>2023</v>
      </c>
      <c r="E96" s="7" t="inlineStr">
        <is>
          <t>East</t>
        </is>
      </c>
      <c r="F96" s="7" t="inlineStr">
        <is>
          <t>Office Supplies</t>
        </is>
      </c>
      <c r="G96" s="7" t="inlineStr">
        <is>
          <t>Paper</t>
        </is>
      </c>
      <c r="H96" s="7" t="inlineStr">
        <is>
          <t>Home Office</t>
        </is>
      </c>
      <c r="I96" s="7" t="n">
        <v>12</v>
      </c>
      <c r="J96" s="10" t="n">
        <v>24.89</v>
      </c>
      <c r="K96" s="11" t="n">
        <v>0</v>
      </c>
      <c r="L96" s="10">
        <f>I96*J96*(1-K96)</f>
        <v/>
      </c>
      <c r="M96" s="10" t="n">
        <v>150</v>
      </c>
      <c r="N96" s="10">
        <f>L96-M96</f>
        <v/>
      </c>
    </row>
    <row r="97">
      <c r="A97" s="7" t="inlineStr">
        <is>
          <t>ORD-04501</t>
        </is>
      </c>
      <c r="B97" s="8" t="n">
        <v>44963</v>
      </c>
      <c r="C97" s="9" t="n">
        <v>44958</v>
      </c>
      <c r="D97" s="7" t="n">
        <v>2023</v>
      </c>
      <c r="E97" s="7" t="inlineStr">
        <is>
          <t>East</t>
        </is>
      </c>
      <c r="F97" s="7" t="inlineStr">
        <is>
          <t>Office Supplies</t>
        </is>
      </c>
      <c r="G97" s="7" t="inlineStr">
        <is>
          <t>Paper</t>
        </is>
      </c>
      <c r="H97" s="7" t="inlineStr">
        <is>
          <t>Home Office</t>
        </is>
      </c>
      <c r="I97" s="7" t="n">
        <v>9</v>
      </c>
      <c r="J97" s="10" t="n">
        <v>24.42</v>
      </c>
      <c r="K97" s="11" t="n">
        <v>0.05</v>
      </c>
      <c r="L97" s="10">
        <f>I97*J97*(1-K97)</f>
        <v/>
      </c>
      <c r="M97" s="10" t="n">
        <v>112.5</v>
      </c>
      <c r="N97" s="10">
        <f>L97-M97</f>
        <v/>
      </c>
    </row>
    <row r="98">
      <c r="A98" s="7" t="inlineStr">
        <is>
          <t>ORD-05572</t>
        </is>
      </c>
      <c r="B98" s="8" t="n">
        <v>44963</v>
      </c>
      <c r="C98" s="9" t="n">
        <v>44958</v>
      </c>
      <c r="D98" s="7" t="n">
        <v>2023</v>
      </c>
      <c r="E98" s="7" t="inlineStr">
        <is>
          <t>North</t>
        </is>
      </c>
      <c r="F98" s="7" t="inlineStr">
        <is>
          <t>Office Supplies</t>
        </is>
      </c>
      <c r="G98" s="7" t="inlineStr">
        <is>
          <t>Pens</t>
        </is>
      </c>
      <c r="H98" s="7" t="inlineStr">
        <is>
          <t>Consumer</t>
        </is>
      </c>
      <c r="I98" s="7" t="n">
        <v>11</v>
      </c>
      <c r="J98" s="10" t="n">
        <v>12.27</v>
      </c>
      <c r="K98" s="11" t="n">
        <v>0</v>
      </c>
      <c r="L98" s="10">
        <f>I98*J98*(1-K98)</f>
        <v/>
      </c>
      <c r="M98" s="10" t="n">
        <v>59.4</v>
      </c>
      <c r="N98" s="10">
        <f>L98-M98</f>
        <v/>
      </c>
    </row>
    <row r="99">
      <c r="A99" s="7" t="inlineStr">
        <is>
          <t>ORD-00797</t>
        </is>
      </c>
      <c r="B99" s="8" t="n">
        <v>44963</v>
      </c>
      <c r="C99" s="9" t="n">
        <v>44958</v>
      </c>
      <c r="D99" s="7" t="n">
        <v>2023</v>
      </c>
      <c r="E99" s="7" t="inlineStr">
        <is>
          <t>South</t>
        </is>
      </c>
      <c r="F99" s="7" t="inlineStr">
        <is>
          <t>Technology</t>
        </is>
      </c>
      <c r="G99" s="7" t="inlineStr">
        <is>
          <t>Headphones</t>
        </is>
      </c>
      <c r="H99" s="7" t="inlineStr">
        <is>
          <t>Home Office</t>
        </is>
      </c>
      <c r="I99" s="7" t="n">
        <v>2</v>
      </c>
      <c r="J99" s="10" t="n">
        <v>121.18</v>
      </c>
      <c r="K99" s="11" t="n">
        <v>0.2</v>
      </c>
      <c r="L99" s="10">
        <f>I99*J99*(1-K99)</f>
        <v/>
      </c>
      <c r="M99" s="10" t="n">
        <v>144</v>
      </c>
      <c r="N99" s="10">
        <f>L99-M99</f>
        <v/>
      </c>
    </row>
    <row r="100">
      <c r="A100" s="7" t="inlineStr">
        <is>
          <t>ORD-04167</t>
        </is>
      </c>
      <c r="B100" s="8" t="n">
        <v>44964</v>
      </c>
      <c r="C100" s="9" t="n">
        <v>44958</v>
      </c>
      <c r="D100" s="7" t="n">
        <v>2023</v>
      </c>
      <c r="E100" s="7" t="inlineStr">
        <is>
          <t>North</t>
        </is>
      </c>
      <c r="F100" s="7" t="inlineStr">
        <is>
          <t>Office Supplies</t>
        </is>
      </c>
      <c r="G100" s="7" t="inlineStr">
        <is>
          <t>Binder</t>
        </is>
      </c>
      <c r="H100" s="7" t="inlineStr">
        <is>
          <t>Corporate</t>
        </is>
      </c>
      <c r="I100" s="7" t="n">
        <v>15</v>
      </c>
      <c r="J100" s="10" t="n">
        <v>8.07</v>
      </c>
      <c r="K100" s="11" t="n">
        <v>0</v>
      </c>
      <c r="L100" s="10">
        <f>I100*J100*(1-K100)</f>
        <v/>
      </c>
      <c r="M100" s="10" t="n">
        <v>48</v>
      </c>
      <c r="N100" s="10">
        <f>L100-M100</f>
        <v/>
      </c>
    </row>
    <row r="101">
      <c r="A101" s="7" t="inlineStr">
        <is>
          <t>ORD-04403</t>
        </is>
      </c>
      <c r="B101" s="8" t="n">
        <v>44964</v>
      </c>
      <c r="C101" s="9" t="n">
        <v>44958</v>
      </c>
      <c r="D101" s="7" t="n">
        <v>2023</v>
      </c>
      <c r="E101" s="7" t="inlineStr">
        <is>
          <t>East</t>
        </is>
      </c>
      <c r="F101" s="7" t="inlineStr">
        <is>
          <t>Office Supplies</t>
        </is>
      </c>
      <c r="G101" s="7" t="inlineStr">
        <is>
          <t>Binder</t>
        </is>
      </c>
      <c r="H101" s="7" t="inlineStr">
        <is>
          <t>Home Office</t>
        </is>
      </c>
      <c r="I101" s="7" t="n">
        <v>7</v>
      </c>
      <c r="J101" s="10" t="n">
        <v>7.86</v>
      </c>
      <c r="K101" s="11" t="n">
        <v>0.05</v>
      </c>
      <c r="L101" s="10">
        <f>I101*J101*(1-K101)</f>
        <v/>
      </c>
      <c r="M101" s="10" t="n">
        <v>22.4</v>
      </c>
      <c r="N101" s="10">
        <f>L101-M101</f>
        <v/>
      </c>
    </row>
    <row r="102">
      <c r="A102" s="7" t="inlineStr">
        <is>
          <t>ORD-01045</t>
        </is>
      </c>
      <c r="B102" s="8" t="n">
        <v>44965</v>
      </c>
      <c r="C102" s="9" t="n">
        <v>44958</v>
      </c>
      <c r="D102" s="7" t="n">
        <v>2023</v>
      </c>
      <c r="E102" s="7" t="inlineStr">
        <is>
          <t>North</t>
        </is>
      </c>
      <c r="F102" s="7" t="inlineStr">
        <is>
          <t>Furniture</t>
        </is>
      </c>
      <c r="G102" s="7" t="inlineStr">
        <is>
          <t>Office Chair</t>
        </is>
      </c>
      <c r="H102" s="7" t="inlineStr">
        <is>
          <t>Home Office</t>
        </is>
      </c>
      <c r="I102" s="7" t="n">
        <v>1</v>
      </c>
      <c r="J102" s="10" t="n">
        <v>224.76</v>
      </c>
      <c r="K102" s="11" t="n">
        <v>0.05</v>
      </c>
      <c r="L102" s="10">
        <f>I102*J102*(1-K102)</f>
        <v/>
      </c>
      <c r="M102" s="10" t="n">
        <v>180.4</v>
      </c>
      <c r="N102" s="10">
        <f>L102-M102</f>
        <v/>
      </c>
    </row>
    <row r="103">
      <c r="A103" s="7" t="inlineStr">
        <is>
          <t>ORD-03879</t>
        </is>
      </c>
      <c r="B103" s="8" t="n">
        <v>44965</v>
      </c>
      <c r="C103" s="9" t="n">
        <v>44958</v>
      </c>
      <c r="D103" s="7" t="n">
        <v>2023</v>
      </c>
      <c r="E103" s="7" t="inlineStr">
        <is>
          <t>West</t>
        </is>
      </c>
      <c r="F103" s="7" t="inlineStr">
        <is>
          <t>Office Supplies</t>
        </is>
      </c>
      <c r="G103" s="7" t="inlineStr">
        <is>
          <t>Pens</t>
        </is>
      </c>
      <c r="H103" s="7" t="inlineStr">
        <is>
          <t>Corporate</t>
        </is>
      </c>
      <c r="I103" s="7" t="n">
        <v>5</v>
      </c>
      <c r="J103" s="10" t="n">
        <v>11.87</v>
      </c>
      <c r="K103" s="11" t="n">
        <v>0</v>
      </c>
      <c r="L103" s="10">
        <f>I103*J103*(1-K103)</f>
        <v/>
      </c>
      <c r="M103" s="10" t="n">
        <v>27</v>
      </c>
      <c r="N103" s="10">
        <f>L103-M103</f>
        <v/>
      </c>
    </row>
    <row r="104">
      <c r="A104" s="7" t="inlineStr">
        <is>
          <t>ORD-03805</t>
        </is>
      </c>
      <c r="B104" s="8" t="n">
        <v>44965</v>
      </c>
      <c r="C104" s="9" t="n">
        <v>44958</v>
      </c>
      <c r="D104" s="7" t="n">
        <v>2023</v>
      </c>
      <c r="E104" s="7" t="inlineStr">
        <is>
          <t>West</t>
        </is>
      </c>
      <c r="F104" s="7" t="inlineStr">
        <is>
          <t>Technology</t>
        </is>
      </c>
      <c r="G104" s="7" t="inlineStr">
        <is>
          <t>Keyboard</t>
        </is>
      </c>
      <c r="H104" s="7" t="inlineStr">
        <is>
          <t>Corporate</t>
        </is>
      </c>
      <c r="I104" s="7" t="n">
        <v>2</v>
      </c>
      <c r="J104" s="10" t="n">
        <v>46.42</v>
      </c>
      <c r="K104" s="11" t="n">
        <v>0.05</v>
      </c>
      <c r="L104" s="10">
        <f>I104*J104*(1-K104)</f>
        <v/>
      </c>
      <c r="M104" s="10" t="n">
        <v>49.5</v>
      </c>
      <c r="N104" s="10">
        <f>L104-M104</f>
        <v/>
      </c>
    </row>
    <row r="105">
      <c r="A105" s="7" t="inlineStr">
        <is>
          <t>ORD-04450</t>
        </is>
      </c>
      <c r="B105" s="8" t="n">
        <v>44966</v>
      </c>
      <c r="C105" s="9" t="n">
        <v>44958</v>
      </c>
      <c r="D105" s="7" t="n">
        <v>2023</v>
      </c>
      <c r="E105" s="7" t="inlineStr">
        <is>
          <t>West</t>
        </is>
      </c>
      <c r="F105" s="7" t="inlineStr">
        <is>
          <t>Office Supplies</t>
        </is>
      </c>
      <c r="G105" s="7" t="inlineStr">
        <is>
          <t>Binder</t>
        </is>
      </c>
      <c r="H105" s="7" t="inlineStr">
        <is>
          <t>Consumer</t>
        </is>
      </c>
      <c r="I105" s="7" t="n">
        <v>11</v>
      </c>
      <c r="J105" s="10" t="n">
        <v>8.210000000000001</v>
      </c>
      <c r="K105" s="11" t="n">
        <v>0.1</v>
      </c>
      <c r="L105" s="10">
        <f>I105*J105*(1-K105)</f>
        <v/>
      </c>
      <c r="M105" s="10" t="n">
        <v>35.2</v>
      </c>
      <c r="N105" s="10">
        <f>L105-M105</f>
        <v/>
      </c>
    </row>
    <row r="106">
      <c r="A106" s="7" t="inlineStr">
        <is>
          <t>ORD-03459</t>
        </is>
      </c>
      <c r="B106" s="8" t="n">
        <v>44966</v>
      </c>
      <c r="C106" s="9" t="n">
        <v>44958</v>
      </c>
      <c r="D106" s="7" t="n">
        <v>2023</v>
      </c>
      <c r="E106" s="7" t="inlineStr">
        <is>
          <t>East</t>
        </is>
      </c>
      <c r="F106" s="7" t="inlineStr">
        <is>
          <t>Office Supplies</t>
        </is>
      </c>
      <c r="G106" s="7" t="inlineStr">
        <is>
          <t>Binder</t>
        </is>
      </c>
      <c r="H106" s="7" t="inlineStr">
        <is>
          <t>Consumer</t>
        </is>
      </c>
      <c r="I106" s="7" t="n">
        <v>4</v>
      </c>
      <c r="J106" s="10" t="n">
        <v>7.64</v>
      </c>
      <c r="K106" s="11" t="n">
        <v>0</v>
      </c>
      <c r="L106" s="10">
        <f>I106*J106*(1-K106)</f>
        <v/>
      </c>
      <c r="M106" s="10" t="n">
        <v>12.8</v>
      </c>
      <c r="N106" s="10">
        <f>L106-M106</f>
        <v/>
      </c>
    </row>
    <row r="107">
      <c r="A107" s="7" t="inlineStr">
        <is>
          <t>ORD-04136</t>
        </is>
      </c>
      <c r="B107" s="8" t="n">
        <v>44966</v>
      </c>
      <c r="C107" s="9" t="n">
        <v>44958</v>
      </c>
      <c r="D107" s="7" t="n">
        <v>2023</v>
      </c>
      <c r="E107" s="7" t="inlineStr">
        <is>
          <t>West</t>
        </is>
      </c>
      <c r="F107" s="7" t="inlineStr">
        <is>
          <t>Technology</t>
        </is>
      </c>
      <c r="G107" s="7" t="inlineStr">
        <is>
          <t>Smartphone</t>
        </is>
      </c>
      <c r="H107" s="7" t="inlineStr">
        <is>
          <t>Corporate</t>
        </is>
      </c>
      <c r="I107" s="7" t="n">
        <v>3</v>
      </c>
      <c r="J107" s="10" t="n">
        <v>575.79</v>
      </c>
      <c r="K107" s="11" t="n">
        <v>0</v>
      </c>
      <c r="L107" s="10">
        <f>I107*J107*(1-K107)</f>
        <v/>
      </c>
      <c r="M107" s="10" t="n">
        <v>1350</v>
      </c>
      <c r="N107" s="10">
        <f>L107-M107</f>
        <v/>
      </c>
    </row>
    <row r="108">
      <c r="A108" s="7" t="inlineStr">
        <is>
          <t>ORD-02873</t>
        </is>
      </c>
      <c r="B108" s="8" t="n">
        <v>44966</v>
      </c>
      <c r="C108" s="9" t="n">
        <v>44958</v>
      </c>
      <c r="D108" s="7" t="n">
        <v>2023</v>
      </c>
      <c r="E108" s="7" t="inlineStr">
        <is>
          <t>West</t>
        </is>
      </c>
      <c r="F108" s="7" t="inlineStr">
        <is>
          <t>Office Supplies</t>
        </is>
      </c>
      <c r="G108" s="7" t="inlineStr">
        <is>
          <t>Paper</t>
        </is>
      </c>
      <c r="H108" s="7" t="inlineStr">
        <is>
          <t>Home Office</t>
        </is>
      </c>
      <c r="I108" s="7" t="n">
        <v>5</v>
      </c>
      <c r="J108" s="10" t="n">
        <v>24.16</v>
      </c>
      <c r="K108" s="11" t="n">
        <v>0.05</v>
      </c>
      <c r="L108" s="10">
        <f>I108*J108*(1-K108)</f>
        <v/>
      </c>
      <c r="M108" s="10" t="n">
        <v>62.5</v>
      </c>
      <c r="N108" s="10">
        <f>L108-M108</f>
        <v/>
      </c>
    </row>
    <row r="109">
      <c r="A109" s="7" t="inlineStr">
        <is>
          <t>ORD-00270</t>
        </is>
      </c>
      <c r="B109" s="8" t="n">
        <v>44967</v>
      </c>
      <c r="C109" s="9" t="n">
        <v>44958</v>
      </c>
      <c r="D109" s="7" t="n">
        <v>2023</v>
      </c>
      <c r="E109" s="7" t="inlineStr">
        <is>
          <t>West</t>
        </is>
      </c>
      <c r="F109" s="7" t="inlineStr">
        <is>
          <t>Office Supplies</t>
        </is>
      </c>
      <c r="G109" s="7" t="inlineStr">
        <is>
          <t>Binder</t>
        </is>
      </c>
      <c r="H109" s="7" t="inlineStr">
        <is>
          <t>Consumer</t>
        </is>
      </c>
      <c r="I109" s="7" t="n">
        <v>13</v>
      </c>
      <c r="J109" s="10" t="n">
        <v>7.92</v>
      </c>
      <c r="K109" s="11" t="n">
        <v>0</v>
      </c>
      <c r="L109" s="10">
        <f>I109*J109*(1-K109)</f>
        <v/>
      </c>
      <c r="M109" s="10" t="n">
        <v>41.6</v>
      </c>
      <c r="N109" s="10">
        <f>L109-M109</f>
        <v/>
      </c>
    </row>
    <row r="110">
      <c r="A110" s="7" t="inlineStr">
        <is>
          <t>ORD-04248</t>
        </is>
      </c>
      <c r="B110" s="8" t="n">
        <v>44967</v>
      </c>
      <c r="C110" s="9" t="n">
        <v>44958</v>
      </c>
      <c r="D110" s="7" t="n">
        <v>2023</v>
      </c>
      <c r="E110" s="7" t="inlineStr">
        <is>
          <t>East</t>
        </is>
      </c>
      <c r="F110" s="7" t="inlineStr">
        <is>
          <t>Furniture</t>
        </is>
      </c>
      <c r="G110" s="7" t="inlineStr">
        <is>
          <t>Desk</t>
        </is>
      </c>
      <c r="H110" s="7" t="inlineStr">
        <is>
          <t>Consumer</t>
        </is>
      </c>
      <c r="I110" s="7" t="n">
        <v>2</v>
      </c>
      <c r="J110" s="10" t="n">
        <v>428.23</v>
      </c>
      <c r="K110" s="11" t="n">
        <v>0.05</v>
      </c>
      <c r="L110" s="10">
        <f>I110*J110*(1-K110)</f>
        <v/>
      </c>
      <c r="M110" s="10" t="n">
        <v>765</v>
      </c>
      <c r="N110" s="10">
        <f>L110-M110</f>
        <v/>
      </c>
    </row>
    <row r="111">
      <c r="A111" s="7" t="inlineStr">
        <is>
          <t>ORD-01894</t>
        </is>
      </c>
      <c r="B111" s="8" t="n">
        <v>44967</v>
      </c>
      <c r="C111" s="9" t="n">
        <v>44958</v>
      </c>
      <c r="D111" s="7" t="n">
        <v>2023</v>
      </c>
      <c r="E111" s="7" t="inlineStr">
        <is>
          <t>West</t>
        </is>
      </c>
      <c r="F111" s="7" t="inlineStr">
        <is>
          <t>Office Supplies</t>
        </is>
      </c>
      <c r="G111" s="7" t="inlineStr">
        <is>
          <t>Paper</t>
        </is>
      </c>
      <c r="H111" s="7" t="inlineStr">
        <is>
          <t>Consumer</t>
        </is>
      </c>
      <c r="I111" s="7" t="n">
        <v>2</v>
      </c>
      <c r="J111" s="10" t="n">
        <v>24.51</v>
      </c>
      <c r="K111" s="11" t="n">
        <v>0</v>
      </c>
      <c r="L111" s="10">
        <f>I111*J111*(1-K111)</f>
        <v/>
      </c>
      <c r="M111" s="10" t="n">
        <v>25</v>
      </c>
      <c r="N111" s="10">
        <f>L111-M111</f>
        <v/>
      </c>
    </row>
    <row r="112">
      <c r="A112" s="7" t="inlineStr">
        <is>
          <t>ORD-01902</t>
        </is>
      </c>
      <c r="B112" s="8" t="n">
        <v>44968</v>
      </c>
      <c r="C112" s="9" t="n">
        <v>44958</v>
      </c>
      <c r="D112" s="7" t="n">
        <v>2023</v>
      </c>
      <c r="E112" s="7" t="inlineStr">
        <is>
          <t>South</t>
        </is>
      </c>
      <c r="F112" s="7" t="inlineStr">
        <is>
          <t>Furniture</t>
        </is>
      </c>
      <c r="G112" s="7" t="inlineStr">
        <is>
          <t>Bookcase</t>
        </is>
      </c>
      <c r="H112" s="7" t="inlineStr">
        <is>
          <t>Corporate</t>
        </is>
      </c>
      <c r="I112" s="7" t="n">
        <v>2</v>
      </c>
      <c r="J112" s="10" t="n">
        <v>179.59</v>
      </c>
      <c r="K112" s="11" t="n">
        <v>0.2</v>
      </c>
      <c r="L112" s="10">
        <f>I112*J112*(1-K112)</f>
        <v/>
      </c>
      <c r="M112" s="10" t="n">
        <v>288</v>
      </c>
      <c r="N112" s="10">
        <f>L112-M112</f>
        <v/>
      </c>
    </row>
    <row r="113">
      <c r="A113" s="7" t="inlineStr">
        <is>
          <t>ORD-00150</t>
        </is>
      </c>
      <c r="B113" s="8" t="n">
        <v>44968</v>
      </c>
      <c r="C113" s="9" t="n">
        <v>44958</v>
      </c>
      <c r="D113" s="7" t="n">
        <v>2023</v>
      </c>
      <c r="E113" s="7" t="inlineStr">
        <is>
          <t>South</t>
        </is>
      </c>
      <c r="F113" s="7" t="inlineStr">
        <is>
          <t>Office Supplies</t>
        </is>
      </c>
      <c r="G113" s="7" t="inlineStr">
        <is>
          <t>Printer Ink</t>
        </is>
      </c>
      <c r="H113" s="7" t="inlineStr">
        <is>
          <t>Corporate</t>
        </is>
      </c>
      <c r="I113" s="7" t="n">
        <v>2</v>
      </c>
      <c r="J113" s="10" t="n">
        <v>58.75</v>
      </c>
      <c r="K113" s="11" t="n">
        <v>0.1</v>
      </c>
      <c r="L113" s="10">
        <f>I113*J113*(1-K113)</f>
        <v/>
      </c>
      <c r="M113" s="10" t="n">
        <v>72</v>
      </c>
      <c r="N113" s="10">
        <f>L113-M113</f>
        <v/>
      </c>
    </row>
    <row r="114">
      <c r="A114" s="7" t="inlineStr">
        <is>
          <t>ORD-02038</t>
        </is>
      </c>
      <c r="B114" s="8" t="n">
        <v>44969</v>
      </c>
      <c r="C114" s="9" t="n">
        <v>44958</v>
      </c>
      <c r="D114" s="7" t="n">
        <v>2023</v>
      </c>
      <c r="E114" s="7" t="inlineStr">
        <is>
          <t>East</t>
        </is>
      </c>
      <c r="F114" s="7" t="inlineStr">
        <is>
          <t>Furniture</t>
        </is>
      </c>
      <c r="G114" s="7" t="inlineStr">
        <is>
          <t>Desk</t>
        </is>
      </c>
      <c r="H114" s="7" t="inlineStr">
        <is>
          <t>Consumer</t>
        </is>
      </c>
      <c r="I114" s="7" t="n">
        <v>1</v>
      </c>
      <c r="J114" s="10" t="n">
        <v>463.16</v>
      </c>
      <c r="K114" s="11" t="n">
        <v>0</v>
      </c>
      <c r="L114" s="10">
        <f>I114*J114*(1-K114)</f>
        <v/>
      </c>
      <c r="M114" s="10" t="n">
        <v>382.5</v>
      </c>
      <c r="N114" s="10">
        <f>L114-M114</f>
        <v/>
      </c>
    </row>
    <row r="115">
      <c r="A115" s="7" t="inlineStr">
        <is>
          <t>ORD-02031</t>
        </is>
      </c>
      <c r="B115" s="8" t="n">
        <v>44969</v>
      </c>
      <c r="C115" s="9" t="n">
        <v>44958</v>
      </c>
      <c r="D115" s="7" t="n">
        <v>2023</v>
      </c>
      <c r="E115" s="7" t="inlineStr">
        <is>
          <t>East</t>
        </is>
      </c>
      <c r="F115" s="7" t="inlineStr">
        <is>
          <t>Technology</t>
        </is>
      </c>
      <c r="G115" s="7" t="inlineStr">
        <is>
          <t>Headphones</t>
        </is>
      </c>
      <c r="H115" s="7" t="inlineStr">
        <is>
          <t>Consumer</t>
        </is>
      </c>
      <c r="I115" s="7" t="n">
        <v>1</v>
      </c>
      <c r="J115" s="10" t="n">
        <v>115.33</v>
      </c>
      <c r="K115" s="11" t="n">
        <v>0</v>
      </c>
      <c r="L115" s="10">
        <f>I115*J115*(1-K115)</f>
        <v/>
      </c>
      <c r="M115" s="10" t="n">
        <v>72</v>
      </c>
      <c r="N115" s="10">
        <f>L115-M115</f>
        <v/>
      </c>
    </row>
    <row r="116">
      <c r="A116" s="7" t="inlineStr">
        <is>
          <t>ORD-05187</t>
        </is>
      </c>
      <c r="B116" s="8" t="n">
        <v>44970</v>
      </c>
      <c r="C116" s="9" t="n">
        <v>44958</v>
      </c>
      <c r="D116" s="7" t="n">
        <v>2023</v>
      </c>
      <c r="E116" s="7" t="inlineStr">
        <is>
          <t>North</t>
        </is>
      </c>
      <c r="F116" s="7" t="inlineStr">
        <is>
          <t>Technology</t>
        </is>
      </c>
      <c r="G116" s="7" t="inlineStr">
        <is>
          <t>Monitor</t>
        </is>
      </c>
      <c r="H116" s="7" t="inlineStr">
        <is>
          <t>Consumer</t>
        </is>
      </c>
      <c r="I116" s="7" t="n">
        <v>3</v>
      </c>
      <c r="J116" s="10" t="n">
        <v>258.44</v>
      </c>
      <c r="K116" s="11" t="n">
        <v>0.05</v>
      </c>
      <c r="L116" s="10">
        <f>I116*J116*(1-K116)</f>
        <v/>
      </c>
      <c r="M116" s="10" t="n">
        <v>540</v>
      </c>
      <c r="N116" s="10">
        <f>L116-M116</f>
        <v/>
      </c>
    </row>
    <row r="117">
      <c r="A117" s="7" t="inlineStr">
        <is>
          <t>ORD-00085</t>
        </is>
      </c>
      <c r="B117" s="8" t="n">
        <v>44970</v>
      </c>
      <c r="C117" s="9" t="n">
        <v>44958</v>
      </c>
      <c r="D117" s="7" t="n">
        <v>2023</v>
      </c>
      <c r="E117" s="7" t="inlineStr">
        <is>
          <t>West</t>
        </is>
      </c>
      <c r="F117" s="7" t="inlineStr">
        <is>
          <t>Office Supplies</t>
        </is>
      </c>
      <c r="G117" s="7" t="inlineStr">
        <is>
          <t>Stapler</t>
        </is>
      </c>
      <c r="H117" s="7" t="inlineStr">
        <is>
          <t>Home Office</t>
        </is>
      </c>
      <c r="I117" s="7" t="n">
        <v>6</v>
      </c>
      <c r="J117" s="10" t="n">
        <v>14.65</v>
      </c>
      <c r="K117" s="11" t="n">
        <v>0</v>
      </c>
      <c r="L117" s="10">
        <f>I117*J117*(1-K117)</f>
        <v/>
      </c>
      <c r="M117" s="10" t="n">
        <v>45</v>
      </c>
      <c r="N117" s="10">
        <f>L117-M117</f>
        <v/>
      </c>
    </row>
    <row r="118">
      <c r="A118" s="7" t="inlineStr">
        <is>
          <t>ORD-00136</t>
        </is>
      </c>
      <c r="B118" s="8" t="n">
        <v>44970</v>
      </c>
      <c r="C118" s="9" t="n">
        <v>44958</v>
      </c>
      <c r="D118" s="7" t="n">
        <v>2023</v>
      </c>
      <c r="E118" s="7" t="inlineStr">
        <is>
          <t>West</t>
        </is>
      </c>
      <c r="F118" s="7" t="inlineStr">
        <is>
          <t>Technology</t>
        </is>
      </c>
      <c r="G118" s="7" t="inlineStr">
        <is>
          <t>Headphones</t>
        </is>
      </c>
      <c r="H118" s="7" t="inlineStr">
        <is>
          <t>Corporate</t>
        </is>
      </c>
      <c r="I118" s="7" t="n">
        <v>1</v>
      </c>
      <c r="J118" s="10" t="n">
        <v>116.26</v>
      </c>
      <c r="K118" s="11" t="n">
        <v>0.3</v>
      </c>
      <c r="L118" s="10">
        <f>I118*J118*(1-K118)</f>
        <v/>
      </c>
      <c r="M118" s="10" t="n">
        <v>72</v>
      </c>
      <c r="N118" s="10">
        <f>L118-M118</f>
        <v/>
      </c>
    </row>
    <row r="119">
      <c r="A119" s="7" t="inlineStr">
        <is>
          <t>ORD-05103</t>
        </is>
      </c>
      <c r="B119" s="8" t="n">
        <v>44970</v>
      </c>
      <c r="C119" s="9" t="n">
        <v>44958</v>
      </c>
      <c r="D119" s="7" t="n">
        <v>2023</v>
      </c>
      <c r="E119" s="7" t="inlineStr">
        <is>
          <t>South</t>
        </is>
      </c>
      <c r="F119" s="7" t="inlineStr">
        <is>
          <t>Office Supplies</t>
        </is>
      </c>
      <c r="G119" s="7" t="inlineStr">
        <is>
          <t>Pens</t>
        </is>
      </c>
      <c r="H119" s="7" t="inlineStr">
        <is>
          <t>Home Office</t>
        </is>
      </c>
      <c r="I119" s="7" t="n">
        <v>15</v>
      </c>
      <c r="J119" s="10" t="n">
        <v>11.89</v>
      </c>
      <c r="K119" s="11" t="n">
        <v>0.1</v>
      </c>
      <c r="L119" s="10">
        <f>I119*J119*(1-K119)</f>
        <v/>
      </c>
      <c r="M119" s="10" t="n">
        <v>81</v>
      </c>
      <c r="N119" s="10">
        <f>L119-M119</f>
        <v/>
      </c>
    </row>
    <row r="120">
      <c r="A120" s="7" t="inlineStr">
        <is>
          <t>ORD-00872</t>
        </is>
      </c>
      <c r="B120" s="8" t="n">
        <v>44971</v>
      </c>
      <c r="C120" s="9" t="n">
        <v>44958</v>
      </c>
      <c r="D120" s="7" t="n">
        <v>2023</v>
      </c>
      <c r="E120" s="7" t="inlineStr">
        <is>
          <t>East</t>
        </is>
      </c>
      <c r="F120" s="7" t="inlineStr">
        <is>
          <t>Technology</t>
        </is>
      </c>
      <c r="G120" s="7" t="inlineStr">
        <is>
          <t>Laptop</t>
        </is>
      </c>
      <c r="H120" s="7" t="inlineStr">
        <is>
          <t>Consumer</t>
        </is>
      </c>
      <c r="I120" s="7" t="n">
        <v>3</v>
      </c>
      <c r="J120" s="10" t="n">
        <v>903.23</v>
      </c>
      <c r="K120" s="11" t="n">
        <v>0.05</v>
      </c>
      <c r="L120" s="10">
        <f>I120*J120*(1-K120)</f>
        <v/>
      </c>
      <c r="M120" s="10" t="n">
        <v>2106</v>
      </c>
      <c r="N120" s="10">
        <f>L120-M120</f>
        <v/>
      </c>
    </row>
    <row r="121">
      <c r="A121" s="7" t="inlineStr">
        <is>
          <t>ORD-04859</t>
        </is>
      </c>
      <c r="B121" s="8" t="n">
        <v>44971</v>
      </c>
      <c r="C121" s="9" t="n">
        <v>44958</v>
      </c>
      <c r="D121" s="7" t="n">
        <v>2023</v>
      </c>
      <c r="E121" s="7" t="inlineStr">
        <is>
          <t>South</t>
        </is>
      </c>
      <c r="F121" s="7" t="inlineStr">
        <is>
          <t>Office Supplies</t>
        </is>
      </c>
      <c r="G121" s="7" t="inlineStr">
        <is>
          <t>Pens</t>
        </is>
      </c>
      <c r="H121" s="7" t="inlineStr">
        <is>
          <t>Consumer</t>
        </is>
      </c>
      <c r="I121" s="7" t="n">
        <v>15</v>
      </c>
      <c r="J121" s="10" t="n">
        <v>12.5</v>
      </c>
      <c r="K121" s="11" t="n">
        <v>0.2</v>
      </c>
      <c r="L121" s="10">
        <f>I121*J121*(1-K121)</f>
        <v/>
      </c>
      <c r="M121" s="10" t="n">
        <v>81</v>
      </c>
      <c r="N121" s="10">
        <f>L121-M121</f>
        <v/>
      </c>
    </row>
    <row r="122">
      <c r="A122" s="7" t="inlineStr">
        <is>
          <t>ORD-01069</t>
        </is>
      </c>
      <c r="B122" s="8" t="n">
        <v>44971</v>
      </c>
      <c r="C122" s="9" t="n">
        <v>44958</v>
      </c>
      <c r="D122" s="7" t="n">
        <v>2023</v>
      </c>
      <c r="E122" s="7" t="inlineStr">
        <is>
          <t>East</t>
        </is>
      </c>
      <c r="F122" s="7" t="inlineStr">
        <is>
          <t>Office Supplies</t>
        </is>
      </c>
      <c r="G122" s="7" t="inlineStr">
        <is>
          <t>Printer Ink</t>
        </is>
      </c>
      <c r="H122" s="7" t="inlineStr">
        <is>
          <t>Consumer</t>
        </is>
      </c>
      <c r="I122" s="7" t="n">
        <v>6</v>
      </c>
      <c r="J122" s="10" t="n">
        <v>60.75</v>
      </c>
      <c r="K122" s="11" t="n">
        <v>0.05</v>
      </c>
      <c r="L122" s="10">
        <f>I122*J122*(1-K122)</f>
        <v/>
      </c>
      <c r="M122" s="10" t="n">
        <v>216</v>
      </c>
      <c r="N122" s="10">
        <f>L122-M122</f>
        <v/>
      </c>
    </row>
    <row r="123">
      <c r="A123" s="7" t="inlineStr">
        <is>
          <t>ORD-03793</t>
        </is>
      </c>
      <c r="B123" s="8" t="n">
        <v>44971</v>
      </c>
      <c r="C123" s="9" t="n">
        <v>44958</v>
      </c>
      <c r="D123" s="7" t="n">
        <v>2023</v>
      </c>
      <c r="E123" s="7" t="inlineStr">
        <is>
          <t>West</t>
        </is>
      </c>
      <c r="F123" s="7" t="inlineStr">
        <is>
          <t>Office Supplies</t>
        </is>
      </c>
      <c r="G123" s="7" t="inlineStr">
        <is>
          <t>Pens</t>
        </is>
      </c>
      <c r="H123" s="7" t="inlineStr">
        <is>
          <t>Home Office</t>
        </is>
      </c>
      <c r="I123" s="7" t="n">
        <v>2</v>
      </c>
      <c r="J123" s="10" t="n">
        <v>12.39</v>
      </c>
      <c r="K123" s="11" t="n">
        <v>0.1</v>
      </c>
      <c r="L123" s="10">
        <f>I123*J123*(1-K123)</f>
        <v/>
      </c>
      <c r="M123" s="10" t="n">
        <v>10.8</v>
      </c>
      <c r="N123" s="10">
        <f>L123-M123</f>
        <v/>
      </c>
    </row>
    <row r="124">
      <c r="A124" s="7" t="inlineStr">
        <is>
          <t>ORD-01356</t>
        </is>
      </c>
      <c r="B124" s="8" t="n">
        <v>44972</v>
      </c>
      <c r="C124" s="9" t="n">
        <v>44958</v>
      </c>
      <c r="D124" s="7" t="n">
        <v>2023</v>
      </c>
      <c r="E124" s="7" t="inlineStr">
        <is>
          <t>East</t>
        </is>
      </c>
      <c r="F124" s="7" t="inlineStr">
        <is>
          <t>Technology</t>
        </is>
      </c>
      <c r="G124" s="7" t="inlineStr">
        <is>
          <t>Laptop</t>
        </is>
      </c>
      <c r="H124" s="7" t="inlineStr">
        <is>
          <t>Corporate</t>
        </is>
      </c>
      <c r="I124" s="7" t="n">
        <v>3</v>
      </c>
      <c r="J124" s="10" t="n">
        <v>884.36</v>
      </c>
      <c r="K124" s="11" t="n">
        <v>0</v>
      </c>
      <c r="L124" s="10">
        <f>I124*J124*(1-K124)</f>
        <v/>
      </c>
      <c r="M124" s="10" t="n">
        <v>2106</v>
      </c>
      <c r="N124" s="10">
        <f>L124-M124</f>
        <v/>
      </c>
    </row>
    <row r="125">
      <c r="A125" s="7" t="inlineStr">
        <is>
          <t>ORD-02350</t>
        </is>
      </c>
      <c r="B125" s="8" t="n">
        <v>44972</v>
      </c>
      <c r="C125" s="9" t="n">
        <v>44958</v>
      </c>
      <c r="D125" s="7" t="n">
        <v>2023</v>
      </c>
      <c r="E125" s="7" t="inlineStr">
        <is>
          <t>West</t>
        </is>
      </c>
      <c r="F125" s="7" t="inlineStr">
        <is>
          <t>Technology</t>
        </is>
      </c>
      <c r="G125" s="7" t="inlineStr">
        <is>
          <t>Smartphone</t>
        </is>
      </c>
      <c r="H125" s="7" t="inlineStr">
        <is>
          <t>Home Office</t>
        </is>
      </c>
      <c r="I125" s="7" t="n">
        <v>1</v>
      </c>
      <c r="J125" s="10" t="n">
        <v>587.55</v>
      </c>
      <c r="K125" s="11" t="n">
        <v>0</v>
      </c>
      <c r="L125" s="10">
        <f>I125*J125*(1-K125)</f>
        <v/>
      </c>
      <c r="M125" s="10" t="n">
        <v>450</v>
      </c>
      <c r="N125" s="10">
        <f>L125-M125</f>
        <v/>
      </c>
    </row>
    <row r="126">
      <c r="A126" s="7" t="inlineStr">
        <is>
          <t>ORD-05499</t>
        </is>
      </c>
      <c r="B126" s="8" t="n">
        <v>44972</v>
      </c>
      <c r="C126" s="9" t="n">
        <v>44958</v>
      </c>
      <c r="D126" s="7" t="n">
        <v>2023</v>
      </c>
      <c r="E126" s="7" t="inlineStr">
        <is>
          <t>East</t>
        </is>
      </c>
      <c r="F126" s="7" t="inlineStr">
        <is>
          <t>Office Supplies</t>
        </is>
      </c>
      <c r="G126" s="7" t="inlineStr">
        <is>
          <t>Paper</t>
        </is>
      </c>
      <c r="H126" s="7" t="inlineStr">
        <is>
          <t>Consumer</t>
        </is>
      </c>
      <c r="I126" s="7" t="n">
        <v>3</v>
      </c>
      <c r="J126" s="10" t="n">
        <v>24.5</v>
      </c>
      <c r="K126" s="11" t="n">
        <v>0.2</v>
      </c>
      <c r="L126" s="10">
        <f>I126*J126*(1-K126)</f>
        <v/>
      </c>
      <c r="M126" s="10" t="n">
        <v>37.5</v>
      </c>
      <c r="N126" s="10">
        <f>L126-M126</f>
        <v/>
      </c>
    </row>
    <row r="127">
      <c r="A127" s="7" t="inlineStr">
        <is>
          <t>ORD-05853</t>
        </is>
      </c>
      <c r="B127" s="8" t="n">
        <v>44972</v>
      </c>
      <c r="C127" s="9" t="n">
        <v>44958</v>
      </c>
      <c r="D127" s="7" t="n">
        <v>2023</v>
      </c>
      <c r="E127" s="7" t="inlineStr">
        <is>
          <t>East</t>
        </is>
      </c>
      <c r="F127" s="7" t="inlineStr">
        <is>
          <t>Furniture</t>
        </is>
      </c>
      <c r="G127" s="7" t="inlineStr">
        <is>
          <t>Office Chair</t>
        </is>
      </c>
      <c r="H127" s="7" t="inlineStr">
        <is>
          <t>Consumer</t>
        </is>
      </c>
      <c r="I127" s="7" t="n">
        <v>2</v>
      </c>
      <c r="J127" s="10" t="n">
        <v>210.58</v>
      </c>
      <c r="K127" s="11" t="n">
        <v>0.2</v>
      </c>
      <c r="L127" s="10">
        <f>I127*J127*(1-K127)</f>
        <v/>
      </c>
      <c r="M127" s="10" t="n">
        <v>360.8</v>
      </c>
      <c r="N127" s="10">
        <f>L127-M127</f>
        <v/>
      </c>
    </row>
    <row r="128">
      <c r="A128" s="7" t="inlineStr">
        <is>
          <t>ORD-01721</t>
        </is>
      </c>
      <c r="B128" s="8" t="n">
        <v>44973</v>
      </c>
      <c r="C128" s="9" t="n">
        <v>44958</v>
      </c>
      <c r="D128" s="7" t="n">
        <v>2023</v>
      </c>
      <c r="E128" s="7" t="inlineStr">
        <is>
          <t>West</t>
        </is>
      </c>
      <c r="F128" s="7" t="inlineStr">
        <is>
          <t>Office Supplies</t>
        </is>
      </c>
      <c r="G128" s="7" t="inlineStr">
        <is>
          <t>Paper</t>
        </is>
      </c>
      <c r="H128" s="7" t="inlineStr">
        <is>
          <t>Corporate</t>
        </is>
      </c>
      <c r="I128" s="7" t="n">
        <v>9</v>
      </c>
      <c r="J128" s="10" t="n">
        <v>24.21</v>
      </c>
      <c r="K128" s="11" t="n">
        <v>0</v>
      </c>
      <c r="L128" s="10">
        <f>I128*J128*(1-K128)</f>
        <v/>
      </c>
      <c r="M128" s="10" t="n">
        <v>112.5</v>
      </c>
      <c r="N128" s="10">
        <f>L128-M128</f>
        <v/>
      </c>
    </row>
    <row r="129">
      <c r="A129" s="7" t="inlineStr">
        <is>
          <t>ORD-04559</t>
        </is>
      </c>
      <c r="B129" s="8" t="n">
        <v>44973</v>
      </c>
      <c r="C129" s="9" t="n">
        <v>44958</v>
      </c>
      <c r="D129" s="7" t="n">
        <v>2023</v>
      </c>
      <c r="E129" s="7" t="inlineStr">
        <is>
          <t>South</t>
        </is>
      </c>
      <c r="F129" s="7" t="inlineStr">
        <is>
          <t>Furniture</t>
        </is>
      </c>
      <c r="G129" s="7" t="inlineStr">
        <is>
          <t>Bookcase</t>
        </is>
      </c>
      <c r="H129" s="7" t="inlineStr">
        <is>
          <t>Consumer</t>
        </is>
      </c>
      <c r="I129" s="7" t="n">
        <v>4</v>
      </c>
      <c r="J129" s="10" t="n">
        <v>174.8</v>
      </c>
      <c r="K129" s="11" t="n">
        <v>0.2</v>
      </c>
      <c r="L129" s="10">
        <f>I129*J129*(1-K129)</f>
        <v/>
      </c>
      <c r="M129" s="10" t="n">
        <v>576</v>
      </c>
      <c r="N129" s="10">
        <f>L129-M129</f>
        <v/>
      </c>
    </row>
    <row r="130">
      <c r="A130" s="7" t="inlineStr">
        <is>
          <t>ORD-02887</t>
        </is>
      </c>
      <c r="B130" s="8" t="n">
        <v>44973</v>
      </c>
      <c r="C130" s="9" t="n">
        <v>44958</v>
      </c>
      <c r="D130" s="7" t="n">
        <v>2023</v>
      </c>
      <c r="E130" s="7" t="inlineStr">
        <is>
          <t>West</t>
        </is>
      </c>
      <c r="F130" s="7" t="inlineStr">
        <is>
          <t>Office Supplies</t>
        </is>
      </c>
      <c r="G130" s="7" t="inlineStr">
        <is>
          <t>Paper</t>
        </is>
      </c>
      <c r="H130" s="7" t="inlineStr">
        <is>
          <t>Corporate</t>
        </is>
      </c>
      <c r="I130" s="7" t="n">
        <v>4</v>
      </c>
      <c r="J130" s="10" t="n">
        <v>25.59</v>
      </c>
      <c r="K130" s="11" t="n">
        <v>0</v>
      </c>
      <c r="L130" s="10">
        <f>I130*J130*(1-K130)</f>
        <v/>
      </c>
      <c r="M130" s="10" t="n">
        <v>50</v>
      </c>
      <c r="N130" s="10">
        <f>L130-M130</f>
        <v/>
      </c>
    </row>
    <row r="131">
      <c r="A131" s="7" t="inlineStr">
        <is>
          <t>ORD-02557</t>
        </is>
      </c>
      <c r="B131" s="8" t="n">
        <v>44974</v>
      </c>
      <c r="C131" s="9" t="n">
        <v>44958</v>
      </c>
      <c r="D131" s="7" t="n">
        <v>2023</v>
      </c>
      <c r="E131" s="7" t="inlineStr">
        <is>
          <t>South</t>
        </is>
      </c>
      <c r="F131" s="7" t="inlineStr">
        <is>
          <t>Technology</t>
        </is>
      </c>
      <c r="G131" s="7" t="inlineStr">
        <is>
          <t>Laptop</t>
        </is>
      </c>
      <c r="H131" s="7" t="inlineStr">
        <is>
          <t>Consumer</t>
        </is>
      </c>
      <c r="I131" s="7" t="n">
        <v>3</v>
      </c>
      <c r="J131" s="10" t="n">
        <v>937.7</v>
      </c>
      <c r="K131" s="11" t="n">
        <v>0.3</v>
      </c>
      <c r="L131" s="10">
        <f>I131*J131*(1-K131)</f>
        <v/>
      </c>
      <c r="M131" s="10" t="n">
        <v>2106</v>
      </c>
      <c r="N131" s="10">
        <f>L131-M131</f>
        <v/>
      </c>
    </row>
    <row r="132">
      <c r="A132" s="7" t="inlineStr">
        <is>
          <t>ORD-00590</t>
        </is>
      </c>
      <c r="B132" s="8" t="n">
        <v>44974</v>
      </c>
      <c r="C132" s="9" t="n">
        <v>44958</v>
      </c>
      <c r="D132" s="7" t="n">
        <v>2023</v>
      </c>
      <c r="E132" s="7" t="inlineStr">
        <is>
          <t>East</t>
        </is>
      </c>
      <c r="F132" s="7" t="inlineStr">
        <is>
          <t>Technology</t>
        </is>
      </c>
      <c r="G132" s="7" t="inlineStr">
        <is>
          <t>Laptop</t>
        </is>
      </c>
      <c r="H132" s="7" t="inlineStr">
        <is>
          <t>Corporate</t>
        </is>
      </c>
      <c r="I132" s="7" t="n">
        <v>2</v>
      </c>
      <c r="J132" s="10" t="n">
        <v>898.72</v>
      </c>
      <c r="K132" s="11" t="n">
        <v>0</v>
      </c>
      <c r="L132" s="10">
        <f>I132*J132*(1-K132)</f>
        <v/>
      </c>
      <c r="M132" s="10" t="n">
        <v>1404</v>
      </c>
      <c r="N132" s="10">
        <f>L132-M132</f>
        <v/>
      </c>
    </row>
    <row r="133">
      <c r="A133" s="7" t="inlineStr">
        <is>
          <t>ORD-04338</t>
        </is>
      </c>
      <c r="B133" s="8" t="n">
        <v>44974</v>
      </c>
      <c r="C133" s="9" t="n">
        <v>44958</v>
      </c>
      <c r="D133" s="7" t="n">
        <v>2023</v>
      </c>
      <c r="E133" s="7" t="inlineStr">
        <is>
          <t>North</t>
        </is>
      </c>
      <c r="F133" s="7" t="inlineStr">
        <is>
          <t>Furniture</t>
        </is>
      </c>
      <c r="G133" s="7" t="inlineStr">
        <is>
          <t>Desk</t>
        </is>
      </c>
      <c r="H133" s="7" t="inlineStr">
        <is>
          <t>Home Office</t>
        </is>
      </c>
      <c r="I133" s="7" t="n">
        <v>4</v>
      </c>
      <c r="J133" s="10" t="n">
        <v>431.12</v>
      </c>
      <c r="K133" s="11" t="n">
        <v>0</v>
      </c>
      <c r="L133" s="10">
        <f>I133*J133*(1-K133)</f>
        <v/>
      </c>
      <c r="M133" s="10" t="n">
        <v>1530</v>
      </c>
      <c r="N133" s="10">
        <f>L133-M133</f>
        <v/>
      </c>
    </row>
    <row r="134">
      <c r="A134" s="7" t="inlineStr">
        <is>
          <t>ORD-00227</t>
        </is>
      </c>
      <c r="B134" s="8" t="n">
        <v>44974</v>
      </c>
      <c r="C134" s="9" t="n">
        <v>44958</v>
      </c>
      <c r="D134" s="7" t="n">
        <v>2023</v>
      </c>
      <c r="E134" s="7" t="inlineStr">
        <is>
          <t>East</t>
        </is>
      </c>
      <c r="F134" s="7" t="inlineStr">
        <is>
          <t>Technology</t>
        </is>
      </c>
      <c r="G134" s="7" t="inlineStr">
        <is>
          <t>Laptop</t>
        </is>
      </c>
      <c r="H134" s="7" t="inlineStr">
        <is>
          <t>Consumer</t>
        </is>
      </c>
      <c r="I134" s="7" t="n">
        <v>1</v>
      </c>
      <c r="J134" s="10" t="n">
        <v>938.05</v>
      </c>
      <c r="K134" s="11" t="n">
        <v>0</v>
      </c>
      <c r="L134" s="10">
        <f>I134*J134*(1-K134)</f>
        <v/>
      </c>
      <c r="M134" s="10" t="n">
        <v>702</v>
      </c>
      <c r="N134" s="10">
        <f>L134-M134</f>
        <v/>
      </c>
    </row>
    <row r="135">
      <c r="A135" s="7" t="inlineStr">
        <is>
          <t>ORD-03699</t>
        </is>
      </c>
      <c r="B135" s="8" t="n">
        <v>44974</v>
      </c>
      <c r="C135" s="9" t="n">
        <v>44958</v>
      </c>
      <c r="D135" s="7" t="n">
        <v>2023</v>
      </c>
      <c r="E135" s="7" t="inlineStr">
        <is>
          <t>West</t>
        </is>
      </c>
      <c r="F135" s="7" t="inlineStr">
        <is>
          <t>Office Supplies</t>
        </is>
      </c>
      <c r="G135" s="7" t="inlineStr">
        <is>
          <t>Paper</t>
        </is>
      </c>
      <c r="H135" s="7" t="inlineStr">
        <is>
          <t>Corporate</t>
        </is>
      </c>
      <c r="I135" s="7" t="n">
        <v>7</v>
      </c>
      <c r="J135" s="10" t="n">
        <v>26.04</v>
      </c>
      <c r="K135" s="11" t="n">
        <v>0</v>
      </c>
      <c r="L135" s="10">
        <f>I135*J135*(1-K135)</f>
        <v/>
      </c>
      <c r="M135" s="10" t="n">
        <v>87.5</v>
      </c>
      <c r="N135" s="10">
        <f>L135-M135</f>
        <v/>
      </c>
    </row>
    <row r="136">
      <c r="A136" s="7" t="inlineStr">
        <is>
          <t>ORD-02130</t>
        </is>
      </c>
      <c r="B136" s="8" t="n">
        <v>44975</v>
      </c>
      <c r="C136" s="9" t="n">
        <v>44958</v>
      </c>
      <c r="D136" s="7" t="n">
        <v>2023</v>
      </c>
      <c r="E136" s="7" t="inlineStr">
        <is>
          <t>East</t>
        </is>
      </c>
      <c r="F136" s="7" t="inlineStr">
        <is>
          <t>Technology</t>
        </is>
      </c>
      <c r="G136" s="7" t="inlineStr">
        <is>
          <t>Smartphone</t>
        </is>
      </c>
      <c r="H136" s="7" t="inlineStr">
        <is>
          <t>Consumer</t>
        </is>
      </c>
      <c r="I136" s="7" t="n">
        <v>3</v>
      </c>
      <c r="J136" s="10" t="n">
        <v>618.17</v>
      </c>
      <c r="K136" s="11" t="n">
        <v>0</v>
      </c>
      <c r="L136" s="10">
        <f>I136*J136*(1-K136)</f>
        <v/>
      </c>
      <c r="M136" s="10" t="n">
        <v>1350</v>
      </c>
      <c r="N136" s="10">
        <f>L136-M136</f>
        <v/>
      </c>
    </row>
    <row r="137">
      <c r="A137" s="7" t="inlineStr">
        <is>
          <t>ORD-03308</t>
        </is>
      </c>
      <c r="B137" s="8" t="n">
        <v>44975</v>
      </c>
      <c r="C137" s="9" t="n">
        <v>44958</v>
      </c>
      <c r="D137" s="7" t="n">
        <v>2023</v>
      </c>
      <c r="E137" s="7" t="inlineStr">
        <is>
          <t>North</t>
        </is>
      </c>
      <c r="F137" s="7" t="inlineStr">
        <is>
          <t>Furniture</t>
        </is>
      </c>
      <c r="G137" s="7" t="inlineStr">
        <is>
          <t>Office Chair</t>
        </is>
      </c>
      <c r="H137" s="7" t="inlineStr">
        <is>
          <t>Home Office</t>
        </is>
      </c>
      <c r="I137" s="7" t="n">
        <v>2</v>
      </c>
      <c r="J137" s="10" t="n">
        <v>228.9</v>
      </c>
      <c r="K137" s="11" t="n">
        <v>0.2</v>
      </c>
      <c r="L137" s="10">
        <f>I137*J137*(1-K137)</f>
        <v/>
      </c>
      <c r="M137" s="10" t="n">
        <v>360.8</v>
      </c>
      <c r="N137" s="10">
        <f>L137-M137</f>
        <v/>
      </c>
    </row>
    <row r="138">
      <c r="A138" s="7" t="inlineStr">
        <is>
          <t>ORD-05030</t>
        </is>
      </c>
      <c r="B138" s="8" t="n">
        <v>44975</v>
      </c>
      <c r="C138" s="9" t="n">
        <v>44958</v>
      </c>
      <c r="D138" s="7" t="n">
        <v>2023</v>
      </c>
      <c r="E138" s="7" t="inlineStr">
        <is>
          <t>North</t>
        </is>
      </c>
      <c r="F138" s="7" t="inlineStr">
        <is>
          <t>Furniture</t>
        </is>
      </c>
      <c r="G138" s="7" t="inlineStr">
        <is>
          <t>Office Chair</t>
        </is>
      </c>
      <c r="H138" s="7" t="inlineStr">
        <is>
          <t>Home Office</t>
        </is>
      </c>
      <c r="I138" s="7" t="n">
        <v>4</v>
      </c>
      <c r="J138" s="10" t="n">
        <v>228.6</v>
      </c>
      <c r="K138" s="11" t="n">
        <v>0.05</v>
      </c>
      <c r="L138" s="10">
        <f>I138*J138*(1-K138)</f>
        <v/>
      </c>
      <c r="M138" s="10" t="n">
        <v>721.6</v>
      </c>
      <c r="N138" s="10">
        <f>L138-M138</f>
        <v/>
      </c>
    </row>
    <row r="139">
      <c r="A139" s="7" t="inlineStr">
        <is>
          <t>ORD-05481</t>
        </is>
      </c>
      <c r="B139" s="8" t="n">
        <v>44976</v>
      </c>
      <c r="C139" s="9" t="n">
        <v>44958</v>
      </c>
      <c r="D139" s="7" t="n">
        <v>2023</v>
      </c>
      <c r="E139" s="7" t="inlineStr">
        <is>
          <t>South</t>
        </is>
      </c>
      <c r="F139" s="7" t="inlineStr">
        <is>
          <t>Technology</t>
        </is>
      </c>
      <c r="G139" s="7" t="inlineStr">
        <is>
          <t>Smartphone</t>
        </is>
      </c>
      <c r="H139" s="7" t="inlineStr">
        <is>
          <t>Consumer</t>
        </is>
      </c>
      <c r="I139" s="7" t="n">
        <v>1</v>
      </c>
      <c r="J139" s="10" t="n">
        <v>615.09</v>
      </c>
      <c r="K139" s="11" t="n">
        <v>0</v>
      </c>
      <c r="L139" s="10">
        <f>I139*J139*(1-K139)</f>
        <v/>
      </c>
      <c r="M139" s="10" t="n">
        <v>450</v>
      </c>
      <c r="N139" s="10">
        <f>L139-M139</f>
        <v/>
      </c>
    </row>
    <row r="140">
      <c r="A140" s="7" t="inlineStr">
        <is>
          <t>ORD-02581</t>
        </is>
      </c>
      <c r="B140" s="8" t="n">
        <v>44976</v>
      </c>
      <c r="C140" s="9" t="n">
        <v>44958</v>
      </c>
      <c r="D140" s="7" t="n">
        <v>2023</v>
      </c>
      <c r="E140" s="7" t="inlineStr">
        <is>
          <t>East</t>
        </is>
      </c>
      <c r="F140" s="7" t="inlineStr">
        <is>
          <t>Technology</t>
        </is>
      </c>
      <c r="G140" s="7" t="inlineStr">
        <is>
          <t>Monitor</t>
        </is>
      </c>
      <c r="H140" s="7" t="inlineStr">
        <is>
          <t>Corporate</t>
        </is>
      </c>
      <c r="I140" s="7" t="n">
        <v>3</v>
      </c>
      <c r="J140" s="10" t="n">
        <v>249.16</v>
      </c>
      <c r="K140" s="11" t="n">
        <v>0</v>
      </c>
      <c r="L140" s="10">
        <f>I140*J140*(1-K140)</f>
        <v/>
      </c>
      <c r="M140" s="10" t="n">
        <v>540</v>
      </c>
      <c r="N140" s="10">
        <f>L140-M140</f>
        <v/>
      </c>
    </row>
    <row r="141">
      <c r="A141" s="7" t="inlineStr">
        <is>
          <t>ORD-03333</t>
        </is>
      </c>
      <c r="B141" s="8" t="n">
        <v>44976</v>
      </c>
      <c r="C141" s="9" t="n">
        <v>44958</v>
      </c>
      <c r="D141" s="7" t="n">
        <v>2023</v>
      </c>
      <c r="E141" s="7" t="inlineStr">
        <is>
          <t>East</t>
        </is>
      </c>
      <c r="F141" s="7" t="inlineStr">
        <is>
          <t>Office Supplies</t>
        </is>
      </c>
      <c r="G141" s="7" t="inlineStr">
        <is>
          <t>Stapler</t>
        </is>
      </c>
      <c r="H141" s="7" t="inlineStr">
        <is>
          <t>Consumer</t>
        </is>
      </c>
      <c r="I141" s="7" t="n">
        <v>6</v>
      </c>
      <c r="J141" s="10" t="n">
        <v>14.87</v>
      </c>
      <c r="K141" s="11" t="n">
        <v>0</v>
      </c>
      <c r="L141" s="10">
        <f>I141*J141*(1-K141)</f>
        <v/>
      </c>
      <c r="M141" s="10" t="n">
        <v>45</v>
      </c>
      <c r="N141" s="10">
        <f>L141-M141</f>
        <v/>
      </c>
    </row>
    <row r="142">
      <c r="A142" s="7" t="inlineStr">
        <is>
          <t>ORD-03300</t>
        </is>
      </c>
      <c r="B142" s="8" t="n">
        <v>44977</v>
      </c>
      <c r="C142" s="9" t="n">
        <v>44958</v>
      </c>
      <c r="D142" s="7" t="n">
        <v>2023</v>
      </c>
      <c r="E142" s="7" t="inlineStr">
        <is>
          <t>West</t>
        </is>
      </c>
      <c r="F142" s="7" t="inlineStr">
        <is>
          <t>Furniture</t>
        </is>
      </c>
      <c r="G142" s="7" t="inlineStr">
        <is>
          <t>Office Chair</t>
        </is>
      </c>
      <c r="H142" s="7" t="inlineStr">
        <is>
          <t>Home Office</t>
        </is>
      </c>
      <c r="I142" s="7" t="n">
        <v>2</v>
      </c>
      <c r="J142" s="10" t="n">
        <v>223.44</v>
      </c>
      <c r="K142" s="11" t="n">
        <v>0</v>
      </c>
      <c r="L142" s="10">
        <f>I142*J142*(1-K142)</f>
        <v/>
      </c>
      <c r="M142" s="10" t="n">
        <v>360.8</v>
      </c>
      <c r="N142" s="10">
        <f>L142-M142</f>
        <v/>
      </c>
    </row>
    <row r="143">
      <c r="A143" s="7" t="inlineStr">
        <is>
          <t>ORD-04380</t>
        </is>
      </c>
      <c r="B143" s="8" t="n">
        <v>44977</v>
      </c>
      <c r="C143" s="9" t="n">
        <v>44958</v>
      </c>
      <c r="D143" s="7" t="n">
        <v>2023</v>
      </c>
      <c r="E143" s="7" t="inlineStr">
        <is>
          <t>West</t>
        </is>
      </c>
      <c r="F143" s="7" t="inlineStr">
        <is>
          <t>Office Supplies</t>
        </is>
      </c>
      <c r="G143" s="7" t="inlineStr">
        <is>
          <t>Binder</t>
        </is>
      </c>
      <c r="H143" s="7" t="inlineStr">
        <is>
          <t>Consumer</t>
        </is>
      </c>
      <c r="I143" s="7" t="n">
        <v>14</v>
      </c>
      <c r="J143" s="10" t="n">
        <v>7.73</v>
      </c>
      <c r="K143" s="11" t="n">
        <v>0.1</v>
      </c>
      <c r="L143" s="10">
        <f>I143*J143*(1-K143)</f>
        <v/>
      </c>
      <c r="M143" s="10" t="n">
        <v>44.8</v>
      </c>
      <c r="N143" s="10">
        <f>L143-M143</f>
        <v/>
      </c>
    </row>
    <row r="144">
      <c r="A144" s="7" t="inlineStr">
        <is>
          <t>ORD-01205</t>
        </is>
      </c>
      <c r="B144" s="8" t="n">
        <v>44977</v>
      </c>
      <c r="C144" s="9" t="n">
        <v>44958</v>
      </c>
      <c r="D144" s="7" t="n">
        <v>2023</v>
      </c>
      <c r="E144" s="7" t="inlineStr">
        <is>
          <t>South</t>
        </is>
      </c>
      <c r="F144" s="7" t="inlineStr">
        <is>
          <t>Furniture</t>
        </is>
      </c>
      <c r="G144" s="7" t="inlineStr">
        <is>
          <t>Bookcase</t>
        </is>
      </c>
      <c r="H144" s="7" t="inlineStr">
        <is>
          <t>Consumer</t>
        </is>
      </c>
      <c r="I144" s="7" t="n">
        <v>4</v>
      </c>
      <c r="J144" s="10" t="n">
        <v>173.8</v>
      </c>
      <c r="K144" s="11" t="n">
        <v>0.1</v>
      </c>
      <c r="L144" s="10">
        <f>I144*J144*(1-K144)</f>
        <v/>
      </c>
      <c r="M144" s="10" t="n">
        <v>576</v>
      </c>
      <c r="N144" s="10">
        <f>L144-M144</f>
        <v/>
      </c>
    </row>
    <row r="145">
      <c r="A145" s="7" t="inlineStr">
        <is>
          <t>ORD-01318</t>
        </is>
      </c>
      <c r="B145" s="8" t="n">
        <v>44977</v>
      </c>
      <c r="C145" s="9" t="n">
        <v>44958</v>
      </c>
      <c r="D145" s="7" t="n">
        <v>2023</v>
      </c>
      <c r="E145" s="7" t="inlineStr">
        <is>
          <t>North</t>
        </is>
      </c>
      <c r="F145" s="7" t="inlineStr">
        <is>
          <t>Technology</t>
        </is>
      </c>
      <c r="G145" s="7" t="inlineStr">
        <is>
          <t>Headphones</t>
        </is>
      </c>
      <c r="H145" s="7" t="inlineStr">
        <is>
          <t>Consumer</t>
        </is>
      </c>
      <c r="I145" s="7" t="n">
        <v>1</v>
      </c>
      <c r="J145" s="10" t="n">
        <v>115.36</v>
      </c>
      <c r="K145" s="11" t="n">
        <v>0.05</v>
      </c>
      <c r="L145" s="10">
        <f>I145*J145*(1-K145)</f>
        <v/>
      </c>
      <c r="M145" s="10" t="n">
        <v>72</v>
      </c>
      <c r="N145" s="10">
        <f>L145-M145</f>
        <v/>
      </c>
    </row>
    <row r="146">
      <c r="A146" s="7" t="inlineStr">
        <is>
          <t>ORD-03192</t>
        </is>
      </c>
      <c r="B146" s="8" t="n">
        <v>44978</v>
      </c>
      <c r="C146" s="9" t="n">
        <v>44958</v>
      </c>
      <c r="D146" s="7" t="n">
        <v>2023</v>
      </c>
      <c r="E146" s="7" t="inlineStr">
        <is>
          <t>West</t>
        </is>
      </c>
      <c r="F146" s="7" t="inlineStr">
        <is>
          <t>Office Supplies</t>
        </is>
      </c>
      <c r="G146" s="7" t="inlineStr">
        <is>
          <t>Binder</t>
        </is>
      </c>
      <c r="H146" s="7" t="inlineStr">
        <is>
          <t>Consumer</t>
        </is>
      </c>
      <c r="I146" s="7" t="n">
        <v>3</v>
      </c>
      <c r="J146" s="10" t="n">
        <v>8.06</v>
      </c>
      <c r="K146" s="11" t="n">
        <v>0</v>
      </c>
      <c r="L146" s="10">
        <f>I146*J146*(1-K146)</f>
        <v/>
      </c>
      <c r="M146" s="10" t="n">
        <v>9.6</v>
      </c>
      <c r="N146" s="10">
        <f>L146-M146</f>
        <v/>
      </c>
    </row>
    <row r="147">
      <c r="A147" s="7" t="inlineStr">
        <is>
          <t>ORD-01743</t>
        </is>
      </c>
      <c r="B147" s="8" t="n">
        <v>44978</v>
      </c>
      <c r="C147" s="9" t="n">
        <v>44958</v>
      </c>
      <c r="D147" s="7" t="n">
        <v>2023</v>
      </c>
      <c r="E147" s="7" t="inlineStr">
        <is>
          <t>South</t>
        </is>
      </c>
      <c r="F147" s="7" t="inlineStr">
        <is>
          <t>Technology</t>
        </is>
      </c>
      <c r="G147" s="7" t="inlineStr">
        <is>
          <t>Monitor</t>
        </is>
      </c>
      <c r="H147" s="7" t="inlineStr">
        <is>
          <t>Corporate</t>
        </is>
      </c>
      <c r="I147" s="7" t="n">
        <v>2</v>
      </c>
      <c r="J147" s="10" t="n">
        <v>251.78</v>
      </c>
      <c r="K147" s="11" t="n">
        <v>0</v>
      </c>
      <c r="L147" s="10">
        <f>I147*J147*(1-K147)</f>
        <v/>
      </c>
      <c r="M147" s="10" t="n">
        <v>360</v>
      </c>
      <c r="N147" s="10">
        <f>L147-M147</f>
        <v/>
      </c>
    </row>
    <row r="148">
      <c r="A148" s="7" t="inlineStr">
        <is>
          <t>ORD-05895</t>
        </is>
      </c>
      <c r="B148" s="8" t="n">
        <v>44979</v>
      </c>
      <c r="C148" s="9" t="n">
        <v>44958</v>
      </c>
      <c r="D148" s="7" t="n">
        <v>2023</v>
      </c>
      <c r="E148" s="7" t="inlineStr">
        <is>
          <t>West</t>
        </is>
      </c>
      <c r="F148" s="7" t="inlineStr">
        <is>
          <t>Office Supplies</t>
        </is>
      </c>
      <c r="G148" s="7" t="inlineStr">
        <is>
          <t>Binder</t>
        </is>
      </c>
      <c r="H148" s="7" t="inlineStr">
        <is>
          <t>Consumer</t>
        </is>
      </c>
      <c r="I148" s="7" t="n">
        <v>6</v>
      </c>
      <c r="J148" s="10" t="n">
        <v>7.96</v>
      </c>
      <c r="K148" s="11" t="n">
        <v>0.05</v>
      </c>
      <c r="L148" s="10">
        <f>I148*J148*(1-K148)</f>
        <v/>
      </c>
      <c r="M148" s="10" t="n">
        <v>19.2</v>
      </c>
      <c r="N148" s="10">
        <f>L148-M148</f>
        <v/>
      </c>
    </row>
    <row r="149">
      <c r="A149" s="7" t="inlineStr">
        <is>
          <t>ORD-05902</t>
        </is>
      </c>
      <c r="B149" s="8" t="n">
        <v>44979</v>
      </c>
      <c r="C149" s="9" t="n">
        <v>44958</v>
      </c>
      <c r="D149" s="7" t="n">
        <v>2023</v>
      </c>
      <c r="E149" s="7" t="inlineStr">
        <is>
          <t>East</t>
        </is>
      </c>
      <c r="F149" s="7" t="inlineStr">
        <is>
          <t>Technology</t>
        </is>
      </c>
      <c r="G149" s="7" t="inlineStr">
        <is>
          <t>Headphones</t>
        </is>
      </c>
      <c r="H149" s="7" t="inlineStr">
        <is>
          <t>Consumer</t>
        </is>
      </c>
      <c r="I149" s="7" t="n">
        <v>3</v>
      </c>
      <c r="J149" s="10" t="n">
        <v>118.89</v>
      </c>
      <c r="K149" s="11" t="n">
        <v>0.1</v>
      </c>
      <c r="L149" s="10">
        <f>I149*J149*(1-K149)</f>
        <v/>
      </c>
      <c r="M149" s="10" t="n">
        <v>216</v>
      </c>
      <c r="N149" s="10">
        <f>L149-M149</f>
        <v/>
      </c>
    </row>
    <row r="150">
      <c r="A150" s="7" t="inlineStr">
        <is>
          <t>ORD-03394</t>
        </is>
      </c>
      <c r="B150" s="8" t="n">
        <v>44980</v>
      </c>
      <c r="C150" s="9" t="n">
        <v>44958</v>
      </c>
      <c r="D150" s="7" t="n">
        <v>2023</v>
      </c>
      <c r="E150" s="7" t="inlineStr">
        <is>
          <t>West</t>
        </is>
      </c>
      <c r="F150" s="7" t="inlineStr">
        <is>
          <t>Technology</t>
        </is>
      </c>
      <c r="G150" s="7" t="inlineStr">
        <is>
          <t>Monitor</t>
        </is>
      </c>
      <c r="H150" s="7" t="inlineStr">
        <is>
          <t>Corporate</t>
        </is>
      </c>
      <c r="I150" s="7" t="n">
        <v>3</v>
      </c>
      <c r="J150" s="10" t="n">
        <v>247.37</v>
      </c>
      <c r="K150" s="11" t="n">
        <v>0.3</v>
      </c>
      <c r="L150" s="10">
        <f>I150*J150*(1-K150)</f>
        <v/>
      </c>
      <c r="M150" s="10" t="n">
        <v>540</v>
      </c>
      <c r="N150" s="10">
        <f>L150-M150</f>
        <v/>
      </c>
    </row>
    <row r="151">
      <c r="A151" s="7" t="inlineStr">
        <is>
          <t>ORD-03862</t>
        </is>
      </c>
      <c r="B151" s="8" t="n">
        <v>44980</v>
      </c>
      <c r="C151" s="9" t="n">
        <v>44958</v>
      </c>
      <c r="D151" s="7" t="n">
        <v>2023</v>
      </c>
      <c r="E151" s="7" t="inlineStr">
        <is>
          <t>East</t>
        </is>
      </c>
      <c r="F151" s="7" t="inlineStr">
        <is>
          <t>Office Supplies</t>
        </is>
      </c>
      <c r="G151" s="7" t="inlineStr">
        <is>
          <t>Printer Ink</t>
        </is>
      </c>
      <c r="H151" s="7" t="inlineStr">
        <is>
          <t>Home Office</t>
        </is>
      </c>
      <c r="I151" s="7" t="n">
        <v>3</v>
      </c>
      <c r="J151" s="10" t="n">
        <v>60.15</v>
      </c>
      <c r="K151" s="11" t="n">
        <v>0.05</v>
      </c>
      <c r="L151" s="10">
        <f>I151*J151*(1-K151)</f>
        <v/>
      </c>
      <c r="M151" s="10" t="n">
        <v>108</v>
      </c>
      <c r="N151" s="10">
        <f>L151-M151</f>
        <v/>
      </c>
    </row>
    <row r="152">
      <c r="A152" s="7" t="inlineStr">
        <is>
          <t>ORD-02815</t>
        </is>
      </c>
      <c r="B152" s="8" t="n">
        <v>44980</v>
      </c>
      <c r="C152" s="9" t="n">
        <v>44958</v>
      </c>
      <c r="D152" s="7" t="n">
        <v>2023</v>
      </c>
      <c r="E152" s="7" t="inlineStr">
        <is>
          <t>North</t>
        </is>
      </c>
      <c r="F152" s="7" t="inlineStr">
        <is>
          <t>Office Supplies</t>
        </is>
      </c>
      <c r="G152" s="7" t="inlineStr">
        <is>
          <t>Paper</t>
        </is>
      </c>
      <c r="H152" s="7" t="inlineStr">
        <is>
          <t>Consumer</t>
        </is>
      </c>
      <c r="I152" s="7" t="n">
        <v>8</v>
      </c>
      <c r="J152" s="10" t="n">
        <v>25.45</v>
      </c>
      <c r="K152" s="11" t="n">
        <v>0</v>
      </c>
      <c r="L152" s="10">
        <f>I152*J152*(1-K152)</f>
        <v/>
      </c>
      <c r="M152" s="10" t="n">
        <v>100</v>
      </c>
      <c r="N152" s="10">
        <f>L152-M152</f>
        <v/>
      </c>
    </row>
    <row r="153">
      <c r="A153" s="7" t="inlineStr">
        <is>
          <t>ORD-04075</t>
        </is>
      </c>
      <c r="B153" s="8" t="n">
        <v>44982</v>
      </c>
      <c r="C153" s="9" t="n">
        <v>44958</v>
      </c>
      <c r="D153" s="7" t="n">
        <v>2023</v>
      </c>
      <c r="E153" s="7" t="inlineStr">
        <is>
          <t>West</t>
        </is>
      </c>
      <c r="F153" s="7" t="inlineStr">
        <is>
          <t>Office Supplies</t>
        </is>
      </c>
      <c r="G153" s="7" t="inlineStr">
        <is>
          <t>Binder</t>
        </is>
      </c>
      <c r="H153" s="7" t="inlineStr">
        <is>
          <t>Corporate</t>
        </is>
      </c>
      <c r="I153" s="7" t="n">
        <v>13</v>
      </c>
      <c r="J153" s="10" t="n">
        <v>8.109999999999999</v>
      </c>
      <c r="K153" s="11" t="n">
        <v>0</v>
      </c>
      <c r="L153" s="10">
        <f>I153*J153*(1-K153)</f>
        <v/>
      </c>
      <c r="M153" s="10" t="n">
        <v>41.6</v>
      </c>
      <c r="N153" s="10">
        <f>L153-M153</f>
        <v/>
      </c>
    </row>
    <row r="154">
      <c r="A154" s="7" t="inlineStr">
        <is>
          <t>ORD-04430</t>
        </is>
      </c>
      <c r="B154" s="8" t="n">
        <v>44983</v>
      </c>
      <c r="C154" s="9" t="n">
        <v>44958</v>
      </c>
      <c r="D154" s="7" t="n">
        <v>2023</v>
      </c>
      <c r="E154" s="7" t="inlineStr">
        <is>
          <t>South</t>
        </is>
      </c>
      <c r="F154" s="7" t="inlineStr">
        <is>
          <t>Office Supplies</t>
        </is>
      </c>
      <c r="G154" s="7" t="inlineStr">
        <is>
          <t>Pens</t>
        </is>
      </c>
      <c r="H154" s="7" t="inlineStr">
        <is>
          <t>Consumer</t>
        </is>
      </c>
      <c r="I154" s="7" t="n">
        <v>10</v>
      </c>
      <c r="J154" s="10" t="n">
        <v>11.93</v>
      </c>
      <c r="K154" s="11" t="n">
        <v>0.2</v>
      </c>
      <c r="L154" s="10">
        <f>I154*J154*(1-K154)</f>
        <v/>
      </c>
      <c r="M154" s="10" t="n">
        <v>54</v>
      </c>
      <c r="N154" s="10">
        <f>L154-M154</f>
        <v/>
      </c>
    </row>
    <row r="155">
      <c r="A155" s="7" t="inlineStr">
        <is>
          <t>ORD-00795</t>
        </is>
      </c>
      <c r="B155" s="8" t="n">
        <v>44983</v>
      </c>
      <c r="C155" s="9" t="n">
        <v>44958</v>
      </c>
      <c r="D155" s="7" t="n">
        <v>2023</v>
      </c>
      <c r="E155" s="7" t="inlineStr">
        <is>
          <t>South</t>
        </is>
      </c>
      <c r="F155" s="7" t="inlineStr">
        <is>
          <t>Furniture</t>
        </is>
      </c>
      <c r="G155" s="7" t="inlineStr">
        <is>
          <t>Office Chair</t>
        </is>
      </c>
      <c r="H155" s="7" t="inlineStr">
        <is>
          <t>Consumer</t>
        </is>
      </c>
      <c r="I155" s="7" t="n">
        <v>3</v>
      </c>
      <c r="J155" s="10" t="n">
        <v>214.9</v>
      </c>
      <c r="K155" s="11" t="n">
        <v>0.05</v>
      </c>
      <c r="L155" s="10">
        <f>I155*J155*(1-K155)</f>
        <v/>
      </c>
      <c r="M155" s="10" t="n">
        <v>541.2</v>
      </c>
      <c r="N155" s="10">
        <f>L155-M155</f>
        <v/>
      </c>
    </row>
    <row r="156">
      <c r="A156" s="7" t="inlineStr">
        <is>
          <t>ORD-04542</t>
        </is>
      </c>
      <c r="B156" s="8" t="n">
        <v>44983</v>
      </c>
      <c r="C156" s="9" t="n">
        <v>44958</v>
      </c>
      <c r="D156" s="7" t="n">
        <v>2023</v>
      </c>
      <c r="E156" s="7" t="inlineStr">
        <is>
          <t>East</t>
        </is>
      </c>
      <c r="F156" s="7" t="inlineStr">
        <is>
          <t>Office Supplies</t>
        </is>
      </c>
      <c r="G156" s="7" t="inlineStr">
        <is>
          <t>Pens</t>
        </is>
      </c>
      <c r="H156" s="7" t="inlineStr">
        <is>
          <t>Consumer</t>
        </is>
      </c>
      <c r="I156" s="7" t="n">
        <v>9</v>
      </c>
      <c r="J156" s="10" t="n">
        <v>12.48</v>
      </c>
      <c r="K156" s="11" t="n">
        <v>0.05</v>
      </c>
      <c r="L156" s="10">
        <f>I156*J156*(1-K156)</f>
        <v/>
      </c>
      <c r="M156" s="10" t="n">
        <v>48.6</v>
      </c>
      <c r="N156" s="10">
        <f>L156-M156</f>
        <v/>
      </c>
    </row>
    <row r="157">
      <c r="A157" s="7" t="inlineStr">
        <is>
          <t>ORD-00650</t>
        </is>
      </c>
      <c r="B157" s="8" t="n">
        <v>44983</v>
      </c>
      <c r="C157" s="9" t="n">
        <v>44958</v>
      </c>
      <c r="D157" s="7" t="n">
        <v>2023</v>
      </c>
      <c r="E157" s="7" t="inlineStr">
        <is>
          <t>West</t>
        </is>
      </c>
      <c r="F157" s="7" t="inlineStr">
        <is>
          <t>Technology</t>
        </is>
      </c>
      <c r="G157" s="7" t="inlineStr">
        <is>
          <t>Headphones</t>
        </is>
      </c>
      <c r="H157" s="7" t="inlineStr">
        <is>
          <t>Consumer</t>
        </is>
      </c>
      <c r="I157" s="7" t="n">
        <v>1</v>
      </c>
      <c r="J157" s="10" t="n">
        <v>122.55</v>
      </c>
      <c r="K157" s="11" t="n">
        <v>0.05</v>
      </c>
      <c r="L157" s="10">
        <f>I157*J157*(1-K157)</f>
        <v/>
      </c>
      <c r="M157" s="10" t="n">
        <v>72</v>
      </c>
      <c r="N157" s="10">
        <f>L157-M157</f>
        <v/>
      </c>
    </row>
    <row r="158">
      <c r="A158" s="7" t="inlineStr">
        <is>
          <t>ORD-00972</t>
        </is>
      </c>
      <c r="B158" s="8" t="n">
        <v>44984</v>
      </c>
      <c r="C158" s="9" t="n">
        <v>44958</v>
      </c>
      <c r="D158" s="7" t="n">
        <v>2023</v>
      </c>
      <c r="E158" s="7" t="inlineStr">
        <is>
          <t>East</t>
        </is>
      </c>
      <c r="F158" s="7" t="inlineStr">
        <is>
          <t>Technology</t>
        </is>
      </c>
      <c r="G158" s="7" t="inlineStr">
        <is>
          <t>Monitor</t>
        </is>
      </c>
      <c r="H158" s="7" t="inlineStr">
        <is>
          <t>Consumer</t>
        </is>
      </c>
      <c r="I158" s="7" t="n">
        <v>1</v>
      </c>
      <c r="J158" s="10" t="n">
        <v>247.47</v>
      </c>
      <c r="K158" s="11" t="n">
        <v>0.05</v>
      </c>
      <c r="L158" s="10">
        <f>I158*J158*(1-K158)</f>
        <v/>
      </c>
      <c r="M158" s="10" t="n">
        <v>180</v>
      </c>
      <c r="N158" s="10">
        <f>L158-M158</f>
        <v/>
      </c>
    </row>
    <row r="159">
      <c r="A159" s="7" t="inlineStr">
        <is>
          <t>ORD-05373</t>
        </is>
      </c>
      <c r="B159" s="8" t="n">
        <v>44984</v>
      </c>
      <c r="C159" s="9" t="n">
        <v>44958</v>
      </c>
      <c r="D159" s="7" t="n">
        <v>2023</v>
      </c>
      <c r="E159" s="7" t="inlineStr">
        <is>
          <t>West</t>
        </is>
      </c>
      <c r="F159" s="7" t="inlineStr">
        <is>
          <t>Office Supplies</t>
        </is>
      </c>
      <c r="G159" s="7" t="inlineStr">
        <is>
          <t>Paper</t>
        </is>
      </c>
      <c r="H159" s="7" t="inlineStr">
        <is>
          <t>Corporate</t>
        </is>
      </c>
      <c r="I159" s="7" t="n">
        <v>13</v>
      </c>
      <c r="J159" s="10" t="n">
        <v>25.32</v>
      </c>
      <c r="K159" s="11" t="n">
        <v>0</v>
      </c>
      <c r="L159" s="10">
        <f>I159*J159*(1-K159)</f>
        <v/>
      </c>
      <c r="M159" s="10" t="n">
        <v>162.5</v>
      </c>
      <c r="N159" s="10">
        <f>L159-M159</f>
        <v/>
      </c>
    </row>
    <row r="160">
      <c r="A160" s="7" t="inlineStr">
        <is>
          <t>ORD-04257</t>
        </is>
      </c>
      <c r="B160" s="8" t="n">
        <v>44984</v>
      </c>
      <c r="C160" s="9" t="n">
        <v>44958</v>
      </c>
      <c r="D160" s="7" t="n">
        <v>2023</v>
      </c>
      <c r="E160" s="7" t="inlineStr">
        <is>
          <t>North</t>
        </is>
      </c>
      <c r="F160" s="7" t="inlineStr">
        <is>
          <t>Office Supplies</t>
        </is>
      </c>
      <c r="G160" s="7" t="inlineStr">
        <is>
          <t>Binder</t>
        </is>
      </c>
      <c r="H160" s="7" t="inlineStr">
        <is>
          <t>Corporate</t>
        </is>
      </c>
      <c r="I160" s="7" t="n">
        <v>11</v>
      </c>
      <c r="J160" s="10" t="n">
        <v>8.130000000000001</v>
      </c>
      <c r="K160" s="11" t="n">
        <v>0.05</v>
      </c>
      <c r="L160" s="10">
        <f>I160*J160*(1-K160)</f>
        <v/>
      </c>
      <c r="M160" s="10" t="n">
        <v>35.2</v>
      </c>
      <c r="N160" s="10">
        <f>L160-M160</f>
        <v/>
      </c>
    </row>
    <row r="161">
      <c r="A161" s="7" t="inlineStr">
        <is>
          <t>ORD-00069</t>
        </is>
      </c>
      <c r="B161" s="8" t="n">
        <v>44985</v>
      </c>
      <c r="C161" s="9" t="n">
        <v>44958</v>
      </c>
      <c r="D161" s="7" t="n">
        <v>2023</v>
      </c>
      <c r="E161" s="7" t="inlineStr">
        <is>
          <t>West</t>
        </is>
      </c>
      <c r="F161" s="7" t="inlineStr">
        <is>
          <t>Office Supplies</t>
        </is>
      </c>
      <c r="G161" s="7" t="inlineStr">
        <is>
          <t>Printer Ink</t>
        </is>
      </c>
      <c r="H161" s="7" t="inlineStr">
        <is>
          <t>Consumer</t>
        </is>
      </c>
      <c r="I161" s="7" t="n">
        <v>9</v>
      </c>
      <c r="J161" s="10" t="n">
        <v>61.3</v>
      </c>
      <c r="K161" s="11" t="n">
        <v>0.05</v>
      </c>
      <c r="L161" s="10">
        <f>I161*J161*(1-K161)</f>
        <v/>
      </c>
      <c r="M161" s="10" t="n">
        <v>324</v>
      </c>
      <c r="N161" s="10">
        <f>L161-M161</f>
        <v/>
      </c>
    </row>
    <row r="162">
      <c r="A162" s="7" t="inlineStr">
        <is>
          <t>ORD-02560</t>
        </is>
      </c>
      <c r="B162" s="8" t="n">
        <v>44985</v>
      </c>
      <c r="C162" s="9" t="n">
        <v>44958</v>
      </c>
      <c r="D162" s="7" t="n">
        <v>2023</v>
      </c>
      <c r="E162" s="7" t="inlineStr">
        <is>
          <t>North</t>
        </is>
      </c>
      <c r="F162" s="7" t="inlineStr">
        <is>
          <t>Furniture</t>
        </is>
      </c>
      <c r="G162" s="7" t="inlineStr">
        <is>
          <t>Desk</t>
        </is>
      </c>
      <c r="H162" s="7" t="inlineStr">
        <is>
          <t>Consumer</t>
        </is>
      </c>
      <c r="I162" s="7" t="n">
        <v>3</v>
      </c>
      <c r="J162" s="10" t="n">
        <v>470.27</v>
      </c>
      <c r="K162" s="11" t="n">
        <v>0.3</v>
      </c>
      <c r="L162" s="10">
        <f>I162*J162*(1-K162)</f>
        <v/>
      </c>
      <c r="M162" s="10" t="n">
        <v>1147.5</v>
      </c>
      <c r="N162" s="10">
        <f>L162-M162</f>
        <v/>
      </c>
    </row>
    <row r="163">
      <c r="A163" s="7" t="inlineStr">
        <is>
          <t>ORD-01729</t>
        </is>
      </c>
      <c r="B163" s="8" t="n">
        <v>44985</v>
      </c>
      <c r="C163" s="9" t="n">
        <v>44958</v>
      </c>
      <c r="D163" s="7" t="n">
        <v>2023</v>
      </c>
      <c r="E163" s="7" t="inlineStr">
        <is>
          <t>South</t>
        </is>
      </c>
      <c r="F163" s="7" t="inlineStr">
        <is>
          <t>Technology</t>
        </is>
      </c>
      <c r="G163" s="7" t="inlineStr">
        <is>
          <t>Laptop</t>
        </is>
      </c>
      <c r="H163" s="7" t="inlineStr">
        <is>
          <t>Consumer</t>
        </is>
      </c>
      <c r="I163" s="7" t="n">
        <v>2</v>
      </c>
      <c r="J163" s="10" t="n">
        <v>857.4400000000001</v>
      </c>
      <c r="K163" s="11" t="n">
        <v>0.2</v>
      </c>
      <c r="L163" s="10">
        <f>I163*J163*(1-K163)</f>
        <v/>
      </c>
      <c r="M163" s="10" t="n">
        <v>1404</v>
      </c>
      <c r="N163" s="10">
        <f>L163-M163</f>
        <v/>
      </c>
    </row>
    <row r="164">
      <c r="A164" s="7" t="inlineStr">
        <is>
          <t>ORD-03824</t>
        </is>
      </c>
      <c r="B164" s="8" t="n">
        <v>44985</v>
      </c>
      <c r="C164" s="9" t="n">
        <v>44958</v>
      </c>
      <c r="D164" s="7" t="n">
        <v>2023</v>
      </c>
      <c r="E164" s="7" t="inlineStr">
        <is>
          <t>East</t>
        </is>
      </c>
      <c r="F164" s="7" t="inlineStr">
        <is>
          <t>Furniture</t>
        </is>
      </c>
      <c r="G164" s="7" t="inlineStr">
        <is>
          <t>Sofa</t>
        </is>
      </c>
      <c r="H164" s="7" t="inlineStr">
        <is>
          <t>Corporate</t>
        </is>
      </c>
      <c r="I164" s="7" t="n">
        <v>3</v>
      </c>
      <c r="J164" s="10" t="n">
        <v>682.92</v>
      </c>
      <c r="K164" s="11" t="n">
        <v>0.2</v>
      </c>
      <c r="L164" s="10">
        <f>I164*J164*(1-K164)</f>
        <v/>
      </c>
      <c r="M164" s="10" t="n">
        <v>1848</v>
      </c>
      <c r="N164" s="10">
        <f>L164-M164</f>
        <v/>
      </c>
    </row>
    <row r="165">
      <c r="A165" s="7" t="inlineStr">
        <is>
          <t>ORD-02080</t>
        </is>
      </c>
      <c r="B165" s="8" t="n">
        <v>44985</v>
      </c>
      <c r="C165" s="9" t="n">
        <v>44958</v>
      </c>
      <c r="D165" s="7" t="n">
        <v>2023</v>
      </c>
      <c r="E165" s="7" t="inlineStr">
        <is>
          <t>North</t>
        </is>
      </c>
      <c r="F165" s="7" t="inlineStr">
        <is>
          <t>Technology</t>
        </is>
      </c>
      <c r="G165" s="7" t="inlineStr">
        <is>
          <t>Smartphone</t>
        </is>
      </c>
      <c r="H165" s="7" t="inlineStr">
        <is>
          <t>Corporate</t>
        </is>
      </c>
      <c r="I165" s="7" t="n">
        <v>1</v>
      </c>
      <c r="J165" s="10" t="n">
        <v>594.14</v>
      </c>
      <c r="K165" s="11" t="n">
        <v>0.1</v>
      </c>
      <c r="L165" s="10">
        <f>I165*J165*(1-K165)</f>
        <v/>
      </c>
      <c r="M165" s="10" t="n">
        <v>450</v>
      </c>
      <c r="N165" s="10">
        <f>L165-M165</f>
        <v/>
      </c>
    </row>
    <row r="166">
      <c r="A166" s="7" t="inlineStr">
        <is>
          <t>ORD-05862</t>
        </is>
      </c>
      <c r="B166" s="8" t="n">
        <v>44985</v>
      </c>
      <c r="C166" s="9" t="n">
        <v>44958</v>
      </c>
      <c r="D166" s="7" t="n">
        <v>2023</v>
      </c>
      <c r="E166" s="7" t="inlineStr">
        <is>
          <t>North</t>
        </is>
      </c>
      <c r="F166" s="7" t="inlineStr">
        <is>
          <t>Furniture</t>
        </is>
      </c>
      <c r="G166" s="7" t="inlineStr">
        <is>
          <t>Bookcase</t>
        </is>
      </c>
      <c r="H166" s="7" t="inlineStr">
        <is>
          <t>Home Office</t>
        </is>
      </c>
      <c r="I166" s="7" t="n">
        <v>2</v>
      </c>
      <c r="J166" s="10" t="n">
        <v>177.93</v>
      </c>
      <c r="K166" s="11" t="n">
        <v>0.1</v>
      </c>
      <c r="L166" s="10">
        <f>I166*J166*(1-K166)</f>
        <v/>
      </c>
      <c r="M166" s="10" t="n">
        <v>288</v>
      </c>
      <c r="N166" s="10">
        <f>L166-M166</f>
        <v/>
      </c>
    </row>
    <row r="167">
      <c r="A167" s="7" t="inlineStr">
        <is>
          <t>ORD-02605</t>
        </is>
      </c>
      <c r="B167" s="8" t="n">
        <v>44986</v>
      </c>
      <c r="C167" s="9" t="n">
        <v>44986</v>
      </c>
      <c r="D167" s="7" t="n">
        <v>2023</v>
      </c>
      <c r="E167" s="7" t="inlineStr">
        <is>
          <t>South</t>
        </is>
      </c>
      <c r="F167" s="7" t="inlineStr">
        <is>
          <t>Office Supplies</t>
        </is>
      </c>
      <c r="G167" s="7" t="inlineStr">
        <is>
          <t>Paper</t>
        </is>
      </c>
      <c r="H167" s="7" t="inlineStr">
        <is>
          <t>Home Office</t>
        </is>
      </c>
      <c r="I167" s="7" t="n">
        <v>2</v>
      </c>
      <c r="J167" s="10" t="n">
        <v>24.9</v>
      </c>
      <c r="K167" s="11" t="n">
        <v>0.05</v>
      </c>
      <c r="L167" s="10">
        <f>I167*J167*(1-K167)</f>
        <v/>
      </c>
      <c r="M167" s="10" t="n">
        <v>25</v>
      </c>
      <c r="N167" s="10">
        <f>L167-M167</f>
        <v/>
      </c>
    </row>
    <row r="168">
      <c r="A168" s="7" t="inlineStr">
        <is>
          <t>ORD-04969</t>
        </is>
      </c>
      <c r="B168" s="8" t="n">
        <v>44986</v>
      </c>
      <c r="C168" s="9" t="n">
        <v>44986</v>
      </c>
      <c r="D168" s="7" t="n">
        <v>2023</v>
      </c>
      <c r="E168" s="7" t="inlineStr">
        <is>
          <t>South</t>
        </is>
      </c>
      <c r="F168" s="7" t="inlineStr">
        <is>
          <t>Technology</t>
        </is>
      </c>
      <c r="G168" s="7" t="inlineStr">
        <is>
          <t>Laptop</t>
        </is>
      </c>
      <c r="H168" s="7" t="inlineStr">
        <is>
          <t>Consumer</t>
        </is>
      </c>
      <c r="I168" s="7" t="n">
        <v>2</v>
      </c>
      <c r="J168" s="10" t="n">
        <v>867.45</v>
      </c>
      <c r="K168" s="11" t="n">
        <v>0.2</v>
      </c>
      <c r="L168" s="10">
        <f>I168*J168*(1-K168)</f>
        <v/>
      </c>
      <c r="M168" s="10" t="n">
        <v>1404</v>
      </c>
      <c r="N168" s="10">
        <f>L168-M168</f>
        <v/>
      </c>
    </row>
    <row r="169">
      <c r="A169" s="7" t="inlineStr">
        <is>
          <t>ORD-00768</t>
        </is>
      </c>
      <c r="B169" s="8" t="n">
        <v>44986</v>
      </c>
      <c r="C169" s="9" t="n">
        <v>44986</v>
      </c>
      <c r="D169" s="7" t="n">
        <v>2023</v>
      </c>
      <c r="E169" s="7" t="inlineStr">
        <is>
          <t>East</t>
        </is>
      </c>
      <c r="F169" s="7" t="inlineStr">
        <is>
          <t>Office Supplies</t>
        </is>
      </c>
      <c r="G169" s="7" t="inlineStr">
        <is>
          <t>Printer Ink</t>
        </is>
      </c>
      <c r="H169" s="7" t="inlineStr">
        <is>
          <t>Consumer</t>
        </is>
      </c>
      <c r="I169" s="7" t="n">
        <v>8</v>
      </c>
      <c r="J169" s="10" t="n">
        <v>60.67</v>
      </c>
      <c r="K169" s="11" t="n">
        <v>0.05</v>
      </c>
      <c r="L169" s="10">
        <f>I169*J169*(1-K169)</f>
        <v/>
      </c>
      <c r="M169" s="10" t="n">
        <v>288</v>
      </c>
      <c r="N169" s="10">
        <f>L169-M169</f>
        <v/>
      </c>
    </row>
    <row r="170">
      <c r="A170" s="7" t="inlineStr">
        <is>
          <t>ORD-04147</t>
        </is>
      </c>
      <c r="B170" s="8" t="n">
        <v>44986</v>
      </c>
      <c r="C170" s="9" t="n">
        <v>44986</v>
      </c>
      <c r="D170" s="7" t="n">
        <v>2023</v>
      </c>
      <c r="E170" s="7" t="inlineStr">
        <is>
          <t>West</t>
        </is>
      </c>
      <c r="F170" s="7" t="inlineStr">
        <is>
          <t>Office Supplies</t>
        </is>
      </c>
      <c r="G170" s="7" t="inlineStr">
        <is>
          <t>Pens</t>
        </is>
      </c>
      <c r="H170" s="7" t="inlineStr">
        <is>
          <t>Consumer</t>
        </is>
      </c>
      <c r="I170" s="7" t="n">
        <v>13</v>
      </c>
      <c r="J170" s="10" t="n">
        <v>12.6</v>
      </c>
      <c r="K170" s="11" t="n">
        <v>0.2</v>
      </c>
      <c r="L170" s="10">
        <f>I170*J170*(1-K170)</f>
        <v/>
      </c>
      <c r="M170" s="10" t="n">
        <v>70.2</v>
      </c>
      <c r="N170" s="10">
        <f>L170-M170</f>
        <v/>
      </c>
    </row>
    <row r="171">
      <c r="A171" s="7" t="inlineStr">
        <is>
          <t>ORD-05417</t>
        </is>
      </c>
      <c r="B171" s="8" t="n">
        <v>44986</v>
      </c>
      <c r="C171" s="9" t="n">
        <v>44986</v>
      </c>
      <c r="D171" s="7" t="n">
        <v>2023</v>
      </c>
      <c r="E171" s="7" t="inlineStr">
        <is>
          <t>South</t>
        </is>
      </c>
      <c r="F171" s="7" t="inlineStr">
        <is>
          <t>Technology</t>
        </is>
      </c>
      <c r="G171" s="7" t="inlineStr">
        <is>
          <t>Laptop</t>
        </is>
      </c>
      <c r="H171" s="7" t="inlineStr">
        <is>
          <t>Consumer</t>
        </is>
      </c>
      <c r="I171" s="7" t="n">
        <v>2</v>
      </c>
      <c r="J171" s="10" t="n">
        <v>860.47</v>
      </c>
      <c r="K171" s="11" t="n">
        <v>0</v>
      </c>
      <c r="L171" s="10">
        <f>I171*J171*(1-K171)</f>
        <v/>
      </c>
      <c r="M171" s="10" t="n">
        <v>1404</v>
      </c>
      <c r="N171" s="10">
        <f>L171-M171</f>
        <v/>
      </c>
    </row>
    <row r="172">
      <c r="A172" s="7" t="inlineStr">
        <is>
          <t>ORD-02698</t>
        </is>
      </c>
      <c r="B172" s="8" t="n">
        <v>44987</v>
      </c>
      <c r="C172" s="9" t="n">
        <v>44986</v>
      </c>
      <c r="D172" s="7" t="n">
        <v>2023</v>
      </c>
      <c r="E172" s="7" t="inlineStr">
        <is>
          <t>East</t>
        </is>
      </c>
      <c r="F172" s="7" t="inlineStr">
        <is>
          <t>Furniture</t>
        </is>
      </c>
      <c r="G172" s="7" t="inlineStr">
        <is>
          <t>Sofa</t>
        </is>
      </c>
      <c r="H172" s="7" t="inlineStr">
        <is>
          <t>Home Office</t>
        </is>
      </c>
      <c r="I172" s="7" t="n">
        <v>2</v>
      </c>
      <c r="J172" s="10" t="n">
        <v>697.11</v>
      </c>
      <c r="K172" s="11" t="n">
        <v>0.2</v>
      </c>
      <c r="L172" s="10">
        <f>I172*J172*(1-K172)</f>
        <v/>
      </c>
      <c r="M172" s="10" t="n">
        <v>1232</v>
      </c>
      <c r="N172" s="10">
        <f>L172-M172</f>
        <v/>
      </c>
    </row>
    <row r="173">
      <c r="A173" s="7" t="inlineStr">
        <is>
          <t>ORD-02018</t>
        </is>
      </c>
      <c r="B173" s="8" t="n">
        <v>44987</v>
      </c>
      <c r="C173" s="9" t="n">
        <v>44986</v>
      </c>
      <c r="D173" s="7" t="n">
        <v>2023</v>
      </c>
      <c r="E173" s="7" t="inlineStr">
        <is>
          <t>South</t>
        </is>
      </c>
      <c r="F173" s="7" t="inlineStr">
        <is>
          <t>Furniture</t>
        </is>
      </c>
      <c r="G173" s="7" t="inlineStr">
        <is>
          <t>Bookcase</t>
        </is>
      </c>
      <c r="H173" s="7" t="inlineStr">
        <is>
          <t>Consumer</t>
        </is>
      </c>
      <c r="I173" s="7" t="n">
        <v>3</v>
      </c>
      <c r="J173" s="10" t="n">
        <v>185.06</v>
      </c>
      <c r="K173" s="11" t="n">
        <v>0.3</v>
      </c>
      <c r="L173" s="10">
        <f>I173*J173*(1-K173)</f>
        <v/>
      </c>
      <c r="M173" s="10" t="n">
        <v>432</v>
      </c>
      <c r="N173" s="10">
        <f>L173-M173</f>
        <v/>
      </c>
    </row>
    <row r="174">
      <c r="A174" s="7" t="inlineStr">
        <is>
          <t>ORD-01841</t>
        </is>
      </c>
      <c r="B174" s="8" t="n">
        <v>44987</v>
      </c>
      <c r="C174" s="9" t="n">
        <v>44986</v>
      </c>
      <c r="D174" s="7" t="n">
        <v>2023</v>
      </c>
      <c r="E174" s="7" t="inlineStr">
        <is>
          <t>North</t>
        </is>
      </c>
      <c r="F174" s="7" t="inlineStr">
        <is>
          <t>Technology</t>
        </is>
      </c>
      <c r="G174" s="7" t="inlineStr">
        <is>
          <t>Keyboard</t>
        </is>
      </c>
      <c r="H174" s="7" t="inlineStr">
        <is>
          <t>Consumer</t>
        </is>
      </c>
      <c r="I174" s="7" t="n">
        <v>1</v>
      </c>
      <c r="J174" s="10" t="n">
        <v>42.99</v>
      </c>
      <c r="K174" s="11" t="n">
        <v>0.3</v>
      </c>
      <c r="L174" s="10">
        <f>I174*J174*(1-K174)</f>
        <v/>
      </c>
      <c r="M174" s="10" t="n">
        <v>24.75</v>
      </c>
      <c r="N174" s="10">
        <f>L174-M174</f>
        <v/>
      </c>
    </row>
    <row r="175">
      <c r="A175" s="7" t="inlineStr">
        <is>
          <t>ORD-04232</t>
        </is>
      </c>
      <c r="B175" s="8" t="n">
        <v>44988</v>
      </c>
      <c r="C175" s="9" t="n">
        <v>44986</v>
      </c>
      <c r="D175" s="7" t="n">
        <v>2023</v>
      </c>
      <c r="E175" s="7" t="inlineStr">
        <is>
          <t>South</t>
        </is>
      </c>
      <c r="F175" s="7" t="inlineStr">
        <is>
          <t>Furniture</t>
        </is>
      </c>
      <c r="G175" s="7" t="inlineStr">
        <is>
          <t>Bookcase</t>
        </is>
      </c>
      <c r="H175" s="7" t="inlineStr">
        <is>
          <t>Home Office</t>
        </is>
      </c>
      <c r="I175" s="7" t="n">
        <v>2</v>
      </c>
      <c r="J175" s="10" t="n">
        <v>180.34</v>
      </c>
      <c r="K175" s="11" t="n">
        <v>0.3</v>
      </c>
      <c r="L175" s="10">
        <f>I175*J175*(1-K175)</f>
        <v/>
      </c>
      <c r="M175" s="10" t="n">
        <v>288</v>
      </c>
      <c r="N175" s="10">
        <f>L175-M175</f>
        <v/>
      </c>
    </row>
    <row r="176">
      <c r="A176" s="7" t="inlineStr">
        <is>
          <t>ORD-02750</t>
        </is>
      </c>
      <c r="B176" s="8" t="n">
        <v>44988</v>
      </c>
      <c r="C176" s="9" t="n">
        <v>44986</v>
      </c>
      <c r="D176" s="7" t="n">
        <v>2023</v>
      </c>
      <c r="E176" s="7" t="inlineStr">
        <is>
          <t>East</t>
        </is>
      </c>
      <c r="F176" s="7" t="inlineStr">
        <is>
          <t>Office Supplies</t>
        </is>
      </c>
      <c r="G176" s="7" t="inlineStr">
        <is>
          <t>Pens</t>
        </is>
      </c>
      <c r="H176" s="7" t="inlineStr">
        <is>
          <t>Home Office</t>
        </is>
      </c>
      <c r="I176" s="7" t="n">
        <v>3</v>
      </c>
      <c r="J176" s="10" t="n">
        <v>12.13</v>
      </c>
      <c r="K176" s="11" t="n">
        <v>0.3</v>
      </c>
      <c r="L176" s="10">
        <f>I176*J176*(1-K176)</f>
        <v/>
      </c>
      <c r="M176" s="10" t="n">
        <v>16.2</v>
      </c>
      <c r="N176" s="10">
        <f>L176-M176</f>
        <v/>
      </c>
    </row>
    <row r="177">
      <c r="A177" s="7" t="inlineStr">
        <is>
          <t>ORD-02321</t>
        </is>
      </c>
      <c r="B177" s="8" t="n">
        <v>44988</v>
      </c>
      <c r="C177" s="9" t="n">
        <v>44986</v>
      </c>
      <c r="D177" s="7" t="n">
        <v>2023</v>
      </c>
      <c r="E177" s="7" t="inlineStr">
        <is>
          <t>West</t>
        </is>
      </c>
      <c r="F177" s="7" t="inlineStr">
        <is>
          <t>Technology</t>
        </is>
      </c>
      <c r="G177" s="7" t="inlineStr">
        <is>
          <t>Keyboard</t>
        </is>
      </c>
      <c r="H177" s="7" t="inlineStr">
        <is>
          <t>Corporate</t>
        </is>
      </c>
      <c r="I177" s="7" t="n">
        <v>2</v>
      </c>
      <c r="J177" s="10" t="n">
        <v>44.53</v>
      </c>
      <c r="K177" s="11" t="n">
        <v>0.2</v>
      </c>
      <c r="L177" s="10">
        <f>I177*J177*(1-K177)</f>
        <v/>
      </c>
      <c r="M177" s="10" t="n">
        <v>49.5</v>
      </c>
      <c r="N177" s="10">
        <f>L177-M177</f>
        <v/>
      </c>
    </row>
    <row r="178">
      <c r="A178" s="7" t="inlineStr">
        <is>
          <t>ORD-02122</t>
        </is>
      </c>
      <c r="B178" s="8" t="n">
        <v>44988</v>
      </c>
      <c r="C178" s="9" t="n">
        <v>44986</v>
      </c>
      <c r="D178" s="7" t="n">
        <v>2023</v>
      </c>
      <c r="E178" s="7" t="inlineStr">
        <is>
          <t>East</t>
        </is>
      </c>
      <c r="F178" s="7" t="inlineStr">
        <is>
          <t>Furniture</t>
        </is>
      </c>
      <c r="G178" s="7" t="inlineStr">
        <is>
          <t>Desk</t>
        </is>
      </c>
      <c r="H178" s="7" t="inlineStr">
        <is>
          <t>Consumer</t>
        </is>
      </c>
      <c r="I178" s="7" t="n">
        <v>4</v>
      </c>
      <c r="J178" s="10" t="n">
        <v>469.24</v>
      </c>
      <c r="K178" s="11" t="n">
        <v>0.3</v>
      </c>
      <c r="L178" s="10">
        <f>I178*J178*(1-K178)</f>
        <v/>
      </c>
      <c r="M178" s="10" t="n">
        <v>1530</v>
      </c>
      <c r="N178" s="10">
        <f>L178-M178</f>
        <v/>
      </c>
    </row>
    <row r="179">
      <c r="A179" s="7" t="inlineStr">
        <is>
          <t>ORD-03351</t>
        </is>
      </c>
      <c r="B179" s="8" t="n">
        <v>44988</v>
      </c>
      <c r="C179" s="9" t="n">
        <v>44986</v>
      </c>
      <c r="D179" s="7" t="n">
        <v>2023</v>
      </c>
      <c r="E179" s="7" t="inlineStr">
        <is>
          <t>South</t>
        </is>
      </c>
      <c r="F179" s="7" t="inlineStr">
        <is>
          <t>Technology</t>
        </is>
      </c>
      <c r="G179" s="7" t="inlineStr">
        <is>
          <t>Smartphone</t>
        </is>
      </c>
      <c r="H179" s="7" t="inlineStr">
        <is>
          <t>Consumer</t>
        </is>
      </c>
      <c r="I179" s="7" t="n">
        <v>2</v>
      </c>
      <c r="J179" s="10" t="n">
        <v>612.48</v>
      </c>
      <c r="K179" s="11" t="n">
        <v>0</v>
      </c>
      <c r="L179" s="10">
        <f>I179*J179*(1-K179)</f>
        <v/>
      </c>
      <c r="M179" s="10" t="n">
        <v>900</v>
      </c>
      <c r="N179" s="10">
        <f>L179-M179</f>
        <v/>
      </c>
    </row>
    <row r="180">
      <c r="A180" s="7" t="inlineStr">
        <is>
          <t>ORD-03282</t>
        </is>
      </c>
      <c r="B180" s="8" t="n">
        <v>44989</v>
      </c>
      <c r="C180" s="9" t="n">
        <v>44986</v>
      </c>
      <c r="D180" s="7" t="n">
        <v>2023</v>
      </c>
      <c r="E180" s="7" t="inlineStr">
        <is>
          <t>North</t>
        </is>
      </c>
      <c r="F180" s="7" t="inlineStr">
        <is>
          <t>Office Supplies</t>
        </is>
      </c>
      <c r="G180" s="7" t="inlineStr">
        <is>
          <t>Paper</t>
        </is>
      </c>
      <c r="H180" s="7" t="inlineStr">
        <is>
          <t>Consumer</t>
        </is>
      </c>
      <c r="I180" s="7" t="n">
        <v>9</v>
      </c>
      <c r="J180" s="10" t="n">
        <v>25.58</v>
      </c>
      <c r="K180" s="11" t="n">
        <v>0.05</v>
      </c>
      <c r="L180" s="10">
        <f>I180*J180*(1-K180)</f>
        <v/>
      </c>
      <c r="M180" s="10" t="n">
        <v>112.5</v>
      </c>
      <c r="N180" s="10">
        <f>L180-M180</f>
        <v/>
      </c>
    </row>
    <row r="181">
      <c r="A181" s="7" t="inlineStr">
        <is>
          <t>ORD-04143</t>
        </is>
      </c>
      <c r="B181" s="8" t="n">
        <v>44989</v>
      </c>
      <c r="C181" s="9" t="n">
        <v>44986</v>
      </c>
      <c r="D181" s="7" t="n">
        <v>2023</v>
      </c>
      <c r="E181" s="7" t="inlineStr">
        <is>
          <t>East</t>
        </is>
      </c>
      <c r="F181" s="7" t="inlineStr">
        <is>
          <t>Office Supplies</t>
        </is>
      </c>
      <c r="G181" s="7" t="inlineStr">
        <is>
          <t>Stapler</t>
        </is>
      </c>
      <c r="H181" s="7" t="inlineStr">
        <is>
          <t>Consumer</t>
        </is>
      </c>
      <c r="I181" s="7" t="n">
        <v>10</v>
      </c>
      <c r="J181" s="10" t="n">
        <v>15.64</v>
      </c>
      <c r="K181" s="11" t="n">
        <v>0</v>
      </c>
      <c r="L181" s="10">
        <f>I181*J181*(1-K181)</f>
        <v/>
      </c>
      <c r="M181" s="10" t="n">
        <v>75</v>
      </c>
      <c r="N181" s="10">
        <f>L181-M181</f>
        <v/>
      </c>
    </row>
    <row r="182">
      <c r="A182" s="7" t="inlineStr">
        <is>
          <t>ORD-02152</t>
        </is>
      </c>
      <c r="B182" s="8" t="n">
        <v>44990</v>
      </c>
      <c r="C182" s="9" t="n">
        <v>44986</v>
      </c>
      <c r="D182" s="7" t="n">
        <v>2023</v>
      </c>
      <c r="E182" s="7" t="inlineStr">
        <is>
          <t>East</t>
        </is>
      </c>
      <c r="F182" s="7" t="inlineStr">
        <is>
          <t>Furniture</t>
        </is>
      </c>
      <c r="G182" s="7" t="inlineStr">
        <is>
          <t>Bookcase</t>
        </is>
      </c>
      <c r="H182" s="7" t="inlineStr">
        <is>
          <t>Consumer</t>
        </is>
      </c>
      <c r="I182" s="7" t="n">
        <v>3</v>
      </c>
      <c r="J182" s="10" t="n">
        <v>171.37</v>
      </c>
      <c r="K182" s="11" t="n">
        <v>0.2</v>
      </c>
      <c r="L182" s="10">
        <f>I182*J182*(1-K182)</f>
        <v/>
      </c>
      <c r="M182" s="10" t="n">
        <v>432</v>
      </c>
      <c r="N182" s="10">
        <f>L182-M182</f>
        <v/>
      </c>
    </row>
    <row r="183">
      <c r="A183" s="7" t="inlineStr">
        <is>
          <t>ORD-02501</t>
        </is>
      </c>
      <c r="B183" s="8" t="n">
        <v>44990</v>
      </c>
      <c r="C183" s="9" t="n">
        <v>44986</v>
      </c>
      <c r="D183" s="7" t="n">
        <v>2023</v>
      </c>
      <c r="E183" s="7" t="inlineStr">
        <is>
          <t>West</t>
        </is>
      </c>
      <c r="F183" s="7" t="inlineStr">
        <is>
          <t>Office Supplies</t>
        </is>
      </c>
      <c r="G183" s="7" t="inlineStr">
        <is>
          <t>Stapler</t>
        </is>
      </c>
      <c r="H183" s="7" t="inlineStr">
        <is>
          <t>Consumer</t>
        </is>
      </c>
      <c r="I183" s="7" t="n">
        <v>10</v>
      </c>
      <c r="J183" s="10" t="n">
        <v>15.44</v>
      </c>
      <c r="K183" s="11" t="n">
        <v>0.1</v>
      </c>
      <c r="L183" s="10">
        <f>I183*J183*(1-K183)</f>
        <v/>
      </c>
      <c r="M183" s="10" t="n">
        <v>75</v>
      </c>
      <c r="N183" s="10">
        <f>L183-M183</f>
        <v/>
      </c>
    </row>
    <row r="184">
      <c r="A184" s="7" t="inlineStr">
        <is>
          <t>ORD-02919</t>
        </is>
      </c>
      <c r="B184" s="8" t="n">
        <v>44991</v>
      </c>
      <c r="C184" s="9" t="n">
        <v>44986</v>
      </c>
      <c r="D184" s="7" t="n">
        <v>2023</v>
      </c>
      <c r="E184" s="7" t="inlineStr">
        <is>
          <t>North</t>
        </is>
      </c>
      <c r="F184" s="7" t="inlineStr">
        <is>
          <t>Technology</t>
        </is>
      </c>
      <c r="G184" s="7" t="inlineStr">
        <is>
          <t>Headphones</t>
        </is>
      </c>
      <c r="H184" s="7" t="inlineStr">
        <is>
          <t>Home Office</t>
        </is>
      </c>
      <c r="I184" s="7" t="n">
        <v>1</v>
      </c>
      <c r="J184" s="10" t="n">
        <v>114.17</v>
      </c>
      <c r="K184" s="11" t="n">
        <v>0.05</v>
      </c>
      <c r="L184" s="10">
        <f>I184*J184*(1-K184)</f>
        <v/>
      </c>
      <c r="M184" s="10" t="n">
        <v>72</v>
      </c>
      <c r="N184" s="10">
        <f>L184-M184</f>
        <v/>
      </c>
    </row>
    <row r="185">
      <c r="A185" s="7" t="inlineStr">
        <is>
          <t>ORD-01161</t>
        </is>
      </c>
      <c r="B185" s="8" t="n">
        <v>44991</v>
      </c>
      <c r="C185" s="9" t="n">
        <v>44986</v>
      </c>
      <c r="D185" s="7" t="n">
        <v>2023</v>
      </c>
      <c r="E185" s="7" t="inlineStr">
        <is>
          <t>East</t>
        </is>
      </c>
      <c r="F185" s="7" t="inlineStr">
        <is>
          <t>Office Supplies</t>
        </is>
      </c>
      <c r="G185" s="7" t="inlineStr">
        <is>
          <t>Paper</t>
        </is>
      </c>
      <c r="H185" s="7" t="inlineStr">
        <is>
          <t>Consumer</t>
        </is>
      </c>
      <c r="I185" s="7" t="n">
        <v>11</v>
      </c>
      <c r="J185" s="10" t="n">
        <v>24.75</v>
      </c>
      <c r="K185" s="11" t="n">
        <v>0</v>
      </c>
      <c r="L185" s="10">
        <f>I185*J185*(1-K185)</f>
        <v/>
      </c>
      <c r="M185" s="10" t="n">
        <v>137.5</v>
      </c>
      <c r="N185" s="10">
        <f>L185-M185</f>
        <v/>
      </c>
    </row>
    <row r="186">
      <c r="A186" s="7" t="inlineStr">
        <is>
          <t>ORD-04673</t>
        </is>
      </c>
      <c r="B186" s="8" t="n">
        <v>44991</v>
      </c>
      <c r="C186" s="9" t="n">
        <v>44986</v>
      </c>
      <c r="D186" s="7" t="n">
        <v>2023</v>
      </c>
      <c r="E186" s="7" t="inlineStr">
        <is>
          <t>West</t>
        </is>
      </c>
      <c r="F186" s="7" t="inlineStr">
        <is>
          <t>Technology</t>
        </is>
      </c>
      <c r="G186" s="7" t="inlineStr">
        <is>
          <t>Monitor</t>
        </is>
      </c>
      <c r="H186" s="7" t="inlineStr">
        <is>
          <t>Consumer</t>
        </is>
      </c>
      <c r="I186" s="7" t="n">
        <v>2</v>
      </c>
      <c r="J186" s="10" t="n">
        <v>249.55</v>
      </c>
      <c r="K186" s="11" t="n">
        <v>0</v>
      </c>
      <c r="L186" s="10">
        <f>I186*J186*(1-K186)</f>
        <v/>
      </c>
      <c r="M186" s="10" t="n">
        <v>360</v>
      </c>
      <c r="N186" s="10">
        <f>L186-M186</f>
        <v/>
      </c>
    </row>
    <row r="187">
      <c r="A187" s="7" t="inlineStr">
        <is>
          <t>ORD-01433</t>
        </is>
      </c>
      <c r="B187" s="8" t="n">
        <v>44992</v>
      </c>
      <c r="C187" s="9" t="n">
        <v>44986</v>
      </c>
      <c r="D187" s="7" t="n">
        <v>2023</v>
      </c>
      <c r="E187" s="7" t="inlineStr">
        <is>
          <t>South</t>
        </is>
      </c>
      <c r="F187" s="7" t="inlineStr">
        <is>
          <t>Office Supplies</t>
        </is>
      </c>
      <c r="G187" s="7" t="inlineStr">
        <is>
          <t>Paper</t>
        </is>
      </c>
      <c r="H187" s="7" t="inlineStr">
        <is>
          <t>Consumer</t>
        </is>
      </c>
      <c r="I187" s="7" t="n">
        <v>12</v>
      </c>
      <c r="J187" s="10" t="n">
        <v>24.53</v>
      </c>
      <c r="K187" s="11" t="n">
        <v>0.2</v>
      </c>
      <c r="L187" s="10">
        <f>I187*J187*(1-K187)</f>
        <v/>
      </c>
      <c r="M187" s="10" t="n">
        <v>150</v>
      </c>
      <c r="N187" s="10">
        <f>L187-M187</f>
        <v/>
      </c>
    </row>
    <row r="188">
      <c r="A188" s="7" t="inlineStr">
        <is>
          <t>ORD-01660</t>
        </is>
      </c>
      <c r="B188" s="8" t="n">
        <v>44992</v>
      </c>
      <c r="C188" s="9" t="n">
        <v>44986</v>
      </c>
      <c r="D188" s="7" t="n">
        <v>2023</v>
      </c>
      <c r="E188" s="7" t="inlineStr">
        <is>
          <t>East</t>
        </is>
      </c>
      <c r="F188" s="7" t="inlineStr">
        <is>
          <t>Technology</t>
        </is>
      </c>
      <c r="G188" s="7" t="inlineStr">
        <is>
          <t>Monitor</t>
        </is>
      </c>
      <c r="H188" s="7" t="inlineStr">
        <is>
          <t>Consumer</t>
        </is>
      </c>
      <c r="I188" s="7" t="n">
        <v>3</v>
      </c>
      <c r="J188" s="10" t="n">
        <v>252.86</v>
      </c>
      <c r="K188" s="11" t="n">
        <v>0.1</v>
      </c>
      <c r="L188" s="10">
        <f>I188*J188*(1-K188)</f>
        <v/>
      </c>
      <c r="M188" s="10" t="n">
        <v>540</v>
      </c>
      <c r="N188" s="10">
        <f>L188-M188</f>
        <v/>
      </c>
    </row>
    <row r="189">
      <c r="A189" s="7" t="inlineStr">
        <is>
          <t>ORD-03454</t>
        </is>
      </c>
      <c r="B189" s="8" t="n">
        <v>44992</v>
      </c>
      <c r="C189" s="9" t="n">
        <v>44986</v>
      </c>
      <c r="D189" s="7" t="n">
        <v>2023</v>
      </c>
      <c r="E189" s="7" t="inlineStr">
        <is>
          <t>South</t>
        </is>
      </c>
      <c r="F189" s="7" t="inlineStr">
        <is>
          <t>Office Supplies</t>
        </is>
      </c>
      <c r="G189" s="7" t="inlineStr">
        <is>
          <t>Paper</t>
        </is>
      </c>
      <c r="H189" s="7" t="inlineStr">
        <is>
          <t>Consumer</t>
        </is>
      </c>
      <c r="I189" s="7" t="n">
        <v>5</v>
      </c>
      <c r="J189" s="10" t="n">
        <v>24.68</v>
      </c>
      <c r="K189" s="11" t="n">
        <v>0.05</v>
      </c>
      <c r="L189" s="10">
        <f>I189*J189*(1-K189)</f>
        <v/>
      </c>
      <c r="M189" s="10" t="n">
        <v>62.5</v>
      </c>
      <c r="N189" s="10">
        <f>L189-M189</f>
        <v/>
      </c>
    </row>
    <row r="190">
      <c r="A190" s="7" t="inlineStr">
        <is>
          <t>ORD-02870</t>
        </is>
      </c>
      <c r="B190" s="8" t="n">
        <v>44993</v>
      </c>
      <c r="C190" s="9" t="n">
        <v>44986</v>
      </c>
      <c r="D190" s="7" t="n">
        <v>2023</v>
      </c>
      <c r="E190" s="7" t="inlineStr">
        <is>
          <t>South</t>
        </is>
      </c>
      <c r="F190" s="7" t="inlineStr">
        <is>
          <t>Office Supplies</t>
        </is>
      </c>
      <c r="G190" s="7" t="inlineStr">
        <is>
          <t>Stapler</t>
        </is>
      </c>
      <c r="H190" s="7" t="inlineStr">
        <is>
          <t>Consumer</t>
        </is>
      </c>
      <c r="I190" s="7" t="n">
        <v>12</v>
      </c>
      <c r="J190" s="10" t="n">
        <v>14.85</v>
      </c>
      <c r="K190" s="11" t="n">
        <v>0.3</v>
      </c>
      <c r="L190" s="10">
        <f>I190*J190*(1-K190)</f>
        <v/>
      </c>
      <c r="M190" s="10" t="n">
        <v>90</v>
      </c>
      <c r="N190" s="10">
        <f>L190-M190</f>
        <v/>
      </c>
    </row>
    <row r="191">
      <c r="A191" s="7" t="inlineStr">
        <is>
          <t>ORD-00422</t>
        </is>
      </c>
      <c r="B191" s="8" t="n">
        <v>44993</v>
      </c>
      <c r="C191" s="9" t="n">
        <v>44986</v>
      </c>
      <c r="D191" s="7" t="n">
        <v>2023</v>
      </c>
      <c r="E191" s="7" t="inlineStr">
        <is>
          <t>East</t>
        </is>
      </c>
      <c r="F191" s="7" t="inlineStr">
        <is>
          <t>Technology</t>
        </is>
      </c>
      <c r="G191" s="7" t="inlineStr">
        <is>
          <t>Laptop</t>
        </is>
      </c>
      <c r="H191" s="7" t="inlineStr">
        <is>
          <t>Consumer</t>
        </is>
      </c>
      <c r="I191" s="7" t="n">
        <v>2</v>
      </c>
      <c r="J191" s="10" t="n">
        <v>889.46</v>
      </c>
      <c r="K191" s="11" t="n">
        <v>0.05</v>
      </c>
      <c r="L191" s="10">
        <f>I191*J191*(1-K191)</f>
        <v/>
      </c>
      <c r="M191" s="10" t="n">
        <v>1404</v>
      </c>
      <c r="N191" s="10">
        <f>L191-M191</f>
        <v/>
      </c>
    </row>
    <row r="192">
      <c r="A192" s="7" t="inlineStr">
        <is>
          <t>ORD-00723</t>
        </is>
      </c>
      <c r="B192" s="8" t="n">
        <v>44993</v>
      </c>
      <c r="C192" s="9" t="n">
        <v>44986</v>
      </c>
      <c r="D192" s="7" t="n">
        <v>2023</v>
      </c>
      <c r="E192" s="7" t="inlineStr">
        <is>
          <t>East</t>
        </is>
      </c>
      <c r="F192" s="7" t="inlineStr">
        <is>
          <t>Office Supplies</t>
        </is>
      </c>
      <c r="G192" s="7" t="inlineStr">
        <is>
          <t>Pens</t>
        </is>
      </c>
      <c r="H192" s="7" t="inlineStr">
        <is>
          <t>Consumer</t>
        </is>
      </c>
      <c r="I192" s="7" t="n">
        <v>3</v>
      </c>
      <c r="J192" s="10" t="n">
        <v>12.51</v>
      </c>
      <c r="K192" s="11" t="n">
        <v>0</v>
      </c>
      <c r="L192" s="10">
        <f>I192*J192*(1-K192)</f>
        <v/>
      </c>
      <c r="M192" s="10" t="n">
        <v>16.2</v>
      </c>
      <c r="N192" s="10">
        <f>L192-M192</f>
        <v/>
      </c>
    </row>
    <row r="193">
      <c r="A193" s="7" t="inlineStr">
        <is>
          <t>ORD-03934</t>
        </is>
      </c>
      <c r="B193" s="8" t="n">
        <v>44993</v>
      </c>
      <c r="C193" s="9" t="n">
        <v>44986</v>
      </c>
      <c r="D193" s="7" t="n">
        <v>2023</v>
      </c>
      <c r="E193" s="7" t="inlineStr">
        <is>
          <t>West</t>
        </is>
      </c>
      <c r="F193" s="7" t="inlineStr">
        <is>
          <t>Technology</t>
        </is>
      </c>
      <c r="G193" s="7" t="inlineStr">
        <is>
          <t>Keyboard</t>
        </is>
      </c>
      <c r="H193" s="7" t="inlineStr">
        <is>
          <t>Home Office</t>
        </is>
      </c>
      <c r="I193" s="7" t="n">
        <v>3</v>
      </c>
      <c r="J193" s="10" t="n">
        <v>46.59</v>
      </c>
      <c r="K193" s="11" t="n">
        <v>0.05</v>
      </c>
      <c r="L193" s="10">
        <f>I193*J193*(1-K193)</f>
        <v/>
      </c>
      <c r="M193" s="10" t="n">
        <v>74.25</v>
      </c>
      <c r="N193" s="10">
        <f>L193-M193</f>
        <v/>
      </c>
    </row>
    <row r="194">
      <c r="A194" s="7" t="inlineStr">
        <is>
          <t>ORD-00485</t>
        </is>
      </c>
      <c r="B194" s="8" t="n">
        <v>44993</v>
      </c>
      <c r="C194" s="9" t="n">
        <v>44986</v>
      </c>
      <c r="D194" s="7" t="n">
        <v>2023</v>
      </c>
      <c r="E194" s="7" t="inlineStr">
        <is>
          <t>North</t>
        </is>
      </c>
      <c r="F194" s="7" t="inlineStr">
        <is>
          <t>Office Supplies</t>
        </is>
      </c>
      <c r="G194" s="7" t="inlineStr">
        <is>
          <t>Pens</t>
        </is>
      </c>
      <c r="H194" s="7" t="inlineStr">
        <is>
          <t>Corporate</t>
        </is>
      </c>
      <c r="I194" s="7" t="n">
        <v>15</v>
      </c>
      <c r="J194" s="10" t="n">
        <v>11.63</v>
      </c>
      <c r="K194" s="11" t="n">
        <v>0</v>
      </c>
      <c r="L194" s="10">
        <f>I194*J194*(1-K194)</f>
        <v/>
      </c>
      <c r="M194" s="10" t="n">
        <v>81</v>
      </c>
      <c r="N194" s="10">
        <f>L194-M194</f>
        <v/>
      </c>
    </row>
    <row r="195">
      <c r="A195" s="7" t="inlineStr">
        <is>
          <t>ORD-01382</t>
        </is>
      </c>
      <c r="B195" s="8" t="n">
        <v>44993</v>
      </c>
      <c r="C195" s="9" t="n">
        <v>44986</v>
      </c>
      <c r="D195" s="7" t="n">
        <v>2023</v>
      </c>
      <c r="E195" s="7" t="inlineStr">
        <is>
          <t>East</t>
        </is>
      </c>
      <c r="F195" s="7" t="inlineStr">
        <is>
          <t>Office Supplies</t>
        </is>
      </c>
      <c r="G195" s="7" t="inlineStr">
        <is>
          <t>Pens</t>
        </is>
      </c>
      <c r="H195" s="7" t="inlineStr">
        <is>
          <t>Consumer</t>
        </is>
      </c>
      <c r="I195" s="7" t="n">
        <v>12</v>
      </c>
      <c r="J195" s="10" t="n">
        <v>12.48</v>
      </c>
      <c r="K195" s="11" t="n">
        <v>0.2</v>
      </c>
      <c r="L195" s="10">
        <f>I195*J195*(1-K195)</f>
        <v/>
      </c>
      <c r="M195" s="10" t="n">
        <v>64.8</v>
      </c>
      <c r="N195" s="10">
        <f>L195-M195</f>
        <v/>
      </c>
    </row>
    <row r="196">
      <c r="A196" s="7" t="inlineStr">
        <is>
          <t>ORD-03372</t>
        </is>
      </c>
      <c r="B196" s="8" t="n">
        <v>44993</v>
      </c>
      <c r="C196" s="9" t="n">
        <v>44986</v>
      </c>
      <c r="D196" s="7" t="n">
        <v>2023</v>
      </c>
      <c r="E196" s="7" t="inlineStr">
        <is>
          <t>West</t>
        </is>
      </c>
      <c r="F196" s="7" t="inlineStr">
        <is>
          <t>Office Supplies</t>
        </is>
      </c>
      <c r="G196" s="7" t="inlineStr">
        <is>
          <t>Paper</t>
        </is>
      </c>
      <c r="H196" s="7" t="inlineStr">
        <is>
          <t>Consumer</t>
        </is>
      </c>
      <c r="I196" s="7" t="n">
        <v>7</v>
      </c>
      <c r="J196" s="10" t="n">
        <v>25.84</v>
      </c>
      <c r="K196" s="11" t="n">
        <v>0</v>
      </c>
      <c r="L196" s="10">
        <f>I196*J196*(1-K196)</f>
        <v/>
      </c>
      <c r="M196" s="10" t="n">
        <v>87.5</v>
      </c>
      <c r="N196" s="10">
        <f>L196-M196</f>
        <v/>
      </c>
    </row>
    <row r="197">
      <c r="A197" s="7" t="inlineStr">
        <is>
          <t>ORD-02276</t>
        </is>
      </c>
      <c r="B197" s="8" t="n">
        <v>44994</v>
      </c>
      <c r="C197" s="9" t="n">
        <v>44986</v>
      </c>
      <c r="D197" s="7" t="n">
        <v>2023</v>
      </c>
      <c r="E197" s="7" t="inlineStr">
        <is>
          <t>East</t>
        </is>
      </c>
      <c r="F197" s="7" t="inlineStr">
        <is>
          <t>Technology</t>
        </is>
      </c>
      <c r="G197" s="7" t="inlineStr">
        <is>
          <t>Monitor</t>
        </is>
      </c>
      <c r="H197" s="7" t="inlineStr">
        <is>
          <t>Corporate</t>
        </is>
      </c>
      <c r="I197" s="7" t="n">
        <v>3</v>
      </c>
      <c r="J197" s="10" t="n">
        <v>246.92</v>
      </c>
      <c r="K197" s="11" t="n">
        <v>0</v>
      </c>
      <c r="L197" s="10">
        <f>I197*J197*(1-K197)</f>
        <v/>
      </c>
      <c r="M197" s="10" t="n">
        <v>540</v>
      </c>
      <c r="N197" s="10">
        <f>L197-M197</f>
        <v/>
      </c>
    </row>
    <row r="198">
      <c r="A198" s="7" t="inlineStr">
        <is>
          <t>ORD-00633</t>
        </is>
      </c>
      <c r="B198" s="8" t="n">
        <v>44994</v>
      </c>
      <c r="C198" s="9" t="n">
        <v>44986</v>
      </c>
      <c r="D198" s="7" t="n">
        <v>2023</v>
      </c>
      <c r="E198" s="7" t="inlineStr">
        <is>
          <t>North</t>
        </is>
      </c>
      <c r="F198" s="7" t="inlineStr">
        <is>
          <t>Office Supplies</t>
        </is>
      </c>
      <c r="G198" s="7" t="inlineStr">
        <is>
          <t>Binder</t>
        </is>
      </c>
      <c r="H198" s="7" t="inlineStr">
        <is>
          <t>Home Office</t>
        </is>
      </c>
      <c r="I198" s="7" t="n">
        <v>12</v>
      </c>
      <c r="J198" s="10" t="n">
        <v>8.109999999999999</v>
      </c>
      <c r="K198" s="11" t="n">
        <v>0.05</v>
      </c>
      <c r="L198" s="10">
        <f>I198*J198*(1-K198)</f>
        <v/>
      </c>
      <c r="M198" s="10" t="n">
        <v>38.4</v>
      </c>
      <c r="N198" s="10">
        <f>L198-M198</f>
        <v/>
      </c>
    </row>
    <row r="199">
      <c r="A199" s="7" t="inlineStr">
        <is>
          <t>ORD-04746</t>
        </is>
      </c>
      <c r="B199" s="8" t="n">
        <v>44994</v>
      </c>
      <c r="C199" s="9" t="n">
        <v>44986</v>
      </c>
      <c r="D199" s="7" t="n">
        <v>2023</v>
      </c>
      <c r="E199" s="7" t="inlineStr">
        <is>
          <t>East</t>
        </is>
      </c>
      <c r="F199" s="7" t="inlineStr">
        <is>
          <t>Office Supplies</t>
        </is>
      </c>
      <c r="G199" s="7" t="inlineStr">
        <is>
          <t>Paper</t>
        </is>
      </c>
      <c r="H199" s="7" t="inlineStr">
        <is>
          <t>Corporate</t>
        </is>
      </c>
      <c r="I199" s="7" t="n">
        <v>11</v>
      </c>
      <c r="J199" s="10" t="n">
        <v>25.24</v>
      </c>
      <c r="K199" s="11" t="n">
        <v>0.2</v>
      </c>
      <c r="L199" s="10">
        <f>I199*J199*(1-K199)</f>
        <v/>
      </c>
      <c r="M199" s="10" t="n">
        <v>137.5</v>
      </c>
      <c r="N199" s="10">
        <f>L199-M199</f>
        <v/>
      </c>
    </row>
    <row r="200">
      <c r="A200" s="7" t="inlineStr">
        <is>
          <t>ORD-03255</t>
        </is>
      </c>
      <c r="B200" s="8" t="n">
        <v>44995</v>
      </c>
      <c r="C200" s="9" t="n">
        <v>44986</v>
      </c>
      <c r="D200" s="7" t="n">
        <v>2023</v>
      </c>
      <c r="E200" s="7" t="inlineStr">
        <is>
          <t>North</t>
        </is>
      </c>
      <c r="F200" s="7" t="inlineStr">
        <is>
          <t>Office Supplies</t>
        </is>
      </c>
      <c r="G200" s="7" t="inlineStr">
        <is>
          <t>Paper</t>
        </is>
      </c>
      <c r="H200" s="7" t="inlineStr">
        <is>
          <t>Consumer</t>
        </is>
      </c>
      <c r="I200" s="7" t="n">
        <v>4</v>
      </c>
      <c r="J200" s="10" t="n">
        <v>25.73</v>
      </c>
      <c r="K200" s="11" t="n">
        <v>0</v>
      </c>
      <c r="L200" s="10">
        <f>I200*J200*(1-K200)</f>
        <v/>
      </c>
      <c r="M200" s="10" t="n">
        <v>50</v>
      </c>
      <c r="N200" s="10">
        <f>L200-M200</f>
        <v/>
      </c>
    </row>
    <row r="201">
      <c r="A201" s="7" t="inlineStr">
        <is>
          <t>ORD-05945</t>
        </is>
      </c>
      <c r="B201" s="8" t="n">
        <v>44995</v>
      </c>
      <c r="C201" s="9" t="n">
        <v>44986</v>
      </c>
      <c r="D201" s="7" t="n">
        <v>2023</v>
      </c>
      <c r="E201" s="7" t="inlineStr">
        <is>
          <t>West</t>
        </is>
      </c>
      <c r="F201" s="7" t="inlineStr">
        <is>
          <t>Office Supplies</t>
        </is>
      </c>
      <c r="G201" s="7" t="inlineStr">
        <is>
          <t>Paper</t>
        </is>
      </c>
      <c r="H201" s="7" t="inlineStr">
        <is>
          <t>Corporate</t>
        </is>
      </c>
      <c r="I201" s="7" t="n">
        <v>5</v>
      </c>
      <c r="J201" s="10" t="n">
        <v>24.03</v>
      </c>
      <c r="K201" s="11" t="n">
        <v>0.1</v>
      </c>
      <c r="L201" s="10">
        <f>I201*J201*(1-K201)</f>
        <v/>
      </c>
      <c r="M201" s="10" t="n">
        <v>62.5</v>
      </c>
      <c r="N201" s="10">
        <f>L201-M201</f>
        <v/>
      </c>
    </row>
    <row r="202">
      <c r="A202" s="7" t="inlineStr">
        <is>
          <t>ORD-00164</t>
        </is>
      </c>
      <c r="B202" s="8" t="n">
        <v>44995</v>
      </c>
      <c r="C202" s="9" t="n">
        <v>44986</v>
      </c>
      <c r="D202" s="7" t="n">
        <v>2023</v>
      </c>
      <c r="E202" s="7" t="inlineStr">
        <is>
          <t>East</t>
        </is>
      </c>
      <c r="F202" s="7" t="inlineStr">
        <is>
          <t>Office Supplies</t>
        </is>
      </c>
      <c r="G202" s="7" t="inlineStr">
        <is>
          <t>Pens</t>
        </is>
      </c>
      <c r="H202" s="7" t="inlineStr">
        <is>
          <t>Corporate</t>
        </is>
      </c>
      <c r="I202" s="7" t="n">
        <v>14</v>
      </c>
      <c r="J202" s="10" t="n">
        <v>11.77</v>
      </c>
      <c r="K202" s="11" t="n">
        <v>0.1</v>
      </c>
      <c r="L202" s="10">
        <f>I202*J202*(1-K202)</f>
        <v/>
      </c>
      <c r="M202" s="10" t="n">
        <v>75.59999999999999</v>
      </c>
      <c r="N202" s="10">
        <f>L202-M202</f>
        <v/>
      </c>
    </row>
    <row r="203">
      <c r="A203" s="7" t="inlineStr">
        <is>
          <t>ORD-04568</t>
        </is>
      </c>
      <c r="B203" s="8" t="n">
        <v>44995</v>
      </c>
      <c r="C203" s="9" t="n">
        <v>44986</v>
      </c>
      <c r="D203" s="7" t="n">
        <v>2023</v>
      </c>
      <c r="E203" s="7" t="inlineStr">
        <is>
          <t>North</t>
        </is>
      </c>
      <c r="F203" s="7" t="inlineStr">
        <is>
          <t>Technology</t>
        </is>
      </c>
      <c r="G203" s="7" t="inlineStr">
        <is>
          <t>Keyboard</t>
        </is>
      </c>
      <c r="H203" s="7" t="inlineStr">
        <is>
          <t>Corporate</t>
        </is>
      </c>
      <c r="I203" s="7" t="n">
        <v>3</v>
      </c>
      <c r="J203" s="10" t="n">
        <v>46.69</v>
      </c>
      <c r="K203" s="11" t="n">
        <v>0</v>
      </c>
      <c r="L203" s="10">
        <f>I203*J203*(1-K203)</f>
        <v/>
      </c>
      <c r="M203" s="10" t="n">
        <v>74.25</v>
      </c>
      <c r="N203" s="10">
        <f>L203-M203</f>
        <v/>
      </c>
    </row>
    <row r="204">
      <c r="A204" s="7" t="inlineStr">
        <is>
          <t>ORD-05776</t>
        </is>
      </c>
      <c r="B204" s="8" t="n">
        <v>44995</v>
      </c>
      <c r="C204" s="9" t="n">
        <v>44986</v>
      </c>
      <c r="D204" s="7" t="n">
        <v>2023</v>
      </c>
      <c r="E204" s="7" t="inlineStr">
        <is>
          <t>West</t>
        </is>
      </c>
      <c r="F204" s="7" t="inlineStr">
        <is>
          <t>Technology</t>
        </is>
      </c>
      <c r="G204" s="7" t="inlineStr">
        <is>
          <t>Laptop</t>
        </is>
      </c>
      <c r="H204" s="7" t="inlineStr">
        <is>
          <t>Consumer</t>
        </is>
      </c>
      <c r="I204" s="7" t="n">
        <v>3</v>
      </c>
      <c r="J204" s="10" t="n">
        <v>939.39</v>
      </c>
      <c r="K204" s="11" t="n">
        <v>0.1</v>
      </c>
      <c r="L204" s="10">
        <f>I204*J204*(1-K204)</f>
        <v/>
      </c>
      <c r="M204" s="10" t="n">
        <v>2106</v>
      </c>
      <c r="N204" s="10">
        <f>L204-M204</f>
        <v/>
      </c>
    </row>
    <row r="205">
      <c r="A205" s="7" t="inlineStr">
        <is>
          <t>ORD-05218</t>
        </is>
      </c>
      <c r="B205" s="8" t="n">
        <v>44996</v>
      </c>
      <c r="C205" s="9" t="n">
        <v>44986</v>
      </c>
      <c r="D205" s="7" t="n">
        <v>2023</v>
      </c>
      <c r="E205" s="7" t="inlineStr">
        <is>
          <t>East</t>
        </is>
      </c>
      <c r="F205" s="7" t="inlineStr">
        <is>
          <t>Office Supplies</t>
        </is>
      </c>
      <c r="G205" s="7" t="inlineStr">
        <is>
          <t>Printer Ink</t>
        </is>
      </c>
      <c r="H205" s="7" t="inlineStr">
        <is>
          <t>Home Office</t>
        </is>
      </c>
      <c r="I205" s="7" t="n">
        <v>9</v>
      </c>
      <c r="J205" s="10" t="n">
        <v>58.39</v>
      </c>
      <c r="K205" s="11" t="n">
        <v>0.05</v>
      </c>
      <c r="L205" s="10">
        <f>I205*J205*(1-K205)</f>
        <v/>
      </c>
      <c r="M205" s="10" t="n">
        <v>324</v>
      </c>
      <c r="N205" s="10">
        <f>L205-M205</f>
        <v/>
      </c>
    </row>
    <row r="206">
      <c r="A206" s="7" t="inlineStr">
        <is>
          <t>ORD-04644</t>
        </is>
      </c>
      <c r="B206" s="8" t="n">
        <v>44997</v>
      </c>
      <c r="C206" s="9" t="n">
        <v>44986</v>
      </c>
      <c r="D206" s="7" t="n">
        <v>2023</v>
      </c>
      <c r="E206" s="7" t="inlineStr">
        <is>
          <t>North</t>
        </is>
      </c>
      <c r="F206" s="7" t="inlineStr">
        <is>
          <t>Office Supplies</t>
        </is>
      </c>
      <c r="G206" s="7" t="inlineStr">
        <is>
          <t>Stapler</t>
        </is>
      </c>
      <c r="H206" s="7" t="inlineStr">
        <is>
          <t>Corporate</t>
        </is>
      </c>
      <c r="I206" s="7" t="n">
        <v>6</v>
      </c>
      <c r="J206" s="10" t="n">
        <v>14.38</v>
      </c>
      <c r="K206" s="11" t="n">
        <v>0</v>
      </c>
      <c r="L206" s="10">
        <f>I206*J206*(1-K206)</f>
        <v/>
      </c>
      <c r="M206" s="10" t="n">
        <v>45</v>
      </c>
      <c r="N206" s="10">
        <f>L206-M206</f>
        <v/>
      </c>
    </row>
    <row r="207">
      <c r="A207" s="7" t="inlineStr">
        <is>
          <t>ORD-03691</t>
        </is>
      </c>
      <c r="B207" s="8" t="n">
        <v>44997</v>
      </c>
      <c r="C207" s="9" t="n">
        <v>44986</v>
      </c>
      <c r="D207" s="7" t="n">
        <v>2023</v>
      </c>
      <c r="E207" s="7" t="inlineStr">
        <is>
          <t>East</t>
        </is>
      </c>
      <c r="F207" s="7" t="inlineStr">
        <is>
          <t>Technology</t>
        </is>
      </c>
      <c r="G207" s="7" t="inlineStr">
        <is>
          <t>Monitor</t>
        </is>
      </c>
      <c r="H207" s="7" t="inlineStr">
        <is>
          <t>Consumer</t>
        </is>
      </c>
      <c r="I207" s="7" t="n">
        <v>1</v>
      </c>
      <c r="J207" s="10" t="n">
        <v>244.94</v>
      </c>
      <c r="K207" s="11" t="n">
        <v>0.05</v>
      </c>
      <c r="L207" s="10">
        <f>I207*J207*(1-K207)</f>
        <v/>
      </c>
      <c r="M207" s="10" t="n">
        <v>180</v>
      </c>
      <c r="N207" s="10">
        <f>L207-M207</f>
        <v/>
      </c>
    </row>
    <row r="208">
      <c r="A208" s="7" t="inlineStr">
        <is>
          <t>ORD-03353</t>
        </is>
      </c>
      <c r="B208" s="8" t="n">
        <v>44997</v>
      </c>
      <c r="C208" s="9" t="n">
        <v>44986</v>
      </c>
      <c r="D208" s="7" t="n">
        <v>2023</v>
      </c>
      <c r="E208" s="7" t="inlineStr">
        <is>
          <t>East</t>
        </is>
      </c>
      <c r="F208" s="7" t="inlineStr">
        <is>
          <t>Office Supplies</t>
        </is>
      </c>
      <c r="G208" s="7" t="inlineStr">
        <is>
          <t>Binder</t>
        </is>
      </c>
      <c r="H208" s="7" t="inlineStr">
        <is>
          <t>Home Office</t>
        </is>
      </c>
      <c r="I208" s="7" t="n">
        <v>4</v>
      </c>
      <c r="J208" s="10" t="n">
        <v>8.07</v>
      </c>
      <c r="K208" s="11" t="n">
        <v>0.1</v>
      </c>
      <c r="L208" s="10">
        <f>I208*J208*(1-K208)</f>
        <v/>
      </c>
      <c r="M208" s="10" t="n">
        <v>12.8</v>
      </c>
      <c r="N208" s="10">
        <f>L208-M208</f>
        <v/>
      </c>
    </row>
    <row r="209">
      <c r="A209" s="7" t="inlineStr">
        <is>
          <t>ORD-02229</t>
        </is>
      </c>
      <c r="B209" s="8" t="n">
        <v>44997</v>
      </c>
      <c r="C209" s="9" t="n">
        <v>44986</v>
      </c>
      <c r="D209" s="7" t="n">
        <v>2023</v>
      </c>
      <c r="E209" s="7" t="inlineStr">
        <is>
          <t>North</t>
        </is>
      </c>
      <c r="F209" s="7" t="inlineStr">
        <is>
          <t>Furniture</t>
        </is>
      </c>
      <c r="G209" s="7" t="inlineStr">
        <is>
          <t>Office Chair</t>
        </is>
      </c>
      <c r="H209" s="7" t="inlineStr">
        <is>
          <t>Corporate</t>
        </is>
      </c>
      <c r="I209" s="7" t="n">
        <v>1</v>
      </c>
      <c r="J209" s="10" t="n">
        <v>228.97</v>
      </c>
      <c r="K209" s="11" t="n">
        <v>0.3</v>
      </c>
      <c r="L209" s="10">
        <f>I209*J209*(1-K209)</f>
        <v/>
      </c>
      <c r="M209" s="10" t="n">
        <v>180.4</v>
      </c>
      <c r="N209" s="10">
        <f>L209-M209</f>
        <v/>
      </c>
    </row>
    <row r="210">
      <c r="A210" s="7" t="inlineStr">
        <is>
          <t>ORD-02097</t>
        </is>
      </c>
      <c r="B210" s="8" t="n">
        <v>44997</v>
      </c>
      <c r="C210" s="9" t="n">
        <v>44986</v>
      </c>
      <c r="D210" s="7" t="n">
        <v>2023</v>
      </c>
      <c r="E210" s="7" t="inlineStr">
        <is>
          <t>West</t>
        </is>
      </c>
      <c r="F210" s="7" t="inlineStr">
        <is>
          <t>Office Supplies</t>
        </is>
      </c>
      <c r="G210" s="7" t="inlineStr">
        <is>
          <t>Pens</t>
        </is>
      </c>
      <c r="H210" s="7" t="inlineStr">
        <is>
          <t>Corporate</t>
        </is>
      </c>
      <c r="I210" s="7" t="n">
        <v>4</v>
      </c>
      <c r="J210" s="10" t="n">
        <v>12.04</v>
      </c>
      <c r="K210" s="11" t="n">
        <v>0</v>
      </c>
      <c r="L210" s="10">
        <f>I210*J210*(1-K210)</f>
        <v/>
      </c>
      <c r="M210" s="10" t="n">
        <v>21.6</v>
      </c>
      <c r="N210" s="10">
        <f>L210-M210</f>
        <v/>
      </c>
    </row>
    <row r="211">
      <c r="A211" s="7" t="inlineStr">
        <is>
          <t>ORD-01620</t>
        </is>
      </c>
      <c r="B211" s="8" t="n">
        <v>44997</v>
      </c>
      <c r="C211" s="9" t="n">
        <v>44986</v>
      </c>
      <c r="D211" s="7" t="n">
        <v>2023</v>
      </c>
      <c r="E211" s="7" t="inlineStr">
        <is>
          <t>North</t>
        </is>
      </c>
      <c r="F211" s="7" t="inlineStr">
        <is>
          <t>Office Supplies</t>
        </is>
      </c>
      <c r="G211" s="7" t="inlineStr">
        <is>
          <t>Binder</t>
        </is>
      </c>
      <c r="H211" s="7" t="inlineStr">
        <is>
          <t>Corporate</t>
        </is>
      </c>
      <c r="I211" s="7" t="n">
        <v>3</v>
      </c>
      <c r="J211" s="10" t="n">
        <v>7.61</v>
      </c>
      <c r="K211" s="11" t="n">
        <v>0</v>
      </c>
      <c r="L211" s="10">
        <f>I211*J211*(1-K211)</f>
        <v/>
      </c>
      <c r="M211" s="10" t="n">
        <v>9.6</v>
      </c>
      <c r="N211" s="10">
        <f>L211-M211</f>
        <v/>
      </c>
    </row>
    <row r="212">
      <c r="A212" s="7" t="inlineStr">
        <is>
          <t>ORD-01315</t>
        </is>
      </c>
      <c r="B212" s="8" t="n">
        <v>44997</v>
      </c>
      <c r="C212" s="9" t="n">
        <v>44986</v>
      </c>
      <c r="D212" s="7" t="n">
        <v>2023</v>
      </c>
      <c r="E212" s="7" t="inlineStr">
        <is>
          <t>West</t>
        </is>
      </c>
      <c r="F212" s="7" t="inlineStr">
        <is>
          <t>Office Supplies</t>
        </is>
      </c>
      <c r="G212" s="7" t="inlineStr">
        <is>
          <t>Paper</t>
        </is>
      </c>
      <c r="H212" s="7" t="inlineStr">
        <is>
          <t>Consumer</t>
        </is>
      </c>
      <c r="I212" s="7" t="n">
        <v>8</v>
      </c>
      <c r="J212" s="10" t="n">
        <v>24.29</v>
      </c>
      <c r="K212" s="11" t="n">
        <v>0.3</v>
      </c>
      <c r="L212" s="10">
        <f>I212*J212*(1-K212)</f>
        <v/>
      </c>
      <c r="M212" s="10" t="n">
        <v>100</v>
      </c>
      <c r="N212" s="10">
        <f>L212-M212</f>
        <v/>
      </c>
    </row>
    <row r="213">
      <c r="A213" s="7" t="inlineStr">
        <is>
          <t>ORD-02296</t>
        </is>
      </c>
      <c r="B213" s="8" t="n">
        <v>44998</v>
      </c>
      <c r="C213" s="9" t="n">
        <v>44986</v>
      </c>
      <c r="D213" s="7" t="n">
        <v>2023</v>
      </c>
      <c r="E213" s="7" t="inlineStr">
        <is>
          <t>East</t>
        </is>
      </c>
      <c r="F213" s="7" t="inlineStr">
        <is>
          <t>Technology</t>
        </is>
      </c>
      <c r="G213" s="7" t="inlineStr">
        <is>
          <t>Keyboard</t>
        </is>
      </c>
      <c r="H213" s="7" t="inlineStr">
        <is>
          <t>Home Office</t>
        </is>
      </c>
      <c r="I213" s="7" t="n">
        <v>2</v>
      </c>
      <c r="J213" s="10" t="n">
        <v>43.22</v>
      </c>
      <c r="K213" s="11" t="n">
        <v>0</v>
      </c>
      <c r="L213" s="10">
        <f>I213*J213*(1-K213)</f>
        <v/>
      </c>
      <c r="M213" s="10" t="n">
        <v>49.5</v>
      </c>
      <c r="N213" s="10">
        <f>L213-M213</f>
        <v/>
      </c>
    </row>
    <row r="214">
      <c r="A214" s="7" t="inlineStr">
        <is>
          <t>ORD-02118</t>
        </is>
      </c>
      <c r="B214" s="8" t="n">
        <v>44998</v>
      </c>
      <c r="C214" s="9" t="n">
        <v>44986</v>
      </c>
      <c r="D214" s="7" t="n">
        <v>2023</v>
      </c>
      <c r="E214" s="7" t="inlineStr">
        <is>
          <t>East</t>
        </is>
      </c>
      <c r="F214" s="7" t="inlineStr">
        <is>
          <t>Technology</t>
        </is>
      </c>
      <c r="G214" s="7" t="inlineStr">
        <is>
          <t>Smartphone</t>
        </is>
      </c>
      <c r="H214" s="7" t="inlineStr">
        <is>
          <t>Consumer</t>
        </is>
      </c>
      <c r="I214" s="7" t="n">
        <v>1</v>
      </c>
      <c r="J214" s="10" t="n">
        <v>574.54</v>
      </c>
      <c r="K214" s="11" t="n">
        <v>0</v>
      </c>
      <c r="L214" s="10">
        <f>I214*J214*(1-K214)</f>
        <v/>
      </c>
      <c r="M214" s="10" t="n">
        <v>450</v>
      </c>
      <c r="N214" s="10">
        <f>L214-M214</f>
        <v/>
      </c>
    </row>
    <row r="215">
      <c r="A215" s="7" t="inlineStr">
        <is>
          <t>ORD-03886</t>
        </is>
      </c>
      <c r="B215" s="8" t="n">
        <v>44998</v>
      </c>
      <c r="C215" s="9" t="n">
        <v>44986</v>
      </c>
      <c r="D215" s="7" t="n">
        <v>2023</v>
      </c>
      <c r="E215" s="7" t="inlineStr">
        <is>
          <t>North</t>
        </is>
      </c>
      <c r="F215" s="7" t="inlineStr">
        <is>
          <t>Technology</t>
        </is>
      </c>
      <c r="G215" s="7" t="inlineStr">
        <is>
          <t>Headphones</t>
        </is>
      </c>
      <c r="H215" s="7" t="inlineStr">
        <is>
          <t>Corporate</t>
        </is>
      </c>
      <c r="I215" s="7" t="n">
        <v>1</v>
      </c>
      <c r="J215" s="10" t="n">
        <v>125.71</v>
      </c>
      <c r="K215" s="11" t="n">
        <v>0.05</v>
      </c>
      <c r="L215" s="10">
        <f>I215*J215*(1-K215)</f>
        <v/>
      </c>
      <c r="M215" s="10" t="n">
        <v>72</v>
      </c>
      <c r="N215" s="10">
        <f>L215-M215</f>
        <v/>
      </c>
    </row>
    <row r="216">
      <c r="A216" s="7" t="inlineStr">
        <is>
          <t>ORD-03838</t>
        </is>
      </c>
      <c r="B216" s="8" t="n">
        <v>44999</v>
      </c>
      <c r="C216" s="9" t="n">
        <v>44986</v>
      </c>
      <c r="D216" s="7" t="n">
        <v>2023</v>
      </c>
      <c r="E216" s="7" t="inlineStr">
        <is>
          <t>East</t>
        </is>
      </c>
      <c r="F216" s="7" t="inlineStr">
        <is>
          <t>Office Supplies</t>
        </is>
      </c>
      <c r="G216" s="7" t="inlineStr">
        <is>
          <t>Printer Ink</t>
        </is>
      </c>
      <c r="H216" s="7" t="inlineStr">
        <is>
          <t>Home Office</t>
        </is>
      </c>
      <c r="I216" s="7" t="n">
        <v>14</v>
      </c>
      <c r="J216" s="10" t="n">
        <v>58.09</v>
      </c>
      <c r="K216" s="11" t="n">
        <v>0</v>
      </c>
      <c r="L216" s="10">
        <f>I216*J216*(1-K216)</f>
        <v/>
      </c>
      <c r="M216" s="10" t="n">
        <v>504</v>
      </c>
      <c r="N216" s="10">
        <f>L216-M216</f>
        <v/>
      </c>
    </row>
    <row r="217">
      <c r="A217" s="7" t="inlineStr">
        <is>
          <t>ORD-05317</t>
        </is>
      </c>
      <c r="B217" s="8" t="n">
        <v>44999</v>
      </c>
      <c r="C217" s="9" t="n">
        <v>44986</v>
      </c>
      <c r="D217" s="7" t="n">
        <v>2023</v>
      </c>
      <c r="E217" s="7" t="inlineStr">
        <is>
          <t>East</t>
        </is>
      </c>
      <c r="F217" s="7" t="inlineStr">
        <is>
          <t>Furniture</t>
        </is>
      </c>
      <c r="G217" s="7" t="inlineStr">
        <is>
          <t>Office Chair</t>
        </is>
      </c>
      <c r="H217" s="7" t="inlineStr">
        <is>
          <t>Corporate</t>
        </is>
      </c>
      <c r="I217" s="7" t="n">
        <v>4</v>
      </c>
      <c r="J217" s="10" t="n">
        <v>210.8</v>
      </c>
      <c r="K217" s="11" t="n">
        <v>0</v>
      </c>
      <c r="L217" s="10">
        <f>I217*J217*(1-K217)</f>
        <v/>
      </c>
      <c r="M217" s="10" t="n">
        <v>721.6</v>
      </c>
      <c r="N217" s="10">
        <f>L217-M217</f>
        <v/>
      </c>
    </row>
    <row r="218">
      <c r="A218" s="7" t="inlineStr">
        <is>
          <t>ORD-01019</t>
        </is>
      </c>
      <c r="B218" s="8" t="n">
        <v>44999</v>
      </c>
      <c r="C218" s="9" t="n">
        <v>44986</v>
      </c>
      <c r="D218" s="7" t="n">
        <v>2023</v>
      </c>
      <c r="E218" s="7" t="inlineStr">
        <is>
          <t>West</t>
        </is>
      </c>
      <c r="F218" s="7" t="inlineStr">
        <is>
          <t>Technology</t>
        </is>
      </c>
      <c r="G218" s="7" t="inlineStr">
        <is>
          <t>Headphones</t>
        </is>
      </c>
      <c r="H218" s="7" t="inlineStr">
        <is>
          <t>Consumer</t>
        </is>
      </c>
      <c r="I218" s="7" t="n">
        <v>1</v>
      </c>
      <c r="J218" s="10" t="n">
        <v>121.53</v>
      </c>
      <c r="K218" s="11" t="n">
        <v>0</v>
      </c>
      <c r="L218" s="10">
        <f>I218*J218*(1-K218)</f>
        <v/>
      </c>
      <c r="M218" s="10" t="n">
        <v>72</v>
      </c>
      <c r="N218" s="10">
        <f>L218-M218</f>
        <v/>
      </c>
    </row>
    <row r="219">
      <c r="A219" s="7" t="inlineStr">
        <is>
          <t>ORD-02814</t>
        </is>
      </c>
      <c r="B219" s="8" t="n">
        <v>44999</v>
      </c>
      <c r="C219" s="9" t="n">
        <v>44986</v>
      </c>
      <c r="D219" s="7" t="n">
        <v>2023</v>
      </c>
      <c r="E219" s="7" t="inlineStr">
        <is>
          <t>North</t>
        </is>
      </c>
      <c r="F219" s="7" t="inlineStr">
        <is>
          <t>Furniture</t>
        </is>
      </c>
      <c r="G219" s="7" t="inlineStr">
        <is>
          <t>Office Chair</t>
        </is>
      </c>
      <c r="H219" s="7" t="inlineStr">
        <is>
          <t>Consumer</t>
        </is>
      </c>
      <c r="I219" s="7" t="n">
        <v>4</v>
      </c>
      <c r="J219" s="10" t="n">
        <v>217.67</v>
      </c>
      <c r="K219" s="11" t="n">
        <v>0.2</v>
      </c>
      <c r="L219" s="10">
        <f>I219*J219*(1-K219)</f>
        <v/>
      </c>
      <c r="M219" s="10" t="n">
        <v>721.6</v>
      </c>
      <c r="N219" s="10">
        <f>L219-M219</f>
        <v/>
      </c>
    </row>
    <row r="220">
      <c r="A220" s="7" t="inlineStr">
        <is>
          <t>ORD-00435</t>
        </is>
      </c>
      <c r="B220" s="8" t="n">
        <v>44999</v>
      </c>
      <c r="C220" s="9" t="n">
        <v>44986</v>
      </c>
      <c r="D220" s="7" t="n">
        <v>2023</v>
      </c>
      <c r="E220" s="7" t="inlineStr">
        <is>
          <t>East</t>
        </is>
      </c>
      <c r="F220" s="7" t="inlineStr">
        <is>
          <t>Office Supplies</t>
        </is>
      </c>
      <c r="G220" s="7" t="inlineStr">
        <is>
          <t>Printer Ink</t>
        </is>
      </c>
      <c r="H220" s="7" t="inlineStr">
        <is>
          <t>Corporate</t>
        </is>
      </c>
      <c r="I220" s="7" t="n">
        <v>6</v>
      </c>
      <c r="J220" s="10" t="n">
        <v>58.63</v>
      </c>
      <c r="K220" s="11" t="n">
        <v>0</v>
      </c>
      <c r="L220" s="10">
        <f>I220*J220*(1-K220)</f>
        <v/>
      </c>
      <c r="M220" s="10" t="n">
        <v>216</v>
      </c>
      <c r="N220" s="10">
        <f>L220-M220</f>
        <v/>
      </c>
    </row>
    <row r="221">
      <c r="A221" s="7" t="inlineStr">
        <is>
          <t>ORD-03176</t>
        </is>
      </c>
      <c r="B221" s="8" t="n">
        <v>44999</v>
      </c>
      <c r="C221" s="9" t="n">
        <v>44986</v>
      </c>
      <c r="D221" s="7" t="n">
        <v>2023</v>
      </c>
      <c r="E221" s="7" t="inlineStr">
        <is>
          <t>North</t>
        </is>
      </c>
      <c r="F221" s="7" t="inlineStr">
        <is>
          <t>Office Supplies</t>
        </is>
      </c>
      <c r="G221" s="7" t="inlineStr">
        <is>
          <t>Printer Ink</t>
        </is>
      </c>
      <c r="H221" s="7" t="inlineStr">
        <is>
          <t>Home Office</t>
        </is>
      </c>
      <c r="I221" s="7" t="n">
        <v>14</v>
      </c>
      <c r="J221" s="10" t="n">
        <v>61.53</v>
      </c>
      <c r="K221" s="11" t="n">
        <v>0</v>
      </c>
      <c r="L221" s="10">
        <f>I221*J221*(1-K221)</f>
        <v/>
      </c>
      <c r="M221" s="10" t="n">
        <v>504</v>
      </c>
      <c r="N221" s="10">
        <f>L221-M221</f>
        <v/>
      </c>
    </row>
    <row r="222">
      <c r="A222" s="7" t="inlineStr">
        <is>
          <t>ORD-05138</t>
        </is>
      </c>
      <c r="B222" s="8" t="n">
        <v>44999</v>
      </c>
      <c r="C222" s="9" t="n">
        <v>44986</v>
      </c>
      <c r="D222" s="7" t="n">
        <v>2023</v>
      </c>
      <c r="E222" s="7" t="inlineStr">
        <is>
          <t>North</t>
        </is>
      </c>
      <c r="F222" s="7" t="inlineStr">
        <is>
          <t>Technology</t>
        </is>
      </c>
      <c r="G222" s="7" t="inlineStr">
        <is>
          <t>Monitor</t>
        </is>
      </c>
      <c r="H222" s="7" t="inlineStr">
        <is>
          <t>Consumer</t>
        </is>
      </c>
      <c r="I222" s="7" t="n">
        <v>1</v>
      </c>
      <c r="J222" s="10" t="n">
        <v>261.74</v>
      </c>
      <c r="K222" s="11" t="n">
        <v>0.05</v>
      </c>
      <c r="L222" s="10">
        <f>I222*J222*(1-K222)</f>
        <v/>
      </c>
      <c r="M222" s="10" t="n">
        <v>180</v>
      </c>
      <c r="N222" s="10">
        <f>L222-M222</f>
        <v/>
      </c>
    </row>
    <row r="223">
      <c r="A223" s="7" t="inlineStr">
        <is>
          <t>ORD-01364</t>
        </is>
      </c>
      <c r="B223" s="8" t="n">
        <v>44999</v>
      </c>
      <c r="C223" s="9" t="n">
        <v>44986</v>
      </c>
      <c r="D223" s="7" t="n">
        <v>2023</v>
      </c>
      <c r="E223" s="7" t="inlineStr">
        <is>
          <t>North</t>
        </is>
      </c>
      <c r="F223" s="7" t="inlineStr">
        <is>
          <t>Technology</t>
        </is>
      </c>
      <c r="G223" s="7" t="inlineStr">
        <is>
          <t>Keyboard</t>
        </is>
      </c>
      <c r="H223" s="7" t="inlineStr">
        <is>
          <t>Home Office</t>
        </is>
      </c>
      <c r="I223" s="7" t="n">
        <v>3</v>
      </c>
      <c r="J223" s="10" t="n">
        <v>45.58</v>
      </c>
      <c r="K223" s="11" t="n">
        <v>0</v>
      </c>
      <c r="L223" s="10">
        <f>I223*J223*(1-K223)</f>
        <v/>
      </c>
      <c r="M223" s="10" t="n">
        <v>74.25</v>
      </c>
      <c r="N223" s="10">
        <f>L223-M223</f>
        <v/>
      </c>
    </row>
    <row r="224">
      <c r="A224" s="7" t="inlineStr">
        <is>
          <t>ORD-05400</t>
        </is>
      </c>
      <c r="B224" s="8" t="n">
        <v>45000</v>
      </c>
      <c r="C224" s="9" t="n">
        <v>44986</v>
      </c>
      <c r="D224" s="7" t="n">
        <v>2023</v>
      </c>
      <c r="E224" s="7" t="inlineStr">
        <is>
          <t>North</t>
        </is>
      </c>
      <c r="F224" s="7" t="inlineStr">
        <is>
          <t>Furniture</t>
        </is>
      </c>
      <c r="G224" s="7" t="inlineStr">
        <is>
          <t>Bookcase</t>
        </is>
      </c>
      <c r="H224" s="7" t="inlineStr">
        <is>
          <t>Consumer</t>
        </is>
      </c>
      <c r="I224" s="7" t="n">
        <v>4</v>
      </c>
      <c r="J224" s="10" t="n">
        <v>175.55</v>
      </c>
      <c r="K224" s="11" t="n">
        <v>0</v>
      </c>
      <c r="L224" s="10">
        <f>I224*J224*(1-K224)</f>
        <v/>
      </c>
      <c r="M224" s="10" t="n">
        <v>576</v>
      </c>
      <c r="N224" s="10">
        <f>L224-M224</f>
        <v/>
      </c>
    </row>
    <row r="225">
      <c r="A225" s="7" t="inlineStr">
        <is>
          <t>ORD-04441</t>
        </is>
      </c>
      <c r="B225" s="8" t="n">
        <v>45000</v>
      </c>
      <c r="C225" s="9" t="n">
        <v>44986</v>
      </c>
      <c r="D225" s="7" t="n">
        <v>2023</v>
      </c>
      <c r="E225" s="7" t="inlineStr">
        <is>
          <t>West</t>
        </is>
      </c>
      <c r="F225" s="7" t="inlineStr">
        <is>
          <t>Technology</t>
        </is>
      </c>
      <c r="G225" s="7" t="inlineStr">
        <is>
          <t>Laptop</t>
        </is>
      </c>
      <c r="H225" s="7" t="inlineStr">
        <is>
          <t>Consumer</t>
        </is>
      </c>
      <c r="I225" s="7" t="n">
        <v>2</v>
      </c>
      <c r="J225" s="10" t="n">
        <v>906.6799999999999</v>
      </c>
      <c r="K225" s="11" t="n">
        <v>0.05</v>
      </c>
      <c r="L225" s="10">
        <f>I225*J225*(1-K225)</f>
        <v/>
      </c>
      <c r="M225" s="10" t="n">
        <v>1404</v>
      </c>
      <c r="N225" s="10">
        <f>L225-M225</f>
        <v/>
      </c>
    </row>
    <row r="226">
      <c r="A226" s="7" t="inlineStr">
        <is>
          <t>ORD-01386</t>
        </is>
      </c>
      <c r="B226" s="8" t="n">
        <v>45000</v>
      </c>
      <c r="C226" s="9" t="n">
        <v>44986</v>
      </c>
      <c r="D226" s="7" t="n">
        <v>2023</v>
      </c>
      <c r="E226" s="7" t="inlineStr">
        <is>
          <t>South</t>
        </is>
      </c>
      <c r="F226" s="7" t="inlineStr">
        <is>
          <t>Office Supplies</t>
        </is>
      </c>
      <c r="G226" s="7" t="inlineStr">
        <is>
          <t>Printer Ink</t>
        </is>
      </c>
      <c r="H226" s="7" t="inlineStr">
        <is>
          <t>Consumer</t>
        </is>
      </c>
      <c r="I226" s="7" t="n">
        <v>3</v>
      </c>
      <c r="J226" s="10" t="n">
        <v>62.38</v>
      </c>
      <c r="K226" s="11" t="n">
        <v>0.1</v>
      </c>
      <c r="L226" s="10">
        <f>I226*J226*(1-K226)</f>
        <v/>
      </c>
      <c r="M226" s="10" t="n">
        <v>108</v>
      </c>
      <c r="N226" s="10">
        <f>L226-M226</f>
        <v/>
      </c>
    </row>
    <row r="227">
      <c r="A227" s="7" t="inlineStr">
        <is>
          <t>ORD-00620</t>
        </is>
      </c>
      <c r="B227" s="8" t="n">
        <v>45000</v>
      </c>
      <c r="C227" s="9" t="n">
        <v>44986</v>
      </c>
      <c r="D227" s="7" t="n">
        <v>2023</v>
      </c>
      <c r="E227" s="7" t="inlineStr">
        <is>
          <t>West</t>
        </is>
      </c>
      <c r="F227" s="7" t="inlineStr">
        <is>
          <t>Office Supplies</t>
        </is>
      </c>
      <c r="G227" s="7" t="inlineStr">
        <is>
          <t>Pens</t>
        </is>
      </c>
      <c r="H227" s="7" t="inlineStr">
        <is>
          <t>Home Office</t>
        </is>
      </c>
      <c r="I227" s="7" t="n">
        <v>10</v>
      </c>
      <c r="J227" s="10" t="n">
        <v>11.92</v>
      </c>
      <c r="K227" s="11" t="n">
        <v>0</v>
      </c>
      <c r="L227" s="10">
        <f>I227*J227*(1-K227)</f>
        <v/>
      </c>
      <c r="M227" s="10" t="n">
        <v>54</v>
      </c>
      <c r="N227" s="10">
        <f>L227-M227</f>
        <v/>
      </c>
    </row>
    <row r="228">
      <c r="A228" s="7" t="inlineStr">
        <is>
          <t>ORD-03443</t>
        </is>
      </c>
      <c r="B228" s="8" t="n">
        <v>45000</v>
      </c>
      <c r="C228" s="9" t="n">
        <v>44986</v>
      </c>
      <c r="D228" s="7" t="n">
        <v>2023</v>
      </c>
      <c r="E228" s="7" t="inlineStr">
        <is>
          <t>South</t>
        </is>
      </c>
      <c r="F228" s="7" t="inlineStr">
        <is>
          <t>Technology</t>
        </is>
      </c>
      <c r="G228" s="7" t="inlineStr">
        <is>
          <t>Laptop</t>
        </is>
      </c>
      <c r="H228" s="7" t="inlineStr">
        <is>
          <t>Corporate</t>
        </is>
      </c>
      <c r="I228" s="7" t="n">
        <v>2</v>
      </c>
      <c r="J228" s="10" t="n">
        <v>914.78</v>
      </c>
      <c r="K228" s="11" t="n">
        <v>0</v>
      </c>
      <c r="L228" s="10">
        <f>I228*J228*(1-K228)</f>
        <v/>
      </c>
      <c r="M228" s="10" t="n">
        <v>1404</v>
      </c>
      <c r="N228" s="10">
        <f>L228-M228</f>
        <v/>
      </c>
    </row>
    <row r="229">
      <c r="A229" s="7" t="inlineStr">
        <is>
          <t>ORD-04474</t>
        </is>
      </c>
      <c r="B229" s="8" t="n">
        <v>45000</v>
      </c>
      <c r="C229" s="9" t="n">
        <v>44986</v>
      </c>
      <c r="D229" s="7" t="n">
        <v>2023</v>
      </c>
      <c r="E229" s="7" t="inlineStr">
        <is>
          <t>North</t>
        </is>
      </c>
      <c r="F229" s="7" t="inlineStr">
        <is>
          <t>Technology</t>
        </is>
      </c>
      <c r="G229" s="7" t="inlineStr">
        <is>
          <t>Headphones</t>
        </is>
      </c>
      <c r="H229" s="7" t="inlineStr">
        <is>
          <t>Home Office</t>
        </is>
      </c>
      <c r="I229" s="7" t="n">
        <v>1</v>
      </c>
      <c r="J229" s="10" t="n">
        <v>117.66</v>
      </c>
      <c r="K229" s="11" t="n">
        <v>0.2</v>
      </c>
      <c r="L229" s="10">
        <f>I229*J229*(1-K229)</f>
        <v/>
      </c>
      <c r="M229" s="10" t="n">
        <v>72</v>
      </c>
      <c r="N229" s="10">
        <f>L229-M229</f>
        <v/>
      </c>
    </row>
    <row r="230">
      <c r="A230" s="7" t="inlineStr">
        <is>
          <t>ORD-00125</t>
        </is>
      </c>
      <c r="B230" s="8" t="n">
        <v>45001</v>
      </c>
      <c r="C230" s="9" t="n">
        <v>44986</v>
      </c>
      <c r="D230" s="7" t="n">
        <v>2023</v>
      </c>
      <c r="E230" s="7" t="inlineStr">
        <is>
          <t>West</t>
        </is>
      </c>
      <c r="F230" s="7" t="inlineStr">
        <is>
          <t>Office Supplies</t>
        </is>
      </c>
      <c r="G230" s="7" t="inlineStr">
        <is>
          <t>Paper</t>
        </is>
      </c>
      <c r="H230" s="7" t="inlineStr">
        <is>
          <t>Home Office</t>
        </is>
      </c>
      <c r="I230" s="7" t="n">
        <v>9</v>
      </c>
      <c r="J230" s="10" t="n">
        <v>24.88</v>
      </c>
      <c r="K230" s="11" t="n">
        <v>0</v>
      </c>
      <c r="L230" s="10">
        <f>I230*J230*(1-K230)</f>
        <v/>
      </c>
      <c r="M230" s="10" t="n">
        <v>112.5</v>
      </c>
      <c r="N230" s="10">
        <f>L230-M230</f>
        <v/>
      </c>
    </row>
    <row r="231">
      <c r="A231" s="7" t="inlineStr">
        <is>
          <t>ORD-05324</t>
        </is>
      </c>
      <c r="B231" s="8" t="n">
        <v>45001</v>
      </c>
      <c r="C231" s="9" t="n">
        <v>44986</v>
      </c>
      <c r="D231" s="7" t="n">
        <v>2023</v>
      </c>
      <c r="E231" s="7" t="inlineStr">
        <is>
          <t>North</t>
        </is>
      </c>
      <c r="F231" s="7" t="inlineStr">
        <is>
          <t>Office Supplies</t>
        </is>
      </c>
      <c r="G231" s="7" t="inlineStr">
        <is>
          <t>Paper</t>
        </is>
      </c>
      <c r="H231" s="7" t="inlineStr">
        <is>
          <t>Consumer</t>
        </is>
      </c>
      <c r="I231" s="7" t="n">
        <v>5</v>
      </c>
      <c r="J231" s="10" t="n">
        <v>24.54</v>
      </c>
      <c r="K231" s="11" t="n">
        <v>0</v>
      </c>
      <c r="L231" s="10">
        <f>I231*J231*(1-K231)</f>
        <v/>
      </c>
      <c r="M231" s="10" t="n">
        <v>62.5</v>
      </c>
      <c r="N231" s="10">
        <f>L231-M231</f>
        <v/>
      </c>
    </row>
    <row r="232">
      <c r="A232" s="7" t="inlineStr">
        <is>
          <t>ORD-00726</t>
        </is>
      </c>
      <c r="B232" s="8" t="n">
        <v>45001</v>
      </c>
      <c r="C232" s="9" t="n">
        <v>44986</v>
      </c>
      <c r="D232" s="7" t="n">
        <v>2023</v>
      </c>
      <c r="E232" s="7" t="inlineStr">
        <is>
          <t>East</t>
        </is>
      </c>
      <c r="F232" s="7" t="inlineStr">
        <is>
          <t>Office Supplies</t>
        </is>
      </c>
      <c r="G232" s="7" t="inlineStr">
        <is>
          <t>Binder</t>
        </is>
      </c>
      <c r="H232" s="7" t="inlineStr">
        <is>
          <t>Consumer</t>
        </is>
      </c>
      <c r="I232" s="7" t="n">
        <v>13</v>
      </c>
      <c r="J232" s="10" t="n">
        <v>7.8</v>
      </c>
      <c r="K232" s="11" t="n">
        <v>0.05</v>
      </c>
      <c r="L232" s="10">
        <f>I232*J232*(1-K232)</f>
        <v/>
      </c>
      <c r="M232" s="10" t="n">
        <v>41.6</v>
      </c>
      <c r="N232" s="10">
        <f>L232-M232</f>
        <v/>
      </c>
    </row>
    <row r="233">
      <c r="A233" s="7" t="inlineStr">
        <is>
          <t>ORD-05886</t>
        </is>
      </c>
      <c r="B233" s="8" t="n">
        <v>45002</v>
      </c>
      <c r="C233" s="9" t="n">
        <v>44986</v>
      </c>
      <c r="D233" s="7" t="n">
        <v>2023</v>
      </c>
      <c r="E233" s="7" t="inlineStr">
        <is>
          <t>East</t>
        </is>
      </c>
      <c r="F233" s="7" t="inlineStr">
        <is>
          <t>Office Supplies</t>
        </is>
      </c>
      <c r="G233" s="7" t="inlineStr">
        <is>
          <t>Paper</t>
        </is>
      </c>
      <c r="H233" s="7" t="inlineStr">
        <is>
          <t>Consumer</t>
        </is>
      </c>
      <c r="I233" s="7" t="n">
        <v>5</v>
      </c>
      <c r="J233" s="10" t="n">
        <v>25.91</v>
      </c>
      <c r="K233" s="11" t="n">
        <v>0</v>
      </c>
      <c r="L233" s="10">
        <f>I233*J233*(1-K233)</f>
        <v/>
      </c>
      <c r="M233" s="10" t="n">
        <v>62.5</v>
      </c>
      <c r="N233" s="10">
        <f>L233-M233</f>
        <v/>
      </c>
    </row>
    <row r="234">
      <c r="A234" s="7" t="inlineStr">
        <is>
          <t>ORD-05126</t>
        </is>
      </c>
      <c r="B234" s="8" t="n">
        <v>45002</v>
      </c>
      <c r="C234" s="9" t="n">
        <v>44986</v>
      </c>
      <c r="D234" s="7" t="n">
        <v>2023</v>
      </c>
      <c r="E234" s="7" t="inlineStr">
        <is>
          <t>West</t>
        </is>
      </c>
      <c r="F234" s="7" t="inlineStr">
        <is>
          <t>Technology</t>
        </is>
      </c>
      <c r="G234" s="7" t="inlineStr">
        <is>
          <t>Keyboard</t>
        </is>
      </c>
      <c r="H234" s="7" t="inlineStr">
        <is>
          <t>Home Office</t>
        </is>
      </c>
      <c r="I234" s="7" t="n">
        <v>1</v>
      </c>
      <c r="J234" s="10" t="n">
        <v>47.01</v>
      </c>
      <c r="K234" s="11" t="n">
        <v>0.3</v>
      </c>
      <c r="L234" s="10">
        <f>I234*J234*(1-K234)</f>
        <v/>
      </c>
      <c r="M234" s="10" t="n">
        <v>24.75</v>
      </c>
      <c r="N234" s="10">
        <f>L234-M234</f>
        <v/>
      </c>
    </row>
    <row r="235">
      <c r="A235" s="7" t="inlineStr">
        <is>
          <t>ORD-04276</t>
        </is>
      </c>
      <c r="B235" s="8" t="n">
        <v>45002</v>
      </c>
      <c r="C235" s="9" t="n">
        <v>44986</v>
      </c>
      <c r="D235" s="7" t="n">
        <v>2023</v>
      </c>
      <c r="E235" s="7" t="inlineStr">
        <is>
          <t>West</t>
        </is>
      </c>
      <c r="F235" s="7" t="inlineStr">
        <is>
          <t>Office Supplies</t>
        </is>
      </c>
      <c r="G235" s="7" t="inlineStr">
        <is>
          <t>Printer Ink</t>
        </is>
      </c>
      <c r="H235" s="7" t="inlineStr">
        <is>
          <t>Consumer</t>
        </is>
      </c>
      <c r="I235" s="7" t="n">
        <v>4</v>
      </c>
      <c r="J235" s="10" t="n">
        <v>57.8</v>
      </c>
      <c r="K235" s="11" t="n">
        <v>0.05</v>
      </c>
      <c r="L235" s="10">
        <f>I235*J235*(1-K235)</f>
        <v/>
      </c>
      <c r="M235" s="10" t="n">
        <v>144</v>
      </c>
      <c r="N235" s="10">
        <f>L235-M235</f>
        <v/>
      </c>
    </row>
    <row r="236">
      <c r="A236" s="7" t="inlineStr">
        <is>
          <t>ORD-00451</t>
        </is>
      </c>
      <c r="B236" s="8" t="n">
        <v>45003</v>
      </c>
      <c r="C236" s="9" t="n">
        <v>44986</v>
      </c>
      <c r="D236" s="7" t="n">
        <v>2023</v>
      </c>
      <c r="E236" s="7" t="inlineStr">
        <is>
          <t>West</t>
        </is>
      </c>
      <c r="F236" s="7" t="inlineStr">
        <is>
          <t>Technology</t>
        </is>
      </c>
      <c r="G236" s="7" t="inlineStr">
        <is>
          <t>Monitor</t>
        </is>
      </c>
      <c r="H236" s="7" t="inlineStr">
        <is>
          <t>Consumer</t>
        </is>
      </c>
      <c r="I236" s="7" t="n">
        <v>1</v>
      </c>
      <c r="J236" s="10" t="n">
        <v>256.77</v>
      </c>
      <c r="K236" s="11" t="n">
        <v>0.1</v>
      </c>
      <c r="L236" s="10">
        <f>I236*J236*(1-K236)</f>
        <v/>
      </c>
      <c r="M236" s="10" t="n">
        <v>180</v>
      </c>
      <c r="N236" s="10">
        <f>L236-M236</f>
        <v/>
      </c>
    </row>
    <row r="237">
      <c r="A237" s="7" t="inlineStr">
        <is>
          <t>ORD-05342</t>
        </is>
      </c>
      <c r="B237" s="8" t="n">
        <v>45003</v>
      </c>
      <c r="C237" s="9" t="n">
        <v>44986</v>
      </c>
      <c r="D237" s="7" t="n">
        <v>2023</v>
      </c>
      <c r="E237" s="7" t="inlineStr">
        <is>
          <t>West</t>
        </is>
      </c>
      <c r="F237" s="7" t="inlineStr">
        <is>
          <t>Technology</t>
        </is>
      </c>
      <c r="G237" s="7" t="inlineStr">
        <is>
          <t>Laptop</t>
        </is>
      </c>
      <c r="H237" s="7" t="inlineStr">
        <is>
          <t>Consumer</t>
        </is>
      </c>
      <c r="I237" s="7" t="n">
        <v>2</v>
      </c>
      <c r="J237" s="10" t="n">
        <v>885.17</v>
      </c>
      <c r="K237" s="11" t="n">
        <v>0</v>
      </c>
      <c r="L237" s="10">
        <f>I237*J237*(1-K237)</f>
        <v/>
      </c>
      <c r="M237" s="10" t="n">
        <v>1404</v>
      </c>
      <c r="N237" s="10">
        <f>L237-M237</f>
        <v/>
      </c>
    </row>
    <row r="238">
      <c r="A238" s="7" t="inlineStr">
        <is>
          <t>ORD-05987</t>
        </is>
      </c>
      <c r="B238" s="8" t="n">
        <v>45003</v>
      </c>
      <c r="C238" s="9" t="n">
        <v>44986</v>
      </c>
      <c r="D238" s="7" t="n">
        <v>2023</v>
      </c>
      <c r="E238" s="7" t="inlineStr">
        <is>
          <t>West</t>
        </is>
      </c>
      <c r="F238" s="7" t="inlineStr">
        <is>
          <t>Office Supplies</t>
        </is>
      </c>
      <c r="G238" s="7" t="inlineStr">
        <is>
          <t>Pens</t>
        </is>
      </c>
      <c r="H238" s="7" t="inlineStr">
        <is>
          <t>Consumer</t>
        </is>
      </c>
      <c r="I238" s="7" t="n">
        <v>5</v>
      </c>
      <c r="J238" s="10" t="n">
        <v>12.52</v>
      </c>
      <c r="K238" s="11" t="n">
        <v>0.3</v>
      </c>
      <c r="L238" s="10">
        <f>I238*J238*(1-K238)</f>
        <v/>
      </c>
      <c r="M238" s="10" t="n">
        <v>27</v>
      </c>
      <c r="N238" s="10">
        <f>L238-M238</f>
        <v/>
      </c>
    </row>
    <row r="239">
      <c r="A239" s="7" t="inlineStr">
        <is>
          <t>ORD-02046</t>
        </is>
      </c>
      <c r="B239" s="8" t="n">
        <v>45003</v>
      </c>
      <c r="C239" s="9" t="n">
        <v>44986</v>
      </c>
      <c r="D239" s="7" t="n">
        <v>2023</v>
      </c>
      <c r="E239" s="7" t="inlineStr">
        <is>
          <t>West</t>
        </is>
      </c>
      <c r="F239" s="7" t="inlineStr">
        <is>
          <t>Office Supplies</t>
        </is>
      </c>
      <c r="G239" s="7" t="inlineStr">
        <is>
          <t>Binder</t>
        </is>
      </c>
      <c r="H239" s="7" t="inlineStr">
        <is>
          <t>Consumer</t>
        </is>
      </c>
      <c r="I239" s="7" t="n">
        <v>13</v>
      </c>
      <c r="J239" s="10" t="n">
        <v>8.369999999999999</v>
      </c>
      <c r="K239" s="11" t="n">
        <v>0.3</v>
      </c>
      <c r="L239" s="10">
        <f>I239*J239*(1-K239)</f>
        <v/>
      </c>
      <c r="M239" s="10" t="n">
        <v>41.6</v>
      </c>
      <c r="N239" s="10">
        <f>L239-M239</f>
        <v/>
      </c>
    </row>
    <row r="240">
      <c r="A240" s="7" t="inlineStr">
        <is>
          <t>ORD-01940</t>
        </is>
      </c>
      <c r="B240" s="8" t="n">
        <v>45003</v>
      </c>
      <c r="C240" s="9" t="n">
        <v>44986</v>
      </c>
      <c r="D240" s="7" t="n">
        <v>2023</v>
      </c>
      <c r="E240" s="7" t="inlineStr">
        <is>
          <t>South</t>
        </is>
      </c>
      <c r="F240" s="7" t="inlineStr">
        <is>
          <t>Furniture</t>
        </is>
      </c>
      <c r="G240" s="7" t="inlineStr">
        <is>
          <t>Bookcase</t>
        </is>
      </c>
      <c r="H240" s="7" t="inlineStr">
        <is>
          <t>Home Office</t>
        </is>
      </c>
      <c r="I240" s="7" t="n">
        <v>2</v>
      </c>
      <c r="J240" s="10" t="n">
        <v>180.86</v>
      </c>
      <c r="K240" s="11" t="n">
        <v>0.2</v>
      </c>
      <c r="L240" s="10">
        <f>I240*J240*(1-K240)</f>
        <v/>
      </c>
      <c r="M240" s="10" t="n">
        <v>288</v>
      </c>
      <c r="N240" s="10">
        <f>L240-M240</f>
        <v/>
      </c>
    </row>
    <row r="241">
      <c r="A241" s="7" t="inlineStr">
        <is>
          <t>ORD-02160</t>
        </is>
      </c>
      <c r="B241" s="8" t="n">
        <v>45003</v>
      </c>
      <c r="C241" s="9" t="n">
        <v>44986</v>
      </c>
      <c r="D241" s="7" t="n">
        <v>2023</v>
      </c>
      <c r="E241" s="7" t="inlineStr">
        <is>
          <t>East</t>
        </is>
      </c>
      <c r="F241" s="7" t="inlineStr">
        <is>
          <t>Office Supplies</t>
        </is>
      </c>
      <c r="G241" s="7" t="inlineStr">
        <is>
          <t>Printer Ink</t>
        </is>
      </c>
      <c r="H241" s="7" t="inlineStr">
        <is>
          <t>Home Office</t>
        </is>
      </c>
      <c r="I241" s="7" t="n">
        <v>9</v>
      </c>
      <c r="J241" s="10" t="n">
        <v>62.82</v>
      </c>
      <c r="K241" s="11" t="n">
        <v>0.3</v>
      </c>
      <c r="L241" s="10">
        <f>I241*J241*(1-K241)</f>
        <v/>
      </c>
      <c r="M241" s="10" t="n">
        <v>324</v>
      </c>
      <c r="N241" s="10">
        <f>L241-M241</f>
        <v/>
      </c>
    </row>
    <row r="242">
      <c r="A242" s="7" t="inlineStr">
        <is>
          <t>ORD-02298</t>
        </is>
      </c>
      <c r="B242" s="8" t="n">
        <v>45004</v>
      </c>
      <c r="C242" s="9" t="n">
        <v>44986</v>
      </c>
      <c r="D242" s="7" t="n">
        <v>2023</v>
      </c>
      <c r="E242" s="7" t="inlineStr">
        <is>
          <t>West</t>
        </is>
      </c>
      <c r="F242" s="7" t="inlineStr">
        <is>
          <t>Office Supplies</t>
        </is>
      </c>
      <c r="G242" s="7" t="inlineStr">
        <is>
          <t>Printer Ink</t>
        </is>
      </c>
      <c r="H242" s="7" t="inlineStr">
        <is>
          <t>Consumer</t>
        </is>
      </c>
      <c r="I242" s="7" t="n">
        <v>15</v>
      </c>
      <c r="J242" s="10" t="n">
        <v>58.63</v>
      </c>
      <c r="K242" s="11" t="n">
        <v>0</v>
      </c>
      <c r="L242" s="10">
        <f>I242*J242*(1-K242)</f>
        <v/>
      </c>
      <c r="M242" s="10" t="n">
        <v>540</v>
      </c>
      <c r="N242" s="10">
        <f>L242-M242</f>
        <v/>
      </c>
    </row>
    <row r="243">
      <c r="A243" s="7" t="inlineStr">
        <is>
          <t>ORD-00281</t>
        </is>
      </c>
      <c r="B243" s="8" t="n">
        <v>45004</v>
      </c>
      <c r="C243" s="9" t="n">
        <v>44986</v>
      </c>
      <c r="D243" s="7" t="n">
        <v>2023</v>
      </c>
      <c r="E243" s="7" t="inlineStr">
        <is>
          <t>South</t>
        </is>
      </c>
      <c r="F243" s="7" t="inlineStr">
        <is>
          <t>Technology</t>
        </is>
      </c>
      <c r="G243" s="7" t="inlineStr">
        <is>
          <t>Smartphone</t>
        </is>
      </c>
      <c r="H243" s="7" t="inlineStr">
        <is>
          <t>Consumer</t>
        </is>
      </c>
      <c r="I243" s="7" t="n">
        <v>3</v>
      </c>
      <c r="J243" s="10" t="n">
        <v>571.14</v>
      </c>
      <c r="K243" s="11" t="n">
        <v>0</v>
      </c>
      <c r="L243" s="10">
        <f>I243*J243*(1-K243)</f>
        <v/>
      </c>
      <c r="M243" s="10" t="n">
        <v>1350</v>
      </c>
      <c r="N243" s="10">
        <f>L243-M243</f>
        <v/>
      </c>
    </row>
    <row r="244">
      <c r="A244" s="7" t="inlineStr">
        <is>
          <t>ORD-03260</t>
        </is>
      </c>
      <c r="B244" s="8" t="n">
        <v>45004</v>
      </c>
      <c r="C244" s="9" t="n">
        <v>44986</v>
      </c>
      <c r="D244" s="7" t="n">
        <v>2023</v>
      </c>
      <c r="E244" s="7" t="inlineStr">
        <is>
          <t>East</t>
        </is>
      </c>
      <c r="F244" s="7" t="inlineStr">
        <is>
          <t>Furniture</t>
        </is>
      </c>
      <c r="G244" s="7" t="inlineStr">
        <is>
          <t>Desk</t>
        </is>
      </c>
      <c r="H244" s="7" t="inlineStr">
        <is>
          <t>Consumer</t>
        </is>
      </c>
      <c r="I244" s="7" t="n">
        <v>3</v>
      </c>
      <c r="J244" s="10" t="n">
        <v>437.9</v>
      </c>
      <c r="K244" s="11" t="n">
        <v>0.2</v>
      </c>
      <c r="L244" s="10">
        <f>I244*J244*(1-K244)</f>
        <v/>
      </c>
      <c r="M244" s="10" t="n">
        <v>1147.5</v>
      </c>
      <c r="N244" s="10">
        <f>L244-M244</f>
        <v/>
      </c>
    </row>
    <row r="245">
      <c r="A245" s="7" t="inlineStr">
        <is>
          <t>ORD-03134</t>
        </is>
      </c>
      <c r="B245" s="8" t="n">
        <v>45004</v>
      </c>
      <c r="C245" s="9" t="n">
        <v>44986</v>
      </c>
      <c r="D245" s="7" t="n">
        <v>2023</v>
      </c>
      <c r="E245" s="7" t="inlineStr">
        <is>
          <t>East</t>
        </is>
      </c>
      <c r="F245" s="7" t="inlineStr">
        <is>
          <t>Office Supplies</t>
        </is>
      </c>
      <c r="G245" s="7" t="inlineStr">
        <is>
          <t>Binder</t>
        </is>
      </c>
      <c r="H245" s="7" t="inlineStr">
        <is>
          <t>Corporate</t>
        </is>
      </c>
      <c r="I245" s="7" t="n">
        <v>2</v>
      </c>
      <c r="J245" s="10" t="n">
        <v>8.119999999999999</v>
      </c>
      <c r="K245" s="11" t="n">
        <v>0.1</v>
      </c>
      <c r="L245" s="10">
        <f>I245*J245*(1-K245)</f>
        <v/>
      </c>
      <c r="M245" s="10" t="n">
        <v>6.4</v>
      </c>
      <c r="N245" s="10">
        <f>L245-M245</f>
        <v/>
      </c>
    </row>
    <row r="246">
      <c r="A246" s="7" t="inlineStr">
        <is>
          <t>ORD-04014</t>
        </is>
      </c>
      <c r="B246" s="8" t="n">
        <v>45004</v>
      </c>
      <c r="C246" s="9" t="n">
        <v>44986</v>
      </c>
      <c r="D246" s="7" t="n">
        <v>2023</v>
      </c>
      <c r="E246" s="7" t="inlineStr">
        <is>
          <t>West</t>
        </is>
      </c>
      <c r="F246" s="7" t="inlineStr">
        <is>
          <t>Technology</t>
        </is>
      </c>
      <c r="G246" s="7" t="inlineStr">
        <is>
          <t>Keyboard</t>
        </is>
      </c>
      <c r="H246" s="7" t="inlineStr">
        <is>
          <t>Consumer</t>
        </is>
      </c>
      <c r="I246" s="7" t="n">
        <v>3</v>
      </c>
      <c r="J246" s="10" t="n">
        <v>45.93</v>
      </c>
      <c r="K246" s="11" t="n">
        <v>0</v>
      </c>
      <c r="L246" s="10">
        <f>I246*J246*(1-K246)</f>
        <v/>
      </c>
      <c r="M246" s="10" t="n">
        <v>74.25</v>
      </c>
      <c r="N246" s="10">
        <f>L246-M246</f>
        <v/>
      </c>
    </row>
    <row r="247">
      <c r="A247" s="7" t="inlineStr">
        <is>
          <t>ORD-00028</t>
        </is>
      </c>
      <c r="B247" s="8" t="n">
        <v>45005</v>
      </c>
      <c r="C247" s="9" t="n">
        <v>44986</v>
      </c>
      <c r="D247" s="7" t="n">
        <v>2023</v>
      </c>
      <c r="E247" s="7" t="inlineStr">
        <is>
          <t>West</t>
        </is>
      </c>
      <c r="F247" s="7" t="inlineStr">
        <is>
          <t>Technology</t>
        </is>
      </c>
      <c r="G247" s="7" t="inlineStr">
        <is>
          <t>Headphones</t>
        </is>
      </c>
      <c r="H247" s="7" t="inlineStr">
        <is>
          <t>Consumer</t>
        </is>
      </c>
      <c r="I247" s="7" t="n">
        <v>1</v>
      </c>
      <c r="J247" s="10" t="n">
        <v>123.08</v>
      </c>
      <c r="K247" s="11" t="n">
        <v>0</v>
      </c>
      <c r="L247" s="10">
        <f>I247*J247*(1-K247)</f>
        <v/>
      </c>
      <c r="M247" s="10" t="n">
        <v>72</v>
      </c>
      <c r="N247" s="10">
        <f>L247-M247</f>
        <v/>
      </c>
    </row>
    <row r="248">
      <c r="A248" s="7" t="inlineStr">
        <is>
          <t>ORD-05005</t>
        </is>
      </c>
      <c r="B248" s="8" t="n">
        <v>45005</v>
      </c>
      <c r="C248" s="9" t="n">
        <v>44986</v>
      </c>
      <c r="D248" s="7" t="n">
        <v>2023</v>
      </c>
      <c r="E248" s="7" t="inlineStr">
        <is>
          <t>South</t>
        </is>
      </c>
      <c r="F248" s="7" t="inlineStr">
        <is>
          <t>Technology</t>
        </is>
      </c>
      <c r="G248" s="7" t="inlineStr">
        <is>
          <t>Smartphone</t>
        </is>
      </c>
      <c r="H248" s="7" t="inlineStr">
        <is>
          <t>Corporate</t>
        </is>
      </c>
      <c r="I248" s="7" t="n">
        <v>1</v>
      </c>
      <c r="J248" s="10" t="n">
        <v>605.38</v>
      </c>
      <c r="K248" s="11" t="n">
        <v>0.1</v>
      </c>
      <c r="L248" s="10">
        <f>I248*J248*(1-K248)</f>
        <v/>
      </c>
      <c r="M248" s="10" t="n">
        <v>450</v>
      </c>
      <c r="N248" s="10">
        <f>L248-M248</f>
        <v/>
      </c>
    </row>
    <row r="249">
      <c r="A249" s="7" t="inlineStr">
        <is>
          <t>ORD-01261</t>
        </is>
      </c>
      <c r="B249" s="8" t="n">
        <v>45005</v>
      </c>
      <c r="C249" s="9" t="n">
        <v>44986</v>
      </c>
      <c r="D249" s="7" t="n">
        <v>2023</v>
      </c>
      <c r="E249" s="7" t="inlineStr">
        <is>
          <t>North</t>
        </is>
      </c>
      <c r="F249" s="7" t="inlineStr">
        <is>
          <t>Office Supplies</t>
        </is>
      </c>
      <c r="G249" s="7" t="inlineStr">
        <is>
          <t>Paper</t>
        </is>
      </c>
      <c r="H249" s="7" t="inlineStr">
        <is>
          <t>Consumer</t>
        </is>
      </c>
      <c r="I249" s="7" t="n">
        <v>3</v>
      </c>
      <c r="J249" s="10" t="n">
        <v>26</v>
      </c>
      <c r="K249" s="11" t="n">
        <v>0</v>
      </c>
      <c r="L249" s="10">
        <f>I249*J249*(1-K249)</f>
        <v/>
      </c>
      <c r="M249" s="10" t="n">
        <v>37.5</v>
      </c>
      <c r="N249" s="10">
        <f>L249-M249</f>
        <v/>
      </c>
    </row>
    <row r="250">
      <c r="A250" s="7" t="inlineStr">
        <is>
          <t>ORD-00555</t>
        </is>
      </c>
      <c r="B250" s="8" t="n">
        <v>45006</v>
      </c>
      <c r="C250" s="9" t="n">
        <v>44986</v>
      </c>
      <c r="D250" s="7" t="n">
        <v>2023</v>
      </c>
      <c r="E250" s="7" t="inlineStr">
        <is>
          <t>West</t>
        </is>
      </c>
      <c r="F250" s="7" t="inlineStr">
        <is>
          <t>Office Supplies</t>
        </is>
      </c>
      <c r="G250" s="7" t="inlineStr">
        <is>
          <t>Pens</t>
        </is>
      </c>
      <c r="H250" s="7" t="inlineStr">
        <is>
          <t>Home Office</t>
        </is>
      </c>
      <c r="I250" s="7" t="n">
        <v>8</v>
      </c>
      <c r="J250" s="10" t="n">
        <v>12.44</v>
      </c>
      <c r="K250" s="11" t="n">
        <v>0</v>
      </c>
      <c r="L250" s="10">
        <f>I250*J250*(1-K250)</f>
        <v/>
      </c>
      <c r="M250" s="10" t="n">
        <v>43.2</v>
      </c>
      <c r="N250" s="10">
        <f>L250-M250</f>
        <v/>
      </c>
    </row>
    <row r="251">
      <c r="A251" s="7" t="inlineStr">
        <is>
          <t>ORD-03595</t>
        </is>
      </c>
      <c r="B251" s="8" t="n">
        <v>45006</v>
      </c>
      <c r="C251" s="9" t="n">
        <v>44986</v>
      </c>
      <c r="D251" s="7" t="n">
        <v>2023</v>
      </c>
      <c r="E251" s="7" t="inlineStr">
        <is>
          <t>East</t>
        </is>
      </c>
      <c r="F251" s="7" t="inlineStr">
        <is>
          <t>Office Supplies</t>
        </is>
      </c>
      <c r="G251" s="7" t="inlineStr">
        <is>
          <t>Paper</t>
        </is>
      </c>
      <c r="H251" s="7" t="inlineStr">
        <is>
          <t>Corporate</t>
        </is>
      </c>
      <c r="I251" s="7" t="n">
        <v>8</v>
      </c>
      <c r="J251" s="10" t="n">
        <v>25.87</v>
      </c>
      <c r="K251" s="11" t="n">
        <v>0.05</v>
      </c>
      <c r="L251" s="10">
        <f>I251*J251*(1-K251)</f>
        <v/>
      </c>
      <c r="M251" s="10" t="n">
        <v>100</v>
      </c>
      <c r="N251" s="10">
        <f>L251-M251</f>
        <v/>
      </c>
    </row>
    <row r="252">
      <c r="A252" s="7" t="inlineStr">
        <is>
          <t>ORD-02388</t>
        </is>
      </c>
      <c r="B252" s="8" t="n">
        <v>45006</v>
      </c>
      <c r="C252" s="9" t="n">
        <v>44986</v>
      </c>
      <c r="D252" s="7" t="n">
        <v>2023</v>
      </c>
      <c r="E252" s="7" t="inlineStr">
        <is>
          <t>East</t>
        </is>
      </c>
      <c r="F252" s="7" t="inlineStr">
        <is>
          <t>Technology</t>
        </is>
      </c>
      <c r="G252" s="7" t="inlineStr">
        <is>
          <t>Laptop</t>
        </is>
      </c>
      <c r="H252" s="7" t="inlineStr">
        <is>
          <t>Consumer</t>
        </is>
      </c>
      <c r="I252" s="7" t="n">
        <v>3</v>
      </c>
      <c r="J252" s="10" t="n">
        <v>883.36</v>
      </c>
      <c r="K252" s="11" t="n">
        <v>0</v>
      </c>
      <c r="L252" s="10">
        <f>I252*J252*(1-K252)</f>
        <v/>
      </c>
      <c r="M252" s="10" t="n">
        <v>2106</v>
      </c>
      <c r="N252" s="10">
        <f>L252-M252</f>
        <v/>
      </c>
    </row>
    <row r="253">
      <c r="A253" s="7" t="inlineStr">
        <is>
          <t>ORD-00903</t>
        </is>
      </c>
      <c r="B253" s="8" t="n">
        <v>45007</v>
      </c>
      <c r="C253" s="9" t="n">
        <v>44986</v>
      </c>
      <c r="D253" s="7" t="n">
        <v>2023</v>
      </c>
      <c r="E253" s="7" t="inlineStr">
        <is>
          <t>South</t>
        </is>
      </c>
      <c r="F253" s="7" t="inlineStr">
        <is>
          <t>Furniture</t>
        </is>
      </c>
      <c r="G253" s="7" t="inlineStr">
        <is>
          <t>Office Chair</t>
        </is>
      </c>
      <c r="H253" s="7" t="inlineStr">
        <is>
          <t>Corporate</t>
        </is>
      </c>
      <c r="I253" s="7" t="n">
        <v>1</v>
      </c>
      <c r="J253" s="10" t="n">
        <v>221.4</v>
      </c>
      <c r="K253" s="11" t="n">
        <v>0.2</v>
      </c>
      <c r="L253" s="10">
        <f>I253*J253*(1-K253)</f>
        <v/>
      </c>
      <c r="M253" s="10" t="n">
        <v>180.4</v>
      </c>
      <c r="N253" s="10">
        <f>L253-M253</f>
        <v/>
      </c>
    </row>
    <row r="254">
      <c r="A254" s="7" t="inlineStr">
        <is>
          <t>ORD-04459</t>
        </is>
      </c>
      <c r="B254" s="8" t="n">
        <v>45007</v>
      </c>
      <c r="C254" s="9" t="n">
        <v>44986</v>
      </c>
      <c r="D254" s="7" t="n">
        <v>2023</v>
      </c>
      <c r="E254" s="7" t="inlineStr">
        <is>
          <t>East</t>
        </is>
      </c>
      <c r="F254" s="7" t="inlineStr">
        <is>
          <t>Technology</t>
        </is>
      </c>
      <c r="G254" s="7" t="inlineStr">
        <is>
          <t>Laptop</t>
        </is>
      </c>
      <c r="H254" s="7" t="inlineStr">
        <is>
          <t>Home Office</t>
        </is>
      </c>
      <c r="I254" s="7" t="n">
        <v>1</v>
      </c>
      <c r="J254" s="10" t="n">
        <v>892.97</v>
      </c>
      <c r="K254" s="11" t="n">
        <v>0</v>
      </c>
      <c r="L254" s="10">
        <f>I254*J254*(1-K254)</f>
        <v/>
      </c>
      <c r="M254" s="10" t="n">
        <v>702</v>
      </c>
      <c r="N254" s="10">
        <f>L254-M254</f>
        <v/>
      </c>
    </row>
    <row r="255">
      <c r="A255" s="7" t="inlineStr">
        <is>
          <t>ORD-00176</t>
        </is>
      </c>
      <c r="B255" s="8" t="n">
        <v>45007</v>
      </c>
      <c r="C255" s="9" t="n">
        <v>44986</v>
      </c>
      <c r="D255" s="7" t="n">
        <v>2023</v>
      </c>
      <c r="E255" s="7" t="inlineStr">
        <is>
          <t>North</t>
        </is>
      </c>
      <c r="F255" s="7" t="inlineStr">
        <is>
          <t>Technology</t>
        </is>
      </c>
      <c r="G255" s="7" t="inlineStr">
        <is>
          <t>Laptop</t>
        </is>
      </c>
      <c r="H255" s="7" t="inlineStr">
        <is>
          <t>Consumer</t>
        </is>
      </c>
      <c r="I255" s="7" t="n">
        <v>3</v>
      </c>
      <c r="J255" s="10" t="n">
        <v>897.99</v>
      </c>
      <c r="K255" s="11" t="n">
        <v>0</v>
      </c>
      <c r="L255" s="10">
        <f>I255*J255*(1-K255)</f>
        <v/>
      </c>
      <c r="M255" s="10" t="n">
        <v>2106</v>
      </c>
      <c r="N255" s="10">
        <f>L255-M255</f>
        <v/>
      </c>
    </row>
    <row r="256">
      <c r="A256" s="7" t="inlineStr">
        <is>
          <t>ORD-02811</t>
        </is>
      </c>
      <c r="B256" s="8" t="n">
        <v>45007</v>
      </c>
      <c r="C256" s="9" t="n">
        <v>44986</v>
      </c>
      <c r="D256" s="7" t="n">
        <v>2023</v>
      </c>
      <c r="E256" s="7" t="inlineStr">
        <is>
          <t>North</t>
        </is>
      </c>
      <c r="F256" s="7" t="inlineStr">
        <is>
          <t>Office Supplies</t>
        </is>
      </c>
      <c r="G256" s="7" t="inlineStr">
        <is>
          <t>Binder</t>
        </is>
      </c>
      <c r="H256" s="7" t="inlineStr">
        <is>
          <t>Home Office</t>
        </is>
      </c>
      <c r="I256" s="7" t="n">
        <v>6</v>
      </c>
      <c r="J256" s="10" t="n">
        <v>7.75</v>
      </c>
      <c r="K256" s="11" t="n">
        <v>0.05</v>
      </c>
      <c r="L256" s="10">
        <f>I256*J256*(1-K256)</f>
        <v/>
      </c>
      <c r="M256" s="10" t="n">
        <v>19.2</v>
      </c>
      <c r="N256" s="10">
        <f>L256-M256</f>
        <v/>
      </c>
    </row>
    <row r="257">
      <c r="A257" s="7" t="inlineStr">
        <is>
          <t>ORD-01390</t>
        </is>
      </c>
      <c r="B257" s="8" t="n">
        <v>45007</v>
      </c>
      <c r="C257" s="9" t="n">
        <v>44986</v>
      </c>
      <c r="D257" s="7" t="n">
        <v>2023</v>
      </c>
      <c r="E257" s="7" t="inlineStr">
        <is>
          <t>West</t>
        </is>
      </c>
      <c r="F257" s="7" t="inlineStr">
        <is>
          <t>Furniture</t>
        </is>
      </c>
      <c r="G257" s="7" t="inlineStr">
        <is>
          <t>Office Chair</t>
        </is>
      </c>
      <c r="H257" s="7" t="inlineStr">
        <is>
          <t>Home Office</t>
        </is>
      </c>
      <c r="I257" s="7" t="n">
        <v>3</v>
      </c>
      <c r="J257" s="10" t="n">
        <v>220.42</v>
      </c>
      <c r="K257" s="11" t="n">
        <v>0</v>
      </c>
      <c r="L257" s="10">
        <f>I257*J257*(1-K257)</f>
        <v/>
      </c>
      <c r="M257" s="10" t="n">
        <v>541.2</v>
      </c>
      <c r="N257" s="10">
        <f>L257-M257</f>
        <v/>
      </c>
    </row>
    <row r="258">
      <c r="A258" s="7" t="inlineStr">
        <is>
          <t>ORD-05930</t>
        </is>
      </c>
      <c r="B258" s="8" t="n">
        <v>45008</v>
      </c>
      <c r="C258" s="9" t="n">
        <v>44986</v>
      </c>
      <c r="D258" s="7" t="n">
        <v>2023</v>
      </c>
      <c r="E258" s="7" t="inlineStr">
        <is>
          <t>North</t>
        </is>
      </c>
      <c r="F258" s="7" t="inlineStr">
        <is>
          <t>Office Supplies</t>
        </is>
      </c>
      <c r="G258" s="7" t="inlineStr">
        <is>
          <t>Paper</t>
        </is>
      </c>
      <c r="H258" s="7" t="inlineStr">
        <is>
          <t>Corporate</t>
        </is>
      </c>
      <c r="I258" s="7" t="n">
        <v>11</v>
      </c>
      <c r="J258" s="10" t="n">
        <v>25.28</v>
      </c>
      <c r="K258" s="11" t="n">
        <v>0</v>
      </c>
      <c r="L258" s="10">
        <f>I258*J258*(1-K258)</f>
        <v/>
      </c>
      <c r="M258" s="10" t="n">
        <v>137.5</v>
      </c>
      <c r="N258" s="10">
        <f>L258-M258</f>
        <v/>
      </c>
    </row>
    <row r="259">
      <c r="A259" s="7" t="inlineStr">
        <is>
          <t>ORD-01926</t>
        </is>
      </c>
      <c r="B259" s="8" t="n">
        <v>45008</v>
      </c>
      <c r="C259" s="9" t="n">
        <v>44986</v>
      </c>
      <c r="D259" s="7" t="n">
        <v>2023</v>
      </c>
      <c r="E259" s="7" t="inlineStr">
        <is>
          <t>West</t>
        </is>
      </c>
      <c r="F259" s="7" t="inlineStr">
        <is>
          <t>Office Supplies</t>
        </is>
      </c>
      <c r="G259" s="7" t="inlineStr">
        <is>
          <t>Binder</t>
        </is>
      </c>
      <c r="H259" s="7" t="inlineStr">
        <is>
          <t>Corporate</t>
        </is>
      </c>
      <c r="I259" s="7" t="n">
        <v>11</v>
      </c>
      <c r="J259" s="10" t="n">
        <v>7.67</v>
      </c>
      <c r="K259" s="11" t="n">
        <v>0</v>
      </c>
      <c r="L259" s="10">
        <f>I259*J259*(1-K259)</f>
        <v/>
      </c>
      <c r="M259" s="10" t="n">
        <v>35.2</v>
      </c>
      <c r="N259" s="10">
        <f>L259-M259</f>
        <v/>
      </c>
    </row>
    <row r="260">
      <c r="A260" s="7" t="inlineStr">
        <is>
          <t>ORD-02840</t>
        </is>
      </c>
      <c r="B260" s="8" t="n">
        <v>45008</v>
      </c>
      <c r="C260" s="9" t="n">
        <v>44986</v>
      </c>
      <c r="D260" s="7" t="n">
        <v>2023</v>
      </c>
      <c r="E260" s="7" t="inlineStr">
        <is>
          <t>South</t>
        </is>
      </c>
      <c r="F260" s="7" t="inlineStr">
        <is>
          <t>Office Supplies</t>
        </is>
      </c>
      <c r="G260" s="7" t="inlineStr">
        <is>
          <t>Stapler</t>
        </is>
      </c>
      <c r="H260" s="7" t="inlineStr">
        <is>
          <t>Consumer</t>
        </is>
      </c>
      <c r="I260" s="7" t="n">
        <v>11</v>
      </c>
      <c r="J260" s="10" t="n">
        <v>14.27</v>
      </c>
      <c r="K260" s="11" t="n">
        <v>0</v>
      </c>
      <c r="L260" s="10">
        <f>I260*J260*(1-K260)</f>
        <v/>
      </c>
      <c r="M260" s="10" t="n">
        <v>82.5</v>
      </c>
      <c r="N260" s="10">
        <f>L260-M260</f>
        <v/>
      </c>
    </row>
    <row r="261">
      <c r="A261" s="7" t="inlineStr">
        <is>
          <t>ORD-05954</t>
        </is>
      </c>
      <c r="B261" s="8" t="n">
        <v>45008</v>
      </c>
      <c r="C261" s="9" t="n">
        <v>44986</v>
      </c>
      <c r="D261" s="7" t="n">
        <v>2023</v>
      </c>
      <c r="E261" s="7" t="inlineStr">
        <is>
          <t>North</t>
        </is>
      </c>
      <c r="F261" s="7" t="inlineStr">
        <is>
          <t>Office Supplies</t>
        </is>
      </c>
      <c r="G261" s="7" t="inlineStr">
        <is>
          <t>Stapler</t>
        </is>
      </c>
      <c r="H261" s="7" t="inlineStr">
        <is>
          <t>Consumer</t>
        </is>
      </c>
      <c r="I261" s="7" t="n">
        <v>13</v>
      </c>
      <c r="J261" s="10" t="n">
        <v>15.65</v>
      </c>
      <c r="K261" s="11" t="n">
        <v>0.2</v>
      </c>
      <c r="L261" s="10">
        <f>I261*J261*(1-K261)</f>
        <v/>
      </c>
      <c r="M261" s="10" t="n">
        <v>97.5</v>
      </c>
      <c r="N261" s="10">
        <f>L261-M261</f>
        <v/>
      </c>
    </row>
    <row r="262">
      <c r="A262" s="7" t="inlineStr">
        <is>
          <t>ORD-04803</t>
        </is>
      </c>
      <c r="B262" s="8" t="n">
        <v>45008</v>
      </c>
      <c r="C262" s="9" t="n">
        <v>44986</v>
      </c>
      <c r="D262" s="7" t="n">
        <v>2023</v>
      </c>
      <c r="E262" s="7" t="inlineStr">
        <is>
          <t>East</t>
        </is>
      </c>
      <c r="F262" s="7" t="inlineStr">
        <is>
          <t>Furniture</t>
        </is>
      </c>
      <c r="G262" s="7" t="inlineStr">
        <is>
          <t>Desk</t>
        </is>
      </c>
      <c r="H262" s="7" t="inlineStr">
        <is>
          <t>Consumer</t>
        </is>
      </c>
      <c r="I262" s="7" t="n">
        <v>4</v>
      </c>
      <c r="J262" s="10" t="n">
        <v>455.27</v>
      </c>
      <c r="K262" s="11" t="n">
        <v>0.3</v>
      </c>
      <c r="L262" s="10">
        <f>I262*J262*(1-K262)</f>
        <v/>
      </c>
      <c r="M262" s="10" t="n">
        <v>1530</v>
      </c>
      <c r="N262" s="10">
        <f>L262-M262</f>
        <v/>
      </c>
    </row>
    <row r="263">
      <c r="A263" s="7" t="inlineStr">
        <is>
          <t>ORD-05033</t>
        </is>
      </c>
      <c r="B263" s="8" t="n">
        <v>45009</v>
      </c>
      <c r="C263" s="9" t="n">
        <v>44986</v>
      </c>
      <c r="D263" s="7" t="n">
        <v>2023</v>
      </c>
      <c r="E263" s="7" t="inlineStr">
        <is>
          <t>North</t>
        </is>
      </c>
      <c r="F263" s="7" t="inlineStr">
        <is>
          <t>Technology</t>
        </is>
      </c>
      <c r="G263" s="7" t="inlineStr">
        <is>
          <t>Monitor</t>
        </is>
      </c>
      <c r="H263" s="7" t="inlineStr">
        <is>
          <t>Corporate</t>
        </is>
      </c>
      <c r="I263" s="7" t="n">
        <v>3</v>
      </c>
      <c r="J263" s="10" t="n">
        <v>253.17</v>
      </c>
      <c r="K263" s="11" t="n">
        <v>0</v>
      </c>
      <c r="L263" s="10">
        <f>I263*J263*(1-K263)</f>
        <v/>
      </c>
      <c r="M263" s="10" t="n">
        <v>540</v>
      </c>
      <c r="N263" s="10">
        <f>L263-M263</f>
        <v/>
      </c>
    </row>
    <row r="264">
      <c r="A264" s="7" t="inlineStr">
        <is>
          <t>ORD-05972</t>
        </is>
      </c>
      <c r="B264" s="8" t="n">
        <v>45009</v>
      </c>
      <c r="C264" s="9" t="n">
        <v>44986</v>
      </c>
      <c r="D264" s="7" t="n">
        <v>2023</v>
      </c>
      <c r="E264" s="7" t="inlineStr">
        <is>
          <t>West</t>
        </is>
      </c>
      <c r="F264" s="7" t="inlineStr">
        <is>
          <t>Furniture</t>
        </is>
      </c>
      <c r="G264" s="7" t="inlineStr">
        <is>
          <t>Desk</t>
        </is>
      </c>
      <c r="H264" s="7" t="inlineStr">
        <is>
          <t>Corporate</t>
        </is>
      </c>
      <c r="I264" s="7" t="n">
        <v>1</v>
      </c>
      <c r="J264" s="10" t="n">
        <v>470.51</v>
      </c>
      <c r="K264" s="11" t="n">
        <v>0.1</v>
      </c>
      <c r="L264" s="10">
        <f>I264*J264*(1-K264)</f>
        <v/>
      </c>
      <c r="M264" s="10" t="n">
        <v>382.5</v>
      </c>
      <c r="N264" s="10">
        <f>L264-M264</f>
        <v/>
      </c>
    </row>
    <row r="265">
      <c r="A265" s="7" t="inlineStr">
        <is>
          <t>ORD-04682</t>
        </is>
      </c>
      <c r="B265" s="8" t="n">
        <v>45009</v>
      </c>
      <c r="C265" s="9" t="n">
        <v>44986</v>
      </c>
      <c r="D265" s="7" t="n">
        <v>2023</v>
      </c>
      <c r="E265" s="7" t="inlineStr">
        <is>
          <t>North</t>
        </is>
      </c>
      <c r="F265" s="7" t="inlineStr">
        <is>
          <t>Furniture</t>
        </is>
      </c>
      <c r="G265" s="7" t="inlineStr">
        <is>
          <t>Sofa</t>
        </is>
      </c>
      <c r="H265" s="7" t="inlineStr">
        <is>
          <t>Corporate</t>
        </is>
      </c>
      <c r="I265" s="7" t="n">
        <v>4</v>
      </c>
      <c r="J265" s="10" t="n">
        <v>724.1</v>
      </c>
      <c r="K265" s="11" t="n">
        <v>0</v>
      </c>
      <c r="L265" s="10">
        <f>I265*J265*(1-K265)</f>
        <v/>
      </c>
      <c r="M265" s="10" t="n">
        <v>2464</v>
      </c>
      <c r="N265" s="10">
        <f>L265-M265</f>
        <v/>
      </c>
    </row>
    <row r="266">
      <c r="A266" s="7" t="inlineStr">
        <is>
          <t>ORD-05174</t>
        </is>
      </c>
      <c r="B266" s="8" t="n">
        <v>45009</v>
      </c>
      <c r="C266" s="9" t="n">
        <v>44986</v>
      </c>
      <c r="D266" s="7" t="n">
        <v>2023</v>
      </c>
      <c r="E266" s="7" t="inlineStr">
        <is>
          <t>North</t>
        </is>
      </c>
      <c r="F266" s="7" t="inlineStr">
        <is>
          <t>Office Supplies</t>
        </is>
      </c>
      <c r="G266" s="7" t="inlineStr">
        <is>
          <t>Paper</t>
        </is>
      </c>
      <c r="H266" s="7" t="inlineStr">
        <is>
          <t>Consumer</t>
        </is>
      </c>
      <c r="I266" s="7" t="n">
        <v>10</v>
      </c>
      <c r="J266" s="10" t="n">
        <v>25.97</v>
      </c>
      <c r="K266" s="11" t="n">
        <v>0</v>
      </c>
      <c r="L266" s="10">
        <f>I266*J266*(1-K266)</f>
        <v/>
      </c>
      <c r="M266" s="10" t="n">
        <v>125</v>
      </c>
      <c r="N266" s="10">
        <f>L266-M266</f>
        <v/>
      </c>
    </row>
    <row r="267">
      <c r="A267" s="7" t="inlineStr">
        <is>
          <t>ORD-00763</t>
        </is>
      </c>
      <c r="B267" s="8" t="n">
        <v>45010</v>
      </c>
      <c r="C267" s="9" t="n">
        <v>44986</v>
      </c>
      <c r="D267" s="7" t="n">
        <v>2023</v>
      </c>
      <c r="E267" s="7" t="inlineStr">
        <is>
          <t>North</t>
        </is>
      </c>
      <c r="F267" s="7" t="inlineStr">
        <is>
          <t>Office Supplies</t>
        </is>
      </c>
      <c r="G267" s="7" t="inlineStr">
        <is>
          <t>Pens</t>
        </is>
      </c>
      <c r="H267" s="7" t="inlineStr">
        <is>
          <t>Consumer</t>
        </is>
      </c>
      <c r="I267" s="7" t="n">
        <v>10</v>
      </c>
      <c r="J267" s="10" t="n">
        <v>11.83</v>
      </c>
      <c r="K267" s="11" t="n">
        <v>0.2</v>
      </c>
      <c r="L267" s="10">
        <f>I267*J267*(1-K267)</f>
        <v/>
      </c>
      <c r="M267" s="10" t="n">
        <v>54</v>
      </c>
      <c r="N267" s="10">
        <f>L267-M267</f>
        <v/>
      </c>
    </row>
    <row r="268">
      <c r="A268" s="7" t="inlineStr">
        <is>
          <t>ORD-03306</t>
        </is>
      </c>
      <c r="B268" s="8" t="n">
        <v>45010</v>
      </c>
      <c r="C268" s="9" t="n">
        <v>44986</v>
      </c>
      <c r="D268" s="7" t="n">
        <v>2023</v>
      </c>
      <c r="E268" s="7" t="inlineStr">
        <is>
          <t>East</t>
        </is>
      </c>
      <c r="F268" s="7" t="inlineStr">
        <is>
          <t>Technology</t>
        </is>
      </c>
      <c r="G268" s="7" t="inlineStr">
        <is>
          <t>Headphones</t>
        </is>
      </c>
      <c r="H268" s="7" t="inlineStr">
        <is>
          <t>Corporate</t>
        </is>
      </c>
      <c r="I268" s="7" t="n">
        <v>1</v>
      </c>
      <c r="J268" s="10" t="n">
        <v>114.96</v>
      </c>
      <c r="K268" s="11" t="n">
        <v>0</v>
      </c>
      <c r="L268" s="10">
        <f>I268*J268*(1-K268)</f>
        <v/>
      </c>
      <c r="M268" s="10" t="n">
        <v>72</v>
      </c>
      <c r="N268" s="10">
        <f>L268-M268</f>
        <v/>
      </c>
    </row>
    <row r="269">
      <c r="A269" s="7" t="inlineStr">
        <is>
          <t>ORD-05611</t>
        </is>
      </c>
      <c r="B269" s="8" t="n">
        <v>45010</v>
      </c>
      <c r="C269" s="9" t="n">
        <v>44986</v>
      </c>
      <c r="D269" s="7" t="n">
        <v>2023</v>
      </c>
      <c r="E269" s="7" t="inlineStr">
        <is>
          <t>West</t>
        </is>
      </c>
      <c r="F269" s="7" t="inlineStr">
        <is>
          <t>Office Supplies</t>
        </is>
      </c>
      <c r="G269" s="7" t="inlineStr">
        <is>
          <t>Printer Ink</t>
        </is>
      </c>
      <c r="H269" s="7" t="inlineStr">
        <is>
          <t>Consumer</t>
        </is>
      </c>
      <c r="I269" s="7" t="n">
        <v>2</v>
      </c>
      <c r="J269" s="10" t="n">
        <v>61.81</v>
      </c>
      <c r="K269" s="11" t="n">
        <v>0.05</v>
      </c>
      <c r="L269" s="10">
        <f>I269*J269*(1-K269)</f>
        <v/>
      </c>
      <c r="M269" s="10" t="n">
        <v>72</v>
      </c>
      <c r="N269" s="10">
        <f>L269-M269</f>
        <v/>
      </c>
    </row>
    <row r="270">
      <c r="A270" s="7" t="inlineStr">
        <is>
          <t>ORD-03698</t>
        </is>
      </c>
      <c r="B270" s="8" t="n">
        <v>45010</v>
      </c>
      <c r="C270" s="9" t="n">
        <v>44986</v>
      </c>
      <c r="D270" s="7" t="n">
        <v>2023</v>
      </c>
      <c r="E270" s="7" t="inlineStr">
        <is>
          <t>East</t>
        </is>
      </c>
      <c r="F270" s="7" t="inlineStr">
        <is>
          <t>Technology</t>
        </is>
      </c>
      <c r="G270" s="7" t="inlineStr">
        <is>
          <t>Keyboard</t>
        </is>
      </c>
      <c r="H270" s="7" t="inlineStr">
        <is>
          <t>Consumer</t>
        </is>
      </c>
      <c r="I270" s="7" t="n">
        <v>3</v>
      </c>
      <c r="J270" s="10" t="n">
        <v>44.81</v>
      </c>
      <c r="K270" s="11" t="n">
        <v>0.2</v>
      </c>
      <c r="L270" s="10">
        <f>I270*J270*(1-K270)</f>
        <v/>
      </c>
      <c r="M270" s="10" t="n">
        <v>74.25</v>
      </c>
      <c r="N270" s="10">
        <f>L270-M270</f>
        <v/>
      </c>
    </row>
    <row r="271">
      <c r="A271" s="7" t="inlineStr">
        <is>
          <t>ORD-03096</t>
        </is>
      </c>
      <c r="B271" s="8" t="n">
        <v>45010</v>
      </c>
      <c r="C271" s="9" t="n">
        <v>44986</v>
      </c>
      <c r="D271" s="7" t="n">
        <v>2023</v>
      </c>
      <c r="E271" s="7" t="inlineStr">
        <is>
          <t>East</t>
        </is>
      </c>
      <c r="F271" s="7" t="inlineStr">
        <is>
          <t>Technology</t>
        </is>
      </c>
      <c r="G271" s="7" t="inlineStr">
        <is>
          <t>Smartphone</t>
        </is>
      </c>
      <c r="H271" s="7" t="inlineStr">
        <is>
          <t>Home Office</t>
        </is>
      </c>
      <c r="I271" s="7" t="n">
        <v>3</v>
      </c>
      <c r="J271" s="10" t="n">
        <v>586.46</v>
      </c>
      <c r="K271" s="11" t="n">
        <v>0.2</v>
      </c>
      <c r="L271" s="10">
        <f>I271*J271*(1-K271)</f>
        <v/>
      </c>
      <c r="M271" s="10" t="n">
        <v>1350</v>
      </c>
      <c r="N271" s="10">
        <f>L271-M271</f>
        <v/>
      </c>
    </row>
    <row r="272">
      <c r="A272" s="7" t="inlineStr">
        <is>
          <t>ORD-02011</t>
        </is>
      </c>
      <c r="B272" s="8" t="n">
        <v>45010</v>
      </c>
      <c r="C272" s="9" t="n">
        <v>44986</v>
      </c>
      <c r="D272" s="7" t="n">
        <v>2023</v>
      </c>
      <c r="E272" s="7" t="inlineStr">
        <is>
          <t>North</t>
        </is>
      </c>
      <c r="F272" s="7" t="inlineStr">
        <is>
          <t>Office Supplies</t>
        </is>
      </c>
      <c r="G272" s="7" t="inlineStr">
        <is>
          <t>Paper</t>
        </is>
      </c>
      <c r="H272" s="7" t="inlineStr">
        <is>
          <t>Home Office</t>
        </is>
      </c>
      <c r="I272" s="7" t="n">
        <v>5</v>
      </c>
      <c r="J272" s="10" t="n">
        <v>23.93</v>
      </c>
      <c r="K272" s="11" t="n">
        <v>0.1</v>
      </c>
      <c r="L272" s="10">
        <f>I272*J272*(1-K272)</f>
        <v/>
      </c>
      <c r="M272" s="10" t="n">
        <v>62.5</v>
      </c>
      <c r="N272" s="10">
        <f>L272-M272</f>
        <v/>
      </c>
    </row>
    <row r="273">
      <c r="A273" s="7" t="inlineStr">
        <is>
          <t>ORD-02385</t>
        </is>
      </c>
      <c r="B273" s="8" t="n">
        <v>45010</v>
      </c>
      <c r="C273" s="9" t="n">
        <v>44986</v>
      </c>
      <c r="D273" s="7" t="n">
        <v>2023</v>
      </c>
      <c r="E273" s="7" t="inlineStr">
        <is>
          <t>West</t>
        </is>
      </c>
      <c r="F273" s="7" t="inlineStr">
        <is>
          <t>Office Supplies</t>
        </is>
      </c>
      <c r="G273" s="7" t="inlineStr">
        <is>
          <t>Paper</t>
        </is>
      </c>
      <c r="H273" s="7" t="inlineStr">
        <is>
          <t>Consumer</t>
        </is>
      </c>
      <c r="I273" s="7" t="n">
        <v>6</v>
      </c>
      <c r="J273" s="10" t="n">
        <v>26.1</v>
      </c>
      <c r="K273" s="11" t="n">
        <v>0</v>
      </c>
      <c r="L273" s="10">
        <f>I273*J273*(1-K273)</f>
        <v/>
      </c>
      <c r="M273" s="10" t="n">
        <v>75</v>
      </c>
      <c r="N273" s="10">
        <f>L273-M273</f>
        <v/>
      </c>
    </row>
    <row r="274">
      <c r="A274" s="7" t="inlineStr">
        <is>
          <t>ORD-05639</t>
        </is>
      </c>
      <c r="B274" s="8" t="n">
        <v>45011</v>
      </c>
      <c r="C274" s="9" t="n">
        <v>44986</v>
      </c>
      <c r="D274" s="7" t="n">
        <v>2023</v>
      </c>
      <c r="E274" s="7" t="inlineStr">
        <is>
          <t>North</t>
        </is>
      </c>
      <c r="F274" s="7" t="inlineStr">
        <is>
          <t>Office Supplies</t>
        </is>
      </c>
      <c r="G274" s="7" t="inlineStr">
        <is>
          <t>Paper</t>
        </is>
      </c>
      <c r="H274" s="7" t="inlineStr">
        <is>
          <t>Home Office</t>
        </is>
      </c>
      <c r="I274" s="7" t="n">
        <v>6</v>
      </c>
      <c r="J274" s="10" t="n">
        <v>25.65</v>
      </c>
      <c r="K274" s="11" t="n">
        <v>0</v>
      </c>
      <c r="L274" s="10">
        <f>I274*J274*(1-K274)</f>
        <v/>
      </c>
      <c r="M274" s="10" t="n">
        <v>75</v>
      </c>
      <c r="N274" s="10">
        <f>L274-M274</f>
        <v/>
      </c>
    </row>
    <row r="275">
      <c r="A275" s="7" t="inlineStr">
        <is>
          <t>ORD-05176</t>
        </is>
      </c>
      <c r="B275" s="8" t="n">
        <v>45012</v>
      </c>
      <c r="C275" s="9" t="n">
        <v>44986</v>
      </c>
      <c r="D275" s="7" t="n">
        <v>2023</v>
      </c>
      <c r="E275" s="7" t="inlineStr">
        <is>
          <t>East</t>
        </is>
      </c>
      <c r="F275" s="7" t="inlineStr">
        <is>
          <t>Office Supplies</t>
        </is>
      </c>
      <c r="G275" s="7" t="inlineStr">
        <is>
          <t>Printer Ink</t>
        </is>
      </c>
      <c r="H275" s="7" t="inlineStr">
        <is>
          <t>Consumer</t>
        </is>
      </c>
      <c r="I275" s="7" t="n">
        <v>3</v>
      </c>
      <c r="J275" s="10" t="n">
        <v>58.02</v>
      </c>
      <c r="K275" s="11" t="n">
        <v>0.1</v>
      </c>
      <c r="L275" s="10">
        <f>I275*J275*(1-K275)</f>
        <v/>
      </c>
      <c r="M275" s="10" t="n">
        <v>108</v>
      </c>
      <c r="N275" s="10">
        <f>L275-M275</f>
        <v/>
      </c>
    </row>
    <row r="276">
      <c r="A276" s="7" t="inlineStr">
        <is>
          <t>ORD-04541</t>
        </is>
      </c>
      <c r="B276" s="8" t="n">
        <v>45012</v>
      </c>
      <c r="C276" s="9" t="n">
        <v>44986</v>
      </c>
      <c r="D276" s="7" t="n">
        <v>2023</v>
      </c>
      <c r="E276" s="7" t="inlineStr">
        <is>
          <t>North</t>
        </is>
      </c>
      <c r="F276" s="7" t="inlineStr">
        <is>
          <t>Technology</t>
        </is>
      </c>
      <c r="G276" s="7" t="inlineStr">
        <is>
          <t>Keyboard</t>
        </is>
      </c>
      <c r="H276" s="7" t="inlineStr">
        <is>
          <t>Home Office</t>
        </is>
      </c>
      <c r="I276" s="7" t="n">
        <v>1</v>
      </c>
      <c r="J276" s="10" t="n">
        <v>45.06</v>
      </c>
      <c r="K276" s="11" t="n">
        <v>0.05</v>
      </c>
      <c r="L276" s="10">
        <f>I276*J276*(1-K276)</f>
        <v/>
      </c>
      <c r="M276" s="10" t="n">
        <v>24.75</v>
      </c>
      <c r="N276" s="10">
        <f>L276-M276</f>
        <v/>
      </c>
    </row>
    <row r="277">
      <c r="A277" s="7" t="inlineStr">
        <is>
          <t>ORD-03531</t>
        </is>
      </c>
      <c r="B277" s="8" t="n">
        <v>45012</v>
      </c>
      <c r="C277" s="9" t="n">
        <v>44986</v>
      </c>
      <c r="D277" s="7" t="n">
        <v>2023</v>
      </c>
      <c r="E277" s="7" t="inlineStr">
        <is>
          <t>East</t>
        </is>
      </c>
      <c r="F277" s="7" t="inlineStr">
        <is>
          <t>Office Supplies</t>
        </is>
      </c>
      <c r="G277" s="7" t="inlineStr">
        <is>
          <t>Stapler</t>
        </is>
      </c>
      <c r="H277" s="7" t="inlineStr">
        <is>
          <t>Home Office</t>
        </is>
      </c>
      <c r="I277" s="7" t="n">
        <v>13</v>
      </c>
      <c r="J277" s="10" t="n">
        <v>15.06</v>
      </c>
      <c r="K277" s="11" t="n">
        <v>0.3</v>
      </c>
      <c r="L277" s="10">
        <f>I277*J277*(1-K277)</f>
        <v/>
      </c>
      <c r="M277" s="10" t="n">
        <v>97.5</v>
      </c>
      <c r="N277" s="10">
        <f>L277-M277</f>
        <v/>
      </c>
    </row>
    <row r="278">
      <c r="A278" s="7" t="inlineStr">
        <is>
          <t>ORD-00635</t>
        </is>
      </c>
      <c r="B278" s="8" t="n">
        <v>45012</v>
      </c>
      <c r="C278" s="9" t="n">
        <v>44986</v>
      </c>
      <c r="D278" s="7" t="n">
        <v>2023</v>
      </c>
      <c r="E278" s="7" t="inlineStr">
        <is>
          <t>South</t>
        </is>
      </c>
      <c r="F278" s="7" t="inlineStr">
        <is>
          <t>Office Supplies</t>
        </is>
      </c>
      <c r="G278" s="7" t="inlineStr">
        <is>
          <t>Printer Ink</t>
        </is>
      </c>
      <c r="H278" s="7" t="inlineStr">
        <is>
          <t>Consumer</t>
        </is>
      </c>
      <c r="I278" s="7" t="n">
        <v>10</v>
      </c>
      <c r="J278" s="10" t="n">
        <v>62.46</v>
      </c>
      <c r="K278" s="11" t="n">
        <v>0.05</v>
      </c>
      <c r="L278" s="10">
        <f>I278*J278*(1-K278)</f>
        <v/>
      </c>
      <c r="M278" s="10" t="n">
        <v>360</v>
      </c>
      <c r="N278" s="10">
        <f>L278-M278</f>
        <v/>
      </c>
    </row>
    <row r="279">
      <c r="A279" s="7" t="inlineStr">
        <is>
          <t>ORD-00759</t>
        </is>
      </c>
      <c r="B279" s="8" t="n">
        <v>45012</v>
      </c>
      <c r="C279" s="9" t="n">
        <v>44986</v>
      </c>
      <c r="D279" s="7" t="n">
        <v>2023</v>
      </c>
      <c r="E279" s="7" t="inlineStr">
        <is>
          <t>East</t>
        </is>
      </c>
      <c r="F279" s="7" t="inlineStr">
        <is>
          <t>Technology</t>
        </is>
      </c>
      <c r="G279" s="7" t="inlineStr">
        <is>
          <t>Keyboard</t>
        </is>
      </c>
      <c r="H279" s="7" t="inlineStr">
        <is>
          <t>Consumer</t>
        </is>
      </c>
      <c r="I279" s="7" t="n">
        <v>2</v>
      </c>
      <c r="J279" s="10" t="n">
        <v>43.87</v>
      </c>
      <c r="K279" s="11" t="n">
        <v>0.05</v>
      </c>
      <c r="L279" s="10">
        <f>I279*J279*(1-K279)</f>
        <v/>
      </c>
      <c r="M279" s="10" t="n">
        <v>49.5</v>
      </c>
      <c r="N279" s="10">
        <f>L279-M279</f>
        <v/>
      </c>
    </row>
    <row r="280">
      <c r="A280" s="7" t="inlineStr">
        <is>
          <t>ORD-02447</t>
        </is>
      </c>
      <c r="B280" s="8" t="n">
        <v>45013</v>
      </c>
      <c r="C280" s="9" t="n">
        <v>44986</v>
      </c>
      <c r="D280" s="7" t="n">
        <v>2023</v>
      </c>
      <c r="E280" s="7" t="inlineStr">
        <is>
          <t>East</t>
        </is>
      </c>
      <c r="F280" s="7" t="inlineStr">
        <is>
          <t>Technology</t>
        </is>
      </c>
      <c r="G280" s="7" t="inlineStr">
        <is>
          <t>Headphones</t>
        </is>
      </c>
      <c r="H280" s="7" t="inlineStr">
        <is>
          <t>Corporate</t>
        </is>
      </c>
      <c r="I280" s="7" t="n">
        <v>1</v>
      </c>
      <c r="J280" s="10" t="n">
        <v>117.04</v>
      </c>
      <c r="K280" s="11" t="n">
        <v>0.05</v>
      </c>
      <c r="L280" s="10">
        <f>I280*J280*(1-K280)</f>
        <v/>
      </c>
      <c r="M280" s="10" t="n">
        <v>72</v>
      </c>
      <c r="N280" s="10">
        <f>L280-M280</f>
        <v/>
      </c>
    </row>
    <row r="281">
      <c r="A281" s="7" t="inlineStr">
        <is>
          <t>ORD-00643</t>
        </is>
      </c>
      <c r="B281" s="8" t="n">
        <v>45013</v>
      </c>
      <c r="C281" s="9" t="n">
        <v>44986</v>
      </c>
      <c r="D281" s="7" t="n">
        <v>2023</v>
      </c>
      <c r="E281" s="7" t="inlineStr">
        <is>
          <t>West</t>
        </is>
      </c>
      <c r="F281" s="7" t="inlineStr">
        <is>
          <t>Office Supplies</t>
        </is>
      </c>
      <c r="G281" s="7" t="inlineStr">
        <is>
          <t>Binder</t>
        </is>
      </c>
      <c r="H281" s="7" t="inlineStr">
        <is>
          <t>Consumer</t>
        </is>
      </c>
      <c r="I281" s="7" t="n">
        <v>10</v>
      </c>
      <c r="J281" s="10" t="n">
        <v>8.24</v>
      </c>
      <c r="K281" s="11" t="n">
        <v>0.05</v>
      </c>
      <c r="L281" s="10">
        <f>I281*J281*(1-K281)</f>
        <v/>
      </c>
      <c r="M281" s="10" t="n">
        <v>32</v>
      </c>
      <c r="N281" s="10">
        <f>L281-M281</f>
        <v/>
      </c>
    </row>
    <row r="282">
      <c r="A282" s="7" t="inlineStr">
        <is>
          <t>ORD-00287</t>
        </is>
      </c>
      <c r="B282" s="8" t="n">
        <v>45013</v>
      </c>
      <c r="C282" s="9" t="n">
        <v>44986</v>
      </c>
      <c r="D282" s="7" t="n">
        <v>2023</v>
      </c>
      <c r="E282" s="7" t="inlineStr">
        <is>
          <t>East</t>
        </is>
      </c>
      <c r="F282" s="7" t="inlineStr">
        <is>
          <t>Office Supplies</t>
        </is>
      </c>
      <c r="G282" s="7" t="inlineStr">
        <is>
          <t>Paper</t>
        </is>
      </c>
      <c r="H282" s="7" t="inlineStr">
        <is>
          <t>Corporate</t>
        </is>
      </c>
      <c r="I282" s="7" t="n">
        <v>7</v>
      </c>
      <c r="J282" s="10" t="n">
        <v>24.26</v>
      </c>
      <c r="K282" s="11" t="n">
        <v>0</v>
      </c>
      <c r="L282" s="10">
        <f>I282*J282*(1-K282)</f>
        <v/>
      </c>
      <c r="M282" s="10" t="n">
        <v>87.5</v>
      </c>
      <c r="N282" s="10">
        <f>L282-M282</f>
        <v/>
      </c>
    </row>
    <row r="283">
      <c r="A283" s="7" t="inlineStr">
        <is>
          <t>ORD-01206</t>
        </is>
      </c>
      <c r="B283" s="8" t="n">
        <v>45013</v>
      </c>
      <c r="C283" s="9" t="n">
        <v>44986</v>
      </c>
      <c r="D283" s="7" t="n">
        <v>2023</v>
      </c>
      <c r="E283" s="7" t="inlineStr">
        <is>
          <t>East</t>
        </is>
      </c>
      <c r="F283" s="7" t="inlineStr">
        <is>
          <t>Office Supplies</t>
        </is>
      </c>
      <c r="G283" s="7" t="inlineStr">
        <is>
          <t>Pens</t>
        </is>
      </c>
      <c r="H283" s="7" t="inlineStr">
        <is>
          <t>Consumer</t>
        </is>
      </c>
      <c r="I283" s="7" t="n">
        <v>9</v>
      </c>
      <c r="J283" s="10" t="n">
        <v>11.86</v>
      </c>
      <c r="K283" s="11" t="n">
        <v>0</v>
      </c>
      <c r="L283" s="10">
        <f>I283*J283*(1-K283)</f>
        <v/>
      </c>
      <c r="M283" s="10" t="n">
        <v>48.6</v>
      </c>
      <c r="N283" s="10">
        <f>L283-M283</f>
        <v/>
      </c>
    </row>
    <row r="284">
      <c r="A284" s="7" t="inlineStr">
        <is>
          <t>ORD-02774</t>
        </is>
      </c>
      <c r="B284" s="8" t="n">
        <v>45013</v>
      </c>
      <c r="C284" s="9" t="n">
        <v>44986</v>
      </c>
      <c r="D284" s="7" t="n">
        <v>2023</v>
      </c>
      <c r="E284" s="7" t="inlineStr">
        <is>
          <t>South</t>
        </is>
      </c>
      <c r="F284" s="7" t="inlineStr">
        <is>
          <t>Office Supplies</t>
        </is>
      </c>
      <c r="G284" s="7" t="inlineStr">
        <is>
          <t>Printer Ink</t>
        </is>
      </c>
      <c r="H284" s="7" t="inlineStr">
        <is>
          <t>Consumer</t>
        </is>
      </c>
      <c r="I284" s="7" t="n">
        <v>10</v>
      </c>
      <c r="J284" s="10" t="n">
        <v>62.83</v>
      </c>
      <c r="K284" s="11" t="n">
        <v>0.1</v>
      </c>
      <c r="L284" s="10">
        <f>I284*J284*(1-K284)</f>
        <v/>
      </c>
      <c r="M284" s="10" t="n">
        <v>360</v>
      </c>
      <c r="N284" s="10">
        <f>L284-M284</f>
        <v/>
      </c>
    </row>
    <row r="285">
      <c r="A285" s="7" t="inlineStr">
        <is>
          <t>ORD-00988</t>
        </is>
      </c>
      <c r="B285" s="8" t="n">
        <v>45014</v>
      </c>
      <c r="C285" s="9" t="n">
        <v>44986</v>
      </c>
      <c r="D285" s="7" t="n">
        <v>2023</v>
      </c>
      <c r="E285" s="7" t="inlineStr">
        <is>
          <t>West</t>
        </is>
      </c>
      <c r="F285" s="7" t="inlineStr">
        <is>
          <t>Furniture</t>
        </is>
      </c>
      <c r="G285" s="7" t="inlineStr">
        <is>
          <t>Desk</t>
        </is>
      </c>
      <c r="H285" s="7" t="inlineStr">
        <is>
          <t>Consumer</t>
        </is>
      </c>
      <c r="I285" s="7" t="n">
        <v>2</v>
      </c>
      <c r="J285" s="10" t="n">
        <v>437.92</v>
      </c>
      <c r="K285" s="11" t="n">
        <v>0.2</v>
      </c>
      <c r="L285" s="10">
        <f>I285*J285*(1-K285)</f>
        <v/>
      </c>
      <c r="M285" s="10" t="n">
        <v>765</v>
      </c>
      <c r="N285" s="10">
        <f>L285-M285</f>
        <v/>
      </c>
    </row>
    <row r="286">
      <c r="A286" s="7" t="inlineStr">
        <is>
          <t>ORD-04738</t>
        </is>
      </c>
      <c r="B286" s="8" t="n">
        <v>45014</v>
      </c>
      <c r="C286" s="9" t="n">
        <v>44986</v>
      </c>
      <c r="D286" s="7" t="n">
        <v>2023</v>
      </c>
      <c r="E286" s="7" t="inlineStr">
        <is>
          <t>East</t>
        </is>
      </c>
      <c r="F286" s="7" t="inlineStr">
        <is>
          <t>Technology</t>
        </is>
      </c>
      <c r="G286" s="7" t="inlineStr">
        <is>
          <t>Laptop</t>
        </is>
      </c>
      <c r="H286" s="7" t="inlineStr">
        <is>
          <t>Home Office</t>
        </is>
      </c>
      <c r="I286" s="7" t="n">
        <v>1</v>
      </c>
      <c r="J286" s="10" t="n">
        <v>923.05</v>
      </c>
      <c r="K286" s="11" t="n">
        <v>0</v>
      </c>
      <c r="L286" s="10">
        <f>I286*J286*(1-K286)</f>
        <v/>
      </c>
      <c r="M286" s="10" t="n">
        <v>702</v>
      </c>
      <c r="N286" s="10">
        <f>L286-M286</f>
        <v/>
      </c>
    </row>
    <row r="287">
      <c r="A287" s="7" t="inlineStr">
        <is>
          <t>ORD-05266</t>
        </is>
      </c>
      <c r="B287" s="8" t="n">
        <v>45014</v>
      </c>
      <c r="C287" s="9" t="n">
        <v>44986</v>
      </c>
      <c r="D287" s="7" t="n">
        <v>2023</v>
      </c>
      <c r="E287" s="7" t="inlineStr">
        <is>
          <t>West</t>
        </is>
      </c>
      <c r="F287" s="7" t="inlineStr">
        <is>
          <t>Technology</t>
        </is>
      </c>
      <c r="G287" s="7" t="inlineStr">
        <is>
          <t>Smartphone</t>
        </is>
      </c>
      <c r="H287" s="7" t="inlineStr">
        <is>
          <t>Corporate</t>
        </is>
      </c>
      <c r="I287" s="7" t="n">
        <v>3</v>
      </c>
      <c r="J287" s="10" t="n">
        <v>571.63</v>
      </c>
      <c r="K287" s="11" t="n">
        <v>0</v>
      </c>
      <c r="L287" s="10">
        <f>I287*J287*(1-K287)</f>
        <v/>
      </c>
      <c r="M287" s="10" t="n">
        <v>1350</v>
      </c>
      <c r="N287" s="10">
        <f>L287-M287</f>
        <v/>
      </c>
    </row>
    <row r="288">
      <c r="A288" s="7" t="inlineStr">
        <is>
          <t>ORD-02476</t>
        </is>
      </c>
      <c r="B288" s="8" t="n">
        <v>45015</v>
      </c>
      <c r="C288" s="9" t="n">
        <v>44986</v>
      </c>
      <c r="D288" s="7" t="n">
        <v>2023</v>
      </c>
      <c r="E288" s="7" t="inlineStr">
        <is>
          <t>West</t>
        </is>
      </c>
      <c r="F288" s="7" t="inlineStr">
        <is>
          <t>Office Supplies</t>
        </is>
      </c>
      <c r="G288" s="7" t="inlineStr">
        <is>
          <t>Pens</t>
        </is>
      </c>
      <c r="H288" s="7" t="inlineStr">
        <is>
          <t>Corporate</t>
        </is>
      </c>
      <c r="I288" s="7" t="n">
        <v>3</v>
      </c>
      <c r="J288" s="10" t="n">
        <v>11.94</v>
      </c>
      <c r="K288" s="11" t="n">
        <v>0.05</v>
      </c>
      <c r="L288" s="10">
        <f>I288*J288*(1-K288)</f>
        <v/>
      </c>
      <c r="M288" s="10" t="n">
        <v>16.2</v>
      </c>
      <c r="N288" s="10">
        <f>L288-M288</f>
        <v/>
      </c>
    </row>
    <row r="289">
      <c r="A289" s="7" t="inlineStr">
        <is>
          <t>ORD-00821</t>
        </is>
      </c>
      <c r="B289" s="8" t="n">
        <v>45015</v>
      </c>
      <c r="C289" s="9" t="n">
        <v>44986</v>
      </c>
      <c r="D289" s="7" t="n">
        <v>2023</v>
      </c>
      <c r="E289" s="7" t="inlineStr">
        <is>
          <t>South</t>
        </is>
      </c>
      <c r="F289" s="7" t="inlineStr">
        <is>
          <t>Furniture</t>
        </is>
      </c>
      <c r="G289" s="7" t="inlineStr">
        <is>
          <t>Office Chair</t>
        </is>
      </c>
      <c r="H289" s="7" t="inlineStr">
        <is>
          <t>Consumer</t>
        </is>
      </c>
      <c r="I289" s="7" t="n">
        <v>1</v>
      </c>
      <c r="J289" s="10" t="n">
        <v>221.12</v>
      </c>
      <c r="K289" s="11" t="n">
        <v>0.2</v>
      </c>
      <c r="L289" s="10">
        <f>I289*J289*(1-K289)</f>
        <v/>
      </c>
      <c r="M289" s="10" t="n">
        <v>180.4</v>
      </c>
      <c r="N289" s="10">
        <f>L289-M289</f>
        <v/>
      </c>
    </row>
    <row r="290">
      <c r="A290" s="7" t="inlineStr">
        <is>
          <t>ORD-01669</t>
        </is>
      </c>
      <c r="B290" s="8" t="n">
        <v>45015</v>
      </c>
      <c r="C290" s="9" t="n">
        <v>44986</v>
      </c>
      <c r="D290" s="7" t="n">
        <v>2023</v>
      </c>
      <c r="E290" s="7" t="inlineStr">
        <is>
          <t>South</t>
        </is>
      </c>
      <c r="F290" s="7" t="inlineStr">
        <is>
          <t>Office Supplies</t>
        </is>
      </c>
      <c r="G290" s="7" t="inlineStr">
        <is>
          <t>Pens</t>
        </is>
      </c>
      <c r="H290" s="7" t="inlineStr">
        <is>
          <t>Corporate</t>
        </is>
      </c>
      <c r="I290" s="7" t="n">
        <v>6</v>
      </c>
      <c r="J290" s="10" t="n">
        <v>11.54</v>
      </c>
      <c r="K290" s="11" t="n">
        <v>0</v>
      </c>
      <c r="L290" s="10">
        <f>I290*J290*(1-K290)</f>
        <v/>
      </c>
      <c r="M290" s="10" t="n">
        <v>32.4</v>
      </c>
      <c r="N290" s="10">
        <f>L290-M290</f>
        <v/>
      </c>
    </row>
    <row r="291">
      <c r="A291" s="7" t="inlineStr">
        <is>
          <t>ORD-01139</t>
        </is>
      </c>
      <c r="B291" s="8" t="n">
        <v>45016</v>
      </c>
      <c r="C291" s="9" t="n">
        <v>44986</v>
      </c>
      <c r="D291" s="7" t="n">
        <v>2023</v>
      </c>
      <c r="E291" s="7" t="inlineStr">
        <is>
          <t>South</t>
        </is>
      </c>
      <c r="F291" s="7" t="inlineStr">
        <is>
          <t>Technology</t>
        </is>
      </c>
      <c r="G291" s="7" t="inlineStr">
        <is>
          <t>Laptop</t>
        </is>
      </c>
      <c r="H291" s="7" t="inlineStr">
        <is>
          <t>Consumer</t>
        </is>
      </c>
      <c r="I291" s="7" t="n">
        <v>2</v>
      </c>
      <c r="J291" s="10" t="n">
        <v>899.01</v>
      </c>
      <c r="K291" s="11" t="n">
        <v>0.05</v>
      </c>
      <c r="L291" s="10">
        <f>I291*J291*(1-K291)</f>
        <v/>
      </c>
      <c r="M291" s="10" t="n">
        <v>1404</v>
      </c>
      <c r="N291" s="10">
        <f>L291-M291</f>
        <v/>
      </c>
    </row>
    <row r="292">
      <c r="A292" s="7" t="inlineStr">
        <is>
          <t>ORD-02493</t>
        </is>
      </c>
      <c r="B292" s="8" t="n">
        <v>45016</v>
      </c>
      <c r="C292" s="9" t="n">
        <v>44986</v>
      </c>
      <c r="D292" s="7" t="n">
        <v>2023</v>
      </c>
      <c r="E292" s="7" t="inlineStr">
        <is>
          <t>East</t>
        </is>
      </c>
      <c r="F292" s="7" t="inlineStr">
        <is>
          <t>Furniture</t>
        </is>
      </c>
      <c r="G292" s="7" t="inlineStr">
        <is>
          <t>Bookcase</t>
        </is>
      </c>
      <c r="H292" s="7" t="inlineStr">
        <is>
          <t>Home Office</t>
        </is>
      </c>
      <c r="I292" s="7" t="n">
        <v>3</v>
      </c>
      <c r="J292" s="10" t="n">
        <v>180.63</v>
      </c>
      <c r="K292" s="11" t="n">
        <v>0.2</v>
      </c>
      <c r="L292" s="10">
        <f>I292*J292*(1-K292)</f>
        <v/>
      </c>
      <c r="M292" s="10" t="n">
        <v>432</v>
      </c>
      <c r="N292" s="10">
        <f>L292-M292</f>
        <v/>
      </c>
    </row>
    <row r="293">
      <c r="A293" s="7" t="inlineStr">
        <is>
          <t>ORD-00732</t>
        </is>
      </c>
      <c r="B293" s="8" t="n">
        <v>45016</v>
      </c>
      <c r="C293" s="9" t="n">
        <v>44986</v>
      </c>
      <c r="D293" s="7" t="n">
        <v>2023</v>
      </c>
      <c r="E293" s="7" t="inlineStr">
        <is>
          <t>East</t>
        </is>
      </c>
      <c r="F293" s="7" t="inlineStr">
        <is>
          <t>Technology</t>
        </is>
      </c>
      <c r="G293" s="7" t="inlineStr">
        <is>
          <t>Monitor</t>
        </is>
      </c>
      <c r="H293" s="7" t="inlineStr">
        <is>
          <t>Consumer</t>
        </is>
      </c>
      <c r="I293" s="7" t="n">
        <v>1</v>
      </c>
      <c r="J293" s="10" t="n">
        <v>256.36</v>
      </c>
      <c r="K293" s="11" t="n">
        <v>0.2</v>
      </c>
      <c r="L293" s="10">
        <f>I293*J293*(1-K293)</f>
        <v/>
      </c>
      <c r="M293" s="10" t="n">
        <v>180</v>
      </c>
      <c r="N293" s="10">
        <f>L293-M293</f>
        <v/>
      </c>
    </row>
    <row r="294">
      <c r="A294" s="7" t="inlineStr">
        <is>
          <t>ORD-01732</t>
        </is>
      </c>
      <c r="B294" s="8" t="n">
        <v>45016</v>
      </c>
      <c r="C294" s="9" t="n">
        <v>44986</v>
      </c>
      <c r="D294" s="7" t="n">
        <v>2023</v>
      </c>
      <c r="E294" s="7" t="inlineStr">
        <is>
          <t>East</t>
        </is>
      </c>
      <c r="F294" s="7" t="inlineStr">
        <is>
          <t>Technology</t>
        </is>
      </c>
      <c r="G294" s="7" t="inlineStr">
        <is>
          <t>Keyboard</t>
        </is>
      </c>
      <c r="H294" s="7" t="inlineStr">
        <is>
          <t>Consumer</t>
        </is>
      </c>
      <c r="I294" s="7" t="n">
        <v>2</v>
      </c>
      <c r="J294" s="10" t="n">
        <v>45.02</v>
      </c>
      <c r="K294" s="11" t="n">
        <v>0.05</v>
      </c>
      <c r="L294" s="10">
        <f>I294*J294*(1-K294)</f>
        <v/>
      </c>
      <c r="M294" s="10" t="n">
        <v>49.5</v>
      </c>
      <c r="N294" s="10">
        <f>L294-M294</f>
        <v/>
      </c>
    </row>
    <row r="295">
      <c r="A295" s="7" t="inlineStr">
        <is>
          <t>ORD-01486</t>
        </is>
      </c>
      <c r="B295" s="8" t="n">
        <v>45016</v>
      </c>
      <c r="C295" s="9" t="n">
        <v>44986</v>
      </c>
      <c r="D295" s="7" t="n">
        <v>2023</v>
      </c>
      <c r="E295" s="7" t="inlineStr">
        <is>
          <t>South</t>
        </is>
      </c>
      <c r="F295" s="7" t="inlineStr">
        <is>
          <t>Office Supplies</t>
        </is>
      </c>
      <c r="G295" s="7" t="inlineStr">
        <is>
          <t>Printer Ink</t>
        </is>
      </c>
      <c r="H295" s="7" t="inlineStr">
        <is>
          <t>Home Office</t>
        </is>
      </c>
      <c r="I295" s="7" t="n">
        <v>13</v>
      </c>
      <c r="J295" s="10" t="n">
        <v>57.43</v>
      </c>
      <c r="K295" s="11" t="n">
        <v>0.05</v>
      </c>
      <c r="L295" s="10">
        <f>I295*J295*(1-K295)</f>
        <v/>
      </c>
      <c r="M295" s="10" t="n">
        <v>468</v>
      </c>
      <c r="N295" s="10">
        <f>L295-M295</f>
        <v/>
      </c>
    </row>
    <row r="296">
      <c r="A296" s="7" t="inlineStr">
        <is>
          <t>ORD-02362</t>
        </is>
      </c>
      <c r="B296" s="8" t="n">
        <v>45017</v>
      </c>
      <c r="C296" s="9" t="n">
        <v>45017</v>
      </c>
      <c r="D296" s="7" t="n">
        <v>2023</v>
      </c>
      <c r="E296" s="7" t="inlineStr">
        <is>
          <t>North</t>
        </is>
      </c>
      <c r="F296" s="7" t="inlineStr">
        <is>
          <t>Furniture</t>
        </is>
      </c>
      <c r="G296" s="7" t="inlineStr">
        <is>
          <t>Office Chair</t>
        </is>
      </c>
      <c r="H296" s="7" t="inlineStr">
        <is>
          <t>Consumer</t>
        </is>
      </c>
      <c r="I296" s="7" t="n">
        <v>2</v>
      </c>
      <c r="J296" s="10" t="n">
        <v>219.16</v>
      </c>
      <c r="K296" s="11" t="n">
        <v>0.2</v>
      </c>
      <c r="L296" s="10">
        <f>I296*J296*(1-K296)</f>
        <v/>
      </c>
      <c r="M296" s="10" t="n">
        <v>360.8</v>
      </c>
      <c r="N296" s="10">
        <f>L296-M296</f>
        <v/>
      </c>
    </row>
    <row r="297">
      <c r="A297" s="7" t="inlineStr">
        <is>
          <t>ORD-05207</t>
        </is>
      </c>
      <c r="B297" s="8" t="n">
        <v>45017</v>
      </c>
      <c r="C297" s="9" t="n">
        <v>45017</v>
      </c>
      <c r="D297" s="7" t="n">
        <v>2023</v>
      </c>
      <c r="E297" s="7" t="inlineStr">
        <is>
          <t>East</t>
        </is>
      </c>
      <c r="F297" s="7" t="inlineStr">
        <is>
          <t>Office Supplies</t>
        </is>
      </c>
      <c r="G297" s="7" t="inlineStr">
        <is>
          <t>Paper</t>
        </is>
      </c>
      <c r="H297" s="7" t="inlineStr">
        <is>
          <t>Home Office</t>
        </is>
      </c>
      <c r="I297" s="7" t="n">
        <v>7</v>
      </c>
      <c r="J297" s="10" t="n">
        <v>24.15</v>
      </c>
      <c r="K297" s="11" t="n">
        <v>0</v>
      </c>
      <c r="L297" s="10">
        <f>I297*J297*(1-K297)</f>
        <v/>
      </c>
      <c r="M297" s="10" t="n">
        <v>87.5</v>
      </c>
      <c r="N297" s="10">
        <f>L297-M297</f>
        <v/>
      </c>
    </row>
    <row r="298">
      <c r="A298" s="7" t="inlineStr">
        <is>
          <t>ORD-00424</t>
        </is>
      </c>
      <c r="B298" s="8" t="n">
        <v>45017</v>
      </c>
      <c r="C298" s="9" t="n">
        <v>45017</v>
      </c>
      <c r="D298" s="7" t="n">
        <v>2023</v>
      </c>
      <c r="E298" s="7" t="inlineStr">
        <is>
          <t>South</t>
        </is>
      </c>
      <c r="F298" s="7" t="inlineStr">
        <is>
          <t>Furniture</t>
        </is>
      </c>
      <c r="G298" s="7" t="inlineStr">
        <is>
          <t>Bookcase</t>
        </is>
      </c>
      <c r="H298" s="7" t="inlineStr">
        <is>
          <t>Consumer</t>
        </is>
      </c>
      <c r="I298" s="7" t="n">
        <v>4</v>
      </c>
      <c r="J298" s="10" t="n">
        <v>188.22</v>
      </c>
      <c r="K298" s="11" t="n">
        <v>0.3</v>
      </c>
      <c r="L298" s="10">
        <f>I298*J298*(1-K298)</f>
        <v/>
      </c>
      <c r="M298" s="10" t="n">
        <v>576</v>
      </c>
      <c r="N298" s="10">
        <f>L298-M298</f>
        <v/>
      </c>
    </row>
    <row r="299">
      <c r="A299" s="7" t="inlineStr">
        <is>
          <t>ORD-00292</t>
        </is>
      </c>
      <c r="B299" s="8" t="n">
        <v>45017</v>
      </c>
      <c r="C299" s="9" t="n">
        <v>45017</v>
      </c>
      <c r="D299" s="7" t="n">
        <v>2023</v>
      </c>
      <c r="E299" s="7" t="inlineStr">
        <is>
          <t>North</t>
        </is>
      </c>
      <c r="F299" s="7" t="inlineStr">
        <is>
          <t>Furniture</t>
        </is>
      </c>
      <c r="G299" s="7" t="inlineStr">
        <is>
          <t>Desk</t>
        </is>
      </c>
      <c r="H299" s="7" t="inlineStr">
        <is>
          <t>Corporate</t>
        </is>
      </c>
      <c r="I299" s="7" t="n">
        <v>3</v>
      </c>
      <c r="J299" s="10" t="n">
        <v>458.75</v>
      </c>
      <c r="K299" s="11" t="n">
        <v>0.1</v>
      </c>
      <c r="L299" s="10">
        <f>I299*J299*(1-K299)</f>
        <v/>
      </c>
      <c r="M299" s="10" t="n">
        <v>1147.5</v>
      </c>
      <c r="N299" s="10">
        <f>L299-M299</f>
        <v/>
      </c>
    </row>
    <row r="300">
      <c r="A300" s="7" t="inlineStr">
        <is>
          <t>ORD-02060</t>
        </is>
      </c>
      <c r="B300" s="8" t="n">
        <v>45017</v>
      </c>
      <c r="C300" s="9" t="n">
        <v>45017</v>
      </c>
      <c r="D300" s="7" t="n">
        <v>2023</v>
      </c>
      <c r="E300" s="7" t="inlineStr">
        <is>
          <t>North</t>
        </is>
      </c>
      <c r="F300" s="7" t="inlineStr">
        <is>
          <t>Office Supplies</t>
        </is>
      </c>
      <c r="G300" s="7" t="inlineStr">
        <is>
          <t>Stapler</t>
        </is>
      </c>
      <c r="H300" s="7" t="inlineStr">
        <is>
          <t>Consumer</t>
        </is>
      </c>
      <c r="I300" s="7" t="n">
        <v>4</v>
      </c>
      <c r="J300" s="10" t="n">
        <v>14.44</v>
      </c>
      <c r="K300" s="11" t="n">
        <v>0</v>
      </c>
      <c r="L300" s="10">
        <f>I300*J300*(1-K300)</f>
        <v/>
      </c>
      <c r="M300" s="10" t="n">
        <v>30</v>
      </c>
      <c r="N300" s="10">
        <f>L300-M300</f>
        <v/>
      </c>
    </row>
    <row r="301">
      <c r="A301" s="7" t="inlineStr">
        <is>
          <t>ORD-03645</t>
        </is>
      </c>
      <c r="B301" s="8" t="n">
        <v>45017</v>
      </c>
      <c r="C301" s="9" t="n">
        <v>45017</v>
      </c>
      <c r="D301" s="7" t="n">
        <v>2023</v>
      </c>
      <c r="E301" s="7" t="inlineStr">
        <is>
          <t>North</t>
        </is>
      </c>
      <c r="F301" s="7" t="inlineStr">
        <is>
          <t>Technology</t>
        </is>
      </c>
      <c r="G301" s="7" t="inlineStr">
        <is>
          <t>Smartphone</t>
        </is>
      </c>
      <c r="H301" s="7" t="inlineStr">
        <is>
          <t>Home Office</t>
        </is>
      </c>
      <c r="I301" s="7" t="n">
        <v>2</v>
      </c>
      <c r="J301" s="10" t="n">
        <v>615.1799999999999</v>
      </c>
      <c r="K301" s="11" t="n">
        <v>0</v>
      </c>
      <c r="L301" s="10">
        <f>I301*J301*(1-K301)</f>
        <v/>
      </c>
      <c r="M301" s="10" t="n">
        <v>900</v>
      </c>
      <c r="N301" s="10">
        <f>L301-M301</f>
        <v/>
      </c>
    </row>
    <row r="302">
      <c r="A302" s="7" t="inlineStr">
        <is>
          <t>ORD-05084</t>
        </is>
      </c>
      <c r="B302" s="8" t="n">
        <v>45017</v>
      </c>
      <c r="C302" s="9" t="n">
        <v>45017</v>
      </c>
      <c r="D302" s="7" t="n">
        <v>2023</v>
      </c>
      <c r="E302" s="7" t="inlineStr">
        <is>
          <t>South</t>
        </is>
      </c>
      <c r="F302" s="7" t="inlineStr">
        <is>
          <t>Technology</t>
        </is>
      </c>
      <c r="G302" s="7" t="inlineStr">
        <is>
          <t>Smartphone</t>
        </is>
      </c>
      <c r="H302" s="7" t="inlineStr">
        <is>
          <t>Home Office</t>
        </is>
      </c>
      <c r="I302" s="7" t="n">
        <v>3</v>
      </c>
      <c r="J302" s="10" t="n">
        <v>621.03</v>
      </c>
      <c r="K302" s="11" t="n">
        <v>0.3</v>
      </c>
      <c r="L302" s="10">
        <f>I302*J302*(1-K302)</f>
        <v/>
      </c>
      <c r="M302" s="10" t="n">
        <v>1350</v>
      </c>
      <c r="N302" s="10">
        <f>L302-M302</f>
        <v/>
      </c>
    </row>
    <row r="303">
      <c r="A303" s="7" t="inlineStr">
        <is>
          <t>ORD-04354</t>
        </is>
      </c>
      <c r="B303" s="8" t="n">
        <v>45017</v>
      </c>
      <c r="C303" s="9" t="n">
        <v>45017</v>
      </c>
      <c r="D303" s="7" t="n">
        <v>2023</v>
      </c>
      <c r="E303" s="7" t="inlineStr">
        <is>
          <t>South</t>
        </is>
      </c>
      <c r="F303" s="7" t="inlineStr">
        <is>
          <t>Office Supplies</t>
        </is>
      </c>
      <c r="G303" s="7" t="inlineStr">
        <is>
          <t>Printer Ink</t>
        </is>
      </c>
      <c r="H303" s="7" t="inlineStr">
        <is>
          <t>Home Office</t>
        </is>
      </c>
      <c r="I303" s="7" t="n">
        <v>13</v>
      </c>
      <c r="J303" s="10" t="n">
        <v>61.26</v>
      </c>
      <c r="K303" s="11" t="n">
        <v>0.2</v>
      </c>
      <c r="L303" s="10">
        <f>I303*J303*(1-K303)</f>
        <v/>
      </c>
      <c r="M303" s="10" t="n">
        <v>468</v>
      </c>
      <c r="N303" s="10">
        <f>L303-M303</f>
        <v/>
      </c>
    </row>
    <row r="304">
      <c r="A304" s="7" t="inlineStr">
        <is>
          <t>ORD-01157</t>
        </is>
      </c>
      <c r="B304" s="8" t="n">
        <v>45018</v>
      </c>
      <c r="C304" s="9" t="n">
        <v>45017</v>
      </c>
      <c r="D304" s="7" t="n">
        <v>2023</v>
      </c>
      <c r="E304" s="7" t="inlineStr">
        <is>
          <t>North</t>
        </is>
      </c>
      <c r="F304" s="7" t="inlineStr">
        <is>
          <t>Office Supplies</t>
        </is>
      </c>
      <c r="G304" s="7" t="inlineStr">
        <is>
          <t>Binder</t>
        </is>
      </c>
      <c r="H304" s="7" t="inlineStr">
        <is>
          <t>Consumer</t>
        </is>
      </c>
      <c r="I304" s="7" t="n">
        <v>8</v>
      </c>
      <c r="J304" s="10" t="n">
        <v>8.300000000000001</v>
      </c>
      <c r="K304" s="11" t="n">
        <v>0</v>
      </c>
      <c r="L304" s="10">
        <f>I304*J304*(1-K304)</f>
        <v/>
      </c>
      <c r="M304" s="10" t="n">
        <v>25.6</v>
      </c>
      <c r="N304" s="10">
        <f>L304-M304</f>
        <v/>
      </c>
    </row>
    <row r="305">
      <c r="A305" s="7" t="inlineStr">
        <is>
          <t>ORD-01309</t>
        </is>
      </c>
      <c r="B305" s="8" t="n">
        <v>45018</v>
      </c>
      <c r="C305" s="9" t="n">
        <v>45017</v>
      </c>
      <c r="D305" s="7" t="n">
        <v>2023</v>
      </c>
      <c r="E305" s="7" t="inlineStr">
        <is>
          <t>West</t>
        </is>
      </c>
      <c r="F305" s="7" t="inlineStr">
        <is>
          <t>Office Supplies</t>
        </is>
      </c>
      <c r="G305" s="7" t="inlineStr">
        <is>
          <t>Binder</t>
        </is>
      </c>
      <c r="H305" s="7" t="inlineStr">
        <is>
          <t>Consumer</t>
        </is>
      </c>
      <c r="I305" s="7" t="n">
        <v>9</v>
      </c>
      <c r="J305" s="10" t="n">
        <v>8.31</v>
      </c>
      <c r="K305" s="11" t="n">
        <v>0</v>
      </c>
      <c r="L305" s="10">
        <f>I305*J305*(1-K305)</f>
        <v/>
      </c>
      <c r="M305" s="10" t="n">
        <v>28.8</v>
      </c>
      <c r="N305" s="10">
        <f>L305-M305</f>
        <v/>
      </c>
    </row>
    <row r="306">
      <c r="A306" s="7" t="inlineStr">
        <is>
          <t>ORD-04412</t>
        </is>
      </c>
      <c r="B306" s="8" t="n">
        <v>45018</v>
      </c>
      <c r="C306" s="9" t="n">
        <v>45017</v>
      </c>
      <c r="D306" s="7" t="n">
        <v>2023</v>
      </c>
      <c r="E306" s="7" t="inlineStr">
        <is>
          <t>West</t>
        </is>
      </c>
      <c r="F306" s="7" t="inlineStr">
        <is>
          <t>Office Supplies</t>
        </is>
      </c>
      <c r="G306" s="7" t="inlineStr">
        <is>
          <t>Pens</t>
        </is>
      </c>
      <c r="H306" s="7" t="inlineStr">
        <is>
          <t>Corporate</t>
        </is>
      </c>
      <c r="I306" s="7" t="n">
        <v>5</v>
      </c>
      <c r="J306" s="10" t="n">
        <v>11.6</v>
      </c>
      <c r="K306" s="11" t="n">
        <v>0</v>
      </c>
      <c r="L306" s="10">
        <f>I306*J306*(1-K306)</f>
        <v/>
      </c>
      <c r="M306" s="10" t="n">
        <v>27</v>
      </c>
      <c r="N306" s="10">
        <f>L306-M306</f>
        <v/>
      </c>
    </row>
    <row r="307">
      <c r="A307" s="7" t="inlineStr">
        <is>
          <t>ORD-02506</t>
        </is>
      </c>
      <c r="B307" s="8" t="n">
        <v>45019</v>
      </c>
      <c r="C307" s="9" t="n">
        <v>45017</v>
      </c>
      <c r="D307" s="7" t="n">
        <v>2023</v>
      </c>
      <c r="E307" s="7" t="inlineStr">
        <is>
          <t>West</t>
        </is>
      </c>
      <c r="F307" s="7" t="inlineStr">
        <is>
          <t>Office Supplies</t>
        </is>
      </c>
      <c r="G307" s="7" t="inlineStr">
        <is>
          <t>Pens</t>
        </is>
      </c>
      <c r="H307" s="7" t="inlineStr">
        <is>
          <t>Corporate</t>
        </is>
      </c>
      <c r="I307" s="7" t="n">
        <v>14</v>
      </c>
      <c r="J307" s="10" t="n">
        <v>11.58</v>
      </c>
      <c r="K307" s="11" t="n">
        <v>0.05</v>
      </c>
      <c r="L307" s="10">
        <f>I307*J307*(1-K307)</f>
        <v/>
      </c>
      <c r="M307" s="10" t="n">
        <v>75.59999999999999</v>
      </c>
      <c r="N307" s="10">
        <f>L307-M307</f>
        <v/>
      </c>
    </row>
    <row r="308">
      <c r="A308" s="7" t="inlineStr">
        <is>
          <t>ORD-00273</t>
        </is>
      </c>
      <c r="B308" s="8" t="n">
        <v>45019</v>
      </c>
      <c r="C308" s="9" t="n">
        <v>45017</v>
      </c>
      <c r="D308" s="7" t="n">
        <v>2023</v>
      </c>
      <c r="E308" s="7" t="inlineStr">
        <is>
          <t>East</t>
        </is>
      </c>
      <c r="F308" s="7" t="inlineStr">
        <is>
          <t>Technology</t>
        </is>
      </c>
      <c r="G308" s="7" t="inlineStr">
        <is>
          <t>Monitor</t>
        </is>
      </c>
      <c r="H308" s="7" t="inlineStr">
        <is>
          <t>Consumer</t>
        </is>
      </c>
      <c r="I308" s="7" t="n">
        <v>1</v>
      </c>
      <c r="J308" s="10" t="n">
        <v>244.12</v>
      </c>
      <c r="K308" s="11" t="n">
        <v>0.05</v>
      </c>
      <c r="L308" s="10">
        <f>I308*J308*(1-K308)</f>
        <v/>
      </c>
      <c r="M308" s="10" t="n">
        <v>180</v>
      </c>
      <c r="N308" s="10">
        <f>L308-M308</f>
        <v/>
      </c>
    </row>
    <row r="309">
      <c r="A309" s="7" t="inlineStr">
        <is>
          <t>ORD-04636</t>
        </is>
      </c>
      <c r="B309" s="8" t="n">
        <v>45019</v>
      </c>
      <c r="C309" s="9" t="n">
        <v>45017</v>
      </c>
      <c r="D309" s="7" t="n">
        <v>2023</v>
      </c>
      <c r="E309" s="7" t="inlineStr">
        <is>
          <t>West</t>
        </is>
      </c>
      <c r="F309" s="7" t="inlineStr">
        <is>
          <t>Technology</t>
        </is>
      </c>
      <c r="G309" s="7" t="inlineStr">
        <is>
          <t>Keyboard</t>
        </is>
      </c>
      <c r="H309" s="7" t="inlineStr">
        <is>
          <t>Consumer</t>
        </is>
      </c>
      <c r="I309" s="7" t="n">
        <v>1</v>
      </c>
      <c r="J309" s="10" t="n">
        <v>44.55</v>
      </c>
      <c r="K309" s="11" t="n">
        <v>0.05</v>
      </c>
      <c r="L309" s="10">
        <f>I309*J309*(1-K309)</f>
        <v/>
      </c>
      <c r="M309" s="10" t="n">
        <v>24.75</v>
      </c>
      <c r="N309" s="10">
        <f>L309-M309</f>
        <v/>
      </c>
    </row>
    <row r="310">
      <c r="A310" s="7" t="inlineStr">
        <is>
          <t>ORD-04942</t>
        </is>
      </c>
      <c r="B310" s="8" t="n">
        <v>45019</v>
      </c>
      <c r="C310" s="9" t="n">
        <v>45017</v>
      </c>
      <c r="D310" s="7" t="n">
        <v>2023</v>
      </c>
      <c r="E310" s="7" t="inlineStr">
        <is>
          <t>North</t>
        </is>
      </c>
      <c r="F310" s="7" t="inlineStr">
        <is>
          <t>Technology</t>
        </is>
      </c>
      <c r="G310" s="7" t="inlineStr">
        <is>
          <t>Laptop</t>
        </is>
      </c>
      <c r="H310" s="7" t="inlineStr">
        <is>
          <t>Corporate</t>
        </is>
      </c>
      <c r="I310" s="7" t="n">
        <v>1</v>
      </c>
      <c r="J310" s="10" t="n">
        <v>900.4</v>
      </c>
      <c r="K310" s="11" t="n">
        <v>0.1</v>
      </c>
      <c r="L310" s="10">
        <f>I310*J310*(1-K310)</f>
        <v/>
      </c>
      <c r="M310" s="10" t="n">
        <v>702</v>
      </c>
      <c r="N310" s="10">
        <f>L310-M310</f>
        <v/>
      </c>
    </row>
    <row r="311">
      <c r="A311" s="7" t="inlineStr">
        <is>
          <t>ORD-05760</t>
        </is>
      </c>
      <c r="B311" s="8" t="n">
        <v>45019</v>
      </c>
      <c r="C311" s="9" t="n">
        <v>45017</v>
      </c>
      <c r="D311" s="7" t="n">
        <v>2023</v>
      </c>
      <c r="E311" s="7" t="inlineStr">
        <is>
          <t>East</t>
        </is>
      </c>
      <c r="F311" s="7" t="inlineStr">
        <is>
          <t>Office Supplies</t>
        </is>
      </c>
      <c r="G311" s="7" t="inlineStr">
        <is>
          <t>Pens</t>
        </is>
      </c>
      <c r="H311" s="7" t="inlineStr">
        <is>
          <t>Consumer</t>
        </is>
      </c>
      <c r="I311" s="7" t="n">
        <v>2</v>
      </c>
      <c r="J311" s="10" t="n">
        <v>11.72</v>
      </c>
      <c r="K311" s="11" t="n">
        <v>0.2</v>
      </c>
      <c r="L311" s="10">
        <f>I311*J311*(1-K311)</f>
        <v/>
      </c>
      <c r="M311" s="10" t="n">
        <v>10.8</v>
      </c>
      <c r="N311" s="10">
        <f>L311-M311</f>
        <v/>
      </c>
    </row>
    <row r="312">
      <c r="A312" s="7" t="inlineStr">
        <is>
          <t>ORD-03680</t>
        </is>
      </c>
      <c r="B312" s="8" t="n">
        <v>45019</v>
      </c>
      <c r="C312" s="9" t="n">
        <v>45017</v>
      </c>
      <c r="D312" s="7" t="n">
        <v>2023</v>
      </c>
      <c r="E312" s="7" t="inlineStr">
        <is>
          <t>East</t>
        </is>
      </c>
      <c r="F312" s="7" t="inlineStr">
        <is>
          <t>Office Supplies</t>
        </is>
      </c>
      <c r="G312" s="7" t="inlineStr">
        <is>
          <t>Paper</t>
        </is>
      </c>
      <c r="H312" s="7" t="inlineStr">
        <is>
          <t>Corporate</t>
        </is>
      </c>
      <c r="I312" s="7" t="n">
        <v>6</v>
      </c>
      <c r="J312" s="10" t="n">
        <v>24.63</v>
      </c>
      <c r="K312" s="11" t="n">
        <v>0.05</v>
      </c>
      <c r="L312" s="10">
        <f>I312*J312*(1-K312)</f>
        <v/>
      </c>
      <c r="M312" s="10" t="n">
        <v>75</v>
      </c>
      <c r="N312" s="10">
        <f>L312-M312</f>
        <v/>
      </c>
    </row>
    <row r="313">
      <c r="A313" s="7" t="inlineStr">
        <is>
          <t>ORD-02823</t>
        </is>
      </c>
      <c r="B313" s="8" t="n">
        <v>45020</v>
      </c>
      <c r="C313" s="9" t="n">
        <v>45017</v>
      </c>
      <c r="D313" s="7" t="n">
        <v>2023</v>
      </c>
      <c r="E313" s="7" t="inlineStr">
        <is>
          <t>South</t>
        </is>
      </c>
      <c r="F313" s="7" t="inlineStr">
        <is>
          <t>Office Supplies</t>
        </is>
      </c>
      <c r="G313" s="7" t="inlineStr">
        <is>
          <t>Binder</t>
        </is>
      </c>
      <c r="H313" s="7" t="inlineStr">
        <is>
          <t>Consumer</t>
        </is>
      </c>
      <c r="I313" s="7" t="n">
        <v>6</v>
      </c>
      <c r="J313" s="10" t="n">
        <v>8.08</v>
      </c>
      <c r="K313" s="11" t="n">
        <v>0.2</v>
      </c>
      <c r="L313" s="10">
        <f>I313*J313*(1-K313)</f>
        <v/>
      </c>
      <c r="M313" s="10" t="n">
        <v>19.2</v>
      </c>
      <c r="N313" s="10">
        <f>L313-M313</f>
        <v/>
      </c>
    </row>
    <row r="314">
      <c r="A314" s="7" t="inlineStr">
        <is>
          <t>ORD-05119</t>
        </is>
      </c>
      <c r="B314" s="8" t="n">
        <v>45020</v>
      </c>
      <c r="C314" s="9" t="n">
        <v>45017</v>
      </c>
      <c r="D314" s="7" t="n">
        <v>2023</v>
      </c>
      <c r="E314" s="7" t="inlineStr">
        <is>
          <t>East</t>
        </is>
      </c>
      <c r="F314" s="7" t="inlineStr">
        <is>
          <t>Furniture</t>
        </is>
      </c>
      <c r="G314" s="7" t="inlineStr">
        <is>
          <t>Bookcase</t>
        </is>
      </c>
      <c r="H314" s="7" t="inlineStr">
        <is>
          <t>Home Office</t>
        </is>
      </c>
      <c r="I314" s="7" t="n">
        <v>2</v>
      </c>
      <c r="J314" s="10" t="n">
        <v>178.5</v>
      </c>
      <c r="K314" s="11" t="n">
        <v>0.3</v>
      </c>
      <c r="L314" s="10">
        <f>I314*J314*(1-K314)</f>
        <v/>
      </c>
      <c r="M314" s="10" t="n">
        <v>288</v>
      </c>
      <c r="N314" s="10">
        <f>L314-M314</f>
        <v/>
      </c>
    </row>
    <row r="315">
      <c r="A315" s="7" t="inlineStr">
        <is>
          <t>ORD-05700</t>
        </is>
      </c>
      <c r="B315" s="8" t="n">
        <v>45020</v>
      </c>
      <c r="C315" s="9" t="n">
        <v>45017</v>
      </c>
      <c r="D315" s="7" t="n">
        <v>2023</v>
      </c>
      <c r="E315" s="7" t="inlineStr">
        <is>
          <t>South</t>
        </is>
      </c>
      <c r="F315" s="7" t="inlineStr">
        <is>
          <t>Furniture</t>
        </is>
      </c>
      <c r="G315" s="7" t="inlineStr">
        <is>
          <t>Bookcase</t>
        </is>
      </c>
      <c r="H315" s="7" t="inlineStr">
        <is>
          <t>Consumer</t>
        </is>
      </c>
      <c r="I315" s="7" t="n">
        <v>2</v>
      </c>
      <c r="J315" s="10" t="n">
        <v>177.41</v>
      </c>
      <c r="K315" s="11" t="n">
        <v>0.1</v>
      </c>
      <c r="L315" s="10">
        <f>I315*J315*(1-K315)</f>
        <v/>
      </c>
      <c r="M315" s="10" t="n">
        <v>288</v>
      </c>
      <c r="N315" s="10">
        <f>L315-M315</f>
        <v/>
      </c>
    </row>
    <row r="316">
      <c r="A316" s="7" t="inlineStr">
        <is>
          <t>ORD-05185</t>
        </is>
      </c>
      <c r="B316" s="8" t="n">
        <v>45021</v>
      </c>
      <c r="C316" s="9" t="n">
        <v>45017</v>
      </c>
      <c r="D316" s="7" t="n">
        <v>2023</v>
      </c>
      <c r="E316" s="7" t="inlineStr">
        <is>
          <t>West</t>
        </is>
      </c>
      <c r="F316" s="7" t="inlineStr">
        <is>
          <t>Office Supplies</t>
        </is>
      </c>
      <c r="G316" s="7" t="inlineStr">
        <is>
          <t>Binder</t>
        </is>
      </c>
      <c r="H316" s="7" t="inlineStr">
        <is>
          <t>Corporate</t>
        </is>
      </c>
      <c r="I316" s="7" t="n">
        <v>10</v>
      </c>
      <c r="J316" s="10" t="n">
        <v>7.77</v>
      </c>
      <c r="K316" s="11" t="n">
        <v>0.05</v>
      </c>
      <c r="L316" s="10">
        <f>I316*J316*(1-K316)</f>
        <v/>
      </c>
      <c r="M316" s="10" t="n">
        <v>32</v>
      </c>
      <c r="N316" s="10">
        <f>L316-M316</f>
        <v/>
      </c>
    </row>
    <row r="317">
      <c r="A317" s="7" t="inlineStr">
        <is>
          <t>ORD-00449</t>
        </is>
      </c>
      <c r="B317" s="8" t="n">
        <v>45021</v>
      </c>
      <c r="C317" s="9" t="n">
        <v>45017</v>
      </c>
      <c r="D317" s="7" t="n">
        <v>2023</v>
      </c>
      <c r="E317" s="7" t="inlineStr">
        <is>
          <t>South</t>
        </is>
      </c>
      <c r="F317" s="7" t="inlineStr">
        <is>
          <t>Office Supplies</t>
        </is>
      </c>
      <c r="G317" s="7" t="inlineStr">
        <is>
          <t>Paper</t>
        </is>
      </c>
      <c r="H317" s="7" t="inlineStr">
        <is>
          <t>Home Office</t>
        </is>
      </c>
      <c r="I317" s="7" t="n">
        <v>6</v>
      </c>
      <c r="J317" s="10" t="n">
        <v>24.05</v>
      </c>
      <c r="K317" s="11" t="n">
        <v>0</v>
      </c>
      <c r="L317" s="10">
        <f>I317*J317*(1-K317)</f>
        <v/>
      </c>
      <c r="M317" s="10" t="n">
        <v>75</v>
      </c>
      <c r="N317" s="10">
        <f>L317-M317</f>
        <v/>
      </c>
    </row>
    <row r="318">
      <c r="A318" s="7" t="inlineStr">
        <is>
          <t>ORD-03977</t>
        </is>
      </c>
      <c r="B318" s="8" t="n">
        <v>45021</v>
      </c>
      <c r="C318" s="9" t="n">
        <v>45017</v>
      </c>
      <c r="D318" s="7" t="n">
        <v>2023</v>
      </c>
      <c r="E318" s="7" t="inlineStr">
        <is>
          <t>South</t>
        </is>
      </c>
      <c r="F318" s="7" t="inlineStr">
        <is>
          <t>Technology</t>
        </is>
      </c>
      <c r="G318" s="7" t="inlineStr">
        <is>
          <t>Headphones</t>
        </is>
      </c>
      <c r="H318" s="7" t="inlineStr">
        <is>
          <t>Consumer</t>
        </is>
      </c>
      <c r="I318" s="7" t="n">
        <v>1</v>
      </c>
      <c r="J318" s="10" t="n">
        <v>116.57</v>
      </c>
      <c r="K318" s="11" t="n">
        <v>0</v>
      </c>
      <c r="L318" s="10">
        <f>I318*J318*(1-K318)</f>
        <v/>
      </c>
      <c r="M318" s="10" t="n">
        <v>72</v>
      </c>
      <c r="N318" s="10">
        <f>L318-M318</f>
        <v/>
      </c>
    </row>
    <row r="319">
      <c r="A319" s="7" t="inlineStr">
        <is>
          <t>ORD-03414</t>
        </is>
      </c>
      <c r="B319" s="8" t="n">
        <v>45021</v>
      </c>
      <c r="C319" s="9" t="n">
        <v>45017</v>
      </c>
      <c r="D319" s="7" t="n">
        <v>2023</v>
      </c>
      <c r="E319" s="7" t="inlineStr">
        <is>
          <t>North</t>
        </is>
      </c>
      <c r="F319" s="7" t="inlineStr">
        <is>
          <t>Office Supplies</t>
        </is>
      </c>
      <c r="G319" s="7" t="inlineStr">
        <is>
          <t>Paper</t>
        </is>
      </c>
      <c r="H319" s="7" t="inlineStr">
        <is>
          <t>Corporate</t>
        </is>
      </c>
      <c r="I319" s="7" t="n">
        <v>2</v>
      </c>
      <c r="J319" s="10" t="n">
        <v>24.4</v>
      </c>
      <c r="K319" s="11" t="n">
        <v>0</v>
      </c>
      <c r="L319" s="10">
        <f>I319*J319*(1-K319)</f>
        <v/>
      </c>
      <c r="M319" s="10" t="n">
        <v>25</v>
      </c>
      <c r="N319" s="10">
        <f>L319-M319</f>
        <v/>
      </c>
    </row>
    <row r="320">
      <c r="A320" s="7" t="inlineStr">
        <is>
          <t>ORD-00513</t>
        </is>
      </c>
      <c r="B320" s="8" t="n">
        <v>45022</v>
      </c>
      <c r="C320" s="9" t="n">
        <v>45017</v>
      </c>
      <c r="D320" s="7" t="n">
        <v>2023</v>
      </c>
      <c r="E320" s="7" t="inlineStr">
        <is>
          <t>West</t>
        </is>
      </c>
      <c r="F320" s="7" t="inlineStr">
        <is>
          <t>Office Supplies</t>
        </is>
      </c>
      <c r="G320" s="7" t="inlineStr">
        <is>
          <t>Stapler</t>
        </is>
      </c>
      <c r="H320" s="7" t="inlineStr">
        <is>
          <t>Consumer</t>
        </is>
      </c>
      <c r="I320" s="7" t="n">
        <v>10</v>
      </c>
      <c r="J320" s="10" t="n">
        <v>14.73</v>
      </c>
      <c r="K320" s="11" t="n">
        <v>0.2</v>
      </c>
      <c r="L320" s="10">
        <f>I320*J320*(1-K320)</f>
        <v/>
      </c>
      <c r="M320" s="10" t="n">
        <v>75</v>
      </c>
      <c r="N320" s="10">
        <f>L320-M320</f>
        <v/>
      </c>
    </row>
    <row r="321">
      <c r="A321" s="7" t="inlineStr">
        <is>
          <t>ORD-05465</t>
        </is>
      </c>
      <c r="B321" s="8" t="n">
        <v>45022</v>
      </c>
      <c r="C321" s="9" t="n">
        <v>45017</v>
      </c>
      <c r="D321" s="7" t="n">
        <v>2023</v>
      </c>
      <c r="E321" s="7" t="inlineStr">
        <is>
          <t>North</t>
        </is>
      </c>
      <c r="F321" s="7" t="inlineStr">
        <is>
          <t>Furniture</t>
        </is>
      </c>
      <c r="G321" s="7" t="inlineStr">
        <is>
          <t>Bookcase</t>
        </is>
      </c>
      <c r="H321" s="7" t="inlineStr">
        <is>
          <t>Corporate</t>
        </is>
      </c>
      <c r="I321" s="7" t="n">
        <v>1</v>
      </c>
      <c r="J321" s="10" t="n">
        <v>177.16</v>
      </c>
      <c r="K321" s="11" t="n">
        <v>0.3</v>
      </c>
      <c r="L321" s="10">
        <f>I321*J321*(1-K321)</f>
        <v/>
      </c>
      <c r="M321" s="10" t="n">
        <v>144</v>
      </c>
      <c r="N321" s="10">
        <f>L321-M321</f>
        <v/>
      </c>
    </row>
    <row r="322">
      <c r="A322" s="7" t="inlineStr">
        <is>
          <t>ORD-05060</t>
        </is>
      </c>
      <c r="B322" s="8" t="n">
        <v>45022</v>
      </c>
      <c r="C322" s="9" t="n">
        <v>45017</v>
      </c>
      <c r="D322" s="7" t="n">
        <v>2023</v>
      </c>
      <c r="E322" s="7" t="inlineStr">
        <is>
          <t>West</t>
        </is>
      </c>
      <c r="F322" s="7" t="inlineStr">
        <is>
          <t>Office Supplies</t>
        </is>
      </c>
      <c r="G322" s="7" t="inlineStr">
        <is>
          <t>Pens</t>
        </is>
      </c>
      <c r="H322" s="7" t="inlineStr">
        <is>
          <t>Consumer</t>
        </is>
      </c>
      <c r="I322" s="7" t="n">
        <v>6</v>
      </c>
      <c r="J322" s="10" t="n">
        <v>11.94</v>
      </c>
      <c r="K322" s="11" t="n">
        <v>0</v>
      </c>
      <c r="L322" s="10">
        <f>I322*J322*(1-K322)</f>
        <v/>
      </c>
      <c r="M322" s="10" t="n">
        <v>32.4</v>
      </c>
      <c r="N322" s="10">
        <f>L322-M322</f>
        <v/>
      </c>
    </row>
    <row r="323">
      <c r="A323" s="7" t="inlineStr">
        <is>
          <t>ORD-00271</t>
        </is>
      </c>
      <c r="B323" s="8" t="n">
        <v>45022</v>
      </c>
      <c r="C323" s="9" t="n">
        <v>45017</v>
      </c>
      <c r="D323" s="7" t="n">
        <v>2023</v>
      </c>
      <c r="E323" s="7" t="inlineStr">
        <is>
          <t>East</t>
        </is>
      </c>
      <c r="F323" s="7" t="inlineStr">
        <is>
          <t>Technology</t>
        </is>
      </c>
      <c r="G323" s="7" t="inlineStr">
        <is>
          <t>Smartphone</t>
        </is>
      </c>
      <c r="H323" s="7" t="inlineStr">
        <is>
          <t>Home Office</t>
        </is>
      </c>
      <c r="I323" s="7" t="n">
        <v>3</v>
      </c>
      <c r="J323" s="10" t="n">
        <v>629.77</v>
      </c>
      <c r="K323" s="11" t="n">
        <v>0</v>
      </c>
      <c r="L323" s="10">
        <f>I323*J323*(1-K323)</f>
        <v/>
      </c>
      <c r="M323" s="10" t="n">
        <v>1350</v>
      </c>
      <c r="N323" s="10">
        <f>L323-M323</f>
        <v/>
      </c>
    </row>
    <row r="324">
      <c r="A324" s="7" t="inlineStr">
        <is>
          <t>ORD-05137</t>
        </is>
      </c>
      <c r="B324" s="8" t="n">
        <v>45022</v>
      </c>
      <c r="C324" s="9" t="n">
        <v>45017</v>
      </c>
      <c r="D324" s="7" t="n">
        <v>2023</v>
      </c>
      <c r="E324" s="7" t="inlineStr">
        <is>
          <t>North</t>
        </is>
      </c>
      <c r="F324" s="7" t="inlineStr">
        <is>
          <t>Office Supplies</t>
        </is>
      </c>
      <c r="G324" s="7" t="inlineStr">
        <is>
          <t>Binder</t>
        </is>
      </c>
      <c r="H324" s="7" t="inlineStr">
        <is>
          <t>Corporate</t>
        </is>
      </c>
      <c r="I324" s="7" t="n">
        <v>2</v>
      </c>
      <c r="J324" s="10" t="n">
        <v>8.289999999999999</v>
      </c>
      <c r="K324" s="11" t="n">
        <v>0.05</v>
      </c>
      <c r="L324" s="10">
        <f>I324*J324*(1-K324)</f>
        <v/>
      </c>
      <c r="M324" s="10" t="n">
        <v>6.4</v>
      </c>
      <c r="N324" s="10">
        <f>L324-M324</f>
        <v/>
      </c>
    </row>
    <row r="325">
      <c r="A325" s="7" t="inlineStr">
        <is>
          <t>ORD-01244</t>
        </is>
      </c>
      <c r="B325" s="8" t="n">
        <v>45022</v>
      </c>
      <c r="C325" s="9" t="n">
        <v>45017</v>
      </c>
      <c r="D325" s="7" t="n">
        <v>2023</v>
      </c>
      <c r="E325" s="7" t="inlineStr">
        <is>
          <t>North</t>
        </is>
      </c>
      <c r="F325" s="7" t="inlineStr">
        <is>
          <t>Office Supplies</t>
        </is>
      </c>
      <c r="G325" s="7" t="inlineStr">
        <is>
          <t>Pens</t>
        </is>
      </c>
      <c r="H325" s="7" t="inlineStr">
        <is>
          <t>Consumer</t>
        </is>
      </c>
      <c r="I325" s="7" t="n">
        <v>5</v>
      </c>
      <c r="J325" s="10" t="n">
        <v>12.37</v>
      </c>
      <c r="K325" s="11" t="n">
        <v>0.05</v>
      </c>
      <c r="L325" s="10">
        <f>I325*J325*(1-K325)</f>
        <v/>
      </c>
      <c r="M325" s="10" t="n">
        <v>27</v>
      </c>
      <c r="N325" s="10">
        <f>L325-M325</f>
        <v/>
      </c>
    </row>
    <row r="326">
      <c r="A326" s="7" t="inlineStr">
        <is>
          <t>ORD-01900</t>
        </is>
      </c>
      <c r="B326" s="8" t="n">
        <v>45022</v>
      </c>
      <c r="C326" s="9" t="n">
        <v>45017</v>
      </c>
      <c r="D326" s="7" t="n">
        <v>2023</v>
      </c>
      <c r="E326" s="7" t="inlineStr">
        <is>
          <t>West</t>
        </is>
      </c>
      <c r="F326" s="7" t="inlineStr">
        <is>
          <t>Furniture</t>
        </is>
      </c>
      <c r="G326" s="7" t="inlineStr">
        <is>
          <t>Office Chair</t>
        </is>
      </c>
      <c r="H326" s="7" t="inlineStr">
        <is>
          <t>Corporate</t>
        </is>
      </c>
      <c r="I326" s="7" t="n">
        <v>1</v>
      </c>
      <c r="J326" s="10" t="n">
        <v>218.06</v>
      </c>
      <c r="K326" s="11" t="n">
        <v>0.2</v>
      </c>
      <c r="L326" s="10">
        <f>I326*J326*(1-K326)</f>
        <v/>
      </c>
      <c r="M326" s="10" t="n">
        <v>180.4</v>
      </c>
      <c r="N326" s="10">
        <f>L326-M326</f>
        <v/>
      </c>
    </row>
    <row r="327">
      <c r="A327" s="7" t="inlineStr">
        <is>
          <t>ORD-01726</t>
        </is>
      </c>
      <c r="B327" s="8" t="n">
        <v>45022</v>
      </c>
      <c r="C327" s="9" t="n">
        <v>45017</v>
      </c>
      <c r="D327" s="7" t="n">
        <v>2023</v>
      </c>
      <c r="E327" s="7" t="inlineStr">
        <is>
          <t>East</t>
        </is>
      </c>
      <c r="F327" s="7" t="inlineStr">
        <is>
          <t>Office Supplies</t>
        </is>
      </c>
      <c r="G327" s="7" t="inlineStr">
        <is>
          <t>Paper</t>
        </is>
      </c>
      <c r="H327" s="7" t="inlineStr">
        <is>
          <t>Home Office</t>
        </is>
      </c>
      <c r="I327" s="7" t="n">
        <v>13</v>
      </c>
      <c r="J327" s="10" t="n">
        <v>23.8</v>
      </c>
      <c r="K327" s="11" t="n">
        <v>0.05</v>
      </c>
      <c r="L327" s="10">
        <f>I327*J327*(1-K327)</f>
        <v/>
      </c>
      <c r="M327" s="10" t="n">
        <v>162.5</v>
      </c>
      <c r="N327" s="10">
        <f>L327-M327</f>
        <v/>
      </c>
    </row>
    <row r="328">
      <c r="A328" s="7" t="inlineStr">
        <is>
          <t>ORD-02351</t>
        </is>
      </c>
      <c r="B328" s="8" t="n">
        <v>45023</v>
      </c>
      <c r="C328" s="9" t="n">
        <v>45017</v>
      </c>
      <c r="D328" s="7" t="n">
        <v>2023</v>
      </c>
      <c r="E328" s="7" t="inlineStr">
        <is>
          <t>North</t>
        </is>
      </c>
      <c r="F328" s="7" t="inlineStr">
        <is>
          <t>Office Supplies</t>
        </is>
      </c>
      <c r="G328" s="7" t="inlineStr">
        <is>
          <t>Pens</t>
        </is>
      </c>
      <c r="H328" s="7" t="inlineStr">
        <is>
          <t>Consumer</t>
        </is>
      </c>
      <c r="I328" s="7" t="n">
        <v>8</v>
      </c>
      <c r="J328" s="10" t="n">
        <v>12.04</v>
      </c>
      <c r="K328" s="11" t="n">
        <v>0</v>
      </c>
      <c r="L328" s="10">
        <f>I328*J328*(1-K328)</f>
        <v/>
      </c>
      <c r="M328" s="10" t="n">
        <v>43.2</v>
      </c>
      <c r="N328" s="10">
        <f>L328-M328</f>
        <v/>
      </c>
    </row>
    <row r="329">
      <c r="A329" s="7" t="inlineStr">
        <is>
          <t>ORD-03138</t>
        </is>
      </c>
      <c r="B329" s="8" t="n">
        <v>45024</v>
      </c>
      <c r="C329" s="9" t="n">
        <v>45017</v>
      </c>
      <c r="D329" s="7" t="n">
        <v>2023</v>
      </c>
      <c r="E329" s="7" t="inlineStr">
        <is>
          <t>South</t>
        </is>
      </c>
      <c r="F329" s="7" t="inlineStr">
        <is>
          <t>Office Supplies</t>
        </is>
      </c>
      <c r="G329" s="7" t="inlineStr">
        <is>
          <t>Printer Ink</t>
        </is>
      </c>
      <c r="H329" s="7" t="inlineStr">
        <is>
          <t>Consumer</t>
        </is>
      </c>
      <c r="I329" s="7" t="n">
        <v>5</v>
      </c>
      <c r="J329" s="10" t="n">
        <v>58.16</v>
      </c>
      <c r="K329" s="11" t="n">
        <v>0.05</v>
      </c>
      <c r="L329" s="10">
        <f>I329*J329*(1-K329)</f>
        <v/>
      </c>
      <c r="M329" s="10" t="n">
        <v>180</v>
      </c>
      <c r="N329" s="10">
        <f>L329-M329</f>
        <v/>
      </c>
    </row>
    <row r="330">
      <c r="A330" s="7" t="inlineStr">
        <is>
          <t>ORD-03158</t>
        </is>
      </c>
      <c r="B330" s="8" t="n">
        <v>45024</v>
      </c>
      <c r="C330" s="9" t="n">
        <v>45017</v>
      </c>
      <c r="D330" s="7" t="n">
        <v>2023</v>
      </c>
      <c r="E330" s="7" t="inlineStr">
        <is>
          <t>West</t>
        </is>
      </c>
      <c r="F330" s="7" t="inlineStr">
        <is>
          <t>Office Supplies</t>
        </is>
      </c>
      <c r="G330" s="7" t="inlineStr">
        <is>
          <t>Printer Ink</t>
        </is>
      </c>
      <c r="H330" s="7" t="inlineStr">
        <is>
          <t>Consumer</t>
        </is>
      </c>
      <c r="I330" s="7" t="n">
        <v>15</v>
      </c>
      <c r="J330" s="10" t="n">
        <v>62.52</v>
      </c>
      <c r="K330" s="11" t="n">
        <v>0</v>
      </c>
      <c r="L330" s="10">
        <f>I330*J330*(1-K330)</f>
        <v/>
      </c>
      <c r="M330" s="10" t="n">
        <v>540</v>
      </c>
      <c r="N330" s="10">
        <f>L330-M330</f>
        <v/>
      </c>
    </row>
    <row r="331">
      <c r="A331" s="7" t="inlineStr">
        <is>
          <t>ORD-03419</t>
        </is>
      </c>
      <c r="B331" s="8" t="n">
        <v>45025</v>
      </c>
      <c r="C331" s="9" t="n">
        <v>45017</v>
      </c>
      <c r="D331" s="7" t="n">
        <v>2023</v>
      </c>
      <c r="E331" s="7" t="inlineStr">
        <is>
          <t>East</t>
        </is>
      </c>
      <c r="F331" s="7" t="inlineStr">
        <is>
          <t>Furniture</t>
        </is>
      </c>
      <c r="G331" s="7" t="inlineStr">
        <is>
          <t>Bookcase</t>
        </is>
      </c>
      <c r="H331" s="7" t="inlineStr">
        <is>
          <t>Consumer</t>
        </is>
      </c>
      <c r="I331" s="7" t="n">
        <v>4</v>
      </c>
      <c r="J331" s="10" t="n">
        <v>187.58</v>
      </c>
      <c r="K331" s="11" t="n">
        <v>0</v>
      </c>
      <c r="L331" s="10">
        <f>I331*J331*(1-K331)</f>
        <v/>
      </c>
      <c r="M331" s="10" t="n">
        <v>576</v>
      </c>
      <c r="N331" s="10">
        <f>L331-M331</f>
        <v/>
      </c>
    </row>
    <row r="332">
      <c r="A332" s="7" t="inlineStr">
        <is>
          <t>ORD-05607</t>
        </is>
      </c>
      <c r="B332" s="8" t="n">
        <v>45025</v>
      </c>
      <c r="C332" s="9" t="n">
        <v>45017</v>
      </c>
      <c r="D332" s="7" t="n">
        <v>2023</v>
      </c>
      <c r="E332" s="7" t="inlineStr">
        <is>
          <t>South</t>
        </is>
      </c>
      <c r="F332" s="7" t="inlineStr">
        <is>
          <t>Furniture</t>
        </is>
      </c>
      <c r="G332" s="7" t="inlineStr">
        <is>
          <t>Sofa</t>
        </is>
      </c>
      <c r="H332" s="7" t="inlineStr">
        <is>
          <t>Home Office</t>
        </is>
      </c>
      <c r="I332" s="7" t="n">
        <v>3</v>
      </c>
      <c r="J332" s="10" t="n">
        <v>724.4299999999999</v>
      </c>
      <c r="K332" s="11" t="n">
        <v>0.1</v>
      </c>
      <c r="L332" s="10">
        <f>I332*J332*(1-K332)</f>
        <v/>
      </c>
      <c r="M332" s="10" t="n">
        <v>1848</v>
      </c>
      <c r="N332" s="10">
        <f>L332-M332</f>
        <v/>
      </c>
    </row>
    <row r="333">
      <c r="A333" s="7" t="inlineStr">
        <is>
          <t>ORD-03660</t>
        </is>
      </c>
      <c r="B333" s="8" t="n">
        <v>45025</v>
      </c>
      <c r="C333" s="9" t="n">
        <v>45017</v>
      </c>
      <c r="D333" s="7" t="n">
        <v>2023</v>
      </c>
      <c r="E333" s="7" t="inlineStr">
        <is>
          <t>East</t>
        </is>
      </c>
      <c r="F333" s="7" t="inlineStr">
        <is>
          <t>Office Supplies</t>
        </is>
      </c>
      <c r="G333" s="7" t="inlineStr">
        <is>
          <t>Pens</t>
        </is>
      </c>
      <c r="H333" s="7" t="inlineStr">
        <is>
          <t>Corporate</t>
        </is>
      </c>
      <c r="I333" s="7" t="n">
        <v>11</v>
      </c>
      <c r="J333" s="10" t="n">
        <v>11.79</v>
      </c>
      <c r="K333" s="11" t="n">
        <v>0</v>
      </c>
      <c r="L333" s="10">
        <f>I333*J333*(1-K333)</f>
        <v/>
      </c>
      <c r="M333" s="10" t="n">
        <v>59.4</v>
      </c>
      <c r="N333" s="10">
        <f>L333-M333</f>
        <v/>
      </c>
    </row>
    <row r="334">
      <c r="A334" s="7" t="inlineStr">
        <is>
          <t>ORD-05947</t>
        </is>
      </c>
      <c r="B334" s="8" t="n">
        <v>45025</v>
      </c>
      <c r="C334" s="9" t="n">
        <v>45017</v>
      </c>
      <c r="D334" s="7" t="n">
        <v>2023</v>
      </c>
      <c r="E334" s="7" t="inlineStr">
        <is>
          <t>West</t>
        </is>
      </c>
      <c r="F334" s="7" t="inlineStr">
        <is>
          <t>Technology</t>
        </is>
      </c>
      <c r="G334" s="7" t="inlineStr">
        <is>
          <t>Headphones</t>
        </is>
      </c>
      <c r="H334" s="7" t="inlineStr">
        <is>
          <t>Consumer</t>
        </is>
      </c>
      <c r="I334" s="7" t="n">
        <v>1</v>
      </c>
      <c r="J334" s="10" t="n">
        <v>116.62</v>
      </c>
      <c r="K334" s="11" t="n">
        <v>0.3</v>
      </c>
      <c r="L334" s="10">
        <f>I334*J334*(1-K334)</f>
        <v/>
      </c>
      <c r="M334" s="10" t="n">
        <v>72</v>
      </c>
      <c r="N334" s="10">
        <f>L334-M334</f>
        <v/>
      </c>
    </row>
    <row r="335">
      <c r="A335" s="7" t="inlineStr">
        <is>
          <t>ORD-00429</t>
        </is>
      </c>
      <c r="B335" s="8" t="n">
        <v>45025</v>
      </c>
      <c r="C335" s="9" t="n">
        <v>45017</v>
      </c>
      <c r="D335" s="7" t="n">
        <v>2023</v>
      </c>
      <c r="E335" s="7" t="inlineStr">
        <is>
          <t>East</t>
        </is>
      </c>
      <c r="F335" s="7" t="inlineStr">
        <is>
          <t>Office Supplies</t>
        </is>
      </c>
      <c r="G335" s="7" t="inlineStr">
        <is>
          <t>Paper</t>
        </is>
      </c>
      <c r="H335" s="7" t="inlineStr">
        <is>
          <t>Home Office</t>
        </is>
      </c>
      <c r="I335" s="7" t="n">
        <v>8</v>
      </c>
      <c r="J335" s="10" t="n">
        <v>25.29</v>
      </c>
      <c r="K335" s="11" t="n">
        <v>0.1</v>
      </c>
      <c r="L335" s="10">
        <f>I335*J335*(1-K335)</f>
        <v/>
      </c>
      <c r="M335" s="10" t="n">
        <v>100</v>
      </c>
      <c r="N335" s="10">
        <f>L335-M335</f>
        <v/>
      </c>
    </row>
    <row r="336">
      <c r="A336" s="7" t="inlineStr">
        <is>
          <t>ORD-02908</t>
        </is>
      </c>
      <c r="B336" s="8" t="n">
        <v>45025</v>
      </c>
      <c r="C336" s="9" t="n">
        <v>45017</v>
      </c>
      <c r="D336" s="7" t="n">
        <v>2023</v>
      </c>
      <c r="E336" s="7" t="inlineStr">
        <is>
          <t>South</t>
        </is>
      </c>
      <c r="F336" s="7" t="inlineStr">
        <is>
          <t>Office Supplies</t>
        </is>
      </c>
      <c r="G336" s="7" t="inlineStr">
        <is>
          <t>Printer Ink</t>
        </is>
      </c>
      <c r="H336" s="7" t="inlineStr">
        <is>
          <t>Consumer</t>
        </is>
      </c>
      <c r="I336" s="7" t="n">
        <v>5</v>
      </c>
      <c r="J336" s="10" t="n">
        <v>61.9</v>
      </c>
      <c r="K336" s="11" t="n">
        <v>0</v>
      </c>
      <c r="L336" s="10">
        <f>I336*J336*(1-K336)</f>
        <v/>
      </c>
      <c r="M336" s="10" t="n">
        <v>180</v>
      </c>
      <c r="N336" s="10">
        <f>L336-M336</f>
        <v/>
      </c>
    </row>
    <row r="337">
      <c r="A337" s="7" t="inlineStr">
        <is>
          <t>ORD-05709</t>
        </is>
      </c>
      <c r="B337" s="8" t="n">
        <v>45025</v>
      </c>
      <c r="C337" s="9" t="n">
        <v>45017</v>
      </c>
      <c r="D337" s="7" t="n">
        <v>2023</v>
      </c>
      <c r="E337" s="7" t="inlineStr">
        <is>
          <t>East</t>
        </is>
      </c>
      <c r="F337" s="7" t="inlineStr">
        <is>
          <t>Office Supplies</t>
        </is>
      </c>
      <c r="G337" s="7" t="inlineStr">
        <is>
          <t>Pens</t>
        </is>
      </c>
      <c r="H337" s="7" t="inlineStr">
        <is>
          <t>Home Office</t>
        </is>
      </c>
      <c r="I337" s="7" t="n">
        <v>8</v>
      </c>
      <c r="J337" s="10" t="n">
        <v>12.11</v>
      </c>
      <c r="K337" s="11" t="n">
        <v>0.2</v>
      </c>
      <c r="L337" s="10">
        <f>I337*J337*(1-K337)</f>
        <v/>
      </c>
      <c r="M337" s="10" t="n">
        <v>43.2</v>
      </c>
      <c r="N337" s="10">
        <f>L337-M337</f>
        <v/>
      </c>
    </row>
    <row r="338">
      <c r="A338" s="7" t="inlineStr">
        <is>
          <t>ORD-00568</t>
        </is>
      </c>
      <c r="B338" s="8" t="n">
        <v>45026</v>
      </c>
      <c r="C338" s="9" t="n">
        <v>45017</v>
      </c>
      <c r="D338" s="7" t="n">
        <v>2023</v>
      </c>
      <c r="E338" s="7" t="inlineStr">
        <is>
          <t>East</t>
        </is>
      </c>
      <c r="F338" s="7" t="inlineStr">
        <is>
          <t>Technology</t>
        </is>
      </c>
      <c r="G338" s="7" t="inlineStr">
        <is>
          <t>Keyboard</t>
        </is>
      </c>
      <c r="H338" s="7" t="inlineStr">
        <is>
          <t>Consumer</t>
        </is>
      </c>
      <c r="I338" s="7" t="n">
        <v>1</v>
      </c>
      <c r="J338" s="10" t="n">
        <v>42.85</v>
      </c>
      <c r="K338" s="11" t="n">
        <v>0</v>
      </c>
      <c r="L338" s="10">
        <f>I338*J338*(1-K338)</f>
        <v/>
      </c>
      <c r="M338" s="10" t="n">
        <v>24.75</v>
      </c>
      <c r="N338" s="10">
        <f>L338-M338</f>
        <v/>
      </c>
    </row>
    <row r="339">
      <c r="A339" s="7" t="inlineStr">
        <is>
          <t>ORD-03185</t>
        </is>
      </c>
      <c r="B339" s="8" t="n">
        <v>45026</v>
      </c>
      <c r="C339" s="9" t="n">
        <v>45017</v>
      </c>
      <c r="D339" s="7" t="n">
        <v>2023</v>
      </c>
      <c r="E339" s="7" t="inlineStr">
        <is>
          <t>South</t>
        </is>
      </c>
      <c r="F339" s="7" t="inlineStr">
        <is>
          <t>Office Supplies</t>
        </is>
      </c>
      <c r="G339" s="7" t="inlineStr">
        <is>
          <t>Paper</t>
        </is>
      </c>
      <c r="H339" s="7" t="inlineStr">
        <is>
          <t>Home Office</t>
        </is>
      </c>
      <c r="I339" s="7" t="n">
        <v>12</v>
      </c>
      <c r="J339" s="10" t="n">
        <v>25.19</v>
      </c>
      <c r="K339" s="11" t="n">
        <v>0</v>
      </c>
      <c r="L339" s="10">
        <f>I339*J339*(1-K339)</f>
        <v/>
      </c>
      <c r="M339" s="10" t="n">
        <v>150</v>
      </c>
      <c r="N339" s="10">
        <f>L339-M339</f>
        <v/>
      </c>
    </row>
    <row r="340">
      <c r="A340" s="7" t="inlineStr">
        <is>
          <t>ORD-00075</t>
        </is>
      </c>
      <c r="B340" s="8" t="n">
        <v>45026</v>
      </c>
      <c r="C340" s="9" t="n">
        <v>45017</v>
      </c>
      <c r="D340" s="7" t="n">
        <v>2023</v>
      </c>
      <c r="E340" s="7" t="inlineStr">
        <is>
          <t>South</t>
        </is>
      </c>
      <c r="F340" s="7" t="inlineStr">
        <is>
          <t>Office Supplies</t>
        </is>
      </c>
      <c r="G340" s="7" t="inlineStr">
        <is>
          <t>Paper</t>
        </is>
      </c>
      <c r="H340" s="7" t="inlineStr">
        <is>
          <t>Corporate</t>
        </is>
      </c>
      <c r="I340" s="7" t="n">
        <v>2</v>
      </c>
      <c r="J340" s="10" t="n">
        <v>26.18</v>
      </c>
      <c r="K340" s="11" t="n">
        <v>0.3</v>
      </c>
      <c r="L340" s="10">
        <f>I340*J340*(1-K340)</f>
        <v/>
      </c>
      <c r="M340" s="10" t="n">
        <v>25</v>
      </c>
      <c r="N340" s="10">
        <f>L340-M340</f>
        <v/>
      </c>
    </row>
    <row r="341">
      <c r="A341" s="7" t="inlineStr">
        <is>
          <t>ORD-01592</t>
        </is>
      </c>
      <c r="B341" s="8" t="n">
        <v>45026</v>
      </c>
      <c r="C341" s="9" t="n">
        <v>45017</v>
      </c>
      <c r="D341" s="7" t="n">
        <v>2023</v>
      </c>
      <c r="E341" s="7" t="inlineStr">
        <is>
          <t>North</t>
        </is>
      </c>
      <c r="F341" s="7" t="inlineStr">
        <is>
          <t>Office Supplies</t>
        </is>
      </c>
      <c r="G341" s="7" t="inlineStr">
        <is>
          <t>Stapler</t>
        </is>
      </c>
      <c r="H341" s="7" t="inlineStr">
        <is>
          <t>Corporate</t>
        </is>
      </c>
      <c r="I341" s="7" t="n">
        <v>10</v>
      </c>
      <c r="J341" s="10" t="n">
        <v>15.61</v>
      </c>
      <c r="K341" s="11" t="n">
        <v>0.05</v>
      </c>
      <c r="L341" s="10">
        <f>I341*J341*(1-K341)</f>
        <v/>
      </c>
      <c r="M341" s="10" t="n">
        <v>75</v>
      </c>
      <c r="N341" s="10">
        <f>L341-M341</f>
        <v/>
      </c>
    </row>
    <row r="342">
      <c r="A342" s="7" t="inlineStr">
        <is>
          <t>ORD-04324</t>
        </is>
      </c>
      <c r="B342" s="8" t="n">
        <v>45027</v>
      </c>
      <c r="C342" s="9" t="n">
        <v>45017</v>
      </c>
      <c r="D342" s="7" t="n">
        <v>2023</v>
      </c>
      <c r="E342" s="7" t="inlineStr">
        <is>
          <t>East</t>
        </is>
      </c>
      <c r="F342" s="7" t="inlineStr">
        <is>
          <t>Technology</t>
        </is>
      </c>
      <c r="G342" s="7" t="inlineStr">
        <is>
          <t>Smartphone</t>
        </is>
      </c>
      <c r="H342" s="7" t="inlineStr">
        <is>
          <t>Corporate</t>
        </is>
      </c>
      <c r="I342" s="7" t="n">
        <v>2</v>
      </c>
      <c r="J342" s="10" t="n">
        <v>607.34</v>
      </c>
      <c r="K342" s="11" t="n">
        <v>0.3</v>
      </c>
      <c r="L342" s="10">
        <f>I342*J342*(1-K342)</f>
        <v/>
      </c>
      <c r="M342" s="10" t="n">
        <v>900</v>
      </c>
      <c r="N342" s="10">
        <f>L342-M342</f>
        <v/>
      </c>
    </row>
    <row r="343">
      <c r="A343" s="7" t="inlineStr">
        <is>
          <t>ORD-03765</t>
        </is>
      </c>
      <c r="B343" s="8" t="n">
        <v>45027</v>
      </c>
      <c r="C343" s="9" t="n">
        <v>45017</v>
      </c>
      <c r="D343" s="7" t="n">
        <v>2023</v>
      </c>
      <c r="E343" s="7" t="inlineStr">
        <is>
          <t>East</t>
        </is>
      </c>
      <c r="F343" s="7" t="inlineStr">
        <is>
          <t>Office Supplies</t>
        </is>
      </c>
      <c r="G343" s="7" t="inlineStr">
        <is>
          <t>Pens</t>
        </is>
      </c>
      <c r="H343" s="7" t="inlineStr">
        <is>
          <t>Consumer</t>
        </is>
      </c>
      <c r="I343" s="7" t="n">
        <v>4</v>
      </c>
      <c r="J343" s="10" t="n">
        <v>12.02</v>
      </c>
      <c r="K343" s="11" t="n">
        <v>0.05</v>
      </c>
      <c r="L343" s="10">
        <f>I343*J343*(1-K343)</f>
        <v/>
      </c>
      <c r="M343" s="10" t="n">
        <v>21.6</v>
      </c>
      <c r="N343" s="10">
        <f>L343-M343</f>
        <v/>
      </c>
    </row>
    <row r="344">
      <c r="A344" s="7" t="inlineStr">
        <is>
          <t>ORD-04327</t>
        </is>
      </c>
      <c r="B344" s="8" t="n">
        <v>45027</v>
      </c>
      <c r="C344" s="9" t="n">
        <v>45017</v>
      </c>
      <c r="D344" s="7" t="n">
        <v>2023</v>
      </c>
      <c r="E344" s="7" t="inlineStr">
        <is>
          <t>West</t>
        </is>
      </c>
      <c r="F344" s="7" t="inlineStr">
        <is>
          <t>Office Supplies</t>
        </is>
      </c>
      <c r="G344" s="7" t="inlineStr">
        <is>
          <t>Printer Ink</t>
        </is>
      </c>
      <c r="H344" s="7" t="inlineStr">
        <is>
          <t>Corporate</t>
        </is>
      </c>
      <c r="I344" s="7" t="n">
        <v>11</v>
      </c>
      <c r="J344" s="10" t="n">
        <v>57.84</v>
      </c>
      <c r="K344" s="11" t="n">
        <v>0.1</v>
      </c>
      <c r="L344" s="10">
        <f>I344*J344*(1-K344)</f>
        <v/>
      </c>
      <c r="M344" s="10" t="n">
        <v>396</v>
      </c>
      <c r="N344" s="10">
        <f>L344-M344</f>
        <v/>
      </c>
    </row>
    <row r="345">
      <c r="A345" s="7" t="inlineStr">
        <is>
          <t>ORD-02194</t>
        </is>
      </c>
      <c r="B345" s="8" t="n">
        <v>45027</v>
      </c>
      <c r="C345" s="9" t="n">
        <v>45017</v>
      </c>
      <c r="D345" s="7" t="n">
        <v>2023</v>
      </c>
      <c r="E345" s="7" t="inlineStr">
        <is>
          <t>North</t>
        </is>
      </c>
      <c r="F345" s="7" t="inlineStr">
        <is>
          <t>Office Supplies</t>
        </is>
      </c>
      <c r="G345" s="7" t="inlineStr">
        <is>
          <t>Paper</t>
        </is>
      </c>
      <c r="H345" s="7" t="inlineStr">
        <is>
          <t>Home Office</t>
        </is>
      </c>
      <c r="I345" s="7" t="n">
        <v>10</v>
      </c>
      <c r="J345" s="10" t="n">
        <v>24.53</v>
      </c>
      <c r="K345" s="11" t="n">
        <v>0.1</v>
      </c>
      <c r="L345" s="10">
        <f>I345*J345*(1-K345)</f>
        <v/>
      </c>
      <c r="M345" s="10" t="n">
        <v>125</v>
      </c>
      <c r="N345" s="10">
        <f>L345-M345</f>
        <v/>
      </c>
    </row>
    <row r="346">
      <c r="A346" s="7" t="inlineStr">
        <is>
          <t>ORD-02259</t>
        </is>
      </c>
      <c r="B346" s="8" t="n">
        <v>45027</v>
      </c>
      <c r="C346" s="9" t="n">
        <v>45017</v>
      </c>
      <c r="D346" s="7" t="n">
        <v>2023</v>
      </c>
      <c r="E346" s="7" t="inlineStr">
        <is>
          <t>South</t>
        </is>
      </c>
      <c r="F346" s="7" t="inlineStr">
        <is>
          <t>Technology</t>
        </is>
      </c>
      <c r="G346" s="7" t="inlineStr">
        <is>
          <t>Headphones</t>
        </is>
      </c>
      <c r="H346" s="7" t="inlineStr">
        <is>
          <t>Consumer</t>
        </is>
      </c>
      <c r="I346" s="7" t="n">
        <v>2</v>
      </c>
      <c r="J346" s="10" t="n">
        <v>118.51</v>
      </c>
      <c r="K346" s="11" t="n">
        <v>0.3</v>
      </c>
      <c r="L346" s="10">
        <f>I346*J346*(1-K346)</f>
        <v/>
      </c>
      <c r="M346" s="10" t="n">
        <v>144</v>
      </c>
      <c r="N346" s="10">
        <f>L346-M346</f>
        <v/>
      </c>
    </row>
    <row r="347">
      <c r="A347" s="7" t="inlineStr">
        <is>
          <t>ORD-05629</t>
        </is>
      </c>
      <c r="B347" s="8" t="n">
        <v>45027</v>
      </c>
      <c r="C347" s="9" t="n">
        <v>45017</v>
      </c>
      <c r="D347" s="7" t="n">
        <v>2023</v>
      </c>
      <c r="E347" s="7" t="inlineStr">
        <is>
          <t>East</t>
        </is>
      </c>
      <c r="F347" s="7" t="inlineStr">
        <is>
          <t>Furniture</t>
        </is>
      </c>
      <c r="G347" s="7" t="inlineStr">
        <is>
          <t>Office Chair</t>
        </is>
      </c>
      <c r="H347" s="7" t="inlineStr">
        <is>
          <t>Home Office</t>
        </is>
      </c>
      <c r="I347" s="7" t="n">
        <v>1</v>
      </c>
      <c r="J347" s="10" t="n">
        <v>213.03</v>
      </c>
      <c r="K347" s="11" t="n">
        <v>0.3</v>
      </c>
      <c r="L347" s="10">
        <f>I347*J347*(1-K347)</f>
        <v/>
      </c>
      <c r="M347" s="10" t="n">
        <v>180.4</v>
      </c>
      <c r="N347" s="10">
        <f>L347-M347</f>
        <v/>
      </c>
    </row>
    <row r="348">
      <c r="A348" s="7" t="inlineStr">
        <is>
          <t>ORD-01230</t>
        </is>
      </c>
      <c r="B348" s="8" t="n">
        <v>45028</v>
      </c>
      <c r="C348" s="9" t="n">
        <v>45017</v>
      </c>
      <c r="D348" s="7" t="n">
        <v>2023</v>
      </c>
      <c r="E348" s="7" t="inlineStr">
        <is>
          <t>North</t>
        </is>
      </c>
      <c r="F348" s="7" t="inlineStr">
        <is>
          <t>Technology</t>
        </is>
      </c>
      <c r="G348" s="7" t="inlineStr">
        <is>
          <t>Smartphone</t>
        </is>
      </c>
      <c r="H348" s="7" t="inlineStr">
        <is>
          <t>Corporate</t>
        </is>
      </c>
      <c r="I348" s="7" t="n">
        <v>3</v>
      </c>
      <c r="J348" s="10" t="n">
        <v>614.49</v>
      </c>
      <c r="K348" s="11" t="n">
        <v>0</v>
      </c>
      <c r="L348" s="10">
        <f>I348*J348*(1-K348)</f>
        <v/>
      </c>
      <c r="M348" s="10" t="n">
        <v>1350</v>
      </c>
      <c r="N348" s="10">
        <f>L348-M348</f>
        <v/>
      </c>
    </row>
    <row r="349">
      <c r="A349" s="7" t="inlineStr">
        <is>
          <t>ORD-01491</t>
        </is>
      </c>
      <c r="B349" s="8" t="n">
        <v>45029</v>
      </c>
      <c r="C349" s="9" t="n">
        <v>45017</v>
      </c>
      <c r="D349" s="7" t="n">
        <v>2023</v>
      </c>
      <c r="E349" s="7" t="inlineStr">
        <is>
          <t>North</t>
        </is>
      </c>
      <c r="F349" s="7" t="inlineStr">
        <is>
          <t>Office Supplies</t>
        </is>
      </c>
      <c r="G349" s="7" t="inlineStr">
        <is>
          <t>Paper</t>
        </is>
      </c>
      <c r="H349" s="7" t="inlineStr">
        <is>
          <t>Consumer</t>
        </is>
      </c>
      <c r="I349" s="7" t="n">
        <v>2</v>
      </c>
      <c r="J349" s="10" t="n">
        <v>24.39</v>
      </c>
      <c r="K349" s="11" t="n">
        <v>0.05</v>
      </c>
      <c r="L349" s="10">
        <f>I349*J349*(1-K349)</f>
        <v/>
      </c>
      <c r="M349" s="10" t="n">
        <v>25</v>
      </c>
      <c r="N349" s="10">
        <f>L349-M349</f>
        <v/>
      </c>
    </row>
    <row r="350">
      <c r="A350" s="7" t="inlineStr">
        <is>
          <t>ORD-01394</t>
        </is>
      </c>
      <c r="B350" s="8" t="n">
        <v>45029</v>
      </c>
      <c r="C350" s="9" t="n">
        <v>45017</v>
      </c>
      <c r="D350" s="7" t="n">
        <v>2023</v>
      </c>
      <c r="E350" s="7" t="inlineStr">
        <is>
          <t>South</t>
        </is>
      </c>
      <c r="F350" s="7" t="inlineStr">
        <is>
          <t>Office Supplies</t>
        </is>
      </c>
      <c r="G350" s="7" t="inlineStr">
        <is>
          <t>Paper</t>
        </is>
      </c>
      <c r="H350" s="7" t="inlineStr">
        <is>
          <t>Consumer</t>
        </is>
      </c>
      <c r="I350" s="7" t="n">
        <v>15</v>
      </c>
      <c r="J350" s="10" t="n">
        <v>25.2</v>
      </c>
      <c r="K350" s="11" t="n">
        <v>0.05</v>
      </c>
      <c r="L350" s="10">
        <f>I350*J350*(1-K350)</f>
        <v/>
      </c>
      <c r="M350" s="10" t="n">
        <v>187.5</v>
      </c>
      <c r="N350" s="10">
        <f>L350-M350</f>
        <v/>
      </c>
    </row>
    <row r="351">
      <c r="A351" s="7" t="inlineStr">
        <is>
          <t>ORD-02925</t>
        </is>
      </c>
      <c r="B351" s="8" t="n">
        <v>45029</v>
      </c>
      <c r="C351" s="9" t="n">
        <v>45017</v>
      </c>
      <c r="D351" s="7" t="n">
        <v>2023</v>
      </c>
      <c r="E351" s="7" t="inlineStr">
        <is>
          <t>East</t>
        </is>
      </c>
      <c r="F351" s="7" t="inlineStr">
        <is>
          <t>Office Supplies</t>
        </is>
      </c>
      <c r="G351" s="7" t="inlineStr">
        <is>
          <t>Binder</t>
        </is>
      </c>
      <c r="H351" s="7" t="inlineStr">
        <is>
          <t>Consumer</t>
        </is>
      </c>
      <c r="I351" s="7" t="n">
        <v>8</v>
      </c>
      <c r="J351" s="10" t="n">
        <v>7.66</v>
      </c>
      <c r="K351" s="11" t="n">
        <v>0.2</v>
      </c>
      <c r="L351" s="10">
        <f>I351*J351*(1-K351)</f>
        <v/>
      </c>
      <c r="M351" s="10" t="n">
        <v>25.6</v>
      </c>
      <c r="N351" s="10">
        <f>L351-M351</f>
        <v/>
      </c>
    </row>
    <row r="352">
      <c r="A352" s="7" t="inlineStr">
        <is>
          <t>ORD-05900</t>
        </is>
      </c>
      <c r="B352" s="8" t="n">
        <v>45030</v>
      </c>
      <c r="C352" s="9" t="n">
        <v>45017</v>
      </c>
      <c r="D352" s="7" t="n">
        <v>2023</v>
      </c>
      <c r="E352" s="7" t="inlineStr">
        <is>
          <t>North</t>
        </is>
      </c>
      <c r="F352" s="7" t="inlineStr">
        <is>
          <t>Technology</t>
        </is>
      </c>
      <c r="G352" s="7" t="inlineStr">
        <is>
          <t>Monitor</t>
        </is>
      </c>
      <c r="H352" s="7" t="inlineStr">
        <is>
          <t>Consumer</t>
        </is>
      </c>
      <c r="I352" s="7" t="n">
        <v>2</v>
      </c>
      <c r="J352" s="10" t="n">
        <v>248.41</v>
      </c>
      <c r="K352" s="11" t="n">
        <v>0</v>
      </c>
      <c r="L352" s="10">
        <f>I352*J352*(1-K352)</f>
        <v/>
      </c>
      <c r="M352" s="10" t="n">
        <v>360</v>
      </c>
      <c r="N352" s="10">
        <f>L352-M352</f>
        <v/>
      </c>
    </row>
    <row r="353">
      <c r="A353" s="7" t="inlineStr">
        <is>
          <t>ORD-02242</t>
        </is>
      </c>
      <c r="B353" s="8" t="n">
        <v>45030</v>
      </c>
      <c r="C353" s="9" t="n">
        <v>45017</v>
      </c>
      <c r="D353" s="7" t="n">
        <v>2023</v>
      </c>
      <c r="E353" s="7" t="inlineStr">
        <is>
          <t>North</t>
        </is>
      </c>
      <c r="F353" s="7" t="inlineStr">
        <is>
          <t>Technology</t>
        </is>
      </c>
      <c r="G353" s="7" t="inlineStr">
        <is>
          <t>Headphones</t>
        </is>
      </c>
      <c r="H353" s="7" t="inlineStr">
        <is>
          <t>Consumer</t>
        </is>
      </c>
      <c r="I353" s="7" t="n">
        <v>1</v>
      </c>
      <c r="J353" s="10" t="n">
        <v>118.9</v>
      </c>
      <c r="K353" s="11" t="n">
        <v>0.2</v>
      </c>
      <c r="L353" s="10">
        <f>I353*J353*(1-K353)</f>
        <v/>
      </c>
      <c r="M353" s="10" t="n">
        <v>72</v>
      </c>
      <c r="N353" s="10">
        <f>L353-M353</f>
        <v/>
      </c>
    </row>
    <row r="354">
      <c r="A354" s="7" t="inlineStr">
        <is>
          <t>ORD-00735</t>
        </is>
      </c>
      <c r="B354" s="8" t="n">
        <v>45030</v>
      </c>
      <c r="C354" s="9" t="n">
        <v>45017</v>
      </c>
      <c r="D354" s="7" t="n">
        <v>2023</v>
      </c>
      <c r="E354" s="7" t="inlineStr">
        <is>
          <t>West</t>
        </is>
      </c>
      <c r="F354" s="7" t="inlineStr">
        <is>
          <t>Office Supplies</t>
        </is>
      </c>
      <c r="G354" s="7" t="inlineStr">
        <is>
          <t>Printer Ink</t>
        </is>
      </c>
      <c r="H354" s="7" t="inlineStr">
        <is>
          <t>Corporate</t>
        </is>
      </c>
      <c r="I354" s="7" t="n">
        <v>15</v>
      </c>
      <c r="J354" s="10" t="n">
        <v>58.65</v>
      </c>
      <c r="K354" s="11" t="n">
        <v>0.2</v>
      </c>
      <c r="L354" s="10">
        <f>I354*J354*(1-K354)</f>
        <v/>
      </c>
      <c r="M354" s="10" t="n">
        <v>540</v>
      </c>
      <c r="N354" s="10">
        <f>L354-M354</f>
        <v/>
      </c>
    </row>
    <row r="355">
      <c r="A355" s="7" t="inlineStr">
        <is>
          <t>ORD-03705</t>
        </is>
      </c>
      <c r="B355" s="8" t="n">
        <v>45030</v>
      </c>
      <c r="C355" s="9" t="n">
        <v>45017</v>
      </c>
      <c r="D355" s="7" t="n">
        <v>2023</v>
      </c>
      <c r="E355" s="7" t="inlineStr">
        <is>
          <t>West</t>
        </is>
      </c>
      <c r="F355" s="7" t="inlineStr">
        <is>
          <t>Technology</t>
        </is>
      </c>
      <c r="G355" s="7" t="inlineStr">
        <is>
          <t>Headphones</t>
        </is>
      </c>
      <c r="H355" s="7" t="inlineStr">
        <is>
          <t>Corporate</t>
        </is>
      </c>
      <c r="I355" s="7" t="n">
        <v>3</v>
      </c>
      <c r="J355" s="10" t="n">
        <v>115.58</v>
      </c>
      <c r="K355" s="11" t="n">
        <v>0</v>
      </c>
      <c r="L355" s="10">
        <f>I355*J355*(1-K355)</f>
        <v/>
      </c>
      <c r="M355" s="10" t="n">
        <v>216</v>
      </c>
      <c r="N355" s="10">
        <f>L355-M355</f>
        <v/>
      </c>
    </row>
    <row r="356">
      <c r="A356" s="7" t="inlineStr">
        <is>
          <t>ORD-02803</t>
        </is>
      </c>
      <c r="B356" s="8" t="n">
        <v>45031</v>
      </c>
      <c r="C356" s="9" t="n">
        <v>45017</v>
      </c>
      <c r="D356" s="7" t="n">
        <v>2023</v>
      </c>
      <c r="E356" s="7" t="inlineStr">
        <is>
          <t>West</t>
        </is>
      </c>
      <c r="F356" s="7" t="inlineStr">
        <is>
          <t>Office Supplies</t>
        </is>
      </c>
      <c r="G356" s="7" t="inlineStr">
        <is>
          <t>Printer Ink</t>
        </is>
      </c>
      <c r="H356" s="7" t="inlineStr">
        <is>
          <t>Consumer</t>
        </is>
      </c>
      <c r="I356" s="7" t="n">
        <v>3</v>
      </c>
      <c r="J356" s="10" t="n">
        <v>62.58</v>
      </c>
      <c r="K356" s="11" t="n">
        <v>0.05</v>
      </c>
      <c r="L356" s="10">
        <f>I356*J356*(1-K356)</f>
        <v/>
      </c>
      <c r="M356" s="10" t="n">
        <v>108</v>
      </c>
      <c r="N356" s="10">
        <f>L356-M356</f>
        <v/>
      </c>
    </row>
    <row r="357">
      <c r="A357" s="7" t="inlineStr">
        <is>
          <t>ORD-03636</t>
        </is>
      </c>
      <c r="B357" s="8" t="n">
        <v>45031</v>
      </c>
      <c r="C357" s="9" t="n">
        <v>45017</v>
      </c>
      <c r="D357" s="7" t="n">
        <v>2023</v>
      </c>
      <c r="E357" s="7" t="inlineStr">
        <is>
          <t>West</t>
        </is>
      </c>
      <c r="F357" s="7" t="inlineStr">
        <is>
          <t>Technology</t>
        </is>
      </c>
      <c r="G357" s="7" t="inlineStr">
        <is>
          <t>Headphones</t>
        </is>
      </c>
      <c r="H357" s="7" t="inlineStr">
        <is>
          <t>Home Office</t>
        </is>
      </c>
      <c r="I357" s="7" t="n">
        <v>3</v>
      </c>
      <c r="J357" s="10" t="n">
        <v>114.36</v>
      </c>
      <c r="K357" s="11" t="n">
        <v>0</v>
      </c>
      <c r="L357" s="10">
        <f>I357*J357*(1-K357)</f>
        <v/>
      </c>
      <c r="M357" s="10" t="n">
        <v>216</v>
      </c>
      <c r="N357" s="10">
        <f>L357-M357</f>
        <v/>
      </c>
    </row>
    <row r="358">
      <c r="A358" s="7" t="inlineStr">
        <is>
          <t>ORD-04208</t>
        </is>
      </c>
      <c r="B358" s="8" t="n">
        <v>45031</v>
      </c>
      <c r="C358" s="9" t="n">
        <v>45017</v>
      </c>
      <c r="D358" s="7" t="n">
        <v>2023</v>
      </c>
      <c r="E358" s="7" t="inlineStr">
        <is>
          <t>West</t>
        </is>
      </c>
      <c r="F358" s="7" t="inlineStr">
        <is>
          <t>Office Supplies</t>
        </is>
      </c>
      <c r="G358" s="7" t="inlineStr">
        <is>
          <t>Binder</t>
        </is>
      </c>
      <c r="H358" s="7" t="inlineStr">
        <is>
          <t>Consumer</t>
        </is>
      </c>
      <c r="I358" s="7" t="n">
        <v>8</v>
      </c>
      <c r="J358" s="10" t="n">
        <v>8.02</v>
      </c>
      <c r="K358" s="11" t="n">
        <v>0</v>
      </c>
      <c r="L358" s="10">
        <f>I358*J358*(1-K358)</f>
        <v/>
      </c>
      <c r="M358" s="10" t="n">
        <v>25.6</v>
      </c>
      <c r="N358" s="10">
        <f>L358-M358</f>
        <v/>
      </c>
    </row>
    <row r="359">
      <c r="A359" s="7" t="inlineStr">
        <is>
          <t>ORD-03814</t>
        </is>
      </c>
      <c r="B359" s="8" t="n">
        <v>45031</v>
      </c>
      <c r="C359" s="9" t="n">
        <v>45017</v>
      </c>
      <c r="D359" s="7" t="n">
        <v>2023</v>
      </c>
      <c r="E359" s="7" t="inlineStr">
        <is>
          <t>West</t>
        </is>
      </c>
      <c r="F359" s="7" t="inlineStr">
        <is>
          <t>Office Supplies</t>
        </is>
      </c>
      <c r="G359" s="7" t="inlineStr">
        <is>
          <t>Binder</t>
        </is>
      </c>
      <c r="H359" s="7" t="inlineStr">
        <is>
          <t>Home Office</t>
        </is>
      </c>
      <c r="I359" s="7" t="n">
        <v>3</v>
      </c>
      <c r="J359" s="10" t="n">
        <v>7.71</v>
      </c>
      <c r="K359" s="11" t="n">
        <v>0.05</v>
      </c>
      <c r="L359" s="10">
        <f>I359*J359*(1-K359)</f>
        <v/>
      </c>
      <c r="M359" s="10" t="n">
        <v>9.6</v>
      </c>
      <c r="N359" s="10">
        <f>L359-M359</f>
        <v/>
      </c>
    </row>
    <row r="360">
      <c r="A360" s="7" t="inlineStr">
        <is>
          <t>ORD-05252</t>
        </is>
      </c>
      <c r="B360" s="8" t="n">
        <v>45032</v>
      </c>
      <c r="C360" s="9" t="n">
        <v>45017</v>
      </c>
      <c r="D360" s="7" t="n">
        <v>2023</v>
      </c>
      <c r="E360" s="7" t="inlineStr">
        <is>
          <t>South</t>
        </is>
      </c>
      <c r="F360" s="7" t="inlineStr">
        <is>
          <t>Office Supplies</t>
        </is>
      </c>
      <c r="G360" s="7" t="inlineStr">
        <is>
          <t>Stapler</t>
        </is>
      </c>
      <c r="H360" s="7" t="inlineStr">
        <is>
          <t>Home Office</t>
        </is>
      </c>
      <c r="I360" s="7" t="n">
        <v>3</v>
      </c>
      <c r="J360" s="10" t="n">
        <v>14.81</v>
      </c>
      <c r="K360" s="11" t="n">
        <v>0.1</v>
      </c>
      <c r="L360" s="10">
        <f>I360*J360*(1-K360)</f>
        <v/>
      </c>
      <c r="M360" s="10" t="n">
        <v>22.5</v>
      </c>
      <c r="N360" s="10">
        <f>L360-M360</f>
        <v/>
      </c>
    </row>
    <row r="361">
      <c r="A361" s="7" t="inlineStr">
        <is>
          <t>ORD-01001</t>
        </is>
      </c>
      <c r="B361" s="8" t="n">
        <v>45032</v>
      </c>
      <c r="C361" s="9" t="n">
        <v>45017</v>
      </c>
      <c r="D361" s="7" t="n">
        <v>2023</v>
      </c>
      <c r="E361" s="7" t="inlineStr">
        <is>
          <t>South</t>
        </is>
      </c>
      <c r="F361" s="7" t="inlineStr">
        <is>
          <t>Technology</t>
        </is>
      </c>
      <c r="G361" s="7" t="inlineStr">
        <is>
          <t>Laptop</t>
        </is>
      </c>
      <c r="H361" s="7" t="inlineStr">
        <is>
          <t>Consumer</t>
        </is>
      </c>
      <c r="I361" s="7" t="n">
        <v>1</v>
      </c>
      <c r="J361" s="10" t="n">
        <v>906.28</v>
      </c>
      <c r="K361" s="11" t="n">
        <v>0.2</v>
      </c>
      <c r="L361" s="10">
        <f>I361*J361*(1-K361)</f>
        <v/>
      </c>
      <c r="M361" s="10" t="n">
        <v>702</v>
      </c>
      <c r="N361" s="10">
        <f>L361-M361</f>
        <v/>
      </c>
    </row>
    <row r="362">
      <c r="A362" s="7" t="inlineStr">
        <is>
          <t>ORD-03307</t>
        </is>
      </c>
      <c r="B362" s="8" t="n">
        <v>45032</v>
      </c>
      <c r="C362" s="9" t="n">
        <v>45017</v>
      </c>
      <c r="D362" s="7" t="n">
        <v>2023</v>
      </c>
      <c r="E362" s="7" t="inlineStr">
        <is>
          <t>North</t>
        </is>
      </c>
      <c r="F362" s="7" t="inlineStr">
        <is>
          <t>Office Supplies</t>
        </is>
      </c>
      <c r="G362" s="7" t="inlineStr">
        <is>
          <t>Pens</t>
        </is>
      </c>
      <c r="H362" s="7" t="inlineStr">
        <is>
          <t>Consumer</t>
        </is>
      </c>
      <c r="I362" s="7" t="n">
        <v>9</v>
      </c>
      <c r="J362" s="10" t="n">
        <v>12.41</v>
      </c>
      <c r="K362" s="11" t="n">
        <v>0.2</v>
      </c>
      <c r="L362" s="10">
        <f>I362*J362*(1-K362)</f>
        <v/>
      </c>
      <c r="M362" s="10" t="n">
        <v>48.6</v>
      </c>
      <c r="N362" s="10">
        <f>L362-M362</f>
        <v/>
      </c>
    </row>
    <row r="363">
      <c r="A363" s="7" t="inlineStr">
        <is>
          <t>ORD-03208</t>
        </is>
      </c>
      <c r="B363" s="8" t="n">
        <v>45033</v>
      </c>
      <c r="C363" s="9" t="n">
        <v>45017</v>
      </c>
      <c r="D363" s="7" t="n">
        <v>2023</v>
      </c>
      <c r="E363" s="7" t="inlineStr">
        <is>
          <t>East</t>
        </is>
      </c>
      <c r="F363" s="7" t="inlineStr">
        <is>
          <t>Office Supplies</t>
        </is>
      </c>
      <c r="G363" s="7" t="inlineStr">
        <is>
          <t>Binder</t>
        </is>
      </c>
      <c r="H363" s="7" t="inlineStr">
        <is>
          <t>Home Office</t>
        </is>
      </c>
      <c r="I363" s="7" t="n">
        <v>12</v>
      </c>
      <c r="J363" s="10" t="n">
        <v>7.76</v>
      </c>
      <c r="K363" s="11" t="n">
        <v>0</v>
      </c>
      <c r="L363" s="10">
        <f>I363*J363*(1-K363)</f>
        <v/>
      </c>
      <c r="M363" s="10" t="n">
        <v>38.4</v>
      </c>
      <c r="N363" s="10">
        <f>L363-M363</f>
        <v/>
      </c>
    </row>
    <row r="364">
      <c r="A364" s="7" t="inlineStr">
        <is>
          <t>ORD-05809</t>
        </is>
      </c>
      <c r="B364" s="8" t="n">
        <v>45033</v>
      </c>
      <c r="C364" s="9" t="n">
        <v>45017</v>
      </c>
      <c r="D364" s="7" t="n">
        <v>2023</v>
      </c>
      <c r="E364" s="7" t="inlineStr">
        <is>
          <t>West</t>
        </is>
      </c>
      <c r="F364" s="7" t="inlineStr">
        <is>
          <t>Technology</t>
        </is>
      </c>
      <c r="G364" s="7" t="inlineStr">
        <is>
          <t>Smartphone</t>
        </is>
      </c>
      <c r="H364" s="7" t="inlineStr">
        <is>
          <t>Consumer</t>
        </is>
      </c>
      <c r="I364" s="7" t="n">
        <v>1</v>
      </c>
      <c r="J364" s="10" t="n">
        <v>595.8200000000001</v>
      </c>
      <c r="K364" s="11" t="n">
        <v>0</v>
      </c>
      <c r="L364" s="10">
        <f>I364*J364*(1-K364)</f>
        <v/>
      </c>
      <c r="M364" s="10" t="n">
        <v>450</v>
      </c>
      <c r="N364" s="10">
        <f>L364-M364</f>
        <v/>
      </c>
    </row>
    <row r="365">
      <c r="A365" s="7" t="inlineStr">
        <is>
          <t>ORD-05155</t>
        </is>
      </c>
      <c r="B365" s="8" t="n">
        <v>45033</v>
      </c>
      <c r="C365" s="9" t="n">
        <v>45017</v>
      </c>
      <c r="D365" s="7" t="n">
        <v>2023</v>
      </c>
      <c r="E365" s="7" t="inlineStr">
        <is>
          <t>West</t>
        </is>
      </c>
      <c r="F365" s="7" t="inlineStr">
        <is>
          <t>Office Supplies</t>
        </is>
      </c>
      <c r="G365" s="7" t="inlineStr">
        <is>
          <t>Pens</t>
        </is>
      </c>
      <c r="H365" s="7" t="inlineStr">
        <is>
          <t>Home Office</t>
        </is>
      </c>
      <c r="I365" s="7" t="n">
        <v>9</v>
      </c>
      <c r="J365" s="10" t="n">
        <v>12.4</v>
      </c>
      <c r="K365" s="11" t="n">
        <v>0.1</v>
      </c>
      <c r="L365" s="10">
        <f>I365*J365*(1-K365)</f>
        <v/>
      </c>
      <c r="M365" s="10" t="n">
        <v>48.6</v>
      </c>
      <c r="N365" s="10">
        <f>L365-M365</f>
        <v/>
      </c>
    </row>
    <row r="366">
      <c r="A366" s="7" t="inlineStr">
        <is>
          <t>ORD-01402</t>
        </is>
      </c>
      <c r="B366" s="8" t="n">
        <v>45033</v>
      </c>
      <c r="C366" s="9" t="n">
        <v>45017</v>
      </c>
      <c r="D366" s="7" t="n">
        <v>2023</v>
      </c>
      <c r="E366" s="7" t="inlineStr">
        <is>
          <t>West</t>
        </is>
      </c>
      <c r="F366" s="7" t="inlineStr">
        <is>
          <t>Office Supplies</t>
        </is>
      </c>
      <c r="G366" s="7" t="inlineStr">
        <is>
          <t>Printer Ink</t>
        </is>
      </c>
      <c r="H366" s="7" t="inlineStr">
        <is>
          <t>Consumer</t>
        </is>
      </c>
      <c r="I366" s="7" t="n">
        <v>5</v>
      </c>
      <c r="J366" s="10" t="n">
        <v>58.62</v>
      </c>
      <c r="K366" s="11" t="n">
        <v>0</v>
      </c>
      <c r="L366" s="10">
        <f>I366*J366*(1-K366)</f>
        <v/>
      </c>
      <c r="M366" s="10" t="n">
        <v>180</v>
      </c>
      <c r="N366" s="10">
        <f>L366-M366</f>
        <v/>
      </c>
    </row>
    <row r="367">
      <c r="A367" s="7" t="inlineStr">
        <is>
          <t>ORD-05472</t>
        </is>
      </c>
      <c r="B367" s="8" t="n">
        <v>45033</v>
      </c>
      <c r="C367" s="9" t="n">
        <v>45017</v>
      </c>
      <c r="D367" s="7" t="n">
        <v>2023</v>
      </c>
      <c r="E367" s="7" t="inlineStr">
        <is>
          <t>East</t>
        </is>
      </c>
      <c r="F367" s="7" t="inlineStr">
        <is>
          <t>Technology</t>
        </is>
      </c>
      <c r="G367" s="7" t="inlineStr">
        <is>
          <t>Keyboard</t>
        </is>
      </c>
      <c r="H367" s="7" t="inlineStr">
        <is>
          <t>Consumer</t>
        </is>
      </c>
      <c r="I367" s="7" t="n">
        <v>3</v>
      </c>
      <c r="J367" s="10" t="n">
        <v>44.81</v>
      </c>
      <c r="K367" s="11" t="n">
        <v>0</v>
      </c>
      <c r="L367" s="10">
        <f>I367*J367*(1-K367)</f>
        <v/>
      </c>
      <c r="M367" s="10" t="n">
        <v>74.25</v>
      </c>
      <c r="N367" s="10">
        <f>L367-M367</f>
        <v/>
      </c>
    </row>
    <row r="368">
      <c r="A368" s="7" t="inlineStr">
        <is>
          <t>ORD-03144</t>
        </is>
      </c>
      <c r="B368" s="8" t="n">
        <v>45034</v>
      </c>
      <c r="C368" s="9" t="n">
        <v>45017</v>
      </c>
      <c r="D368" s="7" t="n">
        <v>2023</v>
      </c>
      <c r="E368" s="7" t="inlineStr">
        <is>
          <t>South</t>
        </is>
      </c>
      <c r="F368" s="7" t="inlineStr">
        <is>
          <t>Furniture</t>
        </is>
      </c>
      <c r="G368" s="7" t="inlineStr">
        <is>
          <t>Bookcase</t>
        </is>
      </c>
      <c r="H368" s="7" t="inlineStr">
        <is>
          <t>Consumer</t>
        </is>
      </c>
      <c r="I368" s="7" t="n">
        <v>2</v>
      </c>
      <c r="J368" s="10" t="n">
        <v>184.7</v>
      </c>
      <c r="K368" s="11" t="n">
        <v>0.3</v>
      </c>
      <c r="L368" s="10">
        <f>I368*J368*(1-K368)</f>
        <v/>
      </c>
      <c r="M368" s="10" t="n">
        <v>288</v>
      </c>
      <c r="N368" s="10">
        <f>L368-M368</f>
        <v/>
      </c>
    </row>
    <row r="369">
      <c r="A369" s="7" t="inlineStr">
        <is>
          <t>ORD-05460</t>
        </is>
      </c>
      <c r="B369" s="8" t="n">
        <v>45034</v>
      </c>
      <c r="C369" s="9" t="n">
        <v>45017</v>
      </c>
      <c r="D369" s="7" t="n">
        <v>2023</v>
      </c>
      <c r="E369" s="7" t="inlineStr">
        <is>
          <t>West</t>
        </is>
      </c>
      <c r="F369" s="7" t="inlineStr">
        <is>
          <t>Office Supplies</t>
        </is>
      </c>
      <c r="G369" s="7" t="inlineStr">
        <is>
          <t>Printer Ink</t>
        </is>
      </c>
      <c r="H369" s="7" t="inlineStr">
        <is>
          <t>Consumer</t>
        </is>
      </c>
      <c r="I369" s="7" t="n">
        <v>5</v>
      </c>
      <c r="J369" s="10" t="n">
        <v>57.12</v>
      </c>
      <c r="K369" s="11" t="n">
        <v>0.05</v>
      </c>
      <c r="L369" s="10">
        <f>I369*J369*(1-K369)</f>
        <v/>
      </c>
      <c r="M369" s="10" t="n">
        <v>180</v>
      </c>
      <c r="N369" s="10">
        <f>L369-M369</f>
        <v/>
      </c>
    </row>
    <row r="370">
      <c r="A370" s="7" t="inlineStr">
        <is>
          <t>ORD-00018</t>
        </is>
      </c>
      <c r="B370" s="8" t="n">
        <v>45034</v>
      </c>
      <c r="C370" s="9" t="n">
        <v>45017</v>
      </c>
      <c r="D370" s="7" t="n">
        <v>2023</v>
      </c>
      <c r="E370" s="7" t="inlineStr">
        <is>
          <t>North</t>
        </is>
      </c>
      <c r="F370" s="7" t="inlineStr">
        <is>
          <t>Furniture</t>
        </is>
      </c>
      <c r="G370" s="7" t="inlineStr">
        <is>
          <t>Bookcase</t>
        </is>
      </c>
      <c r="H370" s="7" t="inlineStr">
        <is>
          <t>Home Office</t>
        </is>
      </c>
      <c r="I370" s="7" t="n">
        <v>2</v>
      </c>
      <c r="J370" s="10" t="n">
        <v>183.16</v>
      </c>
      <c r="K370" s="11" t="n">
        <v>0.2</v>
      </c>
      <c r="L370" s="10">
        <f>I370*J370*(1-K370)</f>
        <v/>
      </c>
      <c r="M370" s="10" t="n">
        <v>288</v>
      </c>
      <c r="N370" s="10">
        <f>L370-M370</f>
        <v/>
      </c>
    </row>
    <row r="371">
      <c r="A371" s="7" t="inlineStr">
        <is>
          <t>ORD-01444</t>
        </is>
      </c>
      <c r="B371" s="8" t="n">
        <v>45034</v>
      </c>
      <c r="C371" s="9" t="n">
        <v>45017</v>
      </c>
      <c r="D371" s="7" t="n">
        <v>2023</v>
      </c>
      <c r="E371" s="7" t="inlineStr">
        <is>
          <t>West</t>
        </is>
      </c>
      <c r="F371" s="7" t="inlineStr">
        <is>
          <t>Office Supplies</t>
        </is>
      </c>
      <c r="G371" s="7" t="inlineStr">
        <is>
          <t>Paper</t>
        </is>
      </c>
      <c r="H371" s="7" t="inlineStr">
        <is>
          <t>Home Office</t>
        </is>
      </c>
      <c r="I371" s="7" t="n">
        <v>4</v>
      </c>
      <c r="J371" s="10" t="n">
        <v>25.6</v>
      </c>
      <c r="K371" s="11" t="n">
        <v>0.2</v>
      </c>
      <c r="L371" s="10">
        <f>I371*J371*(1-K371)</f>
        <v/>
      </c>
      <c r="M371" s="10" t="n">
        <v>50</v>
      </c>
      <c r="N371" s="10">
        <f>L371-M371</f>
        <v/>
      </c>
    </row>
    <row r="372">
      <c r="A372" s="7" t="inlineStr">
        <is>
          <t>ORD-05722</t>
        </is>
      </c>
      <c r="B372" s="8" t="n">
        <v>45035</v>
      </c>
      <c r="C372" s="9" t="n">
        <v>45017</v>
      </c>
      <c r="D372" s="7" t="n">
        <v>2023</v>
      </c>
      <c r="E372" s="7" t="inlineStr">
        <is>
          <t>East</t>
        </is>
      </c>
      <c r="F372" s="7" t="inlineStr">
        <is>
          <t>Office Supplies</t>
        </is>
      </c>
      <c r="G372" s="7" t="inlineStr">
        <is>
          <t>Stapler</t>
        </is>
      </c>
      <c r="H372" s="7" t="inlineStr">
        <is>
          <t>Consumer</t>
        </is>
      </c>
      <c r="I372" s="7" t="n">
        <v>14</v>
      </c>
      <c r="J372" s="10" t="n">
        <v>14.5</v>
      </c>
      <c r="K372" s="11" t="n">
        <v>0</v>
      </c>
      <c r="L372" s="10">
        <f>I372*J372*(1-K372)</f>
        <v/>
      </c>
      <c r="M372" s="10" t="n">
        <v>105</v>
      </c>
      <c r="N372" s="10">
        <f>L372-M372</f>
        <v/>
      </c>
    </row>
    <row r="373">
      <c r="A373" s="7" t="inlineStr">
        <is>
          <t>ORD-02848</t>
        </is>
      </c>
      <c r="B373" s="8" t="n">
        <v>45035</v>
      </c>
      <c r="C373" s="9" t="n">
        <v>45017</v>
      </c>
      <c r="D373" s="7" t="n">
        <v>2023</v>
      </c>
      <c r="E373" s="7" t="inlineStr">
        <is>
          <t>East</t>
        </is>
      </c>
      <c r="F373" s="7" t="inlineStr">
        <is>
          <t>Office Supplies</t>
        </is>
      </c>
      <c r="G373" s="7" t="inlineStr">
        <is>
          <t>Binder</t>
        </is>
      </c>
      <c r="H373" s="7" t="inlineStr">
        <is>
          <t>Consumer</t>
        </is>
      </c>
      <c r="I373" s="7" t="n">
        <v>6</v>
      </c>
      <c r="J373" s="10" t="n">
        <v>7.86</v>
      </c>
      <c r="K373" s="11" t="n">
        <v>0</v>
      </c>
      <c r="L373" s="10">
        <f>I373*J373*(1-K373)</f>
        <v/>
      </c>
      <c r="M373" s="10" t="n">
        <v>19.2</v>
      </c>
      <c r="N373" s="10">
        <f>L373-M373</f>
        <v/>
      </c>
    </row>
    <row r="374">
      <c r="A374" s="7" t="inlineStr">
        <is>
          <t>ORD-05552</t>
        </is>
      </c>
      <c r="B374" s="8" t="n">
        <v>45035</v>
      </c>
      <c r="C374" s="9" t="n">
        <v>45017</v>
      </c>
      <c r="D374" s="7" t="n">
        <v>2023</v>
      </c>
      <c r="E374" s="7" t="inlineStr">
        <is>
          <t>North</t>
        </is>
      </c>
      <c r="F374" s="7" t="inlineStr">
        <is>
          <t>Office Supplies</t>
        </is>
      </c>
      <c r="G374" s="7" t="inlineStr">
        <is>
          <t>Printer Ink</t>
        </is>
      </c>
      <c r="H374" s="7" t="inlineStr">
        <is>
          <t>Consumer</t>
        </is>
      </c>
      <c r="I374" s="7" t="n">
        <v>5</v>
      </c>
      <c r="J374" s="10" t="n">
        <v>59.49</v>
      </c>
      <c r="K374" s="11" t="n">
        <v>0</v>
      </c>
      <c r="L374" s="10">
        <f>I374*J374*(1-K374)</f>
        <v/>
      </c>
      <c r="M374" s="10" t="n">
        <v>180</v>
      </c>
      <c r="N374" s="10">
        <f>L374-M374</f>
        <v/>
      </c>
    </row>
    <row r="375">
      <c r="A375" s="7" t="inlineStr">
        <is>
          <t>ORD-03032</t>
        </is>
      </c>
      <c r="B375" s="8" t="n">
        <v>45035</v>
      </c>
      <c r="C375" s="9" t="n">
        <v>45017</v>
      </c>
      <c r="D375" s="7" t="n">
        <v>2023</v>
      </c>
      <c r="E375" s="7" t="inlineStr">
        <is>
          <t>North</t>
        </is>
      </c>
      <c r="F375" s="7" t="inlineStr">
        <is>
          <t>Office Supplies</t>
        </is>
      </c>
      <c r="G375" s="7" t="inlineStr">
        <is>
          <t>Pens</t>
        </is>
      </c>
      <c r="H375" s="7" t="inlineStr">
        <is>
          <t>Consumer</t>
        </is>
      </c>
      <c r="I375" s="7" t="n">
        <v>6</v>
      </c>
      <c r="J375" s="10" t="n">
        <v>11.86</v>
      </c>
      <c r="K375" s="11" t="n">
        <v>0.1</v>
      </c>
      <c r="L375" s="10">
        <f>I375*J375*(1-K375)</f>
        <v/>
      </c>
      <c r="M375" s="10" t="n">
        <v>32.4</v>
      </c>
      <c r="N375" s="10">
        <f>L375-M375</f>
        <v/>
      </c>
    </row>
    <row r="376">
      <c r="A376" s="7" t="inlineStr">
        <is>
          <t>ORD-03316</t>
        </is>
      </c>
      <c r="B376" s="8" t="n">
        <v>45035</v>
      </c>
      <c r="C376" s="9" t="n">
        <v>45017</v>
      </c>
      <c r="D376" s="7" t="n">
        <v>2023</v>
      </c>
      <c r="E376" s="7" t="inlineStr">
        <is>
          <t>North</t>
        </is>
      </c>
      <c r="F376" s="7" t="inlineStr">
        <is>
          <t>Office Supplies</t>
        </is>
      </c>
      <c r="G376" s="7" t="inlineStr">
        <is>
          <t>Binder</t>
        </is>
      </c>
      <c r="H376" s="7" t="inlineStr">
        <is>
          <t>Corporate</t>
        </is>
      </c>
      <c r="I376" s="7" t="n">
        <v>7</v>
      </c>
      <c r="J376" s="10" t="n">
        <v>8.210000000000001</v>
      </c>
      <c r="K376" s="11" t="n">
        <v>0.3</v>
      </c>
      <c r="L376" s="10">
        <f>I376*J376*(1-K376)</f>
        <v/>
      </c>
      <c r="M376" s="10" t="n">
        <v>22.4</v>
      </c>
      <c r="N376" s="10">
        <f>L376-M376</f>
        <v/>
      </c>
    </row>
    <row r="377">
      <c r="A377" s="7" t="inlineStr">
        <is>
          <t>ORD-01899</t>
        </is>
      </c>
      <c r="B377" s="8" t="n">
        <v>45036</v>
      </c>
      <c r="C377" s="9" t="n">
        <v>45017</v>
      </c>
      <c r="D377" s="7" t="n">
        <v>2023</v>
      </c>
      <c r="E377" s="7" t="inlineStr">
        <is>
          <t>North</t>
        </is>
      </c>
      <c r="F377" s="7" t="inlineStr">
        <is>
          <t>Technology</t>
        </is>
      </c>
      <c r="G377" s="7" t="inlineStr">
        <is>
          <t>Smartphone</t>
        </is>
      </c>
      <c r="H377" s="7" t="inlineStr">
        <is>
          <t>Consumer</t>
        </is>
      </c>
      <c r="I377" s="7" t="n">
        <v>3</v>
      </c>
      <c r="J377" s="10" t="n">
        <v>593.3200000000001</v>
      </c>
      <c r="K377" s="11" t="n">
        <v>0</v>
      </c>
      <c r="L377" s="10">
        <f>I377*J377*(1-K377)</f>
        <v/>
      </c>
      <c r="M377" s="10" t="n">
        <v>1350</v>
      </c>
      <c r="N377" s="10">
        <f>L377-M377</f>
        <v/>
      </c>
    </row>
    <row r="378">
      <c r="A378" s="7" t="inlineStr">
        <is>
          <t>ORD-04759</t>
        </is>
      </c>
      <c r="B378" s="8" t="n">
        <v>45036</v>
      </c>
      <c r="C378" s="9" t="n">
        <v>45017</v>
      </c>
      <c r="D378" s="7" t="n">
        <v>2023</v>
      </c>
      <c r="E378" s="7" t="inlineStr">
        <is>
          <t>North</t>
        </is>
      </c>
      <c r="F378" s="7" t="inlineStr">
        <is>
          <t>Office Supplies</t>
        </is>
      </c>
      <c r="G378" s="7" t="inlineStr">
        <is>
          <t>Paper</t>
        </is>
      </c>
      <c r="H378" s="7" t="inlineStr">
        <is>
          <t>Consumer</t>
        </is>
      </c>
      <c r="I378" s="7" t="n">
        <v>9</v>
      </c>
      <c r="J378" s="10" t="n">
        <v>24.55</v>
      </c>
      <c r="K378" s="11" t="n">
        <v>0.1</v>
      </c>
      <c r="L378" s="10">
        <f>I378*J378*(1-K378)</f>
        <v/>
      </c>
      <c r="M378" s="10" t="n">
        <v>112.5</v>
      </c>
      <c r="N378" s="10">
        <f>L378-M378</f>
        <v/>
      </c>
    </row>
    <row r="379">
      <c r="A379" s="7" t="inlineStr">
        <is>
          <t>ORD-04292</t>
        </is>
      </c>
      <c r="B379" s="8" t="n">
        <v>45036</v>
      </c>
      <c r="C379" s="9" t="n">
        <v>45017</v>
      </c>
      <c r="D379" s="7" t="n">
        <v>2023</v>
      </c>
      <c r="E379" s="7" t="inlineStr">
        <is>
          <t>South</t>
        </is>
      </c>
      <c r="F379" s="7" t="inlineStr">
        <is>
          <t>Office Supplies</t>
        </is>
      </c>
      <c r="G379" s="7" t="inlineStr">
        <is>
          <t>Binder</t>
        </is>
      </c>
      <c r="H379" s="7" t="inlineStr">
        <is>
          <t>Consumer</t>
        </is>
      </c>
      <c r="I379" s="7" t="n">
        <v>7</v>
      </c>
      <c r="J379" s="10" t="n">
        <v>8.23</v>
      </c>
      <c r="K379" s="11" t="n">
        <v>0.3</v>
      </c>
      <c r="L379" s="10">
        <f>I379*J379*(1-K379)</f>
        <v/>
      </c>
      <c r="M379" s="10" t="n">
        <v>22.4</v>
      </c>
      <c r="N379" s="10">
        <f>L379-M379</f>
        <v/>
      </c>
    </row>
    <row r="380">
      <c r="A380" s="7" t="inlineStr">
        <is>
          <t>ORD-00728</t>
        </is>
      </c>
      <c r="B380" s="8" t="n">
        <v>45037</v>
      </c>
      <c r="C380" s="9" t="n">
        <v>45017</v>
      </c>
      <c r="D380" s="7" t="n">
        <v>2023</v>
      </c>
      <c r="E380" s="7" t="inlineStr">
        <is>
          <t>West</t>
        </is>
      </c>
      <c r="F380" s="7" t="inlineStr">
        <is>
          <t>Technology</t>
        </is>
      </c>
      <c r="G380" s="7" t="inlineStr">
        <is>
          <t>Keyboard</t>
        </is>
      </c>
      <c r="H380" s="7" t="inlineStr">
        <is>
          <t>Corporate</t>
        </is>
      </c>
      <c r="I380" s="7" t="n">
        <v>1</v>
      </c>
      <c r="J380" s="10" t="n">
        <v>44.28</v>
      </c>
      <c r="K380" s="11" t="n">
        <v>0</v>
      </c>
      <c r="L380" s="10">
        <f>I380*J380*(1-K380)</f>
        <v/>
      </c>
      <c r="M380" s="10" t="n">
        <v>24.75</v>
      </c>
      <c r="N380" s="10">
        <f>L380-M380</f>
        <v/>
      </c>
    </row>
    <row r="381">
      <c r="A381" s="7" t="inlineStr">
        <is>
          <t>ORD-02985</t>
        </is>
      </c>
      <c r="B381" s="8" t="n">
        <v>45038</v>
      </c>
      <c r="C381" s="9" t="n">
        <v>45017</v>
      </c>
      <c r="D381" s="7" t="n">
        <v>2023</v>
      </c>
      <c r="E381" s="7" t="inlineStr">
        <is>
          <t>East</t>
        </is>
      </c>
      <c r="F381" s="7" t="inlineStr">
        <is>
          <t>Furniture</t>
        </is>
      </c>
      <c r="G381" s="7" t="inlineStr">
        <is>
          <t>Bookcase</t>
        </is>
      </c>
      <c r="H381" s="7" t="inlineStr">
        <is>
          <t>Home Office</t>
        </is>
      </c>
      <c r="I381" s="7" t="n">
        <v>1</v>
      </c>
      <c r="J381" s="10" t="n">
        <v>187.56</v>
      </c>
      <c r="K381" s="11" t="n">
        <v>0.2</v>
      </c>
      <c r="L381" s="10">
        <f>I381*J381*(1-K381)</f>
        <v/>
      </c>
      <c r="M381" s="10" t="n">
        <v>144</v>
      </c>
      <c r="N381" s="10">
        <f>L381-M381</f>
        <v/>
      </c>
    </row>
    <row r="382">
      <c r="A382" s="7" t="inlineStr">
        <is>
          <t>ORD-01220</t>
        </is>
      </c>
      <c r="B382" s="8" t="n">
        <v>45038</v>
      </c>
      <c r="C382" s="9" t="n">
        <v>45017</v>
      </c>
      <c r="D382" s="7" t="n">
        <v>2023</v>
      </c>
      <c r="E382" s="7" t="inlineStr">
        <is>
          <t>West</t>
        </is>
      </c>
      <c r="F382" s="7" t="inlineStr">
        <is>
          <t>Furniture</t>
        </is>
      </c>
      <c r="G382" s="7" t="inlineStr">
        <is>
          <t>Office Chair</t>
        </is>
      </c>
      <c r="H382" s="7" t="inlineStr">
        <is>
          <t>Corporate</t>
        </is>
      </c>
      <c r="I382" s="7" t="n">
        <v>1</v>
      </c>
      <c r="J382" s="10" t="n">
        <v>213.78</v>
      </c>
      <c r="K382" s="11" t="n">
        <v>0.2</v>
      </c>
      <c r="L382" s="10">
        <f>I382*J382*(1-K382)</f>
        <v/>
      </c>
      <c r="M382" s="10" t="n">
        <v>180.4</v>
      </c>
      <c r="N382" s="10">
        <f>L382-M382</f>
        <v/>
      </c>
    </row>
    <row r="383">
      <c r="A383" s="7" t="inlineStr">
        <is>
          <t>ORD-02346</t>
        </is>
      </c>
      <c r="B383" s="8" t="n">
        <v>45038</v>
      </c>
      <c r="C383" s="9" t="n">
        <v>45017</v>
      </c>
      <c r="D383" s="7" t="n">
        <v>2023</v>
      </c>
      <c r="E383" s="7" t="inlineStr">
        <is>
          <t>East</t>
        </is>
      </c>
      <c r="F383" s="7" t="inlineStr">
        <is>
          <t>Office Supplies</t>
        </is>
      </c>
      <c r="G383" s="7" t="inlineStr">
        <is>
          <t>Printer Ink</t>
        </is>
      </c>
      <c r="H383" s="7" t="inlineStr">
        <is>
          <t>Consumer</t>
        </is>
      </c>
      <c r="I383" s="7" t="n">
        <v>8</v>
      </c>
      <c r="J383" s="10" t="n">
        <v>60.97</v>
      </c>
      <c r="K383" s="11" t="n">
        <v>0.1</v>
      </c>
      <c r="L383" s="10">
        <f>I383*J383*(1-K383)</f>
        <v/>
      </c>
      <c r="M383" s="10" t="n">
        <v>288</v>
      </c>
      <c r="N383" s="10">
        <f>L383-M383</f>
        <v/>
      </c>
    </row>
    <row r="384">
      <c r="A384" s="7" t="inlineStr">
        <is>
          <t>ORD-00259</t>
        </is>
      </c>
      <c r="B384" s="8" t="n">
        <v>45038</v>
      </c>
      <c r="C384" s="9" t="n">
        <v>45017</v>
      </c>
      <c r="D384" s="7" t="n">
        <v>2023</v>
      </c>
      <c r="E384" s="7" t="inlineStr">
        <is>
          <t>East</t>
        </is>
      </c>
      <c r="F384" s="7" t="inlineStr">
        <is>
          <t>Furniture</t>
        </is>
      </c>
      <c r="G384" s="7" t="inlineStr">
        <is>
          <t>Office Chair</t>
        </is>
      </c>
      <c r="H384" s="7" t="inlineStr">
        <is>
          <t>Consumer</t>
        </is>
      </c>
      <c r="I384" s="7" t="n">
        <v>1</v>
      </c>
      <c r="J384" s="10" t="n">
        <v>216.21</v>
      </c>
      <c r="K384" s="11" t="n">
        <v>0.2</v>
      </c>
      <c r="L384" s="10">
        <f>I384*J384*(1-K384)</f>
        <v/>
      </c>
      <c r="M384" s="10" t="n">
        <v>180.4</v>
      </c>
      <c r="N384" s="10">
        <f>L384-M384</f>
        <v/>
      </c>
    </row>
    <row r="385">
      <c r="A385" s="7" t="inlineStr">
        <is>
          <t>ORD-05602</t>
        </is>
      </c>
      <c r="B385" s="8" t="n">
        <v>45039</v>
      </c>
      <c r="C385" s="9" t="n">
        <v>45017</v>
      </c>
      <c r="D385" s="7" t="n">
        <v>2023</v>
      </c>
      <c r="E385" s="7" t="inlineStr">
        <is>
          <t>West</t>
        </is>
      </c>
      <c r="F385" s="7" t="inlineStr">
        <is>
          <t>Office Supplies</t>
        </is>
      </c>
      <c r="G385" s="7" t="inlineStr">
        <is>
          <t>Binder</t>
        </is>
      </c>
      <c r="H385" s="7" t="inlineStr">
        <is>
          <t>Consumer</t>
        </is>
      </c>
      <c r="I385" s="7" t="n">
        <v>14</v>
      </c>
      <c r="J385" s="10" t="n">
        <v>7.7</v>
      </c>
      <c r="K385" s="11" t="n">
        <v>0</v>
      </c>
      <c r="L385" s="10">
        <f>I385*J385*(1-K385)</f>
        <v/>
      </c>
      <c r="M385" s="10" t="n">
        <v>44.8</v>
      </c>
      <c r="N385" s="10">
        <f>L385-M385</f>
        <v/>
      </c>
    </row>
    <row r="386">
      <c r="A386" s="7" t="inlineStr">
        <is>
          <t>ORD-02322</t>
        </is>
      </c>
      <c r="B386" s="8" t="n">
        <v>45039</v>
      </c>
      <c r="C386" s="9" t="n">
        <v>45017</v>
      </c>
      <c r="D386" s="7" t="n">
        <v>2023</v>
      </c>
      <c r="E386" s="7" t="inlineStr">
        <is>
          <t>East</t>
        </is>
      </c>
      <c r="F386" s="7" t="inlineStr">
        <is>
          <t>Office Supplies</t>
        </is>
      </c>
      <c r="G386" s="7" t="inlineStr">
        <is>
          <t>Printer Ink</t>
        </is>
      </c>
      <c r="H386" s="7" t="inlineStr">
        <is>
          <t>Corporate</t>
        </is>
      </c>
      <c r="I386" s="7" t="n">
        <v>14</v>
      </c>
      <c r="J386" s="10" t="n">
        <v>62.55</v>
      </c>
      <c r="K386" s="11" t="n">
        <v>0.3</v>
      </c>
      <c r="L386" s="10">
        <f>I386*J386*(1-K386)</f>
        <v/>
      </c>
      <c r="M386" s="10" t="n">
        <v>504</v>
      </c>
      <c r="N386" s="10">
        <f>L386-M386</f>
        <v/>
      </c>
    </row>
    <row r="387">
      <c r="A387" s="7" t="inlineStr">
        <is>
          <t>ORD-04235</t>
        </is>
      </c>
      <c r="B387" s="8" t="n">
        <v>45039</v>
      </c>
      <c r="C387" s="9" t="n">
        <v>45017</v>
      </c>
      <c r="D387" s="7" t="n">
        <v>2023</v>
      </c>
      <c r="E387" s="7" t="inlineStr">
        <is>
          <t>South</t>
        </is>
      </c>
      <c r="F387" s="7" t="inlineStr">
        <is>
          <t>Office Supplies</t>
        </is>
      </c>
      <c r="G387" s="7" t="inlineStr">
        <is>
          <t>Paper</t>
        </is>
      </c>
      <c r="H387" s="7" t="inlineStr">
        <is>
          <t>Home Office</t>
        </is>
      </c>
      <c r="I387" s="7" t="n">
        <v>9</v>
      </c>
      <c r="J387" s="10" t="n">
        <v>26.14</v>
      </c>
      <c r="K387" s="11" t="n">
        <v>0.05</v>
      </c>
      <c r="L387" s="10">
        <f>I387*J387*(1-K387)</f>
        <v/>
      </c>
      <c r="M387" s="10" t="n">
        <v>112.5</v>
      </c>
      <c r="N387" s="10">
        <f>L387-M387</f>
        <v/>
      </c>
    </row>
    <row r="388">
      <c r="A388" s="7" t="inlineStr">
        <is>
          <t>ORD-01482</t>
        </is>
      </c>
      <c r="B388" s="8" t="n">
        <v>45039</v>
      </c>
      <c r="C388" s="9" t="n">
        <v>45017</v>
      </c>
      <c r="D388" s="7" t="n">
        <v>2023</v>
      </c>
      <c r="E388" s="7" t="inlineStr">
        <is>
          <t>North</t>
        </is>
      </c>
      <c r="F388" s="7" t="inlineStr">
        <is>
          <t>Technology</t>
        </is>
      </c>
      <c r="G388" s="7" t="inlineStr">
        <is>
          <t>Smartphone</t>
        </is>
      </c>
      <c r="H388" s="7" t="inlineStr">
        <is>
          <t>Consumer</t>
        </is>
      </c>
      <c r="I388" s="7" t="n">
        <v>2</v>
      </c>
      <c r="J388" s="10" t="n">
        <v>607.61</v>
      </c>
      <c r="K388" s="11" t="n">
        <v>0.1</v>
      </c>
      <c r="L388" s="10">
        <f>I388*J388*(1-K388)</f>
        <v/>
      </c>
      <c r="M388" s="10" t="n">
        <v>900</v>
      </c>
      <c r="N388" s="10">
        <f>L388-M388</f>
        <v/>
      </c>
    </row>
    <row r="389">
      <c r="A389" s="7" t="inlineStr">
        <is>
          <t>ORD-02228</t>
        </is>
      </c>
      <c r="B389" s="8" t="n">
        <v>45039</v>
      </c>
      <c r="C389" s="9" t="n">
        <v>45017</v>
      </c>
      <c r="D389" s="7" t="n">
        <v>2023</v>
      </c>
      <c r="E389" s="7" t="inlineStr">
        <is>
          <t>West</t>
        </is>
      </c>
      <c r="F389" s="7" t="inlineStr">
        <is>
          <t>Office Supplies</t>
        </is>
      </c>
      <c r="G389" s="7" t="inlineStr">
        <is>
          <t>Pens</t>
        </is>
      </c>
      <c r="H389" s="7" t="inlineStr">
        <is>
          <t>Consumer</t>
        </is>
      </c>
      <c r="I389" s="7" t="n">
        <v>11</v>
      </c>
      <c r="J389" s="10" t="n">
        <v>11.8</v>
      </c>
      <c r="K389" s="11" t="n">
        <v>0</v>
      </c>
      <c r="L389" s="10">
        <f>I389*J389*(1-K389)</f>
        <v/>
      </c>
      <c r="M389" s="10" t="n">
        <v>59.4</v>
      </c>
      <c r="N389" s="10">
        <f>L389-M389</f>
        <v/>
      </c>
    </row>
    <row r="390">
      <c r="A390" s="7" t="inlineStr">
        <is>
          <t>ORD-00681</t>
        </is>
      </c>
      <c r="B390" s="8" t="n">
        <v>45039</v>
      </c>
      <c r="C390" s="9" t="n">
        <v>45017</v>
      </c>
      <c r="D390" s="7" t="n">
        <v>2023</v>
      </c>
      <c r="E390" s="7" t="inlineStr">
        <is>
          <t>South</t>
        </is>
      </c>
      <c r="F390" s="7" t="inlineStr">
        <is>
          <t>Office Supplies</t>
        </is>
      </c>
      <c r="G390" s="7" t="inlineStr">
        <is>
          <t>Stapler</t>
        </is>
      </c>
      <c r="H390" s="7" t="inlineStr">
        <is>
          <t>Home Office</t>
        </is>
      </c>
      <c r="I390" s="7" t="n">
        <v>9</v>
      </c>
      <c r="J390" s="10" t="n">
        <v>15.54</v>
      </c>
      <c r="K390" s="11" t="n">
        <v>0</v>
      </c>
      <c r="L390" s="10">
        <f>I390*J390*(1-K390)</f>
        <v/>
      </c>
      <c r="M390" s="10" t="n">
        <v>67.5</v>
      </c>
      <c r="N390" s="10">
        <f>L390-M390</f>
        <v/>
      </c>
    </row>
    <row r="391">
      <c r="A391" s="7" t="inlineStr">
        <is>
          <t>ORD-02419</t>
        </is>
      </c>
      <c r="B391" s="8" t="n">
        <v>45039</v>
      </c>
      <c r="C391" s="9" t="n">
        <v>45017</v>
      </c>
      <c r="D391" s="7" t="n">
        <v>2023</v>
      </c>
      <c r="E391" s="7" t="inlineStr">
        <is>
          <t>East</t>
        </is>
      </c>
      <c r="F391" s="7" t="inlineStr">
        <is>
          <t>Furniture</t>
        </is>
      </c>
      <c r="G391" s="7" t="inlineStr">
        <is>
          <t>Office Chair</t>
        </is>
      </c>
      <c r="H391" s="7" t="inlineStr">
        <is>
          <t>Consumer</t>
        </is>
      </c>
      <c r="I391" s="7" t="n">
        <v>2</v>
      </c>
      <c r="J391" s="10" t="n">
        <v>230.7</v>
      </c>
      <c r="K391" s="11" t="n">
        <v>0.05</v>
      </c>
      <c r="L391" s="10">
        <f>I391*J391*(1-K391)</f>
        <v/>
      </c>
      <c r="M391" s="10" t="n">
        <v>360.8</v>
      </c>
      <c r="N391" s="10">
        <f>L391-M391</f>
        <v/>
      </c>
    </row>
    <row r="392">
      <c r="A392" s="7" t="inlineStr">
        <is>
          <t>ORD-02197</t>
        </is>
      </c>
      <c r="B392" s="8" t="n">
        <v>45040</v>
      </c>
      <c r="C392" s="9" t="n">
        <v>45017</v>
      </c>
      <c r="D392" s="7" t="n">
        <v>2023</v>
      </c>
      <c r="E392" s="7" t="inlineStr">
        <is>
          <t>South</t>
        </is>
      </c>
      <c r="F392" s="7" t="inlineStr">
        <is>
          <t>Furniture</t>
        </is>
      </c>
      <c r="G392" s="7" t="inlineStr">
        <is>
          <t>Bookcase</t>
        </is>
      </c>
      <c r="H392" s="7" t="inlineStr">
        <is>
          <t>Consumer</t>
        </is>
      </c>
      <c r="I392" s="7" t="n">
        <v>4</v>
      </c>
      <c r="J392" s="10" t="n">
        <v>173.27</v>
      </c>
      <c r="K392" s="11" t="n">
        <v>0.2</v>
      </c>
      <c r="L392" s="10">
        <f>I392*J392*(1-K392)</f>
        <v/>
      </c>
      <c r="M392" s="10" t="n">
        <v>576</v>
      </c>
      <c r="N392" s="10">
        <f>L392-M392</f>
        <v/>
      </c>
    </row>
    <row r="393">
      <c r="A393" s="7" t="inlineStr">
        <is>
          <t>ORD-04333</t>
        </is>
      </c>
      <c r="B393" s="8" t="n">
        <v>45040</v>
      </c>
      <c r="C393" s="9" t="n">
        <v>45017</v>
      </c>
      <c r="D393" s="7" t="n">
        <v>2023</v>
      </c>
      <c r="E393" s="7" t="inlineStr">
        <is>
          <t>East</t>
        </is>
      </c>
      <c r="F393" s="7" t="inlineStr">
        <is>
          <t>Office Supplies</t>
        </is>
      </c>
      <c r="G393" s="7" t="inlineStr">
        <is>
          <t>Paper</t>
        </is>
      </c>
      <c r="H393" s="7" t="inlineStr">
        <is>
          <t>Home Office</t>
        </is>
      </c>
      <c r="I393" s="7" t="n">
        <v>11</v>
      </c>
      <c r="J393" s="10" t="n">
        <v>23.89</v>
      </c>
      <c r="K393" s="11" t="n">
        <v>0.2</v>
      </c>
      <c r="L393" s="10">
        <f>I393*J393*(1-K393)</f>
        <v/>
      </c>
      <c r="M393" s="10" t="n">
        <v>137.5</v>
      </c>
      <c r="N393" s="10">
        <f>L393-M393</f>
        <v/>
      </c>
    </row>
    <row r="394">
      <c r="A394" s="7" t="inlineStr">
        <is>
          <t>ORD-05746</t>
        </is>
      </c>
      <c r="B394" s="8" t="n">
        <v>45040</v>
      </c>
      <c r="C394" s="9" t="n">
        <v>45017</v>
      </c>
      <c r="D394" s="7" t="n">
        <v>2023</v>
      </c>
      <c r="E394" s="7" t="inlineStr">
        <is>
          <t>North</t>
        </is>
      </c>
      <c r="F394" s="7" t="inlineStr">
        <is>
          <t>Office Supplies</t>
        </is>
      </c>
      <c r="G394" s="7" t="inlineStr">
        <is>
          <t>Binder</t>
        </is>
      </c>
      <c r="H394" s="7" t="inlineStr">
        <is>
          <t>Corporate</t>
        </is>
      </c>
      <c r="I394" s="7" t="n">
        <v>9</v>
      </c>
      <c r="J394" s="10" t="n">
        <v>8.18</v>
      </c>
      <c r="K394" s="11" t="n">
        <v>0</v>
      </c>
      <c r="L394" s="10">
        <f>I394*J394*(1-K394)</f>
        <v/>
      </c>
      <c r="M394" s="10" t="n">
        <v>28.8</v>
      </c>
      <c r="N394" s="10">
        <f>L394-M394</f>
        <v/>
      </c>
    </row>
    <row r="395">
      <c r="A395" s="7" t="inlineStr">
        <is>
          <t>ORD-01156</t>
        </is>
      </c>
      <c r="B395" s="8" t="n">
        <v>45040</v>
      </c>
      <c r="C395" s="9" t="n">
        <v>45017</v>
      </c>
      <c r="D395" s="7" t="n">
        <v>2023</v>
      </c>
      <c r="E395" s="7" t="inlineStr">
        <is>
          <t>South</t>
        </is>
      </c>
      <c r="F395" s="7" t="inlineStr">
        <is>
          <t>Office Supplies</t>
        </is>
      </c>
      <c r="G395" s="7" t="inlineStr">
        <is>
          <t>Printer Ink</t>
        </is>
      </c>
      <c r="H395" s="7" t="inlineStr">
        <is>
          <t>Home Office</t>
        </is>
      </c>
      <c r="I395" s="7" t="n">
        <v>6</v>
      </c>
      <c r="J395" s="10" t="n">
        <v>61.94</v>
      </c>
      <c r="K395" s="11" t="n">
        <v>0.3</v>
      </c>
      <c r="L395" s="10">
        <f>I395*J395*(1-K395)</f>
        <v/>
      </c>
      <c r="M395" s="10" t="n">
        <v>216</v>
      </c>
      <c r="N395" s="10">
        <f>L395-M395</f>
        <v/>
      </c>
    </row>
    <row r="396">
      <c r="A396" s="7" t="inlineStr">
        <is>
          <t>ORD-02427</t>
        </is>
      </c>
      <c r="B396" s="8" t="n">
        <v>45041</v>
      </c>
      <c r="C396" s="9" t="n">
        <v>45017</v>
      </c>
      <c r="D396" s="7" t="n">
        <v>2023</v>
      </c>
      <c r="E396" s="7" t="inlineStr">
        <is>
          <t>South</t>
        </is>
      </c>
      <c r="F396" s="7" t="inlineStr">
        <is>
          <t>Office Supplies</t>
        </is>
      </c>
      <c r="G396" s="7" t="inlineStr">
        <is>
          <t>Pens</t>
        </is>
      </c>
      <c r="H396" s="7" t="inlineStr">
        <is>
          <t>Consumer</t>
        </is>
      </c>
      <c r="I396" s="7" t="n">
        <v>13</v>
      </c>
      <c r="J396" s="10" t="n">
        <v>12.02</v>
      </c>
      <c r="K396" s="11" t="n">
        <v>0.2</v>
      </c>
      <c r="L396" s="10">
        <f>I396*J396*(1-K396)</f>
        <v/>
      </c>
      <c r="M396" s="10" t="n">
        <v>70.2</v>
      </c>
      <c r="N396" s="10">
        <f>L396-M396</f>
        <v/>
      </c>
    </row>
    <row r="397">
      <c r="A397" s="7" t="inlineStr">
        <is>
          <t>ORD-04352</t>
        </is>
      </c>
      <c r="B397" s="8" t="n">
        <v>45041</v>
      </c>
      <c r="C397" s="9" t="n">
        <v>45017</v>
      </c>
      <c r="D397" s="7" t="n">
        <v>2023</v>
      </c>
      <c r="E397" s="7" t="inlineStr">
        <is>
          <t>East</t>
        </is>
      </c>
      <c r="F397" s="7" t="inlineStr">
        <is>
          <t>Office Supplies</t>
        </is>
      </c>
      <c r="G397" s="7" t="inlineStr">
        <is>
          <t>Paper</t>
        </is>
      </c>
      <c r="H397" s="7" t="inlineStr">
        <is>
          <t>Consumer</t>
        </is>
      </c>
      <c r="I397" s="7" t="n">
        <v>5</v>
      </c>
      <c r="J397" s="10" t="n">
        <v>25.91</v>
      </c>
      <c r="K397" s="11" t="n">
        <v>0.05</v>
      </c>
      <c r="L397" s="10">
        <f>I397*J397*(1-K397)</f>
        <v/>
      </c>
      <c r="M397" s="10" t="n">
        <v>62.5</v>
      </c>
      <c r="N397" s="10">
        <f>L397-M397</f>
        <v/>
      </c>
    </row>
    <row r="398">
      <c r="A398" s="7" t="inlineStr">
        <is>
          <t>ORD-05723</t>
        </is>
      </c>
      <c r="B398" s="8" t="n">
        <v>45041</v>
      </c>
      <c r="C398" s="9" t="n">
        <v>45017</v>
      </c>
      <c r="D398" s="7" t="n">
        <v>2023</v>
      </c>
      <c r="E398" s="7" t="inlineStr">
        <is>
          <t>East</t>
        </is>
      </c>
      <c r="F398" s="7" t="inlineStr">
        <is>
          <t>Furniture</t>
        </is>
      </c>
      <c r="G398" s="7" t="inlineStr">
        <is>
          <t>Office Chair</t>
        </is>
      </c>
      <c r="H398" s="7" t="inlineStr">
        <is>
          <t>Corporate</t>
        </is>
      </c>
      <c r="I398" s="7" t="n">
        <v>4</v>
      </c>
      <c r="J398" s="10" t="n">
        <v>209.44</v>
      </c>
      <c r="K398" s="11" t="n">
        <v>0.2</v>
      </c>
      <c r="L398" s="10">
        <f>I398*J398*(1-K398)</f>
        <v/>
      </c>
      <c r="M398" s="10" t="n">
        <v>721.6</v>
      </c>
      <c r="N398" s="10">
        <f>L398-M398</f>
        <v/>
      </c>
    </row>
    <row r="399">
      <c r="A399" s="7" t="inlineStr">
        <is>
          <t>ORD-05620</t>
        </is>
      </c>
      <c r="B399" s="8" t="n">
        <v>45041</v>
      </c>
      <c r="C399" s="9" t="n">
        <v>45017</v>
      </c>
      <c r="D399" s="7" t="n">
        <v>2023</v>
      </c>
      <c r="E399" s="7" t="inlineStr">
        <is>
          <t>West</t>
        </is>
      </c>
      <c r="F399" s="7" t="inlineStr">
        <is>
          <t>Office Supplies</t>
        </is>
      </c>
      <c r="G399" s="7" t="inlineStr">
        <is>
          <t>Pens</t>
        </is>
      </c>
      <c r="H399" s="7" t="inlineStr">
        <is>
          <t>Consumer</t>
        </is>
      </c>
      <c r="I399" s="7" t="n">
        <v>11</v>
      </c>
      <c r="J399" s="10" t="n">
        <v>12.14</v>
      </c>
      <c r="K399" s="11" t="n">
        <v>0.05</v>
      </c>
      <c r="L399" s="10">
        <f>I399*J399*(1-K399)</f>
        <v/>
      </c>
      <c r="M399" s="10" t="n">
        <v>59.4</v>
      </c>
      <c r="N399" s="10">
        <f>L399-M399</f>
        <v/>
      </c>
    </row>
    <row r="400">
      <c r="A400" s="7" t="inlineStr">
        <is>
          <t>ORD-03401</t>
        </is>
      </c>
      <c r="B400" s="8" t="n">
        <v>45042</v>
      </c>
      <c r="C400" s="9" t="n">
        <v>45017</v>
      </c>
      <c r="D400" s="7" t="n">
        <v>2023</v>
      </c>
      <c r="E400" s="7" t="inlineStr">
        <is>
          <t>South</t>
        </is>
      </c>
      <c r="F400" s="7" t="inlineStr">
        <is>
          <t>Office Supplies</t>
        </is>
      </c>
      <c r="G400" s="7" t="inlineStr">
        <is>
          <t>Paper</t>
        </is>
      </c>
      <c r="H400" s="7" t="inlineStr">
        <is>
          <t>Consumer</t>
        </is>
      </c>
      <c r="I400" s="7" t="n">
        <v>12</v>
      </c>
      <c r="J400" s="10" t="n">
        <v>24.85</v>
      </c>
      <c r="K400" s="11" t="n">
        <v>0</v>
      </c>
      <c r="L400" s="10">
        <f>I400*J400*(1-K400)</f>
        <v/>
      </c>
      <c r="M400" s="10" t="n">
        <v>150</v>
      </c>
      <c r="N400" s="10">
        <f>L400-M400</f>
        <v/>
      </c>
    </row>
    <row r="401">
      <c r="A401" s="7" t="inlineStr">
        <is>
          <t>ORD-05346</t>
        </is>
      </c>
      <c r="B401" s="8" t="n">
        <v>45042</v>
      </c>
      <c r="C401" s="9" t="n">
        <v>45017</v>
      </c>
      <c r="D401" s="7" t="n">
        <v>2023</v>
      </c>
      <c r="E401" s="7" t="inlineStr">
        <is>
          <t>East</t>
        </is>
      </c>
      <c r="F401" s="7" t="inlineStr">
        <is>
          <t>Office Supplies</t>
        </is>
      </c>
      <c r="G401" s="7" t="inlineStr">
        <is>
          <t>Printer Ink</t>
        </is>
      </c>
      <c r="H401" s="7" t="inlineStr">
        <is>
          <t>Consumer</t>
        </is>
      </c>
      <c r="I401" s="7" t="n">
        <v>14</v>
      </c>
      <c r="J401" s="10" t="n">
        <v>60.62</v>
      </c>
      <c r="K401" s="11" t="n">
        <v>0</v>
      </c>
      <c r="L401" s="10">
        <f>I401*J401*(1-K401)</f>
        <v/>
      </c>
      <c r="M401" s="10" t="n">
        <v>504</v>
      </c>
      <c r="N401" s="10">
        <f>L401-M401</f>
        <v/>
      </c>
    </row>
    <row r="402">
      <c r="A402" s="7" t="inlineStr">
        <is>
          <t>ORD-03955</t>
        </is>
      </c>
      <c r="B402" s="8" t="n">
        <v>45042</v>
      </c>
      <c r="C402" s="9" t="n">
        <v>45017</v>
      </c>
      <c r="D402" s="7" t="n">
        <v>2023</v>
      </c>
      <c r="E402" s="7" t="inlineStr">
        <is>
          <t>South</t>
        </is>
      </c>
      <c r="F402" s="7" t="inlineStr">
        <is>
          <t>Technology</t>
        </is>
      </c>
      <c r="G402" s="7" t="inlineStr">
        <is>
          <t>Monitor</t>
        </is>
      </c>
      <c r="H402" s="7" t="inlineStr">
        <is>
          <t>Consumer</t>
        </is>
      </c>
      <c r="I402" s="7" t="n">
        <v>3</v>
      </c>
      <c r="J402" s="10" t="n">
        <v>251.1</v>
      </c>
      <c r="K402" s="11" t="n">
        <v>0</v>
      </c>
      <c r="L402" s="10">
        <f>I402*J402*(1-K402)</f>
        <v/>
      </c>
      <c r="M402" s="10" t="n">
        <v>540</v>
      </c>
      <c r="N402" s="10">
        <f>L402-M402</f>
        <v/>
      </c>
    </row>
    <row r="403">
      <c r="A403" s="7" t="inlineStr">
        <is>
          <t>ORD-02342</t>
        </is>
      </c>
      <c r="B403" s="8" t="n">
        <v>45042</v>
      </c>
      <c r="C403" s="9" t="n">
        <v>45017</v>
      </c>
      <c r="D403" s="7" t="n">
        <v>2023</v>
      </c>
      <c r="E403" s="7" t="inlineStr">
        <is>
          <t>East</t>
        </is>
      </c>
      <c r="F403" s="7" t="inlineStr">
        <is>
          <t>Office Supplies</t>
        </is>
      </c>
      <c r="G403" s="7" t="inlineStr">
        <is>
          <t>Pens</t>
        </is>
      </c>
      <c r="H403" s="7" t="inlineStr">
        <is>
          <t>Consumer</t>
        </is>
      </c>
      <c r="I403" s="7" t="n">
        <v>3</v>
      </c>
      <c r="J403" s="10" t="n">
        <v>11.6</v>
      </c>
      <c r="K403" s="11" t="n">
        <v>0.2</v>
      </c>
      <c r="L403" s="10">
        <f>I403*J403*(1-K403)</f>
        <v/>
      </c>
      <c r="M403" s="10" t="n">
        <v>16.2</v>
      </c>
      <c r="N403" s="10">
        <f>L403-M403</f>
        <v/>
      </c>
    </row>
    <row r="404">
      <c r="A404" s="7" t="inlineStr">
        <is>
          <t>ORD-02340</t>
        </is>
      </c>
      <c r="B404" s="8" t="n">
        <v>45042</v>
      </c>
      <c r="C404" s="9" t="n">
        <v>45017</v>
      </c>
      <c r="D404" s="7" t="n">
        <v>2023</v>
      </c>
      <c r="E404" s="7" t="inlineStr">
        <is>
          <t>South</t>
        </is>
      </c>
      <c r="F404" s="7" t="inlineStr">
        <is>
          <t>Technology</t>
        </is>
      </c>
      <c r="G404" s="7" t="inlineStr">
        <is>
          <t>Smartphone</t>
        </is>
      </c>
      <c r="H404" s="7" t="inlineStr">
        <is>
          <t>Consumer</t>
        </is>
      </c>
      <c r="I404" s="7" t="n">
        <v>1</v>
      </c>
      <c r="J404" s="10" t="n">
        <v>576.42</v>
      </c>
      <c r="K404" s="11" t="n">
        <v>0</v>
      </c>
      <c r="L404" s="10">
        <f>I404*J404*(1-K404)</f>
        <v/>
      </c>
      <c r="M404" s="10" t="n">
        <v>450</v>
      </c>
      <c r="N404" s="10">
        <f>L404-M404</f>
        <v/>
      </c>
    </row>
    <row r="405">
      <c r="A405" s="7" t="inlineStr">
        <is>
          <t>ORD-01116</t>
        </is>
      </c>
      <c r="B405" s="8" t="n">
        <v>45043</v>
      </c>
      <c r="C405" s="9" t="n">
        <v>45017</v>
      </c>
      <c r="D405" s="7" t="n">
        <v>2023</v>
      </c>
      <c r="E405" s="7" t="inlineStr">
        <is>
          <t>North</t>
        </is>
      </c>
      <c r="F405" s="7" t="inlineStr">
        <is>
          <t>Technology</t>
        </is>
      </c>
      <c r="G405" s="7" t="inlineStr">
        <is>
          <t>Smartphone</t>
        </is>
      </c>
      <c r="H405" s="7" t="inlineStr">
        <is>
          <t>Home Office</t>
        </is>
      </c>
      <c r="I405" s="7" t="n">
        <v>1</v>
      </c>
      <c r="J405" s="10" t="n">
        <v>583.77</v>
      </c>
      <c r="K405" s="11" t="n">
        <v>0</v>
      </c>
      <c r="L405" s="10">
        <f>I405*J405*(1-K405)</f>
        <v/>
      </c>
      <c r="M405" s="10" t="n">
        <v>450</v>
      </c>
      <c r="N405" s="10">
        <f>L405-M405</f>
        <v/>
      </c>
    </row>
    <row r="406">
      <c r="A406" s="7" t="inlineStr">
        <is>
          <t>ORD-05687</t>
        </is>
      </c>
      <c r="B406" s="8" t="n">
        <v>45043</v>
      </c>
      <c r="C406" s="9" t="n">
        <v>45017</v>
      </c>
      <c r="D406" s="7" t="n">
        <v>2023</v>
      </c>
      <c r="E406" s="7" t="inlineStr">
        <is>
          <t>West</t>
        </is>
      </c>
      <c r="F406" s="7" t="inlineStr">
        <is>
          <t>Office Supplies</t>
        </is>
      </c>
      <c r="G406" s="7" t="inlineStr">
        <is>
          <t>Stapler</t>
        </is>
      </c>
      <c r="H406" s="7" t="inlineStr">
        <is>
          <t>Consumer</t>
        </is>
      </c>
      <c r="I406" s="7" t="n">
        <v>14</v>
      </c>
      <c r="J406" s="10" t="n">
        <v>14.62</v>
      </c>
      <c r="K406" s="11" t="n">
        <v>0</v>
      </c>
      <c r="L406" s="10">
        <f>I406*J406*(1-K406)</f>
        <v/>
      </c>
      <c r="M406" s="10" t="n">
        <v>105</v>
      </c>
      <c r="N406" s="10">
        <f>L406-M406</f>
        <v/>
      </c>
    </row>
    <row r="407">
      <c r="A407" s="7" t="inlineStr">
        <is>
          <t>ORD-01535</t>
        </is>
      </c>
      <c r="B407" s="8" t="n">
        <v>45043</v>
      </c>
      <c r="C407" s="9" t="n">
        <v>45017</v>
      </c>
      <c r="D407" s="7" t="n">
        <v>2023</v>
      </c>
      <c r="E407" s="7" t="inlineStr">
        <is>
          <t>East</t>
        </is>
      </c>
      <c r="F407" s="7" t="inlineStr">
        <is>
          <t>Office Supplies</t>
        </is>
      </c>
      <c r="G407" s="7" t="inlineStr">
        <is>
          <t>Stapler</t>
        </is>
      </c>
      <c r="H407" s="7" t="inlineStr">
        <is>
          <t>Corporate</t>
        </is>
      </c>
      <c r="I407" s="7" t="n">
        <v>5</v>
      </c>
      <c r="J407" s="10" t="n">
        <v>15.72</v>
      </c>
      <c r="K407" s="11" t="n">
        <v>0.2</v>
      </c>
      <c r="L407" s="10">
        <f>I407*J407*(1-K407)</f>
        <v/>
      </c>
      <c r="M407" s="10" t="n">
        <v>37.5</v>
      </c>
      <c r="N407" s="10">
        <f>L407-M407</f>
        <v/>
      </c>
    </row>
    <row r="408">
      <c r="A408" s="7" t="inlineStr">
        <is>
          <t>ORD-04189</t>
        </is>
      </c>
      <c r="B408" s="8" t="n">
        <v>45043</v>
      </c>
      <c r="C408" s="9" t="n">
        <v>45017</v>
      </c>
      <c r="D408" s="7" t="n">
        <v>2023</v>
      </c>
      <c r="E408" s="7" t="inlineStr">
        <is>
          <t>West</t>
        </is>
      </c>
      <c r="F408" s="7" t="inlineStr">
        <is>
          <t>Technology</t>
        </is>
      </c>
      <c r="G408" s="7" t="inlineStr">
        <is>
          <t>Keyboard</t>
        </is>
      </c>
      <c r="H408" s="7" t="inlineStr">
        <is>
          <t>Home Office</t>
        </is>
      </c>
      <c r="I408" s="7" t="n">
        <v>2</v>
      </c>
      <c r="J408" s="10" t="n">
        <v>46.09</v>
      </c>
      <c r="K408" s="11" t="n">
        <v>0.05</v>
      </c>
      <c r="L408" s="10">
        <f>I408*J408*(1-K408)</f>
        <v/>
      </c>
      <c r="M408" s="10" t="n">
        <v>49.5</v>
      </c>
      <c r="N408" s="10">
        <f>L408-M408</f>
        <v/>
      </c>
    </row>
    <row r="409">
      <c r="A409" s="7" t="inlineStr">
        <is>
          <t>ORD-02668</t>
        </is>
      </c>
      <c r="B409" s="8" t="n">
        <v>45043</v>
      </c>
      <c r="C409" s="9" t="n">
        <v>45017</v>
      </c>
      <c r="D409" s="7" t="n">
        <v>2023</v>
      </c>
      <c r="E409" s="7" t="inlineStr">
        <is>
          <t>South</t>
        </is>
      </c>
      <c r="F409" s="7" t="inlineStr">
        <is>
          <t>Office Supplies</t>
        </is>
      </c>
      <c r="G409" s="7" t="inlineStr">
        <is>
          <t>Stapler</t>
        </is>
      </c>
      <c r="H409" s="7" t="inlineStr">
        <is>
          <t>Home Office</t>
        </is>
      </c>
      <c r="I409" s="7" t="n">
        <v>8</v>
      </c>
      <c r="J409" s="10" t="n">
        <v>15.17</v>
      </c>
      <c r="K409" s="11" t="n">
        <v>0.2</v>
      </c>
      <c r="L409" s="10">
        <f>I409*J409*(1-K409)</f>
        <v/>
      </c>
      <c r="M409" s="10" t="n">
        <v>60</v>
      </c>
      <c r="N409" s="10">
        <f>L409-M409</f>
        <v/>
      </c>
    </row>
    <row r="410">
      <c r="A410" s="7" t="inlineStr">
        <is>
          <t>ORD-04336</t>
        </is>
      </c>
      <c r="B410" s="8" t="n">
        <v>45044</v>
      </c>
      <c r="C410" s="9" t="n">
        <v>45017</v>
      </c>
      <c r="D410" s="7" t="n">
        <v>2023</v>
      </c>
      <c r="E410" s="7" t="inlineStr">
        <is>
          <t>North</t>
        </is>
      </c>
      <c r="F410" s="7" t="inlineStr">
        <is>
          <t>Furniture</t>
        </is>
      </c>
      <c r="G410" s="7" t="inlineStr">
        <is>
          <t>Sofa</t>
        </is>
      </c>
      <c r="H410" s="7" t="inlineStr">
        <is>
          <t>Consumer</t>
        </is>
      </c>
      <c r="I410" s="7" t="n">
        <v>3</v>
      </c>
      <c r="J410" s="10" t="n">
        <v>673.17</v>
      </c>
      <c r="K410" s="11" t="n">
        <v>0.1</v>
      </c>
      <c r="L410" s="10">
        <f>I410*J410*(1-K410)</f>
        <v/>
      </c>
      <c r="M410" s="10" t="n">
        <v>1848</v>
      </c>
      <c r="N410" s="10">
        <f>L410-M410</f>
        <v/>
      </c>
    </row>
    <row r="411">
      <c r="A411" s="7" t="inlineStr">
        <is>
          <t>ORD-03157</t>
        </is>
      </c>
      <c r="B411" s="8" t="n">
        <v>45044</v>
      </c>
      <c r="C411" s="9" t="n">
        <v>45017</v>
      </c>
      <c r="D411" s="7" t="n">
        <v>2023</v>
      </c>
      <c r="E411" s="7" t="inlineStr">
        <is>
          <t>East</t>
        </is>
      </c>
      <c r="F411" s="7" t="inlineStr">
        <is>
          <t>Technology</t>
        </is>
      </c>
      <c r="G411" s="7" t="inlineStr">
        <is>
          <t>Keyboard</t>
        </is>
      </c>
      <c r="H411" s="7" t="inlineStr">
        <is>
          <t>Consumer</t>
        </is>
      </c>
      <c r="I411" s="7" t="n">
        <v>1</v>
      </c>
      <c r="J411" s="10" t="n">
        <v>43.22</v>
      </c>
      <c r="K411" s="11" t="n">
        <v>0</v>
      </c>
      <c r="L411" s="10">
        <f>I411*J411*(1-K411)</f>
        <v/>
      </c>
      <c r="M411" s="10" t="n">
        <v>24.75</v>
      </c>
      <c r="N411" s="10">
        <f>L411-M411</f>
        <v/>
      </c>
    </row>
    <row r="412">
      <c r="A412" s="7" t="inlineStr">
        <is>
          <t>ORD-04725</t>
        </is>
      </c>
      <c r="B412" s="8" t="n">
        <v>45044</v>
      </c>
      <c r="C412" s="9" t="n">
        <v>45017</v>
      </c>
      <c r="D412" s="7" t="n">
        <v>2023</v>
      </c>
      <c r="E412" s="7" t="inlineStr">
        <is>
          <t>North</t>
        </is>
      </c>
      <c r="F412" s="7" t="inlineStr">
        <is>
          <t>Office Supplies</t>
        </is>
      </c>
      <c r="G412" s="7" t="inlineStr">
        <is>
          <t>Stapler</t>
        </is>
      </c>
      <c r="H412" s="7" t="inlineStr">
        <is>
          <t>Home Office</t>
        </is>
      </c>
      <c r="I412" s="7" t="n">
        <v>11</v>
      </c>
      <c r="J412" s="10" t="n">
        <v>15.17</v>
      </c>
      <c r="K412" s="11" t="n">
        <v>0.05</v>
      </c>
      <c r="L412" s="10">
        <f>I412*J412*(1-K412)</f>
        <v/>
      </c>
      <c r="M412" s="10" t="n">
        <v>82.5</v>
      </c>
      <c r="N412" s="10">
        <f>L412-M412</f>
        <v/>
      </c>
    </row>
    <row r="413">
      <c r="A413" s="7" t="inlineStr">
        <is>
          <t>ORD-04972</t>
        </is>
      </c>
      <c r="B413" s="8" t="n">
        <v>45044</v>
      </c>
      <c r="C413" s="9" t="n">
        <v>45017</v>
      </c>
      <c r="D413" s="7" t="n">
        <v>2023</v>
      </c>
      <c r="E413" s="7" t="inlineStr">
        <is>
          <t>North</t>
        </is>
      </c>
      <c r="F413" s="7" t="inlineStr">
        <is>
          <t>Furniture</t>
        </is>
      </c>
      <c r="G413" s="7" t="inlineStr">
        <is>
          <t>Bookcase</t>
        </is>
      </c>
      <c r="H413" s="7" t="inlineStr">
        <is>
          <t>Home Office</t>
        </is>
      </c>
      <c r="I413" s="7" t="n">
        <v>1</v>
      </c>
      <c r="J413" s="10" t="n">
        <v>178.39</v>
      </c>
      <c r="K413" s="11" t="n">
        <v>0.2</v>
      </c>
      <c r="L413" s="10">
        <f>I413*J413*(1-K413)</f>
        <v/>
      </c>
      <c r="M413" s="10" t="n">
        <v>144</v>
      </c>
      <c r="N413" s="10">
        <f>L413-M413</f>
        <v/>
      </c>
    </row>
    <row r="414">
      <c r="A414" s="7" t="inlineStr">
        <is>
          <t>ORD-04551</t>
        </is>
      </c>
      <c r="B414" s="8" t="n">
        <v>45044</v>
      </c>
      <c r="C414" s="9" t="n">
        <v>45017</v>
      </c>
      <c r="D414" s="7" t="n">
        <v>2023</v>
      </c>
      <c r="E414" s="7" t="inlineStr">
        <is>
          <t>North</t>
        </is>
      </c>
      <c r="F414" s="7" t="inlineStr">
        <is>
          <t>Office Supplies</t>
        </is>
      </c>
      <c r="G414" s="7" t="inlineStr">
        <is>
          <t>Pens</t>
        </is>
      </c>
      <c r="H414" s="7" t="inlineStr">
        <is>
          <t>Consumer</t>
        </is>
      </c>
      <c r="I414" s="7" t="n">
        <v>4</v>
      </c>
      <c r="J414" s="10" t="n">
        <v>11.65</v>
      </c>
      <c r="K414" s="11" t="n">
        <v>0.2</v>
      </c>
      <c r="L414" s="10">
        <f>I414*J414*(1-K414)</f>
        <v/>
      </c>
      <c r="M414" s="10" t="n">
        <v>21.6</v>
      </c>
      <c r="N414" s="10">
        <f>L414-M414</f>
        <v/>
      </c>
    </row>
    <row r="415">
      <c r="A415" s="7" t="inlineStr">
        <is>
          <t>ORD-04256</t>
        </is>
      </c>
      <c r="B415" s="8" t="n">
        <v>45044</v>
      </c>
      <c r="C415" s="9" t="n">
        <v>45017</v>
      </c>
      <c r="D415" s="7" t="n">
        <v>2023</v>
      </c>
      <c r="E415" s="7" t="inlineStr">
        <is>
          <t>West</t>
        </is>
      </c>
      <c r="F415" s="7" t="inlineStr">
        <is>
          <t>Office Supplies</t>
        </is>
      </c>
      <c r="G415" s="7" t="inlineStr">
        <is>
          <t>Printer Ink</t>
        </is>
      </c>
      <c r="H415" s="7" t="inlineStr">
        <is>
          <t>Consumer</t>
        </is>
      </c>
      <c r="I415" s="7" t="n">
        <v>6</v>
      </c>
      <c r="J415" s="10" t="n">
        <v>58.09</v>
      </c>
      <c r="K415" s="11" t="n">
        <v>0</v>
      </c>
      <c r="L415" s="10">
        <f>I415*J415*(1-K415)</f>
        <v/>
      </c>
      <c r="M415" s="10" t="n">
        <v>216</v>
      </c>
      <c r="N415" s="10">
        <f>L415-M415</f>
        <v/>
      </c>
    </row>
    <row r="416">
      <c r="A416" s="7" t="inlineStr">
        <is>
          <t>ORD-04218</t>
        </is>
      </c>
      <c r="B416" s="8" t="n">
        <v>45045</v>
      </c>
      <c r="C416" s="9" t="n">
        <v>45017</v>
      </c>
      <c r="D416" s="7" t="n">
        <v>2023</v>
      </c>
      <c r="E416" s="7" t="inlineStr">
        <is>
          <t>West</t>
        </is>
      </c>
      <c r="F416" s="7" t="inlineStr">
        <is>
          <t>Furniture</t>
        </is>
      </c>
      <c r="G416" s="7" t="inlineStr">
        <is>
          <t>Bookcase</t>
        </is>
      </c>
      <c r="H416" s="7" t="inlineStr">
        <is>
          <t>Consumer</t>
        </is>
      </c>
      <c r="I416" s="7" t="n">
        <v>3</v>
      </c>
      <c r="J416" s="10" t="n">
        <v>188.41</v>
      </c>
      <c r="K416" s="11" t="n">
        <v>0.2</v>
      </c>
      <c r="L416" s="10">
        <f>I416*J416*(1-K416)</f>
        <v/>
      </c>
      <c r="M416" s="10" t="n">
        <v>432</v>
      </c>
      <c r="N416" s="10">
        <f>L416-M416</f>
        <v/>
      </c>
    </row>
    <row r="417">
      <c r="A417" s="7" t="inlineStr">
        <is>
          <t>ORD-01766</t>
        </is>
      </c>
      <c r="B417" s="8" t="n">
        <v>45045</v>
      </c>
      <c r="C417" s="9" t="n">
        <v>45017</v>
      </c>
      <c r="D417" s="7" t="n">
        <v>2023</v>
      </c>
      <c r="E417" s="7" t="inlineStr">
        <is>
          <t>West</t>
        </is>
      </c>
      <c r="F417" s="7" t="inlineStr">
        <is>
          <t>Office Supplies</t>
        </is>
      </c>
      <c r="G417" s="7" t="inlineStr">
        <is>
          <t>Printer Ink</t>
        </is>
      </c>
      <c r="H417" s="7" t="inlineStr">
        <is>
          <t>Corporate</t>
        </is>
      </c>
      <c r="I417" s="7" t="n">
        <v>12</v>
      </c>
      <c r="J417" s="10" t="n">
        <v>60.85</v>
      </c>
      <c r="K417" s="11" t="n">
        <v>0</v>
      </c>
      <c r="L417" s="10">
        <f>I417*J417*(1-K417)</f>
        <v/>
      </c>
      <c r="M417" s="10" t="n">
        <v>432</v>
      </c>
      <c r="N417" s="10">
        <f>L417-M417</f>
        <v/>
      </c>
    </row>
    <row r="418">
      <c r="A418" s="7" t="inlineStr">
        <is>
          <t>ORD-04158</t>
        </is>
      </c>
      <c r="B418" s="8" t="n">
        <v>45045</v>
      </c>
      <c r="C418" s="9" t="n">
        <v>45017</v>
      </c>
      <c r="D418" s="7" t="n">
        <v>2023</v>
      </c>
      <c r="E418" s="7" t="inlineStr">
        <is>
          <t>South</t>
        </is>
      </c>
      <c r="F418" s="7" t="inlineStr">
        <is>
          <t>Technology</t>
        </is>
      </c>
      <c r="G418" s="7" t="inlineStr">
        <is>
          <t>Keyboard</t>
        </is>
      </c>
      <c r="H418" s="7" t="inlineStr">
        <is>
          <t>Home Office</t>
        </is>
      </c>
      <c r="I418" s="7" t="n">
        <v>2</v>
      </c>
      <c r="J418" s="10" t="n">
        <v>45.01</v>
      </c>
      <c r="K418" s="11" t="n">
        <v>0.05</v>
      </c>
      <c r="L418" s="10">
        <f>I418*J418*(1-K418)</f>
        <v/>
      </c>
      <c r="M418" s="10" t="n">
        <v>49.5</v>
      </c>
      <c r="N418" s="10">
        <f>L418-M418</f>
        <v/>
      </c>
    </row>
    <row r="419">
      <c r="A419" s="7" t="inlineStr">
        <is>
          <t>ORD-01994</t>
        </is>
      </c>
      <c r="B419" s="8" t="n">
        <v>45045</v>
      </c>
      <c r="C419" s="9" t="n">
        <v>45017</v>
      </c>
      <c r="D419" s="7" t="n">
        <v>2023</v>
      </c>
      <c r="E419" s="7" t="inlineStr">
        <is>
          <t>North</t>
        </is>
      </c>
      <c r="F419" s="7" t="inlineStr">
        <is>
          <t>Technology</t>
        </is>
      </c>
      <c r="G419" s="7" t="inlineStr">
        <is>
          <t>Headphones</t>
        </is>
      </c>
      <c r="H419" s="7" t="inlineStr">
        <is>
          <t>Consumer</t>
        </is>
      </c>
      <c r="I419" s="7" t="n">
        <v>2</v>
      </c>
      <c r="J419" s="10" t="n">
        <v>117.85</v>
      </c>
      <c r="K419" s="11" t="n">
        <v>0.1</v>
      </c>
      <c r="L419" s="10">
        <f>I419*J419*(1-K419)</f>
        <v/>
      </c>
      <c r="M419" s="10" t="n">
        <v>144</v>
      </c>
      <c r="N419" s="10">
        <f>L419-M419</f>
        <v/>
      </c>
    </row>
    <row r="420">
      <c r="A420" s="7" t="inlineStr">
        <is>
          <t>ORD-05634</t>
        </is>
      </c>
      <c r="B420" s="8" t="n">
        <v>45045</v>
      </c>
      <c r="C420" s="9" t="n">
        <v>45017</v>
      </c>
      <c r="D420" s="7" t="n">
        <v>2023</v>
      </c>
      <c r="E420" s="7" t="inlineStr">
        <is>
          <t>West</t>
        </is>
      </c>
      <c r="F420" s="7" t="inlineStr">
        <is>
          <t>Technology</t>
        </is>
      </c>
      <c r="G420" s="7" t="inlineStr">
        <is>
          <t>Headphones</t>
        </is>
      </c>
      <c r="H420" s="7" t="inlineStr">
        <is>
          <t>Home Office</t>
        </is>
      </c>
      <c r="I420" s="7" t="n">
        <v>2</v>
      </c>
      <c r="J420" s="10" t="n">
        <v>114.49</v>
      </c>
      <c r="K420" s="11" t="n">
        <v>0.1</v>
      </c>
      <c r="L420" s="10">
        <f>I420*J420*(1-K420)</f>
        <v/>
      </c>
      <c r="M420" s="10" t="n">
        <v>144</v>
      </c>
      <c r="N420" s="10">
        <f>L420-M420</f>
        <v/>
      </c>
    </row>
    <row r="421">
      <c r="A421" s="7" t="inlineStr">
        <is>
          <t>ORD-01908</t>
        </is>
      </c>
      <c r="B421" s="8" t="n">
        <v>45046</v>
      </c>
      <c r="C421" s="9" t="n">
        <v>45017</v>
      </c>
      <c r="D421" s="7" t="n">
        <v>2023</v>
      </c>
      <c r="E421" s="7" t="inlineStr">
        <is>
          <t>North</t>
        </is>
      </c>
      <c r="F421" s="7" t="inlineStr">
        <is>
          <t>Technology</t>
        </is>
      </c>
      <c r="G421" s="7" t="inlineStr">
        <is>
          <t>Keyboard</t>
        </is>
      </c>
      <c r="H421" s="7" t="inlineStr">
        <is>
          <t>Consumer</t>
        </is>
      </c>
      <c r="I421" s="7" t="n">
        <v>3</v>
      </c>
      <c r="J421" s="10" t="n">
        <v>46.35</v>
      </c>
      <c r="K421" s="11" t="n">
        <v>0.1</v>
      </c>
      <c r="L421" s="10">
        <f>I421*J421*(1-K421)</f>
        <v/>
      </c>
      <c r="M421" s="10" t="n">
        <v>74.25</v>
      </c>
      <c r="N421" s="10">
        <f>L421-M421</f>
        <v/>
      </c>
    </row>
    <row r="422">
      <c r="A422" s="7" t="inlineStr">
        <is>
          <t>ORD-01826</t>
        </is>
      </c>
      <c r="B422" s="8" t="n">
        <v>45046</v>
      </c>
      <c r="C422" s="9" t="n">
        <v>45017</v>
      </c>
      <c r="D422" s="7" t="n">
        <v>2023</v>
      </c>
      <c r="E422" s="7" t="inlineStr">
        <is>
          <t>West</t>
        </is>
      </c>
      <c r="F422" s="7" t="inlineStr">
        <is>
          <t>Office Supplies</t>
        </is>
      </c>
      <c r="G422" s="7" t="inlineStr">
        <is>
          <t>Paper</t>
        </is>
      </c>
      <c r="H422" s="7" t="inlineStr">
        <is>
          <t>Corporate</t>
        </is>
      </c>
      <c r="I422" s="7" t="n">
        <v>8</v>
      </c>
      <c r="J422" s="10" t="n">
        <v>25.56</v>
      </c>
      <c r="K422" s="11" t="n">
        <v>0.05</v>
      </c>
      <c r="L422" s="10">
        <f>I422*J422*(1-K422)</f>
        <v/>
      </c>
      <c r="M422" s="10" t="n">
        <v>100</v>
      </c>
      <c r="N422" s="10">
        <f>L422-M422</f>
        <v/>
      </c>
    </row>
    <row r="423">
      <c r="A423" s="7" t="inlineStr">
        <is>
          <t>ORD-02390</t>
        </is>
      </c>
      <c r="B423" s="8" t="n">
        <v>45046</v>
      </c>
      <c r="C423" s="9" t="n">
        <v>45017</v>
      </c>
      <c r="D423" s="7" t="n">
        <v>2023</v>
      </c>
      <c r="E423" s="7" t="inlineStr">
        <is>
          <t>East</t>
        </is>
      </c>
      <c r="F423" s="7" t="inlineStr">
        <is>
          <t>Office Supplies</t>
        </is>
      </c>
      <c r="G423" s="7" t="inlineStr">
        <is>
          <t>Paper</t>
        </is>
      </c>
      <c r="H423" s="7" t="inlineStr">
        <is>
          <t>Consumer</t>
        </is>
      </c>
      <c r="I423" s="7" t="n">
        <v>13</v>
      </c>
      <c r="J423" s="10" t="n">
        <v>25.15</v>
      </c>
      <c r="K423" s="11" t="n">
        <v>0</v>
      </c>
      <c r="L423" s="10">
        <f>I423*J423*(1-K423)</f>
        <v/>
      </c>
      <c r="M423" s="10" t="n">
        <v>162.5</v>
      </c>
      <c r="N423" s="10">
        <f>L423-M423</f>
        <v/>
      </c>
    </row>
    <row r="424">
      <c r="A424" s="7" t="inlineStr">
        <is>
          <t>ORD-00917</t>
        </is>
      </c>
      <c r="B424" s="8" t="n">
        <v>45046</v>
      </c>
      <c r="C424" s="9" t="n">
        <v>45017</v>
      </c>
      <c r="D424" s="7" t="n">
        <v>2023</v>
      </c>
      <c r="E424" s="7" t="inlineStr">
        <is>
          <t>East</t>
        </is>
      </c>
      <c r="F424" s="7" t="inlineStr">
        <is>
          <t>Furniture</t>
        </is>
      </c>
      <c r="G424" s="7" t="inlineStr">
        <is>
          <t>Bookcase</t>
        </is>
      </c>
      <c r="H424" s="7" t="inlineStr">
        <is>
          <t>Corporate</t>
        </is>
      </c>
      <c r="I424" s="7" t="n">
        <v>3</v>
      </c>
      <c r="J424" s="10" t="n">
        <v>180.03</v>
      </c>
      <c r="K424" s="11" t="n">
        <v>0.3</v>
      </c>
      <c r="L424" s="10">
        <f>I424*J424*(1-K424)</f>
        <v/>
      </c>
      <c r="M424" s="10" t="n">
        <v>432</v>
      </c>
      <c r="N424" s="10">
        <f>L424-M424</f>
        <v/>
      </c>
    </row>
    <row r="425">
      <c r="A425" s="7" t="inlineStr">
        <is>
          <t>ORD-03986</t>
        </is>
      </c>
      <c r="B425" s="8" t="n">
        <v>45046</v>
      </c>
      <c r="C425" s="9" t="n">
        <v>45017</v>
      </c>
      <c r="D425" s="7" t="n">
        <v>2023</v>
      </c>
      <c r="E425" s="7" t="inlineStr">
        <is>
          <t>North</t>
        </is>
      </c>
      <c r="F425" s="7" t="inlineStr">
        <is>
          <t>Technology</t>
        </is>
      </c>
      <c r="G425" s="7" t="inlineStr">
        <is>
          <t>Headphones</t>
        </is>
      </c>
      <c r="H425" s="7" t="inlineStr">
        <is>
          <t>Consumer</t>
        </is>
      </c>
      <c r="I425" s="7" t="n">
        <v>2</v>
      </c>
      <c r="J425" s="10" t="n">
        <v>123.41</v>
      </c>
      <c r="K425" s="11" t="n">
        <v>0</v>
      </c>
      <c r="L425" s="10">
        <f>I425*J425*(1-K425)</f>
        <v/>
      </c>
      <c r="M425" s="10" t="n">
        <v>144</v>
      </c>
      <c r="N425" s="10">
        <f>L425-M425</f>
        <v/>
      </c>
    </row>
    <row r="426">
      <c r="A426" s="7" t="inlineStr">
        <is>
          <t>ORD-03263</t>
        </is>
      </c>
      <c r="B426" s="8" t="n">
        <v>45046</v>
      </c>
      <c r="C426" s="9" t="n">
        <v>45017</v>
      </c>
      <c r="D426" s="7" t="n">
        <v>2023</v>
      </c>
      <c r="E426" s="7" t="inlineStr">
        <is>
          <t>South</t>
        </is>
      </c>
      <c r="F426" s="7" t="inlineStr">
        <is>
          <t>Technology</t>
        </is>
      </c>
      <c r="G426" s="7" t="inlineStr">
        <is>
          <t>Smartphone</t>
        </is>
      </c>
      <c r="H426" s="7" t="inlineStr">
        <is>
          <t>Consumer</t>
        </is>
      </c>
      <c r="I426" s="7" t="n">
        <v>3</v>
      </c>
      <c r="J426" s="10" t="n">
        <v>601.86</v>
      </c>
      <c r="K426" s="11" t="n">
        <v>0.3</v>
      </c>
      <c r="L426" s="10">
        <f>I426*J426*(1-K426)</f>
        <v/>
      </c>
      <c r="M426" s="10" t="n">
        <v>1350</v>
      </c>
      <c r="N426" s="10">
        <f>L426-M426</f>
        <v/>
      </c>
    </row>
    <row r="427">
      <c r="A427" s="7" t="inlineStr">
        <is>
          <t>ORD-03310</t>
        </is>
      </c>
      <c r="B427" s="8" t="n">
        <v>45046</v>
      </c>
      <c r="C427" s="9" t="n">
        <v>45017</v>
      </c>
      <c r="D427" s="7" t="n">
        <v>2023</v>
      </c>
      <c r="E427" s="7" t="inlineStr">
        <is>
          <t>South</t>
        </is>
      </c>
      <c r="F427" s="7" t="inlineStr">
        <is>
          <t>Furniture</t>
        </is>
      </c>
      <c r="G427" s="7" t="inlineStr">
        <is>
          <t>Office Chair</t>
        </is>
      </c>
      <c r="H427" s="7" t="inlineStr">
        <is>
          <t>Consumer</t>
        </is>
      </c>
      <c r="I427" s="7" t="n">
        <v>3</v>
      </c>
      <c r="J427" s="10" t="n">
        <v>217.26</v>
      </c>
      <c r="K427" s="11" t="n">
        <v>0</v>
      </c>
      <c r="L427" s="10">
        <f>I427*J427*(1-K427)</f>
        <v/>
      </c>
      <c r="M427" s="10" t="n">
        <v>541.2</v>
      </c>
      <c r="N427" s="10">
        <f>L427-M427</f>
        <v/>
      </c>
    </row>
    <row r="428">
      <c r="A428" s="7" t="inlineStr">
        <is>
          <t>ORD-00511</t>
        </is>
      </c>
      <c r="B428" s="8" t="n">
        <v>45046</v>
      </c>
      <c r="C428" s="9" t="n">
        <v>45017</v>
      </c>
      <c r="D428" s="7" t="n">
        <v>2023</v>
      </c>
      <c r="E428" s="7" t="inlineStr">
        <is>
          <t>South</t>
        </is>
      </c>
      <c r="F428" s="7" t="inlineStr">
        <is>
          <t>Office Supplies</t>
        </is>
      </c>
      <c r="G428" s="7" t="inlineStr">
        <is>
          <t>Paper</t>
        </is>
      </c>
      <c r="H428" s="7" t="inlineStr">
        <is>
          <t>Consumer</t>
        </is>
      </c>
      <c r="I428" s="7" t="n">
        <v>10</v>
      </c>
      <c r="J428" s="10" t="n">
        <v>25.63</v>
      </c>
      <c r="K428" s="11" t="n">
        <v>0.3</v>
      </c>
      <c r="L428" s="10">
        <f>I428*J428*(1-K428)</f>
        <v/>
      </c>
      <c r="M428" s="10" t="n">
        <v>125</v>
      </c>
      <c r="N428" s="10">
        <f>L428-M428</f>
        <v/>
      </c>
    </row>
    <row r="429">
      <c r="A429" s="7" t="inlineStr">
        <is>
          <t>ORD-04745</t>
        </is>
      </c>
      <c r="B429" s="8" t="n">
        <v>45046</v>
      </c>
      <c r="C429" s="9" t="n">
        <v>45017</v>
      </c>
      <c r="D429" s="7" t="n">
        <v>2023</v>
      </c>
      <c r="E429" s="7" t="inlineStr">
        <is>
          <t>South</t>
        </is>
      </c>
      <c r="F429" s="7" t="inlineStr">
        <is>
          <t>Office Supplies</t>
        </is>
      </c>
      <c r="G429" s="7" t="inlineStr">
        <is>
          <t>Printer Ink</t>
        </is>
      </c>
      <c r="H429" s="7" t="inlineStr">
        <is>
          <t>Consumer</t>
        </is>
      </c>
      <c r="I429" s="7" t="n">
        <v>9</v>
      </c>
      <c r="J429" s="10" t="n">
        <v>60.3</v>
      </c>
      <c r="K429" s="11" t="n">
        <v>0.2</v>
      </c>
      <c r="L429" s="10">
        <f>I429*J429*(1-K429)</f>
        <v/>
      </c>
      <c r="M429" s="10" t="n">
        <v>324</v>
      </c>
      <c r="N429" s="10">
        <f>L429-M429</f>
        <v/>
      </c>
    </row>
    <row r="430">
      <c r="A430" s="7" t="inlineStr">
        <is>
          <t>ORD-02765</t>
        </is>
      </c>
      <c r="B430" s="8" t="n">
        <v>45047</v>
      </c>
      <c r="C430" s="9" t="n">
        <v>45047</v>
      </c>
      <c r="D430" s="7" t="n">
        <v>2023</v>
      </c>
      <c r="E430" s="7" t="inlineStr">
        <is>
          <t>East</t>
        </is>
      </c>
      <c r="F430" s="7" t="inlineStr">
        <is>
          <t>Technology</t>
        </is>
      </c>
      <c r="G430" s="7" t="inlineStr">
        <is>
          <t>Monitor</t>
        </is>
      </c>
      <c r="H430" s="7" t="inlineStr">
        <is>
          <t>Consumer</t>
        </is>
      </c>
      <c r="I430" s="7" t="n">
        <v>2</v>
      </c>
      <c r="J430" s="10" t="n">
        <v>244.36</v>
      </c>
      <c r="K430" s="11" t="n">
        <v>0.05</v>
      </c>
      <c r="L430" s="10">
        <f>I430*J430*(1-K430)</f>
        <v/>
      </c>
      <c r="M430" s="10" t="n">
        <v>360</v>
      </c>
      <c r="N430" s="10">
        <f>L430-M430</f>
        <v/>
      </c>
    </row>
    <row r="431">
      <c r="A431" s="7" t="inlineStr">
        <is>
          <t>ORD-04089</t>
        </is>
      </c>
      <c r="B431" s="8" t="n">
        <v>45048</v>
      </c>
      <c r="C431" s="9" t="n">
        <v>45047</v>
      </c>
      <c r="D431" s="7" t="n">
        <v>2023</v>
      </c>
      <c r="E431" s="7" t="inlineStr">
        <is>
          <t>West</t>
        </is>
      </c>
      <c r="F431" s="7" t="inlineStr">
        <is>
          <t>Technology</t>
        </is>
      </c>
      <c r="G431" s="7" t="inlineStr">
        <is>
          <t>Headphones</t>
        </is>
      </c>
      <c r="H431" s="7" t="inlineStr">
        <is>
          <t>Corporate</t>
        </is>
      </c>
      <c r="I431" s="7" t="n">
        <v>3</v>
      </c>
      <c r="J431" s="10" t="n">
        <v>114.41</v>
      </c>
      <c r="K431" s="11" t="n">
        <v>0.05</v>
      </c>
      <c r="L431" s="10">
        <f>I431*J431*(1-K431)</f>
        <v/>
      </c>
      <c r="M431" s="10" t="n">
        <v>216</v>
      </c>
      <c r="N431" s="10">
        <f>L431-M431</f>
        <v/>
      </c>
    </row>
    <row r="432">
      <c r="A432" s="7" t="inlineStr">
        <is>
          <t>ORD-05210</t>
        </is>
      </c>
      <c r="B432" s="8" t="n">
        <v>45048</v>
      </c>
      <c r="C432" s="9" t="n">
        <v>45047</v>
      </c>
      <c r="D432" s="7" t="n">
        <v>2023</v>
      </c>
      <c r="E432" s="7" t="inlineStr">
        <is>
          <t>West</t>
        </is>
      </c>
      <c r="F432" s="7" t="inlineStr">
        <is>
          <t>Office Supplies</t>
        </is>
      </c>
      <c r="G432" s="7" t="inlineStr">
        <is>
          <t>Pens</t>
        </is>
      </c>
      <c r="H432" s="7" t="inlineStr">
        <is>
          <t>Corporate</t>
        </is>
      </c>
      <c r="I432" s="7" t="n">
        <v>2</v>
      </c>
      <c r="J432" s="10" t="n">
        <v>12.39</v>
      </c>
      <c r="K432" s="11" t="n">
        <v>0.05</v>
      </c>
      <c r="L432" s="10">
        <f>I432*J432*(1-K432)</f>
        <v/>
      </c>
      <c r="M432" s="10" t="n">
        <v>10.8</v>
      </c>
      <c r="N432" s="10">
        <f>L432-M432</f>
        <v/>
      </c>
    </row>
    <row r="433">
      <c r="A433" s="7" t="inlineStr">
        <is>
          <t>ORD-03941</t>
        </is>
      </c>
      <c r="B433" s="8" t="n">
        <v>45048</v>
      </c>
      <c r="C433" s="9" t="n">
        <v>45047</v>
      </c>
      <c r="D433" s="7" t="n">
        <v>2023</v>
      </c>
      <c r="E433" s="7" t="inlineStr">
        <is>
          <t>North</t>
        </is>
      </c>
      <c r="F433" s="7" t="inlineStr">
        <is>
          <t>Office Supplies</t>
        </is>
      </c>
      <c r="G433" s="7" t="inlineStr">
        <is>
          <t>Binder</t>
        </is>
      </c>
      <c r="H433" s="7" t="inlineStr">
        <is>
          <t>Consumer</t>
        </is>
      </c>
      <c r="I433" s="7" t="n">
        <v>5</v>
      </c>
      <c r="J433" s="10" t="n">
        <v>7.93</v>
      </c>
      <c r="K433" s="11" t="n">
        <v>0.05</v>
      </c>
      <c r="L433" s="10">
        <f>I433*J433*(1-K433)</f>
        <v/>
      </c>
      <c r="M433" s="10" t="n">
        <v>16</v>
      </c>
      <c r="N433" s="10">
        <f>L433-M433</f>
        <v/>
      </c>
    </row>
    <row r="434">
      <c r="A434" s="7" t="inlineStr">
        <is>
          <t>ORD-05209</t>
        </is>
      </c>
      <c r="B434" s="8" t="n">
        <v>45048</v>
      </c>
      <c r="C434" s="9" t="n">
        <v>45047</v>
      </c>
      <c r="D434" s="7" t="n">
        <v>2023</v>
      </c>
      <c r="E434" s="7" t="inlineStr">
        <is>
          <t>South</t>
        </is>
      </c>
      <c r="F434" s="7" t="inlineStr">
        <is>
          <t>Office Supplies</t>
        </is>
      </c>
      <c r="G434" s="7" t="inlineStr">
        <is>
          <t>Stapler</t>
        </is>
      </c>
      <c r="H434" s="7" t="inlineStr">
        <is>
          <t>Home Office</t>
        </is>
      </c>
      <c r="I434" s="7" t="n">
        <v>15</v>
      </c>
      <c r="J434" s="10" t="n">
        <v>14.68</v>
      </c>
      <c r="K434" s="11" t="n">
        <v>0</v>
      </c>
      <c r="L434" s="10">
        <f>I434*J434*(1-K434)</f>
        <v/>
      </c>
      <c r="M434" s="10" t="n">
        <v>112.5</v>
      </c>
      <c r="N434" s="10">
        <f>L434-M434</f>
        <v/>
      </c>
    </row>
    <row r="435">
      <c r="A435" s="7" t="inlineStr">
        <is>
          <t>ORD-03580</t>
        </is>
      </c>
      <c r="B435" s="8" t="n">
        <v>45049</v>
      </c>
      <c r="C435" s="9" t="n">
        <v>45047</v>
      </c>
      <c r="D435" s="7" t="n">
        <v>2023</v>
      </c>
      <c r="E435" s="7" t="inlineStr">
        <is>
          <t>West</t>
        </is>
      </c>
      <c r="F435" s="7" t="inlineStr">
        <is>
          <t>Technology</t>
        </is>
      </c>
      <c r="G435" s="7" t="inlineStr">
        <is>
          <t>Smartphone</t>
        </is>
      </c>
      <c r="H435" s="7" t="inlineStr">
        <is>
          <t>Consumer</t>
        </is>
      </c>
      <c r="I435" s="7" t="n">
        <v>2</v>
      </c>
      <c r="J435" s="10" t="n">
        <v>587.61</v>
      </c>
      <c r="K435" s="11" t="n">
        <v>0.05</v>
      </c>
      <c r="L435" s="10">
        <f>I435*J435*(1-K435)</f>
        <v/>
      </c>
      <c r="M435" s="10" t="n">
        <v>900</v>
      </c>
      <c r="N435" s="10">
        <f>L435-M435</f>
        <v/>
      </c>
    </row>
    <row r="436">
      <c r="A436" s="7" t="inlineStr">
        <is>
          <t>ORD-01807</t>
        </is>
      </c>
      <c r="B436" s="8" t="n">
        <v>45049</v>
      </c>
      <c r="C436" s="9" t="n">
        <v>45047</v>
      </c>
      <c r="D436" s="7" t="n">
        <v>2023</v>
      </c>
      <c r="E436" s="7" t="inlineStr">
        <is>
          <t>South</t>
        </is>
      </c>
      <c r="F436" s="7" t="inlineStr">
        <is>
          <t>Technology</t>
        </is>
      </c>
      <c r="G436" s="7" t="inlineStr">
        <is>
          <t>Headphones</t>
        </is>
      </c>
      <c r="H436" s="7" t="inlineStr">
        <is>
          <t>Consumer</t>
        </is>
      </c>
      <c r="I436" s="7" t="n">
        <v>2</v>
      </c>
      <c r="J436" s="10" t="n">
        <v>123.39</v>
      </c>
      <c r="K436" s="11" t="n">
        <v>0</v>
      </c>
      <c r="L436" s="10">
        <f>I436*J436*(1-K436)</f>
        <v/>
      </c>
      <c r="M436" s="10" t="n">
        <v>144</v>
      </c>
      <c r="N436" s="10">
        <f>L436-M436</f>
        <v/>
      </c>
    </row>
    <row r="437">
      <c r="A437" s="7" t="inlineStr">
        <is>
          <t>ORD-04837</t>
        </is>
      </c>
      <c r="B437" s="8" t="n">
        <v>45049</v>
      </c>
      <c r="C437" s="9" t="n">
        <v>45047</v>
      </c>
      <c r="D437" s="7" t="n">
        <v>2023</v>
      </c>
      <c r="E437" s="7" t="inlineStr">
        <is>
          <t>East</t>
        </is>
      </c>
      <c r="F437" s="7" t="inlineStr">
        <is>
          <t>Office Supplies</t>
        </is>
      </c>
      <c r="G437" s="7" t="inlineStr">
        <is>
          <t>Printer Ink</t>
        </is>
      </c>
      <c r="H437" s="7" t="inlineStr">
        <is>
          <t>Corporate</t>
        </is>
      </c>
      <c r="I437" s="7" t="n">
        <v>13</v>
      </c>
      <c r="J437" s="10" t="n">
        <v>58.35</v>
      </c>
      <c r="K437" s="11" t="n">
        <v>0</v>
      </c>
      <c r="L437" s="10">
        <f>I437*J437*(1-K437)</f>
        <v/>
      </c>
      <c r="M437" s="10" t="n">
        <v>468</v>
      </c>
      <c r="N437" s="10">
        <f>L437-M437</f>
        <v/>
      </c>
    </row>
    <row r="438">
      <c r="A438" s="7" t="inlineStr">
        <is>
          <t>ORD-01768</t>
        </is>
      </c>
      <c r="B438" s="8" t="n">
        <v>45049</v>
      </c>
      <c r="C438" s="9" t="n">
        <v>45047</v>
      </c>
      <c r="D438" s="7" t="n">
        <v>2023</v>
      </c>
      <c r="E438" s="7" t="inlineStr">
        <is>
          <t>East</t>
        </is>
      </c>
      <c r="F438" s="7" t="inlineStr">
        <is>
          <t>Furniture</t>
        </is>
      </c>
      <c r="G438" s="7" t="inlineStr">
        <is>
          <t>Office Chair</t>
        </is>
      </c>
      <c r="H438" s="7" t="inlineStr">
        <is>
          <t>Consumer</t>
        </is>
      </c>
      <c r="I438" s="7" t="n">
        <v>4</v>
      </c>
      <c r="J438" s="10" t="n">
        <v>230.57</v>
      </c>
      <c r="K438" s="11" t="n">
        <v>0</v>
      </c>
      <c r="L438" s="10">
        <f>I438*J438*(1-K438)</f>
        <v/>
      </c>
      <c r="M438" s="10" t="n">
        <v>721.6</v>
      </c>
      <c r="N438" s="10">
        <f>L438-M438</f>
        <v/>
      </c>
    </row>
    <row r="439">
      <c r="A439" s="7" t="inlineStr">
        <is>
          <t>ORD-04776</t>
        </is>
      </c>
      <c r="B439" s="8" t="n">
        <v>45050</v>
      </c>
      <c r="C439" s="9" t="n">
        <v>45047</v>
      </c>
      <c r="D439" s="7" t="n">
        <v>2023</v>
      </c>
      <c r="E439" s="7" t="inlineStr">
        <is>
          <t>East</t>
        </is>
      </c>
      <c r="F439" s="7" t="inlineStr">
        <is>
          <t>Furniture</t>
        </is>
      </c>
      <c r="G439" s="7" t="inlineStr">
        <is>
          <t>Bookcase</t>
        </is>
      </c>
      <c r="H439" s="7" t="inlineStr">
        <is>
          <t>Home Office</t>
        </is>
      </c>
      <c r="I439" s="7" t="n">
        <v>4</v>
      </c>
      <c r="J439" s="10" t="n">
        <v>174.75</v>
      </c>
      <c r="K439" s="11" t="n">
        <v>0.3</v>
      </c>
      <c r="L439" s="10">
        <f>I439*J439*(1-K439)</f>
        <v/>
      </c>
      <c r="M439" s="10" t="n">
        <v>576</v>
      </c>
      <c r="N439" s="10">
        <f>L439-M439</f>
        <v/>
      </c>
    </row>
    <row r="440">
      <c r="A440" s="7" t="inlineStr">
        <is>
          <t>ORD-04293</t>
        </is>
      </c>
      <c r="B440" s="8" t="n">
        <v>45050</v>
      </c>
      <c r="C440" s="9" t="n">
        <v>45047</v>
      </c>
      <c r="D440" s="7" t="n">
        <v>2023</v>
      </c>
      <c r="E440" s="7" t="inlineStr">
        <is>
          <t>North</t>
        </is>
      </c>
      <c r="F440" s="7" t="inlineStr">
        <is>
          <t>Technology</t>
        </is>
      </c>
      <c r="G440" s="7" t="inlineStr">
        <is>
          <t>Headphones</t>
        </is>
      </c>
      <c r="H440" s="7" t="inlineStr">
        <is>
          <t>Consumer</t>
        </is>
      </c>
      <c r="I440" s="7" t="n">
        <v>1</v>
      </c>
      <c r="J440" s="10" t="n">
        <v>120.92</v>
      </c>
      <c r="K440" s="11" t="n">
        <v>0</v>
      </c>
      <c r="L440" s="10">
        <f>I440*J440*(1-K440)</f>
        <v/>
      </c>
      <c r="M440" s="10" t="n">
        <v>72</v>
      </c>
      <c r="N440" s="10">
        <f>L440-M440</f>
        <v/>
      </c>
    </row>
    <row r="441">
      <c r="A441" s="7" t="inlineStr">
        <is>
          <t>ORD-01966</t>
        </is>
      </c>
      <c r="B441" s="8" t="n">
        <v>45050</v>
      </c>
      <c r="C441" s="9" t="n">
        <v>45047</v>
      </c>
      <c r="D441" s="7" t="n">
        <v>2023</v>
      </c>
      <c r="E441" s="7" t="inlineStr">
        <is>
          <t>South</t>
        </is>
      </c>
      <c r="F441" s="7" t="inlineStr">
        <is>
          <t>Office Supplies</t>
        </is>
      </c>
      <c r="G441" s="7" t="inlineStr">
        <is>
          <t>Binder</t>
        </is>
      </c>
      <c r="H441" s="7" t="inlineStr">
        <is>
          <t>Home Office</t>
        </is>
      </c>
      <c r="I441" s="7" t="n">
        <v>10</v>
      </c>
      <c r="J441" s="10" t="n">
        <v>7.98</v>
      </c>
      <c r="K441" s="11" t="n">
        <v>0.3</v>
      </c>
      <c r="L441" s="10">
        <f>I441*J441*(1-K441)</f>
        <v/>
      </c>
      <c r="M441" s="10" t="n">
        <v>32</v>
      </c>
      <c r="N441" s="10">
        <f>L441-M441</f>
        <v/>
      </c>
    </row>
    <row r="442">
      <c r="A442" s="7" t="inlineStr">
        <is>
          <t>ORD-05812</t>
        </is>
      </c>
      <c r="B442" s="8" t="n">
        <v>45050</v>
      </c>
      <c r="C442" s="9" t="n">
        <v>45047</v>
      </c>
      <c r="D442" s="7" t="n">
        <v>2023</v>
      </c>
      <c r="E442" s="7" t="inlineStr">
        <is>
          <t>East</t>
        </is>
      </c>
      <c r="F442" s="7" t="inlineStr">
        <is>
          <t>Office Supplies</t>
        </is>
      </c>
      <c r="G442" s="7" t="inlineStr">
        <is>
          <t>Pens</t>
        </is>
      </c>
      <c r="H442" s="7" t="inlineStr">
        <is>
          <t>Home Office</t>
        </is>
      </c>
      <c r="I442" s="7" t="n">
        <v>12</v>
      </c>
      <c r="J442" s="10" t="n">
        <v>12.03</v>
      </c>
      <c r="K442" s="11" t="n">
        <v>0</v>
      </c>
      <c r="L442" s="10">
        <f>I442*J442*(1-K442)</f>
        <v/>
      </c>
      <c r="M442" s="10" t="n">
        <v>64.8</v>
      </c>
      <c r="N442" s="10">
        <f>L442-M442</f>
        <v/>
      </c>
    </row>
    <row r="443">
      <c r="A443" s="7" t="inlineStr">
        <is>
          <t>ORD-03397</t>
        </is>
      </c>
      <c r="B443" s="8" t="n">
        <v>45050</v>
      </c>
      <c r="C443" s="9" t="n">
        <v>45047</v>
      </c>
      <c r="D443" s="7" t="n">
        <v>2023</v>
      </c>
      <c r="E443" s="7" t="inlineStr">
        <is>
          <t>East</t>
        </is>
      </c>
      <c r="F443" s="7" t="inlineStr">
        <is>
          <t>Technology</t>
        </is>
      </c>
      <c r="G443" s="7" t="inlineStr">
        <is>
          <t>Smartphone</t>
        </is>
      </c>
      <c r="H443" s="7" t="inlineStr">
        <is>
          <t>Home Office</t>
        </is>
      </c>
      <c r="I443" s="7" t="n">
        <v>3</v>
      </c>
      <c r="J443" s="10" t="n">
        <v>578.66</v>
      </c>
      <c r="K443" s="11" t="n">
        <v>0</v>
      </c>
      <c r="L443" s="10">
        <f>I443*J443*(1-K443)</f>
        <v/>
      </c>
      <c r="M443" s="10" t="n">
        <v>1350</v>
      </c>
      <c r="N443" s="10">
        <f>L443-M443</f>
        <v/>
      </c>
    </row>
    <row r="444">
      <c r="A444" s="7" t="inlineStr">
        <is>
          <t>ORD-02792</t>
        </is>
      </c>
      <c r="B444" s="8" t="n">
        <v>45050</v>
      </c>
      <c r="C444" s="9" t="n">
        <v>45047</v>
      </c>
      <c r="D444" s="7" t="n">
        <v>2023</v>
      </c>
      <c r="E444" s="7" t="inlineStr">
        <is>
          <t>North</t>
        </is>
      </c>
      <c r="F444" s="7" t="inlineStr">
        <is>
          <t>Office Supplies</t>
        </is>
      </c>
      <c r="G444" s="7" t="inlineStr">
        <is>
          <t>Paper</t>
        </is>
      </c>
      <c r="H444" s="7" t="inlineStr">
        <is>
          <t>Corporate</t>
        </is>
      </c>
      <c r="I444" s="7" t="n">
        <v>9</v>
      </c>
      <c r="J444" s="10" t="n">
        <v>25.38</v>
      </c>
      <c r="K444" s="11" t="n">
        <v>0</v>
      </c>
      <c r="L444" s="10">
        <f>I444*J444*(1-K444)</f>
        <v/>
      </c>
      <c r="M444" s="10" t="n">
        <v>112.5</v>
      </c>
      <c r="N444" s="10">
        <f>L444-M444</f>
        <v/>
      </c>
    </row>
    <row r="445">
      <c r="A445" s="7" t="inlineStr">
        <is>
          <t>ORD-05958</t>
        </is>
      </c>
      <c r="B445" s="8" t="n">
        <v>45051</v>
      </c>
      <c r="C445" s="9" t="n">
        <v>45047</v>
      </c>
      <c r="D445" s="7" t="n">
        <v>2023</v>
      </c>
      <c r="E445" s="7" t="inlineStr">
        <is>
          <t>West</t>
        </is>
      </c>
      <c r="F445" s="7" t="inlineStr">
        <is>
          <t>Office Supplies</t>
        </is>
      </c>
      <c r="G445" s="7" t="inlineStr">
        <is>
          <t>Paper</t>
        </is>
      </c>
      <c r="H445" s="7" t="inlineStr">
        <is>
          <t>Home Office</t>
        </is>
      </c>
      <c r="I445" s="7" t="n">
        <v>8</v>
      </c>
      <c r="J445" s="10" t="n">
        <v>25.89</v>
      </c>
      <c r="K445" s="11" t="n">
        <v>0</v>
      </c>
      <c r="L445" s="10">
        <f>I445*J445*(1-K445)</f>
        <v/>
      </c>
      <c r="M445" s="10" t="n">
        <v>100</v>
      </c>
      <c r="N445" s="10">
        <f>L445-M445</f>
        <v/>
      </c>
    </row>
    <row r="446">
      <c r="A446" s="7" t="inlineStr">
        <is>
          <t>ORD-04580</t>
        </is>
      </c>
      <c r="B446" s="8" t="n">
        <v>45051</v>
      </c>
      <c r="C446" s="9" t="n">
        <v>45047</v>
      </c>
      <c r="D446" s="7" t="n">
        <v>2023</v>
      </c>
      <c r="E446" s="7" t="inlineStr">
        <is>
          <t>West</t>
        </is>
      </c>
      <c r="F446" s="7" t="inlineStr">
        <is>
          <t>Office Supplies</t>
        </is>
      </c>
      <c r="G446" s="7" t="inlineStr">
        <is>
          <t>Pens</t>
        </is>
      </c>
      <c r="H446" s="7" t="inlineStr">
        <is>
          <t>Consumer</t>
        </is>
      </c>
      <c r="I446" s="7" t="n">
        <v>4</v>
      </c>
      <c r="J446" s="10" t="n">
        <v>11.45</v>
      </c>
      <c r="K446" s="11" t="n">
        <v>0</v>
      </c>
      <c r="L446" s="10">
        <f>I446*J446*(1-K446)</f>
        <v/>
      </c>
      <c r="M446" s="10" t="n">
        <v>21.6</v>
      </c>
      <c r="N446" s="10">
        <f>L446-M446</f>
        <v/>
      </c>
    </row>
    <row r="447">
      <c r="A447" s="7" t="inlineStr">
        <is>
          <t>ORD-03435</t>
        </is>
      </c>
      <c r="B447" s="8" t="n">
        <v>45052</v>
      </c>
      <c r="C447" s="9" t="n">
        <v>45047</v>
      </c>
      <c r="D447" s="7" t="n">
        <v>2023</v>
      </c>
      <c r="E447" s="7" t="inlineStr">
        <is>
          <t>South</t>
        </is>
      </c>
      <c r="F447" s="7" t="inlineStr">
        <is>
          <t>Furniture</t>
        </is>
      </c>
      <c r="G447" s="7" t="inlineStr">
        <is>
          <t>Bookcase</t>
        </is>
      </c>
      <c r="H447" s="7" t="inlineStr">
        <is>
          <t>Consumer</t>
        </is>
      </c>
      <c r="I447" s="7" t="n">
        <v>2</v>
      </c>
      <c r="J447" s="10" t="n">
        <v>188.9</v>
      </c>
      <c r="K447" s="11" t="n">
        <v>0.05</v>
      </c>
      <c r="L447" s="10">
        <f>I447*J447*(1-K447)</f>
        <v/>
      </c>
      <c r="M447" s="10" t="n">
        <v>288</v>
      </c>
      <c r="N447" s="10">
        <f>L447-M447</f>
        <v/>
      </c>
    </row>
    <row r="448">
      <c r="A448" s="7" t="inlineStr">
        <is>
          <t>ORD-03975</t>
        </is>
      </c>
      <c r="B448" s="8" t="n">
        <v>45052</v>
      </c>
      <c r="C448" s="9" t="n">
        <v>45047</v>
      </c>
      <c r="D448" s="7" t="n">
        <v>2023</v>
      </c>
      <c r="E448" s="7" t="inlineStr">
        <is>
          <t>South</t>
        </is>
      </c>
      <c r="F448" s="7" t="inlineStr">
        <is>
          <t>Office Supplies</t>
        </is>
      </c>
      <c r="G448" s="7" t="inlineStr">
        <is>
          <t>Pens</t>
        </is>
      </c>
      <c r="H448" s="7" t="inlineStr">
        <is>
          <t>Corporate</t>
        </is>
      </c>
      <c r="I448" s="7" t="n">
        <v>10</v>
      </c>
      <c r="J448" s="10" t="n">
        <v>12.29</v>
      </c>
      <c r="K448" s="11" t="n">
        <v>0</v>
      </c>
      <c r="L448" s="10">
        <f>I448*J448*(1-K448)</f>
        <v/>
      </c>
      <c r="M448" s="10" t="n">
        <v>54</v>
      </c>
      <c r="N448" s="10">
        <f>L448-M448</f>
        <v/>
      </c>
    </row>
    <row r="449">
      <c r="A449" s="7" t="inlineStr">
        <is>
          <t>ORD-03169</t>
        </is>
      </c>
      <c r="B449" s="8" t="n">
        <v>45053</v>
      </c>
      <c r="C449" s="9" t="n">
        <v>45047</v>
      </c>
      <c r="D449" s="7" t="n">
        <v>2023</v>
      </c>
      <c r="E449" s="7" t="inlineStr">
        <is>
          <t>West</t>
        </is>
      </c>
      <c r="F449" s="7" t="inlineStr">
        <is>
          <t>Office Supplies</t>
        </is>
      </c>
      <c r="G449" s="7" t="inlineStr">
        <is>
          <t>Pens</t>
        </is>
      </c>
      <c r="H449" s="7" t="inlineStr">
        <is>
          <t>Consumer</t>
        </is>
      </c>
      <c r="I449" s="7" t="n">
        <v>12</v>
      </c>
      <c r="J449" s="10" t="n">
        <v>11.44</v>
      </c>
      <c r="K449" s="11" t="n">
        <v>0.1</v>
      </c>
      <c r="L449" s="10">
        <f>I449*J449*(1-K449)</f>
        <v/>
      </c>
      <c r="M449" s="10" t="n">
        <v>64.8</v>
      </c>
      <c r="N449" s="10">
        <f>L449-M449</f>
        <v/>
      </c>
    </row>
    <row r="450">
      <c r="A450" s="7" t="inlineStr">
        <is>
          <t>ORD-02583</t>
        </is>
      </c>
      <c r="B450" s="8" t="n">
        <v>45053</v>
      </c>
      <c r="C450" s="9" t="n">
        <v>45047</v>
      </c>
      <c r="D450" s="7" t="n">
        <v>2023</v>
      </c>
      <c r="E450" s="7" t="inlineStr">
        <is>
          <t>East</t>
        </is>
      </c>
      <c r="F450" s="7" t="inlineStr">
        <is>
          <t>Technology</t>
        </is>
      </c>
      <c r="G450" s="7" t="inlineStr">
        <is>
          <t>Monitor</t>
        </is>
      </c>
      <c r="H450" s="7" t="inlineStr">
        <is>
          <t>Consumer</t>
        </is>
      </c>
      <c r="I450" s="7" t="n">
        <v>1</v>
      </c>
      <c r="J450" s="10" t="n">
        <v>249.42</v>
      </c>
      <c r="K450" s="11" t="n">
        <v>0.3</v>
      </c>
      <c r="L450" s="10">
        <f>I450*J450*(1-K450)</f>
        <v/>
      </c>
      <c r="M450" s="10" t="n">
        <v>180</v>
      </c>
      <c r="N450" s="10">
        <f>L450-M450</f>
        <v/>
      </c>
    </row>
    <row r="451">
      <c r="A451" s="7" t="inlineStr">
        <is>
          <t>ORD-05362</t>
        </is>
      </c>
      <c r="B451" s="8" t="n">
        <v>45053</v>
      </c>
      <c r="C451" s="9" t="n">
        <v>45047</v>
      </c>
      <c r="D451" s="7" t="n">
        <v>2023</v>
      </c>
      <c r="E451" s="7" t="inlineStr">
        <is>
          <t>East</t>
        </is>
      </c>
      <c r="F451" s="7" t="inlineStr">
        <is>
          <t>Office Supplies</t>
        </is>
      </c>
      <c r="G451" s="7" t="inlineStr">
        <is>
          <t>Stapler</t>
        </is>
      </c>
      <c r="H451" s="7" t="inlineStr">
        <is>
          <t>Consumer</t>
        </is>
      </c>
      <c r="I451" s="7" t="n">
        <v>15</v>
      </c>
      <c r="J451" s="10" t="n">
        <v>14.94</v>
      </c>
      <c r="K451" s="11" t="n">
        <v>0.1</v>
      </c>
      <c r="L451" s="10">
        <f>I451*J451*(1-K451)</f>
        <v/>
      </c>
      <c r="M451" s="10" t="n">
        <v>112.5</v>
      </c>
      <c r="N451" s="10">
        <f>L451-M451</f>
        <v/>
      </c>
    </row>
    <row r="452">
      <c r="A452" s="7" t="inlineStr">
        <is>
          <t>ORD-04679</t>
        </is>
      </c>
      <c r="B452" s="8" t="n">
        <v>45054</v>
      </c>
      <c r="C452" s="9" t="n">
        <v>45047</v>
      </c>
      <c r="D452" s="7" t="n">
        <v>2023</v>
      </c>
      <c r="E452" s="7" t="inlineStr">
        <is>
          <t>West</t>
        </is>
      </c>
      <c r="F452" s="7" t="inlineStr">
        <is>
          <t>Office Supplies</t>
        </is>
      </c>
      <c r="G452" s="7" t="inlineStr">
        <is>
          <t>Paper</t>
        </is>
      </c>
      <c r="H452" s="7" t="inlineStr">
        <is>
          <t>Home Office</t>
        </is>
      </c>
      <c r="I452" s="7" t="n">
        <v>8</v>
      </c>
      <c r="J452" s="10" t="n">
        <v>24.76</v>
      </c>
      <c r="K452" s="11" t="n">
        <v>0</v>
      </c>
      <c r="L452" s="10">
        <f>I452*J452*(1-K452)</f>
        <v/>
      </c>
      <c r="M452" s="10" t="n">
        <v>100</v>
      </c>
      <c r="N452" s="10">
        <f>L452-M452</f>
        <v/>
      </c>
    </row>
    <row r="453">
      <c r="A453" s="7" t="inlineStr">
        <is>
          <t>ORD-01790</t>
        </is>
      </c>
      <c r="B453" s="8" t="n">
        <v>45054</v>
      </c>
      <c r="C453" s="9" t="n">
        <v>45047</v>
      </c>
      <c r="D453" s="7" t="n">
        <v>2023</v>
      </c>
      <c r="E453" s="7" t="inlineStr">
        <is>
          <t>West</t>
        </is>
      </c>
      <c r="F453" s="7" t="inlineStr">
        <is>
          <t>Office Supplies</t>
        </is>
      </c>
      <c r="G453" s="7" t="inlineStr">
        <is>
          <t>Paper</t>
        </is>
      </c>
      <c r="H453" s="7" t="inlineStr">
        <is>
          <t>Corporate</t>
        </is>
      </c>
      <c r="I453" s="7" t="n">
        <v>6</v>
      </c>
      <c r="J453" s="10" t="n">
        <v>25.19</v>
      </c>
      <c r="K453" s="11" t="n">
        <v>0</v>
      </c>
      <c r="L453" s="10">
        <f>I453*J453*(1-K453)</f>
        <v/>
      </c>
      <c r="M453" s="10" t="n">
        <v>75</v>
      </c>
      <c r="N453" s="10">
        <f>L453-M453</f>
        <v/>
      </c>
    </row>
    <row r="454">
      <c r="A454" s="7" t="inlineStr">
        <is>
          <t>ORD-01428</t>
        </is>
      </c>
      <c r="B454" s="8" t="n">
        <v>45054</v>
      </c>
      <c r="C454" s="9" t="n">
        <v>45047</v>
      </c>
      <c r="D454" s="7" t="n">
        <v>2023</v>
      </c>
      <c r="E454" s="7" t="inlineStr">
        <is>
          <t>West</t>
        </is>
      </c>
      <c r="F454" s="7" t="inlineStr">
        <is>
          <t>Office Supplies</t>
        </is>
      </c>
      <c r="G454" s="7" t="inlineStr">
        <is>
          <t>Binder</t>
        </is>
      </c>
      <c r="H454" s="7" t="inlineStr">
        <is>
          <t>Consumer</t>
        </is>
      </c>
      <c r="I454" s="7" t="n">
        <v>14</v>
      </c>
      <c r="J454" s="10" t="n">
        <v>8.039999999999999</v>
      </c>
      <c r="K454" s="11" t="n">
        <v>0.2</v>
      </c>
      <c r="L454" s="10">
        <f>I454*J454*(1-K454)</f>
        <v/>
      </c>
      <c r="M454" s="10" t="n">
        <v>44.8</v>
      </c>
      <c r="N454" s="10">
        <f>L454-M454</f>
        <v/>
      </c>
    </row>
    <row r="455">
      <c r="A455" s="7" t="inlineStr">
        <is>
          <t>ORD-02312</t>
        </is>
      </c>
      <c r="B455" s="8" t="n">
        <v>45055</v>
      </c>
      <c r="C455" s="9" t="n">
        <v>45047</v>
      </c>
      <c r="D455" s="7" t="n">
        <v>2023</v>
      </c>
      <c r="E455" s="7" t="inlineStr">
        <is>
          <t>West</t>
        </is>
      </c>
      <c r="F455" s="7" t="inlineStr">
        <is>
          <t>Technology</t>
        </is>
      </c>
      <c r="G455" s="7" t="inlineStr">
        <is>
          <t>Keyboard</t>
        </is>
      </c>
      <c r="H455" s="7" t="inlineStr">
        <is>
          <t>Consumer</t>
        </is>
      </c>
      <c r="I455" s="7" t="n">
        <v>1</v>
      </c>
      <c r="J455" s="10" t="n">
        <v>45.16</v>
      </c>
      <c r="K455" s="11" t="n">
        <v>0</v>
      </c>
      <c r="L455" s="10">
        <f>I455*J455*(1-K455)</f>
        <v/>
      </c>
      <c r="M455" s="10" t="n">
        <v>24.75</v>
      </c>
      <c r="N455" s="10">
        <f>L455-M455</f>
        <v/>
      </c>
    </row>
    <row r="456">
      <c r="A456" s="7" t="inlineStr">
        <is>
          <t>ORD-03778</t>
        </is>
      </c>
      <c r="B456" s="8" t="n">
        <v>45055</v>
      </c>
      <c r="C456" s="9" t="n">
        <v>45047</v>
      </c>
      <c r="D456" s="7" t="n">
        <v>2023</v>
      </c>
      <c r="E456" s="7" t="inlineStr">
        <is>
          <t>South</t>
        </is>
      </c>
      <c r="F456" s="7" t="inlineStr">
        <is>
          <t>Office Supplies</t>
        </is>
      </c>
      <c r="G456" s="7" t="inlineStr">
        <is>
          <t>Paper</t>
        </is>
      </c>
      <c r="H456" s="7" t="inlineStr">
        <is>
          <t>Home Office</t>
        </is>
      </c>
      <c r="I456" s="7" t="n">
        <v>3</v>
      </c>
      <c r="J456" s="10" t="n">
        <v>26.07</v>
      </c>
      <c r="K456" s="11" t="n">
        <v>0.2</v>
      </c>
      <c r="L456" s="10">
        <f>I456*J456*(1-K456)</f>
        <v/>
      </c>
      <c r="M456" s="10" t="n">
        <v>37.5</v>
      </c>
      <c r="N456" s="10">
        <f>L456-M456</f>
        <v/>
      </c>
    </row>
    <row r="457">
      <c r="A457" s="7" t="inlineStr">
        <is>
          <t>ORD-00794</t>
        </is>
      </c>
      <c r="B457" s="8" t="n">
        <v>45055</v>
      </c>
      <c r="C457" s="9" t="n">
        <v>45047</v>
      </c>
      <c r="D457" s="7" t="n">
        <v>2023</v>
      </c>
      <c r="E457" s="7" t="inlineStr">
        <is>
          <t>East</t>
        </is>
      </c>
      <c r="F457" s="7" t="inlineStr">
        <is>
          <t>Office Supplies</t>
        </is>
      </c>
      <c r="G457" s="7" t="inlineStr">
        <is>
          <t>Stapler</t>
        </is>
      </c>
      <c r="H457" s="7" t="inlineStr">
        <is>
          <t>Consumer</t>
        </is>
      </c>
      <c r="I457" s="7" t="n">
        <v>5</v>
      </c>
      <c r="J457" s="10" t="n">
        <v>14.43</v>
      </c>
      <c r="K457" s="11" t="n">
        <v>0.05</v>
      </c>
      <c r="L457" s="10">
        <f>I457*J457*(1-K457)</f>
        <v/>
      </c>
      <c r="M457" s="10" t="n">
        <v>37.5</v>
      </c>
      <c r="N457" s="10">
        <f>L457-M457</f>
        <v/>
      </c>
    </row>
    <row r="458">
      <c r="A458" s="7" t="inlineStr">
        <is>
          <t>ORD-01958</t>
        </is>
      </c>
      <c r="B458" s="8" t="n">
        <v>45055</v>
      </c>
      <c r="C458" s="9" t="n">
        <v>45047</v>
      </c>
      <c r="D458" s="7" t="n">
        <v>2023</v>
      </c>
      <c r="E458" s="7" t="inlineStr">
        <is>
          <t>West</t>
        </is>
      </c>
      <c r="F458" s="7" t="inlineStr">
        <is>
          <t>Technology</t>
        </is>
      </c>
      <c r="G458" s="7" t="inlineStr">
        <is>
          <t>Keyboard</t>
        </is>
      </c>
      <c r="H458" s="7" t="inlineStr">
        <is>
          <t>Consumer</t>
        </is>
      </c>
      <c r="I458" s="7" t="n">
        <v>2</v>
      </c>
      <c r="J458" s="10" t="n">
        <v>43.56</v>
      </c>
      <c r="K458" s="11" t="n">
        <v>0.05</v>
      </c>
      <c r="L458" s="10">
        <f>I458*J458*(1-K458)</f>
        <v/>
      </c>
      <c r="M458" s="10" t="n">
        <v>49.5</v>
      </c>
      <c r="N458" s="10">
        <f>L458-M458</f>
        <v/>
      </c>
    </row>
    <row r="459">
      <c r="A459" s="7" t="inlineStr">
        <is>
          <t>ORD-03009</t>
        </is>
      </c>
      <c r="B459" s="8" t="n">
        <v>45056</v>
      </c>
      <c r="C459" s="9" t="n">
        <v>45047</v>
      </c>
      <c r="D459" s="7" t="n">
        <v>2023</v>
      </c>
      <c r="E459" s="7" t="inlineStr">
        <is>
          <t>South</t>
        </is>
      </c>
      <c r="F459" s="7" t="inlineStr">
        <is>
          <t>Office Supplies</t>
        </is>
      </c>
      <c r="G459" s="7" t="inlineStr">
        <is>
          <t>Paper</t>
        </is>
      </c>
      <c r="H459" s="7" t="inlineStr">
        <is>
          <t>Consumer</t>
        </is>
      </c>
      <c r="I459" s="7" t="n">
        <v>2</v>
      </c>
      <c r="J459" s="10" t="n">
        <v>24.47</v>
      </c>
      <c r="K459" s="11" t="n">
        <v>0.05</v>
      </c>
      <c r="L459" s="10">
        <f>I459*J459*(1-K459)</f>
        <v/>
      </c>
      <c r="M459" s="10" t="n">
        <v>25</v>
      </c>
      <c r="N459" s="10">
        <f>L459-M459</f>
        <v/>
      </c>
    </row>
    <row r="460">
      <c r="A460" s="7" t="inlineStr">
        <is>
          <t>ORD-03261</t>
        </is>
      </c>
      <c r="B460" s="8" t="n">
        <v>45056</v>
      </c>
      <c r="C460" s="9" t="n">
        <v>45047</v>
      </c>
      <c r="D460" s="7" t="n">
        <v>2023</v>
      </c>
      <c r="E460" s="7" t="inlineStr">
        <is>
          <t>North</t>
        </is>
      </c>
      <c r="F460" s="7" t="inlineStr">
        <is>
          <t>Office Supplies</t>
        </is>
      </c>
      <c r="G460" s="7" t="inlineStr">
        <is>
          <t>Paper</t>
        </is>
      </c>
      <c r="H460" s="7" t="inlineStr">
        <is>
          <t>Consumer</t>
        </is>
      </c>
      <c r="I460" s="7" t="n">
        <v>11</v>
      </c>
      <c r="J460" s="10" t="n">
        <v>25.63</v>
      </c>
      <c r="K460" s="11" t="n">
        <v>0.05</v>
      </c>
      <c r="L460" s="10">
        <f>I460*J460*(1-K460)</f>
        <v/>
      </c>
      <c r="M460" s="10" t="n">
        <v>137.5</v>
      </c>
      <c r="N460" s="10">
        <f>L460-M460</f>
        <v/>
      </c>
    </row>
    <row r="461">
      <c r="A461" s="7" t="inlineStr">
        <is>
          <t>ORD-04578</t>
        </is>
      </c>
      <c r="B461" s="8" t="n">
        <v>45056</v>
      </c>
      <c r="C461" s="9" t="n">
        <v>45047</v>
      </c>
      <c r="D461" s="7" t="n">
        <v>2023</v>
      </c>
      <c r="E461" s="7" t="inlineStr">
        <is>
          <t>East</t>
        </is>
      </c>
      <c r="F461" s="7" t="inlineStr">
        <is>
          <t>Office Supplies</t>
        </is>
      </c>
      <c r="G461" s="7" t="inlineStr">
        <is>
          <t>Pens</t>
        </is>
      </c>
      <c r="H461" s="7" t="inlineStr">
        <is>
          <t>Consumer</t>
        </is>
      </c>
      <c r="I461" s="7" t="n">
        <v>14</v>
      </c>
      <c r="J461" s="10" t="n">
        <v>12.27</v>
      </c>
      <c r="K461" s="11" t="n">
        <v>0</v>
      </c>
      <c r="L461" s="10">
        <f>I461*J461*(1-K461)</f>
        <v/>
      </c>
      <c r="M461" s="10" t="n">
        <v>75.59999999999999</v>
      </c>
      <c r="N461" s="10">
        <f>L461-M461</f>
        <v/>
      </c>
    </row>
    <row r="462">
      <c r="A462" s="7" t="inlineStr">
        <is>
          <t>ORD-05761</t>
        </is>
      </c>
      <c r="B462" s="8" t="n">
        <v>45057</v>
      </c>
      <c r="C462" s="9" t="n">
        <v>45047</v>
      </c>
      <c r="D462" s="7" t="n">
        <v>2023</v>
      </c>
      <c r="E462" s="7" t="inlineStr">
        <is>
          <t>East</t>
        </is>
      </c>
      <c r="F462" s="7" t="inlineStr">
        <is>
          <t>Office Supplies</t>
        </is>
      </c>
      <c r="G462" s="7" t="inlineStr">
        <is>
          <t>Paper</t>
        </is>
      </c>
      <c r="H462" s="7" t="inlineStr">
        <is>
          <t>Corporate</t>
        </is>
      </c>
      <c r="I462" s="7" t="n">
        <v>4</v>
      </c>
      <c r="J462" s="10" t="n">
        <v>25.31</v>
      </c>
      <c r="K462" s="11" t="n">
        <v>0</v>
      </c>
      <c r="L462" s="10">
        <f>I462*J462*(1-K462)</f>
        <v/>
      </c>
      <c r="M462" s="10" t="n">
        <v>50</v>
      </c>
      <c r="N462" s="10">
        <f>L462-M462</f>
        <v/>
      </c>
    </row>
    <row r="463">
      <c r="A463" s="7" t="inlineStr">
        <is>
          <t>ORD-00548</t>
        </is>
      </c>
      <c r="B463" s="8" t="n">
        <v>45057</v>
      </c>
      <c r="C463" s="9" t="n">
        <v>45047</v>
      </c>
      <c r="D463" s="7" t="n">
        <v>2023</v>
      </c>
      <c r="E463" s="7" t="inlineStr">
        <is>
          <t>East</t>
        </is>
      </c>
      <c r="F463" s="7" t="inlineStr">
        <is>
          <t>Office Supplies</t>
        </is>
      </c>
      <c r="G463" s="7" t="inlineStr">
        <is>
          <t>Pens</t>
        </is>
      </c>
      <c r="H463" s="7" t="inlineStr">
        <is>
          <t>Consumer</t>
        </is>
      </c>
      <c r="I463" s="7" t="n">
        <v>7</v>
      </c>
      <c r="J463" s="10" t="n">
        <v>12.01</v>
      </c>
      <c r="K463" s="11" t="n">
        <v>0</v>
      </c>
      <c r="L463" s="10">
        <f>I463*J463*(1-K463)</f>
        <v/>
      </c>
      <c r="M463" s="10" t="n">
        <v>37.8</v>
      </c>
      <c r="N463" s="10">
        <f>L463-M463</f>
        <v/>
      </c>
    </row>
    <row r="464">
      <c r="A464" s="7" t="inlineStr">
        <is>
          <t>ORD-01376</t>
        </is>
      </c>
      <c r="B464" s="8" t="n">
        <v>45058</v>
      </c>
      <c r="C464" s="9" t="n">
        <v>45047</v>
      </c>
      <c r="D464" s="7" t="n">
        <v>2023</v>
      </c>
      <c r="E464" s="7" t="inlineStr">
        <is>
          <t>West</t>
        </is>
      </c>
      <c r="F464" s="7" t="inlineStr">
        <is>
          <t>Office Supplies</t>
        </is>
      </c>
      <c r="G464" s="7" t="inlineStr">
        <is>
          <t>Paper</t>
        </is>
      </c>
      <c r="H464" s="7" t="inlineStr">
        <is>
          <t>Home Office</t>
        </is>
      </c>
      <c r="I464" s="7" t="n">
        <v>5</v>
      </c>
      <c r="J464" s="10" t="n">
        <v>25.05</v>
      </c>
      <c r="K464" s="11" t="n">
        <v>0</v>
      </c>
      <c r="L464" s="10">
        <f>I464*J464*(1-K464)</f>
        <v/>
      </c>
      <c r="M464" s="10" t="n">
        <v>62.5</v>
      </c>
      <c r="N464" s="10">
        <f>L464-M464</f>
        <v/>
      </c>
    </row>
    <row r="465">
      <c r="A465" s="7" t="inlineStr">
        <is>
          <t>ORD-02754</t>
        </is>
      </c>
      <c r="B465" s="8" t="n">
        <v>45058</v>
      </c>
      <c r="C465" s="9" t="n">
        <v>45047</v>
      </c>
      <c r="D465" s="7" t="n">
        <v>2023</v>
      </c>
      <c r="E465" s="7" t="inlineStr">
        <is>
          <t>North</t>
        </is>
      </c>
      <c r="F465" s="7" t="inlineStr">
        <is>
          <t>Office Supplies</t>
        </is>
      </c>
      <c r="G465" s="7" t="inlineStr">
        <is>
          <t>Binder</t>
        </is>
      </c>
      <c r="H465" s="7" t="inlineStr">
        <is>
          <t>Home Office</t>
        </is>
      </c>
      <c r="I465" s="7" t="n">
        <v>6</v>
      </c>
      <c r="J465" s="10" t="n">
        <v>8.33</v>
      </c>
      <c r="K465" s="11" t="n">
        <v>0.2</v>
      </c>
      <c r="L465" s="10">
        <f>I465*J465*(1-K465)</f>
        <v/>
      </c>
      <c r="M465" s="10" t="n">
        <v>19.2</v>
      </c>
      <c r="N465" s="10">
        <f>L465-M465</f>
        <v/>
      </c>
    </row>
    <row r="466">
      <c r="A466" s="7" t="inlineStr">
        <is>
          <t>ORD-03993</t>
        </is>
      </c>
      <c r="B466" s="8" t="n">
        <v>45058</v>
      </c>
      <c r="C466" s="9" t="n">
        <v>45047</v>
      </c>
      <c r="D466" s="7" t="n">
        <v>2023</v>
      </c>
      <c r="E466" s="7" t="inlineStr">
        <is>
          <t>East</t>
        </is>
      </c>
      <c r="F466" s="7" t="inlineStr">
        <is>
          <t>Office Supplies</t>
        </is>
      </c>
      <c r="G466" s="7" t="inlineStr">
        <is>
          <t>Binder</t>
        </is>
      </c>
      <c r="H466" s="7" t="inlineStr">
        <is>
          <t>Consumer</t>
        </is>
      </c>
      <c r="I466" s="7" t="n">
        <v>3</v>
      </c>
      <c r="J466" s="10" t="n">
        <v>7.91</v>
      </c>
      <c r="K466" s="11" t="n">
        <v>0.05</v>
      </c>
      <c r="L466" s="10">
        <f>I466*J466*(1-K466)</f>
        <v/>
      </c>
      <c r="M466" s="10" t="n">
        <v>9.6</v>
      </c>
      <c r="N466" s="10">
        <f>L466-M466</f>
        <v/>
      </c>
    </row>
    <row r="467">
      <c r="A467" s="7" t="inlineStr">
        <is>
          <t>ORD-04191</t>
        </is>
      </c>
      <c r="B467" s="8" t="n">
        <v>45058</v>
      </c>
      <c r="C467" s="9" t="n">
        <v>45047</v>
      </c>
      <c r="D467" s="7" t="n">
        <v>2023</v>
      </c>
      <c r="E467" s="7" t="inlineStr">
        <is>
          <t>North</t>
        </is>
      </c>
      <c r="F467" s="7" t="inlineStr">
        <is>
          <t>Office Supplies</t>
        </is>
      </c>
      <c r="G467" s="7" t="inlineStr">
        <is>
          <t>Binder</t>
        </is>
      </c>
      <c r="H467" s="7" t="inlineStr">
        <is>
          <t>Consumer</t>
        </is>
      </c>
      <c r="I467" s="7" t="n">
        <v>5</v>
      </c>
      <c r="J467" s="10" t="n">
        <v>8.33</v>
      </c>
      <c r="K467" s="11" t="n">
        <v>0.05</v>
      </c>
      <c r="L467" s="10">
        <f>I467*J467*(1-K467)</f>
        <v/>
      </c>
      <c r="M467" s="10" t="n">
        <v>16</v>
      </c>
      <c r="N467" s="10">
        <f>L467-M467</f>
        <v/>
      </c>
    </row>
    <row r="468">
      <c r="A468" s="7" t="inlineStr">
        <is>
          <t>ORD-03186</t>
        </is>
      </c>
      <c r="B468" s="8" t="n">
        <v>45058</v>
      </c>
      <c r="C468" s="9" t="n">
        <v>45047</v>
      </c>
      <c r="D468" s="7" t="n">
        <v>2023</v>
      </c>
      <c r="E468" s="7" t="inlineStr">
        <is>
          <t>North</t>
        </is>
      </c>
      <c r="F468" s="7" t="inlineStr">
        <is>
          <t>Furniture</t>
        </is>
      </c>
      <c r="G468" s="7" t="inlineStr">
        <is>
          <t>Desk</t>
        </is>
      </c>
      <c r="H468" s="7" t="inlineStr">
        <is>
          <t>Consumer</t>
        </is>
      </c>
      <c r="I468" s="7" t="n">
        <v>2</v>
      </c>
      <c r="J468" s="10" t="n">
        <v>460.81</v>
      </c>
      <c r="K468" s="11" t="n">
        <v>0.05</v>
      </c>
      <c r="L468" s="10">
        <f>I468*J468*(1-K468)</f>
        <v/>
      </c>
      <c r="M468" s="10" t="n">
        <v>765</v>
      </c>
      <c r="N468" s="10">
        <f>L468-M468</f>
        <v/>
      </c>
    </row>
    <row r="469">
      <c r="A469" s="7" t="inlineStr">
        <is>
          <t>ORD-02324</t>
        </is>
      </c>
      <c r="B469" s="8" t="n">
        <v>45058</v>
      </c>
      <c r="C469" s="9" t="n">
        <v>45047</v>
      </c>
      <c r="D469" s="7" t="n">
        <v>2023</v>
      </c>
      <c r="E469" s="7" t="inlineStr">
        <is>
          <t>North</t>
        </is>
      </c>
      <c r="F469" s="7" t="inlineStr">
        <is>
          <t>Office Supplies</t>
        </is>
      </c>
      <c r="G469" s="7" t="inlineStr">
        <is>
          <t>Paper</t>
        </is>
      </c>
      <c r="H469" s="7" t="inlineStr">
        <is>
          <t>Consumer</t>
        </is>
      </c>
      <c r="I469" s="7" t="n">
        <v>12</v>
      </c>
      <c r="J469" s="10" t="n">
        <v>24.96</v>
      </c>
      <c r="K469" s="11" t="n">
        <v>0</v>
      </c>
      <c r="L469" s="10">
        <f>I469*J469*(1-K469)</f>
        <v/>
      </c>
      <c r="M469" s="10" t="n">
        <v>150</v>
      </c>
      <c r="N469" s="10">
        <f>L469-M469</f>
        <v/>
      </c>
    </row>
    <row r="470">
      <c r="A470" s="7" t="inlineStr">
        <is>
          <t>ORD-03860</t>
        </is>
      </c>
      <c r="B470" s="8" t="n">
        <v>45059</v>
      </c>
      <c r="C470" s="9" t="n">
        <v>45047</v>
      </c>
      <c r="D470" s="7" t="n">
        <v>2023</v>
      </c>
      <c r="E470" s="7" t="inlineStr">
        <is>
          <t>East</t>
        </is>
      </c>
      <c r="F470" s="7" t="inlineStr">
        <is>
          <t>Office Supplies</t>
        </is>
      </c>
      <c r="G470" s="7" t="inlineStr">
        <is>
          <t>Stapler</t>
        </is>
      </c>
      <c r="H470" s="7" t="inlineStr">
        <is>
          <t>Home Office</t>
        </is>
      </c>
      <c r="I470" s="7" t="n">
        <v>11</v>
      </c>
      <c r="J470" s="10" t="n">
        <v>15.38</v>
      </c>
      <c r="K470" s="11" t="n">
        <v>0.1</v>
      </c>
      <c r="L470" s="10">
        <f>I470*J470*(1-K470)</f>
        <v/>
      </c>
      <c r="M470" s="10" t="n">
        <v>82.5</v>
      </c>
      <c r="N470" s="10">
        <f>L470-M470</f>
        <v/>
      </c>
    </row>
    <row r="471">
      <c r="A471" s="7" t="inlineStr">
        <is>
          <t>ORD-05648</t>
        </is>
      </c>
      <c r="B471" s="8" t="n">
        <v>45059</v>
      </c>
      <c r="C471" s="9" t="n">
        <v>45047</v>
      </c>
      <c r="D471" s="7" t="n">
        <v>2023</v>
      </c>
      <c r="E471" s="7" t="inlineStr">
        <is>
          <t>East</t>
        </is>
      </c>
      <c r="F471" s="7" t="inlineStr">
        <is>
          <t>Office Supplies</t>
        </is>
      </c>
      <c r="G471" s="7" t="inlineStr">
        <is>
          <t>Stapler</t>
        </is>
      </c>
      <c r="H471" s="7" t="inlineStr">
        <is>
          <t>Consumer</t>
        </is>
      </c>
      <c r="I471" s="7" t="n">
        <v>13</v>
      </c>
      <c r="J471" s="10" t="n">
        <v>14.86</v>
      </c>
      <c r="K471" s="11" t="n">
        <v>0.3</v>
      </c>
      <c r="L471" s="10">
        <f>I471*J471*(1-K471)</f>
        <v/>
      </c>
      <c r="M471" s="10" t="n">
        <v>97.5</v>
      </c>
      <c r="N471" s="10">
        <f>L471-M471</f>
        <v/>
      </c>
    </row>
    <row r="472">
      <c r="A472" s="7" t="inlineStr">
        <is>
          <t>ORD-01567</t>
        </is>
      </c>
      <c r="B472" s="8" t="n">
        <v>45059</v>
      </c>
      <c r="C472" s="9" t="n">
        <v>45047</v>
      </c>
      <c r="D472" s="7" t="n">
        <v>2023</v>
      </c>
      <c r="E472" s="7" t="inlineStr">
        <is>
          <t>West</t>
        </is>
      </c>
      <c r="F472" s="7" t="inlineStr">
        <is>
          <t>Office Supplies</t>
        </is>
      </c>
      <c r="G472" s="7" t="inlineStr">
        <is>
          <t>Stapler</t>
        </is>
      </c>
      <c r="H472" s="7" t="inlineStr">
        <is>
          <t>Consumer</t>
        </is>
      </c>
      <c r="I472" s="7" t="n">
        <v>13</v>
      </c>
      <c r="J472" s="10" t="n">
        <v>15.59</v>
      </c>
      <c r="K472" s="11" t="n">
        <v>0.2</v>
      </c>
      <c r="L472" s="10">
        <f>I472*J472*(1-K472)</f>
        <v/>
      </c>
      <c r="M472" s="10" t="n">
        <v>97.5</v>
      </c>
      <c r="N472" s="10">
        <f>L472-M472</f>
        <v/>
      </c>
    </row>
    <row r="473">
      <c r="A473" s="7" t="inlineStr">
        <is>
          <t>ORD-04778</t>
        </is>
      </c>
      <c r="B473" s="8" t="n">
        <v>45060</v>
      </c>
      <c r="C473" s="9" t="n">
        <v>45047</v>
      </c>
      <c r="D473" s="7" t="n">
        <v>2023</v>
      </c>
      <c r="E473" s="7" t="inlineStr">
        <is>
          <t>East</t>
        </is>
      </c>
      <c r="F473" s="7" t="inlineStr">
        <is>
          <t>Office Supplies</t>
        </is>
      </c>
      <c r="G473" s="7" t="inlineStr">
        <is>
          <t>Binder</t>
        </is>
      </c>
      <c r="H473" s="7" t="inlineStr">
        <is>
          <t>Consumer</t>
        </is>
      </c>
      <c r="I473" s="7" t="n">
        <v>9</v>
      </c>
      <c r="J473" s="10" t="n">
        <v>7.73</v>
      </c>
      <c r="K473" s="11" t="n">
        <v>0.1</v>
      </c>
      <c r="L473" s="10">
        <f>I473*J473*(1-K473)</f>
        <v/>
      </c>
      <c r="M473" s="10" t="n">
        <v>28.8</v>
      </c>
      <c r="N473" s="10">
        <f>L473-M473</f>
        <v/>
      </c>
    </row>
    <row r="474">
      <c r="A474" s="7" t="inlineStr">
        <is>
          <t>ORD-02631</t>
        </is>
      </c>
      <c r="B474" s="8" t="n">
        <v>45060</v>
      </c>
      <c r="C474" s="9" t="n">
        <v>45047</v>
      </c>
      <c r="D474" s="7" t="n">
        <v>2023</v>
      </c>
      <c r="E474" s="7" t="inlineStr">
        <is>
          <t>East</t>
        </is>
      </c>
      <c r="F474" s="7" t="inlineStr">
        <is>
          <t>Furniture</t>
        </is>
      </c>
      <c r="G474" s="7" t="inlineStr">
        <is>
          <t>Desk</t>
        </is>
      </c>
      <c r="H474" s="7" t="inlineStr">
        <is>
          <t>Consumer</t>
        </is>
      </c>
      <c r="I474" s="7" t="n">
        <v>4</v>
      </c>
      <c r="J474" s="10" t="n">
        <v>468.63</v>
      </c>
      <c r="K474" s="11" t="n">
        <v>0</v>
      </c>
      <c r="L474" s="10">
        <f>I474*J474*(1-K474)</f>
        <v/>
      </c>
      <c r="M474" s="10" t="n">
        <v>1530</v>
      </c>
      <c r="N474" s="10">
        <f>L474-M474</f>
        <v/>
      </c>
    </row>
    <row r="475">
      <c r="A475" s="7" t="inlineStr">
        <is>
          <t>ORD-00140</t>
        </is>
      </c>
      <c r="B475" s="8" t="n">
        <v>45061</v>
      </c>
      <c r="C475" s="9" t="n">
        <v>45047</v>
      </c>
      <c r="D475" s="7" t="n">
        <v>2023</v>
      </c>
      <c r="E475" s="7" t="inlineStr">
        <is>
          <t>East</t>
        </is>
      </c>
      <c r="F475" s="7" t="inlineStr">
        <is>
          <t>Furniture</t>
        </is>
      </c>
      <c r="G475" s="7" t="inlineStr">
        <is>
          <t>Office Chair</t>
        </is>
      </c>
      <c r="H475" s="7" t="inlineStr">
        <is>
          <t>Corporate</t>
        </is>
      </c>
      <c r="I475" s="7" t="n">
        <v>3</v>
      </c>
      <c r="J475" s="10" t="n">
        <v>217.74</v>
      </c>
      <c r="K475" s="11" t="n">
        <v>0.1</v>
      </c>
      <c r="L475" s="10">
        <f>I475*J475*(1-K475)</f>
        <v/>
      </c>
      <c r="M475" s="10" t="n">
        <v>541.2</v>
      </c>
      <c r="N475" s="10">
        <f>L475-M475</f>
        <v/>
      </c>
    </row>
    <row r="476">
      <c r="A476" s="7" t="inlineStr">
        <is>
          <t>ORD-04664</t>
        </is>
      </c>
      <c r="B476" s="8" t="n">
        <v>45061</v>
      </c>
      <c r="C476" s="9" t="n">
        <v>45047</v>
      </c>
      <c r="D476" s="7" t="n">
        <v>2023</v>
      </c>
      <c r="E476" s="7" t="inlineStr">
        <is>
          <t>South</t>
        </is>
      </c>
      <c r="F476" s="7" t="inlineStr">
        <is>
          <t>Office Supplies</t>
        </is>
      </c>
      <c r="G476" s="7" t="inlineStr">
        <is>
          <t>Paper</t>
        </is>
      </c>
      <c r="H476" s="7" t="inlineStr">
        <is>
          <t>Corporate</t>
        </is>
      </c>
      <c r="I476" s="7" t="n">
        <v>14</v>
      </c>
      <c r="J476" s="10" t="n">
        <v>25.57</v>
      </c>
      <c r="K476" s="11" t="n">
        <v>0.05</v>
      </c>
      <c r="L476" s="10">
        <f>I476*J476*(1-K476)</f>
        <v/>
      </c>
      <c r="M476" s="10" t="n">
        <v>175</v>
      </c>
      <c r="N476" s="10">
        <f>L476-M476</f>
        <v/>
      </c>
    </row>
    <row r="477">
      <c r="A477" s="7" t="inlineStr">
        <is>
          <t>ORD-03656</t>
        </is>
      </c>
      <c r="B477" s="8" t="n">
        <v>45061</v>
      </c>
      <c r="C477" s="9" t="n">
        <v>45047</v>
      </c>
      <c r="D477" s="7" t="n">
        <v>2023</v>
      </c>
      <c r="E477" s="7" t="inlineStr">
        <is>
          <t>South</t>
        </is>
      </c>
      <c r="F477" s="7" t="inlineStr">
        <is>
          <t>Furniture</t>
        </is>
      </c>
      <c r="G477" s="7" t="inlineStr">
        <is>
          <t>Office Chair</t>
        </is>
      </c>
      <c r="H477" s="7" t="inlineStr">
        <is>
          <t>Corporate</t>
        </is>
      </c>
      <c r="I477" s="7" t="n">
        <v>3</v>
      </c>
      <c r="J477" s="10" t="n">
        <v>216.82</v>
      </c>
      <c r="K477" s="11" t="n">
        <v>0.3</v>
      </c>
      <c r="L477" s="10">
        <f>I477*J477*(1-K477)</f>
        <v/>
      </c>
      <c r="M477" s="10" t="n">
        <v>541.2</v>
      </c>
      <c r="N477" s="10">
        <f>L477-M477</f>
        <v/>
      </c>
    </row>
    <row r="478">
      <c r="A478" s="7" t="inlineStr">
        <is>
          <t>ORD-03097</t>
        </is>
      </c>
      <c r="B478" s="8" t="n">
        <v>45062</v>
      </c>
      <c r="C478" s="9" t="n">
        <v>45047</v>
      </c>
      <c r="D478" s="7" t="n">
        <v>2023</v>
      </c>
      <c r="E478" s="7" t="inlineStr">
        <is>
          <t>East</t>
        </is>
      </c>
      <c r="F478" s="7" t="inlineStr">
        <is>
          <t>Office Supplies</t>
        </is>
      </c>
      <c r="G478" s="7" t="inlineStr">
        <is>
          <t>Stapler</t>
        </is>
      </c>
      <c r="H478" s="7" t="inlineStr">
        <is>
          <t>Corporate</t>
        </is>
      </c>
      <c r="I478" s="7" t="n">
        <v>14</v>
      </c>
      <c r="J478" s="10" t="n">
        <v>14.63</v>
      </c>
      <c r="K478" s="11" t="n">
        <v>0.05</v>
      </c>
      <c r="L478" s="10">
        <f>I478*J478*(1-K478)</f>
        <v/>
      </c>
      <c r="M478" s="10" t="n">
        <v>105</v>
      </c>
      <c r="N478" s="10">
        <f>L478-M478</f>
        <v/>
      </c>
    </row>
    <row r="479">
      <c r="A479" s="7" t="inlineStr">
        <is>
          <t>ORD-00339</t>
        </is>
      </c>
      <c r="B479" s="8" t="n">
        <v>45063</v>
      </c>
      <c r="C479" s="9" t="n">
        <v>45047</v>
      </c>
      <c r="D479" s="7" t="n">
        <v>2023</v>
      </c>
      <c r="E479" s="7" t="inlineStr">
        <is>
          <t>West</t>
        </is>
      </c>
      <c r="F479" s="7" t="inlineStr">
        <is>
          <t>Office Supplies</t>
        </is>
      </c>
      <c r="G479" s="7" t="inlineStr">
        <is>
          <t>Pens</t>
        </is>
      </c>
      <c r="H479" s="7" t="inlineStr">
        <is>
          <t>Corporate</t>
        </is>
      </c>
      <c r="I479" s="7" t="n">
        <v>14</v>
      </c>
      <c r="J479" s="10" t="n">
        <v>11.9</v>
      </c>
      <c r="K479" s="11" t="n">
        <v>0.05</v>
      </c>
      <c r="L479" s="10">
        <f>I479*J479*(1-K479)</f>
        <v/>
      </c>
      <c r="M479" s="10" t="n">
        <v>75.59999999999999</v>
      </c>
      <c r="N479" s="10">
        <f>L479-M479</f>
        <v/>
      </c>
    </row>
    <row r="480">
      <c r="A480" s="7" t="inlineStr">
        <is>
          <t>ORD-04291</t>
        </is>
      </c>
      <c r="B480" s="8" t="n">
        <v>45063</v>
      </c>
      <c r="C480" s="9" t="n">
        <v>45047</v>
      </c>
      <c r="D480" s="7" t="n">
        <v>2023</v>
      </c>
      <c r="E480" s="7" t="inlineStr">
        <is>
          <t>West</t>
        </is>
      </c>
      <c r="F480" s="7" t="inlineStr">
        <is>
          <t>Technology</t>
        </is>
      </c>
      <c r="G480" s="7" t="inlineStr">
        <is>
          <t>Monitor</t>
        </is>
      </c>
      <c r="H480" s="7" t="inlineStr">
        <is>
          <t>Consumer</t>
        </is>
      </c>
      <c r="I480" s="7" t="n">
        <v>2</v>
      </c>
      <c r="J480" s="10" t="n">
        <v>261.03</v>
      </c>
      <c r="K480" s="11" t="n">
        <v>0.05</v>
      </c>
      <c r="L480" s="10">
        <f>I480*J480*(1-K480)</f>
        <v/>
      </c>
      <c r="M480" s="10" t="n">
        <v>360</v>
      </c>
      <c r="N480" s="10">
        <f>L480-M480</f>
        <v/>
      </c>
    </row>
    <row r="481">
      <c r="A481" s="7" t="inlineStr">
        <is>
          <t>ORD-00561</t>
        </is>
      </c>
      <c r="B481" s="8" t="n">
        <v>45063</v>
      </c>
      <c r="C481" s="9" t="n">
        <v>45047</v>
      </c>
      <c r="D481" s="7" t="n">
        <v>2023</v>
      </c>
      <c r="E481" s="7" t="inlineStr">
        <is>
          <t>East</t>
        </is>
      </c>
      <c r="F481" s="7" t="inlineStr">
        <is>
          <t>Furniture</t>
        </is>
      </c>
      <c r="G481" s="7" t="inlineStr">
        <is>
          <t>Sofa</t>
        </is>
      </c>
      <c r="H481" s="7" t="inlineStr">
        <is>
          <t>Consumer</t>
        </is>
      </c>
      <c r="I481" s="7" t="n">
        <v>2</v>
      </c>
      <c r="J481" s="10" t="n">
        <v>715.45</v>
      </c>
      <c r="K481" s="11" t="n">
        <v>0.05</v>
      </c>
      <c r="L481" s="10">
        <f>I481*J481*(1-K481)</f>
        <v/>
      </c>
      <c r="M481" s="10" t="n">
        <v>1232</v>
      </c>
      <c r="N481" s="10">
        <f>L481-M481</f>
        <v/>
      </c>
    </row>
    <row r="482">
      <c r="A482" s="7" t="inlineStr">
        <is>
          <t>ORD-00123</t>
        </is>
      </c>
      <c r="B482" s="8" t="n">
        <v>45063</v>
      </c>
      <c r="C482" s="9" t="n">
        <v>45047</v>
      </c>
      <c r="D482" s="7" t="n">
        <v>2023</v>
      </c>
      <c r="E482" s="7" t="inlineStr">
        <is>
          <t>South</t>
        </is>
      </c>
      <c r="F482" s="7" t="inlineStr">
        <is>
          <t>Office Supplies</t>
        </is>
      </c>
      <c r="G482" s="7" t="inlineStr">
        <is>
          <t>Paper</t>
        </is>
      </c>
      <c r="H482" s="7" t="inlineStr">
        <is>
          <t>Consumer</t>
        </is>
      </c>
      <c r="I482" s="7" t="n">
        <v>3</v>
      </c>
      <c r="J482" s="10" t="n">
        <v>24.15</v>
      </c>
      <c r="K482" s="11" t="n">
        <v>0.2</v>
      </c>
      <c r="L482" s="10">
        <f>I482*J482*(1-K482)</f>
        <v/>
      </c>
      <c r="M482" s="10" t="n">
        <v>37.5</v>
      </c>
      <c r="N482" s="10">
        <f>L482-M482</f>
        <v/>
      </c>
    </row>
    <row r="483">
      <c r="A483" s="7" t="inlineStr">
        <is>
          <t>ORD-05890</t>
        </is>
      </c>
      <c r="B483" s="8" t="n">
        <v>45064</v>
      </c>
      <c r="C483" s="9" t="n">
        <v>45047</v>
      </c>
      <c r="D483" s="7" t="n">
        <v>2023</v>
      </c>
      <c r="E483" s="7" t="inlineStr">
        <is>
          <t>West</t>
        </is>
      </c>
      <c r="F483" s="7" t="inlineStr">
        <is>
          <t>Technology</t>
        </is>
      </c>
      <c r="G483" s="7" t="inlineStr">
        <is>
          <t>Monitor</t>
        </is>
      </c>
      <c r="H483" s="7" t="inlineStr">
        <is>
          <t>Consumer</t>
        </is>
      </c>
      <c r="I483" s="7" t="n">
        <v>3</v>
      </c>
      <c r="J483" s="10" t="n">
        <v>257.92</v>
      </c>
      <c r="K483" s="11" t="n">
        <v>0.3</v>
      </c>
      <c r="L483" s="10">
        <f>I483*J483*(1-K483)</f>
        <v/>
      </c>
      <c r="M483" s="10" t="n">
        <v>540</v>
      </c>
      <c r="N483" s="10">
        <f>L483-M483</f>
        <v/>
      </c>
    </row>
    <row r="484">
      <c r="A484" s="7" t="inlineStr">
        <is>
          <t>ORD-04521</t>
        </is>
      </c>
      <c r="B484" s="8" t="n">
        <v>45064</v>
      </c>
      <c r="C484" s="9" t="n">
        <v>45047</v>
      </c>
      <c r="D484" s="7" t="n">
        <v>2023</v>
      </c>
      <c r="E484" s="7" t="inlineStr">
        <is>
          <t>North</t>
        </is>
      </c>
      <c r="F484" s="7" t="inlineStr">
        <is>
          <t>Technology</t>
        </is>
      </c>
      <c r="G484" s="7" t="inlineStr">
        <is>
          <t>Headphones</t>
        </is>
      </c>
      <c r="H484" s="7" t="inlineStr">
        <is>
          <t>Home Office</t>
        </is>
      </c>
      <c r="I484" s="7" t="n">
        <v>2</v>
      </c>
      <c r="J484" s="10" t="n">
        <v>118.73</v>
      </c>
      <c r="K484" s="11" t="n">
        <v>0.05</v>
      </c>
      <c r="L484" s="10">
        <f>I484*J484*(1-K484)</f>
        <v/>
      </c>
      <c r="M484" s="10" t="n">
        <v>144</v>
      </c>
      <c r="N484" s="10">
        <f>L484-M484</f>
        <v/>
      </c>
    </row>
    <row r="485">
      <c r="A485" s="7" t="inlineStr">
        <is>
          <t>ORD-03781</t>
        </is>
      </c>
      <c r="B485" s="8" t="n">
        <v>45064</v>
      </c>
      <c r="C485" s="9" t="n">
        <v>45047</v>
      </c>
      <c r="D485" s="7" t="n">
        <v>2023</v>
      </c>
      <c r="E485" s="7" t="inlineStr">
        <is>
          <t>West</t>
        </is>
      </c>
      <c r="F485" s="7" t="inlineStr">
        <is>
          <t>Office Supplies</t>
        </is>
      </c>
      <c r="G485" s="7" t="inlineStr">
        <is>
          <t>Paper</t>
        </is>
      </c>
      <c r="H485" s="7" t="inlineStr">
        <is>
          <t>Consumer</t>
        </is>
      </c>
      <c r="I485" s="7" t="n">
        <v>9</v>
      </c>
      <c r="J485" s="10" t="n">
        <v>23.96</v>
      </c>
      <c r="K485" s="11" t="n">
        <v>0</v>
      </c>
      <c r="L485" s="10">
        <f>I485*J485*(1-K485)</f>
        <v/>
      </c>
      <c r="M485" s="10" t="n">
        <v>112.5</v>
      </c>
      <c r="N485" s="10">
        <f>L485-M485</f>
        <v/>
      </c>
    </row>
    <row r="486">
      <c r="A486" s="7" t="inlineStr">
        <is>
          <t>ORD-03751</t>
        </is>
      </c>
      <c r="B486" s="8" t="n">
        <v>45064</v>
      </c>
      <c r="C486" s="9" t="n">
        <v>45047</v>
      </c>
      <c r="D486" s="7" t="n">
        <v>2023</v>
      </c>
      <c r="E486" s="7" t="inlineStr">
        <is>
          <t>North</t>
        </is>
      </c>
      <c r="F486" s="7" t="inlineStr">
        <is>
          <t>Office Supplies</t>
        </is>
      </c>
      <c r="G486" s="7" t="inlineStr">
        <is>
          <t>Stapler</t>
        </is>
      </c>
      <c r="H486" s="7" t="inlineStr">
        <is>
          <t>Consumer</t>
        </is>
      </c>
      <c r="I486" s="7" t="n">
        <v>7</v>
      </c>
      <c r="J486" s="10" t="n">
        <v>15.03</v>
      </c>
      <c r="K486" s="11" t="n">
        <v>0</v>
      </c>
      <c r="L486" s="10">
        <f>I486*J486*(1-K486)</f>
        <v/>
      </c>
      <c r="M486" s="10" t="n">
        <v>52.5</v>
      </c>
      <c r="N486" s="10">
        <f>L486-M486</f>
        <v/>
      </c>
    </row>
    <row r="487">
      <c r="A487" s="7" t="inlineStr">
        <is>
          <t>ORD-00664</t>
        </is>
      </c>
      <c r="B487" s="8" t="n">
        <v>45064</v>
      </c>
      <c r="C487" s="9" t="n">
        <v>45047</v>
      </c>
      <c r="D487" s="7" t="n">
        <v>2023</v>
      </c>
      <c r="E487" s="7" t="inlineStr">
        <is>
          <t>North</t>
        </is>
      </c>
      <c r="F487" s="7" t="inlineStr">
        <is>
          <t>Office Supplies</t>
        </is>
      </c>
      <c r="G487" s="7" t="inlineStr">
        <is>
          <t>Binder</t>
        </is>
      </c>
      <c r="H487" s="7" t="inlineStr">
        <is>
          <t>Corporate</t>
        </is>
      </c>
      <c r="I487" s="7" t="n">
        <v>15</v>
      </c>
      <c r="J487" s="10" t="n">
        <v>7.77</v>
      </c>
      <c r="K487" s="11" t="n">
        <v>0</v>
      </c>
      <c r="L487" s="10">
        <f>I487*J487*(1-K487)</f>
        <v/>
      </c>
      <c r="M487" s="10" t="n">
        <v>48</v>
      </c>
      <c r="N487" s="10">
        <f>L487-M487</f>
        <v/>
      </c>
    </row>
    <row r="488">
      <c r="A488" s="7" t="inlineStr">
        <is>
          <t>ORD-00628</t>
        </is>
      </c>
      <c r="B488" s="8" t="n">
        <v>45064</v>
      </c>
      <c r="C488" s="9" t="n">
        <v>45047</v>
      </c>
      <c r="D488" s="7" t="n">
        <v>2023</v>
      </c>
      <c r="E488" s="7" t="inlineStr">
        <is>
          <t>East</t>
        </is>
      </c>
      <c r="F488" s="7" t="inlineStr">
        <is>
          <t>Technology</t>
        </is>
      </c>
      <c r="G488" s="7" t="inlineStr">
        <is>
          <t>Keyboard</t>
        </is>
      </c>
      <c r="H488" s="7" t="inlineStr">
        <is>
          <t>Consumer</t>
        </is>
      </c>
      <c r="I488" s="7" t="n">
        <v>2</v>
      </c>
      <c r="J488" s="10" t="n">
        <v>46.77</v>
      </c>
      <c r="K488" s="11" t="n">
        <v>0.1</v>
      </c>
      <c r="L488" s="10">
        <f>I488*J488*(1-K488)</f>
        <v/>
      </c>
      <c r="M488" s="10" t="n">
        <v>49.5</v>
      </c>
      <c r="N488" s="10">
        <f>L488-M488</f>
        <v/>
      </c>
    </row>
    <row r="489">
      <c r="A489" s="7" t="inlineStr">
        <is>
          <t>ORD-01183</t>
        </is>
      </c>
      <c r="B489" s="8" t="n">
        <v>45065</v>
      </c>
      <c r="C489" s="9" t="n">
        <v>45047</v>
      </c>
      <c r="D489" s="7" t="n">
        <v>2023</v>
      </c>
      <c r="E489" s="7" t="inlineStr">
        <is>
          <t>South</t>
        </is>
      </c>
      <c r="F489" s="7" t="inlineStr">
        <is>
          <t>Technology</t>
        </is>
      </c>
      <c r="G489" s="7" t="inlineStr">
        <is>
          <t>Headphones</t>
        </is>
      </c>
      <c r="H489" s="7" t="inlineStr">
        <is>
          <t>Consumer</t>
        </is>
      </c>
      <c r="I489" s="7" t="n">
        <v>1</v>
      </c>
      <c r="J489" s="10" t="n">
        <v>125.79</v>
      </c>
      <c r="K489" s="11" t="n">
        <v>0</v>
      </c>
      <c r="L489" s="10">
        <f>I489*J489*(1-K489)</f>
        <v/>
      </c>
      <c r="M489" s="10" t="n">
        <v>72</v>
      </c>
      <c r="N489" s="10">
        <f>L489-M489</f>
        <v/>
      </c>
    </row>
    <row r="490">
      <c r="A490" s="7" t="inlineStr">
        <is>
          <t>ORD-03319</t>
        </is>
      </c>
      <c r="B490" s="8" t="n">
        <v>45065</v>
      </c>
      <c r="C490" s="9" t="n">
        <v>45047</v>
      </c>
      <c r="D490" s="7" t="n">
        <v>2023</v>
      </c>
      <c r="E490" s="7" t="inlineStr">
        <is>
          <t>South</t>
        </is>
      </c>
      <c r="F490" s="7" t="inlineStr">
        <is>
          <t>Office Supplies</t>
        </is>
      </c>
      <c r="G490" s="7" t="inlineStr">
        <is>
          <t>Binder</t>
        </is>
      </c>
      <c r="H490" s="7" t="inlineStr">
        <is>
          <t>Consumer</t>
        </is>
      </c>
      <c r="I490" s="7" t="n">
        <v>6</v>
      </c>
      <c r="J490" s="10" t="n">
        <v>8</v>
      </c>
      <c r="K490" s="11" t="n">
        <v>0.3</v>
      </c>
      <c r="L490" s="10">
        <f>I490*J490*(1-K490)</f>
        <v/>
      </c>
      <c r="M490" s="10" t="n">
        <v>19.2</v>
      </c>
      <c r="N490" s="10">
        <f>L490-M490</f>
        <v/>
      </c>
    </row>
    <row r="491">
      <c r="A491" s="7" t="inlineStr">
        <is>
          <t>ORD-02938</t>
        </is>
      </c>
      <c r="B491" s="8" t="n">
        <v>45065</v>
      </c>
      <c r="C491" s="9" t="n">
        <v>45047</v>
      </c>
      <c r="D491" s="7" t="n">
        <v>2023</v>
      </c>
      <c r="E491" s="7" t="inlineStr">
        <is>
          <t>West</t>
        </is>
      </c>
      <c r="F491" s="7" t="inlineStr">
        <is>
          <t>Office Supplies</t>
        </is>
      </c>
      <c r="G491" s="7" t="inlineStr">
        <is>
          <t>Stapler</t>
        </is>
      </c>
      <c r="H491" s="7" t="inlineStr">
        <is>
          <t>Consumer</t>
        </is>
      </c>
      <c r="I491" s="7" t="n">
        <v>4</v>
      </c>
      <c r="J491" s="10" t="n">
        <v>15.21</v>
      </c>
      <c r="K491" s="11" t="n">
        <v>0.05</v>
      </c>
      <c r="L491" s="10">
        <f>I491*J491*(1-K491)</f>
        <v/>
      </c>
      <c r="M491" s="10" t="n">
        <v>30</v>
      </c>
      <c r="N491" s="10">
        <f>L491-M491</f>
        <v/>
      </c>
    </row>
    <row r="492">
      <c r="A492" s="7" t="inlineStr">
        <is>
          <t>ORD-05387</t>
        </is>
      </c>
      <c r="B492" s="8" t="n">
        <v>45065</v>
      </c>
      <c r="C492" s="9" t="n">
        <v>45047</v>
      </c>
      <c r="D492" s="7" t="n">
        <v>2023</v>
      </c>
      <c r="E492" s="7" t="inlineStr">
        <is>
          <t>West</t>
        </is>
      </c>
      <c r="F492" s="7" t="inlineStr">
        <is>
          <t>Office Supplies</t>
        </is>
      </c>
      <c r="G492" s="7" t="inlineStr">
        <is>
          <t>Binder</t>
        </is>
      </c>
      <c r="H492" s="7" t="inlineStr">
        <is>
          <t>Corporate</t>
        </is>
      </c>
      <c r="I492" s="7" t="n">
        <v>3</v>
      </c>
      <c r="J492" s="10" t="n">
        <v>7.87</v>
      </c>
      <c r="K492" s="11" t="n">
        <v>0</v>
      </c>
      <c r="L492" s="10">
        <f>I492*J492*(1-K492)</f>
        <v/>
      </c>
      <c r="M492" s="10" t="n">
        <v>9.6</v>
      </c>
      <c r="N492" s="10">
        <f>L492-M492</f>
        <v/>
      </c>
    </row>
    <row r="493">
      <c r="A493" s="7" t="inlineStr">
        <is>
          <t>ORD-05755</t>
        </is>
      </c>
      <c r="B493" s="8" t="n">
        <v>45065</v>
      </c>
      <c r="C493" s="9" t="n">
        <v>45047</v>
      </c>
      <c r="D493" s="7" t="n">
        <v>2023</v>
      </c>
      <c r="E493" s="7" t="inlineStr">
        <is>
          <t>South</t>
        </is>
      </c>
      <c r="F493" s="7" t="inlineStr">
        <is>
          <t>Office Supplies</t>
        </is>
      </c>
      <c r="G493" s="7" t="inlineStr">
        <is>
          <t>Binder</t>
        </is>
      </c>
      <c r="H493" s="7" t="inlineStr">
        <is>
          <t>Consumer</t>
        </is>
      </c>
      <c r="I493" s="7" t="n">
        <v>9</v>
      </c>
      <c r="J493" s="10" t="n">
        <v>8.23</v>
      </c>
      <c r="K493" s="11" t="n">
        <v>0</v>
      </c>
      <c r="L493" s="10">
        <f>I493*J493*(1-K493)</f>
        <v/>
      </c>
      <c r="M493" s="10" t="n">
        <v>28.8</v>
      </c>
      <c r="N493" s="10">
        <f>L493-M493</f>
        <v/>
      </c>
    </row>
    <row r="494">
      <c r="A494" s="7" t="inlineStr">
        <is>
          <t>ORD-05321</t>
        </is>
      </c>
      <c r="B494" s="8" t="n">
        <v>45066</v>
      </c>
      <c r="C494" s="9" t="n">
        <v>45047</v>
      </c>
      <c r="D494" s="7" t="n">
        <v>2023</v>
      </c>
      <c r="E494" s="7" t="inlineStr">
        <is>
          <t>East</t>
        </is>
      </c>
      <c r="F494" s="7" t="inlineStr">
        <is>
          <t>Office Supplies</t>
        </is>
      </c>
      <c r="G494" s="7" t="inlineStr">
        <is>
          <t>Paper</t>
        </is>
      </c>
      <c r="H494" s="7" t="inlineStr">
        <is>
          <t>Consumer</t>
        </is>
      </c>
      <c r="I494" s="7" t="n">
        <v>3</v>
      </c>
      <c r="J494" s="10" t="n">
        <v>25.82</v>
      </c>
      <c r="K494" s="11" t="n">
        <v>0</v>
      </c>
      <c r="L494" s="10">
        <f>I494*J494*(1-K494)</f>
        <v/>
      </c>
      <c r="M494" s="10" t="n">
        <v>37.5</v>
      </c>
      <c r="N494" s="10">
        <f>L494-M494</f>
        <v/>
      </c>
    </row>
    <row r="495">
      <c r="A495" s="7" t="inlineStr">
        <is>
          <t>ORD-04855</t>
        </is>
      </c>
      <c r="B495" s="8" t="n">
        <v>45066</v>
      </c>
      <c r="C495" s="9" t="n">
        <v>45047</v>
      </c>
      <c r="D495" s="7" t="n">
        <v>2023</v>
      </c>
      <c r="E495" s="7" t="inlineStr">
        <is>
          <t>North</t>
        </is>
      </c>
      <c r="F495" s="7" t="inlineStr">
        <is>
          <t>Furniture</t>
        </is>
      </c>
      <c r="G495" s="7" t="inlineStr">
        <is>
          <t>Sofa</t>
        </is>
      </c>
      <c r="H495" s="7" t="inlineStr">
        <is>
          <t>Corporate</t>
        </is>
      </c>
      <c r="I495" s="7" t="n">
        <v>1</v>
      </c>
      <c r="J495" s="10" t="n">
        <v>685.05</v>
      </c>
      <c r="K495" s="11" t="n">
        <v>0</v>
      </c>
      <c r="L495" s="10">
        <f>I495*J495*(1-K495)</f>
        <v/>
      </c>
      <c r="M495" s="10" t="n">
        <v>616</v>
      </c>
      <c r="N495" s="10">
        <f>L495-M495</f>
        <v/>
      </c>
    </row>
    <row r="496">
      <c r="A496" s="7" t="inlineStr">
        <is>
          <t>ORD-04707</t>
        </is>
      </c>
      <c r="B496" s="8" t="n">
        <v>45066</v>
      </c>
      <c r="C496" s="9" t="n">
        <v>45047</v>
      </c>
      <c r="D496" s="7" t="n">
        <v>2023</v>
      </c>
      <c r="E496" s="7" t="inlineStr">
        <is>
          <t>North</t>
        </is>
      </c>
      <c r="F496" s="7" t="inlineStr">
        <is>
          <t>Office Supplies</t>
        </is>
      </c>
      <c r="G496" s="7" t="inlineStr">
        <is>
          <t>Paper</t>
        </is>
      </c>
      <c r="H496" s="7" t="inlineStr">
        <is>
          <t>Consumer</t>
        </is>
      </c>
      <c r="I496" s="7" t="n">
        <v>11</v>
      </c>
      <c r="J496" s="10" t="n">
        <v>24.73</v>
      </c>
      <c r="K496" s="11" t="n">
        <v>0.05</v>
      </c>
      <c r="L496" s="10">
        <f>I496*J496*(1-K496)</f>
        <v/>
      </c>
      <c r="M496" s="10" t="n">
        <v>137.5</v>
      </c>
      <c r="N496" s="10">
        <f>L496-M496</f>
        <v/>
      </c>
    </row>
    <row r="497">
      <c r="A497" s="7" t="inlineStr">
        <is>
          <t>ORD-01810</t>
        </is>
      </c>
      <c r="B497" s="8" t="n">
        <v>45066</v>
      </c>
      <c r="C497" s="9" t="n">
        <v>45047</v>
      </c>
      <c r="D497" s="7" t="n">
        <v>2023</v>
      </c>
      <c r="E497" s="7" t="inlineStr">
        <is>
          <t>West</t>
        </is>
      </c>
      <c r="F497" s="7" t="inlineStr">
        <is>
          <t>Office Supplies</t>
        </is>
      </c>
      <c r="G497" s="7" t="inlineStr">
        <is>
          <t>Paper</t>
        </is>
      </c>
      <c r="H497" s="7" t="inlineStr">
        <is>
          <t>Home Office</t>
        </is>
      </c>
      <c r="I497" s="7" t="n">
        <v>4</v>
      </c>
      <c r="J497" s="10" t="n">
        <v>23.83</v>
      </c>
      <c r="K497" s="11" t="n">
        <v>0</v>
      </c>
      <c r="L497" s="10">
        <f>I497*J497*(1-K497)</f>
        <v/>
      </c>
      <c r="M497" s="10" t="n">
        <v>50</v>
      </c>
      <c r="N497" s="10">
        <f>L497-M497</f>
        <v/>
      </c>
    </row>
    <row r="498">
      <c r="A498" s="7" t="inlineStr">
        <is>
          <t>ORD-03594</t>
        </is>
      </c>
      <c r="B498" s="8" t="n">
        <v>45066</v>
      </c>
      <c r="C498" s="9" t="n">
        <v>45047</v>
      </c>
      <c r="D498" s="7" t="n">
        <v>2023</v>
      </c>
      <c r="E498" s="7" t="inlineStr">
        <is>
          <t>South</t>
        </is>
      </c>
      <c r="F498" s="7" t="inlineStr">
        <is>
          <t>Office Supplies</t>
        </is>
      </c>
      <c r="G498" s="7" t="inlineStr">
        <is>
          <t>Paper</t>
        </is>
      </c>
      <c r="H498" s="7" t="inlineStr">
        <is>
          <t>Consumer</t>
        </is>
      </c>
      <c r="I498" s="7" t="n">
        <v>6</v>
      </c>
      <c r="J498" s="10" t="n">
        <v>24.94</v>
      </c>
      <c r="K498" s="11" t="n">
        <v>0</v>
      </c>
      <c r="L498" s="10">
        <f>I498*J498*(1-K498)</f>
        <v/>
      </c>
      <c r="M498" s="10" t="n">
        <v>75</v>
      </c>
      <c r="N498" s="10">
        <f>L498-M498</f>
        <v/>
      </c>
    </row>
    <row r="499">
      <c r="A499" s="7" t="inlineStr">
        <is>
          <t>ORD-03427</t>
        </is>
      </c>
      <c r="B499" s="8" t="n">
        <v>45066</v>
      </c>
      <c r="C499" s="9" t="n">
        <v>45047</v>
      </c>
      <c r="D499" s="7" t="n">
        <v>2023</v>
      </c>
      <c r="E499" s="7" t="inlineStr">
        <is>
          <t>West</t>
        </is>
      </c>
      <c r="F499" s="7" t="inlineStr">
        <is>
          <t>Technology</t>
        </is>
      </c>
      <c r="G499" s="7" t="inlineStr">
        <is>
          <t>Smartphone</t>
        </is>
      </c>
      <c r="H499" s="7" t="inlineStr">
        <is>
          <t>Home Office</t>
        </is>
      </c>
      <c r="I499" s="7" t="n">
        <v>3</v>
      </c>
      <c r="J499" s="10" t="n">
        <v>595.29</v>
      </c>
      <c r="K499" s="11" t="n">
        <v>0.2</v>
      </c>
      <c r="L499" s="10">
        <f>I499*J499*(1-K499)</f>
        <v/>
      </c>
      <c r="M499" s="10" t="n">
        <v>1350</v>
      </c>
      <c r="N499" s="10">
        <f>L499-M499</f>
        <v/>
      </c>
    </row>
    <row r="500">
      <c r="A500" s="7" t="inlineStr">
        <is>
          <t>ORD-03981</t>
        </is>
      </c>
      <c r="B500" s="8" t="n">
        <v>45067</v>
      </c>
      <c r="C500" s="9" t="n">
        <v>45047</v>
      </c>
      <c r="D500" s="7" t="n">
        <v>2023</v>
      </c>
      <c r="E500" s="7" t="inlineStr">
        <is>
          <t>West</t>
        </is>
      </c>
      <c r="F500" s="7" t="inlineStr">
        <is>
          <t>Office Supplies</t>
        </is>
      </c>
      <c r="G500" s="7" t="inlineStr">
        <is>
          <t>Paper</t>
        </is>
      </c>
      <c r="H500" s="7" t="inlineStr">
        <is>
          <t>Consumer</t>
        </is>
      </c>
      <c r="I500" s="7" t="n">
        <v>15</v>
      </c>
      <c r="J500" s="10" t="n">
        <v>24.05</v>
      </c>
      <c r="K500" s="11" t="n">
        <v>0</v>
      </c>
      <c r="L500" s="10">
        <f>I500*J500*(1-K500)</f>
        <v/>
      </c>
      <c r="M500" s="10" t="n">
        <v>187.5</v>
      </c>
      <c r="N500" s="10">
        <f>L500-M500</f>
        <v/>
      </c>
    </row>
    <row r="501">
      <c r="A501" s="7" t="inlineStr">
        <is>
          <t>ORD-04019</t>
        </is>
      </c>
      <c r="B501" s="8" t="n">
        <v>45068</v>
      </c>
      <c r="C501" s="9" t="n">
        <v>45047</v>
      </c>
      <c r="D501" s="7" t="n">
        <v>2023</v>
      </c>
      <c r="E501" s="7" t="inlineStr">
        <is>
          <t>West</t>
        </is>
      </c>
      <c r="F501" s="7" t="inlineStr">
        <is>
          <t>Office Supplies</t>
        </is>
      </c>
      <c r="G501" s="7" t="inlineStr">
        <is>
          <t>Pens</t>
        </is>
      </c>
      <c r="H501" s="7" t="inlineStr">
        <is>
          <t>Corporate</t>
        </is>
      </c>
      <c r="I501" s="7" t="n">
        <v>14</v>
      </c>
      <c r="J501" s="10" t="n">
        <v>11.66</v>
      </c>
      <c r="K501" s="11" t="n">
        <v>0.05</v>
      </c>
      <c r="L501" s="10">
        <f>I501*J501*(1-K501)</f>
        <v/>
      </c>
      <c r="M501" s="10" t="n">
        <v>75.59999999999999</v>
      </c>
      <c r="N501" s="10">
        <f>L501-M501</f>
        <v/>
      </c>
    </row>
    <row r="502">
      <c r="A502" s="7" t="inlineStr">
        <is>
          <t>ORD-00098</t>
        </is>
      </c>
      <c r="B502" s="8" t="n">
        <v>45068</v>
      </c>
      <c r="C502" s="9" t="n">
        <v>45047</v>
      </c>
      <c r="D502" s="7" t="n">
        <v>2023</v>
      </c>
      <c r="E502" s="7" t="inlineStr">
        <is>
          <t>East</t>
        </is>
      </c>
      <c r="F502" s="7" t="inlineStr">
        <is>
          <t>Office Supplies</t>
        </is>
      </c>
      <c r="G502" s="7" t="inlineStr">
        <is>
          <t>Paper</t>
        </is>
      </c>
      <c r="H502" s="7" t="inlineStr">
        <is>
          <t>Consumer</t>
        </is>
      </c>
      <c r="I502" s="7" t="n">
        <v>6</v>
      </c>
      <c r="J502" s="10" t="n">
        <v>25.44</v>
      </c>
      <c r="K502" s="11" t="n">
        <v>0.05</v>
      </c>
      <c r="L502" s="10">
        <f>I502*J502*(1-K502)</f>
        <v/>
      </c>
      <c r="M502" s="10" t="n">
        <v>75</v>
      </c>
      <c r="N502" s="10">
        <f>L502-M502</f>
        <v/>
      </c>
    </row>
    <row r="503">
      <c r="A503" s="7" t="inlineStr">
        <is>
          <t>ORD-05780</t>
        </is>
      </c>
      <c r="B503" s="8" t="n">
        <v>45068</v>
      </c>
      <c r="C503" s="9" t="n">
        <v>45047</v>
      </c>
      <c r="D503" s="7" t="n">
        <v>2023</v>
      </c>
      <c r="E503" s="7" t="inlineStr">
        <is>
          <t>North</t>
        </is>
      </c>
      <c r="F503" s="7" t="inlineStr">
        <is>
          <t>Furniture</t>
        </is>
      </c>
      <c r="G503" s="7" t="inlineStr">
        <is>
          <t>Bookcase</t>
        </is>
      </c>
      <c r="H503" s="7" t="inlineStr">
        <is>
          <t>Consumer</t>
        </is>
      </c>
      <c r="I503" s="7" t="n">
        <v>3</v>
      </c>
      <c r="J503" s="10" t="n">
        <v>187.97</v>
      </c>
      <c r="K503" s="11" t="n">
        <v>0.3</v>
      </c>
      <c r="L503" s="10">
        <f>I503*J503*(1-K503)</f>
        <v/>
      </c>
      <c r="M503" s="10" t="n">
        <v>432</v>
      </c>
      <c r="N503" s="10">
        <f>L503-M503</f>
        <v/>
      </c>
    </row>
    <row r="504">
      <c r="A504" s="7" t="inlineStr">
        <is>
          <t>ORD-02216</t>
        </is>
      </c>
      <c r="B504" s="8" t="n">
        <v>45068</v>
      </c>
      <c r="C504" s="9" t="n">
        <v>45047</v>
      </c>
      <c r="D504" s="7" t="n">
        <v>2023</v>
      </c>
      <c r="E504" s="7" t="inlineStr">
        <is>
          <t>West</t>
        </is>
      </c>
      <c r="F504" s="7" t="inlineStr">
        <is>
          <t>Furniture</t>
        </is>
      </c>
      <c r="G504" s="7" t="inlineStr">
        <is>
          <t>Bookcase</t>
        </is>
      </c>
      <c r="H504" s="7" t="inlineStr">
        <is>
          <t>Consumer</t>
        </is>
      </c>
      <c r="I504" s="7" t="n">
        <v>4</v>
      </c>
      <c r="J504" s="10" t="n">
        <v>171.49</v>
      </c>
      <c r="K504" s="11" t="n">
        <v>0.3</v>
      </c>
      <c r="L504" s="10">
        <f>I504*J504*(1-K504)</f>
        <v/>
      </c>
      <c r="M504" s="10" t="n">
        <v>576</v>
      </c>
      <c r="N504" s="10">
        <f>L504-M504</f>
        <v/>
      </c>
    </row>
    <row r="505">
      <c r="A505" s="7" t="inlineStr">
        <is>
          <t>ORD-00364</t>
        </is>
      </c>
      <c r="B505" s="8" t="n">
        <v>45068</v>
      </c>
      <c r="C505" s="9" t="n">
        <v>45047</v>
      </c>
      <c r="D505" s="7" t="n">
        <v>2023</v>
      </c>
      <c r="E505" s="7" t="inlineStr">
        <is>
          <t>West</t>
        </is>
      </c>
      <c r="F505" s="7" t="inlineStr">
        <is>
          <t>Office Supplies</t>
        </is>
      </c>
      <c r="G505" s="7" t="inlineStr">
        <is>
          <t>Binder</t>
        </is>
      </c>
      <c r="H505" s="7" t="inlineStr">
        <is>
          <t>Corporate</t>
        </is>
      </c>
      <c r="I505" s="7" t="n">
        <v>10</v>
      </c>
      <c r="J505" s="10" t="n">
        <v>7.63</v>
      </c>
      <c r="K505" s="11" t="n">
        <v>0.2</v>
      </c>
      <c r="L505" s="10">
        <f>I505*J505*(1-K505)</f>
        <v/>
      </c>
      <c r="M505" s="10" t="n">
        <v>32</v>
      </c>
      <c r="N505" s="10">
        <f>L505-M505</f>
        <v/>
      </c>
    </row>
    <row r="506">
      <c r="A506" s="7" t="inlineStr">
        <is>
          <t>ORD-02597</t>
        </is>
      </c>
      <c r="B506" s="8" t="n">
        <v>45069</v>
      </c>
      <c r="C506" s="9" t="n">
        <v>45047</v>
      </c>
      <c r="D506" s="7" t="n">
        <v>2023</v>
      </c>
      <c r="E506" s="7" t="inlineStr">
        <is>
          <t>South</t>
        </is>
      </c>
      <c r="F506" s="7" t="inlineStr">
        <is>
          <t>Office Supplies</t>
        </is>
      </c>
      <c r="G506" s="7" t="inlineStr">
        <is>
          <t>Printer Ink</t>
        </is>
      </c>
      <c r="H506" s="7" t="inlineStr">
        <is>
          <t>Consumer</t>
        </is>
      </c>
      <c r="I506" s="7" t="n">
        <v>4</v>
      </c>
      <c r="J506" s="10" t="n">
        <v>61.67</v>
      </c>
      <c r="K506" s="11" t="n">
        <v>0.3</v>
      </c>
      <c r="L506" s="10">
        <f>I506*J506*(1-K506)</f>
        <v/>
      </c>
      <c r="M506" s="10" t="n">
        <v>144</v>
      </c>
      <c r="N506" s="10">
        <f>L506-M506</f>
        <v/>
      </c>
    </row>
    <row r="507">
      <c r="A507" s="7" t="inlineStr">
        <is>
          <t>ORD-02349</t>
        </is>
      </c>
      <c r="B507" s="8" t="n">
        <v>45069</v>
      </c>
      <c r="C507" s="9" t="n">
        <v>45047</v>
      </c>
      <c r="D507" s="7" t="n">
        <v>2023</v>
      </c>
      <c r="E507" s="7" t="inlineStr">
        <is>
          <t>West</t>
        </is>
      </c>
      <c r="F507" s="7" t="inlineStr">
        <is>
          <t>Technology</t>
        </is>
      </c>
      <c r="G507" s="7" t="inlineStr">
        <is>
          <t>Keyboard</t>
        </is>
      </c>
      <c r="H507" s="7" t="inlineStr">
        <is>
          <t>Home Office</t>
        </is>
      </c>
      <c r="I507" s="7" t="n">
        <v>1</v>
      </c>
      <c r="J507" s="10" t="n">
        <v>43.34</v>
      </c>
      <c r="K507" s="11" t="n">
        <v>0</v>
      </c>
      <c r="L507" s="10">
        <f>I507*J507*(1-K507)</f>
        <v/>
      </c>
      <c r="M507" s="10" t="n">
        <v>24.75</v>
      </c>
      <c r="N507" s="10">
        <f>L507-M507</f>
        <v/>
      </c>
    </row>
    <row r="508">
      <c r="A508" s="7" t="inlineStr">
        <is>
          <t>ORD-02896</t>
        </is>
      </c>
      <c r="B508" s="8" t="n">
        <v>45069</v>
      </c>
      <c r="C508" s="9" t="n">
        <v>45047</v>
      </c>
      <c r="D508" s="7" t="n">
        <v>2023</v>
      </c>
      <c r="E508" s="7" t="inlineStr">
        <is>
          <t>West</t>
        </is>
      </c>
      <c r="F508" s="7" t="inlineStr">
        <is>
          <t>Office Supplies</t>
        </is>
      </c>
      <c r="G508" s="7" t="inlineStr">
        <is>
          <t>Binder</t>
        </is>
      </c>
      <c r="H508" s="7" t="inlineStr">
        <is>
          <t>Home Office</t>
        </is>
      </c>
      <c r="I508" s="7" t="n">
        <v>7</v>
      </c>
      <c r="J508" s="10" t="n">
        <v>7.76</v>
      </c>
      <c r="K508" s="11" t="n">
        <v>0</v>
      </c>
      <c r="L508" s="10">
        <f>I508*J508*(1-K508)</f>
        <v/>
      </c>
      <c r="M508" s="10" t="n">
        <v>22.4</v>
      </c>
      <c r="N508" s="10">
        <f>L508-M508</f>
        <v/>
      </c>
    </row>
    <row r="509">
      <c r="A509" s="7" t="inlineStr">
        <is>
          <t>ORD-01991</t>
        </is>
      </c>
      <c r="B509" s="8" t="n">
        <v>45069</v>
      </c>
      <c r="C509" s="9" t="n">
        <v>45047</v>
      </c>
      <c r="D509" s="7" t="n">
        <v>2023</v>
      </c>
      <c r="E509" s="7" t="inlineStr">
        <is>
          <t>East</t>
        </is>
      </c>
      <c r="F509" s="7" t="inlineStr">
        <is>
          <t>Office Supplies</t>
        </is>
      </c>
      <c r="G509" s="7" t="inlineStr">
        <is>
          <t>Paper</t>
        </is>
      </c>
      <c r="H509" s="7" t="inlineStr">
        <is>
          <t>Corporate</t>
        </is>
      </c>
      <c r="I509" s="7" t="n">
        <v>12</v>
      </c>
      <c r="J509" s="10" t="n">
        <v>25.37</v>
      </c>
      <c r="K509" s="11" t="n">
        <v>0.05</v>
      </c>
      <c r="L509" s="10">
        <f>I509*J509*(1-K509)</f>
        <v/>
      </c>
      <c r="M509" s="10" t="n">
        <v>150</v>
      </c>
      <c r="N509" s="10">
        <f>L509-M509</f>
        <v/>
      </c>
    </row>
    <row r="510">
      <c r="A510" s="7" t="inlineStr">
        <is>
          <t>ORD-03763</t>
        </is>
      </c>
      <c r="B510" s="8" t="n">
        <v>45069</v>
      </c>
      <c r="C510" s="9" t="n">
        <v>45047</v>
      </c>
      <c r="D510" s="7" t="n">
        <v>2023</v>
      </c>
      <c r="E510" s="7" t="inlineStr">
        <is>
          <t>South</t>
        </is>
      </c>
      <c r="F510" s="7" t="inlineStr">
        <is>
          <t>Technology</t>
        </is>
      </c>
      <c r="G510" s="7" t="inlineStr">
        <is>
          <t>Keyboard</t>
        </is>
      </c>
      <c r="H510" s="7" t="inlineStr">
        <is>
          <t>Consumer</t>
        </is>
      </c>
      <c r="I510" s="7" t="n">
        <v>2</v>
      </c>
      <c r="J510" s="10" t="n">
        <v>43.56</v>
      </c>
      <c r="K510" s="11" t="n">
        <v>0</v>
      </c>
      <c r="L510" s="10">
        <f>I510*J510*(1-K510)</f>
        <v/>
      </c>
      <c r="M510" s="10" t="n">
        <v>49.5</v>
      </c>
      <c r="N510" s="10">
        <f>L510-M510</f>
        <v/>
      </c>
    </row>
    <row r="511">
      <c r="A511" s="7" t="inlineStr">
        <is>
          <t>ORD-01624</t>
        </is>
      </c>
      <c r="B511" s="8" t="n">
        <v>45070</v>
      </c>
      <c r="C511" s="9" t="n">
        <v>45047</v>
      </c>
      <c r="D511" s="7" t="n">
        <v>2023</v>
      </c>
      <c r="E511" s="7" t="inlineStr">
        <is>
          <t>West</t>
        </is>
      </c>
      <c r="F511" s="7" t="inlineStr">
        <is>
          <t>Technology</t>
        </is>
      </c>
      <c r="G511" s="7" t="inlineStr">
        <is>
          <t>Smartphone</t>
        </is>
      </c>
      <c r="H511" s="7" t="inlineStr">
        <is>
          <t>Home Office</t>
        </is>
      </c>
      <c r="I511" s="7" t="n">
        <v>1</v>
      </c>
      <c r="J511" s="10" t="n">
        <v>598.34</v>
      </c>
      <c r="K511" s="11" t="n">
        <v>0</v>
      </c>
      <c r="L511" s="10">
        <f>I511*J511*(1-K511)</f>
        <v/>
      </c>
      <c r="M511" s="10" t="n">
        <v>450</v>
      </c>
      <c r="N511" s="10">
        <f>L511-M511</f>
        <v/>
      </c>
    </row>
    <row r="512">
      <c r="A512" s="7" t="inlineStr">
        <is>
          <t>ORD-03745</t>
        </is>
      </c>
      <c r="B512" s="8" t="n">
        <v>45071</v>
      </c>
      <c r="C512" s="9" t="n">
        <v>45047</v>
      </c>
      <c r="D512" s="7" t="n">
        <v>2023</v>
      </c>
      <c r="E512" s="7" t="inlineStr">
        <is>
          <t>South</t>
        </is>
      </c>
      <c r="F512" s="7" t="inlineStr">
        <is>
          <t>Office Supplies</t>
        </is>
      </c>
      <c r="G512" s="7" t="inlineStr">
        <is>
          <t>Paper</t>
        </is>
      </c>
      <c r="H512" s="7" t="inlineStr">
        <is>
          <t>Consumer</t>
        </is>
      </c>
      <c r="I512" s="7" t="n">
        <v>5</v>
      </c>
      <c r="J512" s="10" t="n">
        <v>24.78</v>
      </c>
      <c r="K512" s="11" t="n">
        <v>0</v>
      </c>
      <c r="L512" s="10">
        <f>I512*J512*(1-K512)</f>
        <v/>
      </c>
      <c r="M512" s="10" t="n">
        <v>62.5</v>
      </c>
      <c r="N512" s="10">
        <f>L512-M512</f>
        <v/>
      </c>
    </row>
    <row r="513">
      <c r="A513" s="7" t="inlineStr">
        <is>
          <t>ORD-01764</t>
        </is>
      </c>
      <c r="B513" s="8" t="n">
        <v>45071</v>
      </c>
      <c r="C513" s="9" t="n">
        <v>45047</v>
      </c>
      <c r="D513" s="7" t="n">
        <v>2023</v>
      </c>
      <c r="E513" s="7" t="inlineStr">
        <is>
          <t>West</t>
        </is>
      </c>
      <c r="F513" s="7" t="inlineStr">
        <is>
          <t>Office Supplies</t>
        </is>
      </c>
      <c r="G513" s="7" t="inlineStr">
        <is>
          <t>Printer Ink</t>
        </is>
      </c>
      <c r="H513" s="7" t="inlineStr">
        <is>
          <t>Consumer</t>
        </is>
      </c>
      <c r="I513" s="7" t="n">
        <v>15</v>
      </c>
      <c r="J513" s="10" t="n">
        <v>60.14</v>
      </c>
      <c r="K513" s="11" t="n">
        <v>0.2</v>
      </c>
      <c r="L513" s="10">
        <f>I513*J513*(1-K513)</f>
        <v/>
      </c>
      <c r="M513" s="10" t="n">
        <v>540</v>
      </c>
      <c r="N513" s="10">
        <f>L513-M513</f>
        <v/>
      </c>
    </row>
    <row r="514">
      <c r="A514" s="7" t="inlineStr">
        <is>
          <t>ORD-04536</t>
        </is>
      </c>
      <c r="B514" s="8" t="n">
        <v>45071</v>
      </c>
      <c r="C514" s="9" t="n">
        <v>45047</v>
      </c>
      <c r="D514" s="7" t="n">
        <v>2023</v>
      </c>
      <c r="E514" s="7" t="inlineStr">
        <is>
          <t>East</t>
        </is>
      </c>
      <c r="F514" s="7" t="inlineStr">
        <is>
          <t>Office Supplies</t>
        </is>
      </c>
      <c r="G514" s="7" t="inlineStr">
        <is>
          <t>Paper</t>
        </is>
      </c>
      <c r="H514" s="7" t="inlineStr">
        <is>
          <t>Consumer</t>
        </is>
      </c>
      <c r="I514" s="7" t="n">
        <v>9</v>
      </c>
      <c r="J514" s="10" t="n">
        <v>26.07</v>
      </c>
      <c r="K514" s="11" t="n">
        <v>0</v>
      </c>
      <c r="L514" s="10">
        <f>I514*J514*(1-K514)</f>
        <v/>
      </c>
      <c r="M514" s="10" t="n">
        <v>112.5</v>
      </c>
      <c r="N514" s="10">
        <f>L514-M514</f>
        <v/>
      </c>
    </row>
    <row r="515">
      <c r="A515" s="7" t="inlineStr">
        <is>
          <t>ORD-02129</t>
        </is>
      </c>
      <c r="B515" s="8" t="n">
        <v>45071</v>
      </c>
      <c r="C515" s="9" t="n">
        <v>45047</v>
      </c>
      <c r="D515" s="7" t="n">
        <v>2023</v>
      </c>
      <c r="E515" s="7" t="inlineStr">
        <is>
          <t>South</t>
        </is>
      </c>
      <c r="F515" s="7" t="inlineStr">
        <is>
          <t>Technology</t>
        </is>
      </c>
      <c r="G515" s="7" t="inlineStr">
        <is>
          <t>Laptop</t>
        </is>
      </c>
      <c r="H515" s="7" t="inlineStr">
        <is>
          <t>Home Office</t>
        </is>
      </c>
      <c r="I515" s="7" t="n">
        <v>3</v>
      </c>
      <c r="J515" s="10" t="n">
        <v>869.28</v>
      </c>
      <c r="K515" s="11" t="n">
        <v>0.3</v>
      </c>
      <c r="L515" s="10">
        <f>I515*J515*(1-K515)</f>
        <v/>
      </c>
      <c r="M515" s="10" t="n">
        <v>2106</v>
      </c>
      <c r="N515" s="10">
        <f>L515-M515</f>
        <v/>
      </c>
    </row>
    <row r="516">
      <c r="A516" s="7" t="inlineStr">
        <is>
          <t>ORD-01427</t>
        </is>
      </c>
      <c r="B516" s="8" t="n">
        <v>45071</v>
      </c>
      <c r="C516" s="9" t="n">
        <v>45047</v>
      </c>
      <c r="D516" s="7" t="n">
        <v>2023</v>
      </c>
      <c r="E516" s="7" t="inlineStr">
        <is>
          <t>North</t>
        </is>
      </c>
      <c r="F516" s="7" t="inlineStr">
        <is>
          <t>Office Supplies</t>
        </is>
      </c>
      <c r="G516" s="7" t="inlineStr">
        <is>
          <t>Pens</t>
        </is>
      </c>
      <c r="H516" s="7" t="inlineStr">
        <is>
          <t>Home Office</t>
        </is>
      </c>
      <c r="I516" s="7" t="n">
        <v>10</v>
      </c>
      <c r="J516" s="10" t="n">
        <v>11.72</v>
      </c>
      <c r="K516" s="11" t="n">
        <v>0.05</v>
      </c>
      <c r="L516" s="10">
        <f>I516*J516*(1-K516)</f>
        <v/>
      </c>
      <c r="M516" s="10" t="n">
        <v>54</v>
      </c>
      <c r="N516" s="10">
        <f>L516-M516</f>
        <v/>
      </c>
    </row>
    <row r="517">
      <c r="A517" s="7" t="inlineStr">
        <is>
          <t>ORD-00086</t>
        </is>
      </c>
      <c r="B517" s="8" t="n">
        <v>45071</v>
      </c>
      <c r="C517" s="9" t="n">
        <v>45047</v>
      </c>
      <c r="D517" s="7" t="n">
        <v>2023</v>
      </c>
      <c r="E517" s="7" t="inlineStr">
        <is>
          <t>South</t>
        </is>
      </c>
      <c r="F517" s="7" t="inlineStr">
        <is>
          <t>Technology</t>
        </is>
      </c>
      <c r="G517" s="7" t="inlineStr">
        <is>
          <t>Headphones</t>
        </is>
      </c>
      <c r="H517" s="7" t="inlineStr">
        <is>
          <t>Corporate</t>
        </is>
      </c>
      <c r="I517" s="7" t="n">
        <v>3</v>
      </c>
      <c r="J517" s="10" t="n">
        <v>124.12</v>
      </c>
      <c r="K517" s="11" t="n">
        <v>0.1</v>
      </c>
      <c r="L517" s="10">
        <f>I517*J517*(1-K517)</f>
        <v/>
      </c>
      <c r="M517" s="10" t="n">
        <v>216</v>
      </c>
      <c r="N517" s="10">
        <f>L517-M517</f>
        <v/>
      </c>
    </row>
    <row r="518">
      <c r="A518" s="7" t="inlineStr">
        <is>
          <t>ORD-00413</t>
        </is>
      </c>
      <c r="B518" s="8" t="n">
        <v>45071</v>
      </c>
      <c r="C518" s="9" t="n">
        <v>45047</v>
      </c>
      <c r="D518" s="7" t="n">
        <v>2023</v>
      </c>
      <c r="E518" s="7" t="inlineStr">
        <is>
          <t>East</t>
        </is>
      </c>
      <c r="F518" s="7" t="inlineStr">
        <is>
          <t>Office Supplies</t>
        </is>
      </c>
      <c r="G518" s="7" t="inlineStr">
        <is>
          <t>Stapler</t>
        </is>
      </c>
      <c r="H518" s="7" t="inlineStr">
        <is>
          <t>Home Office</t>
        </is>
      </c>
      <c r="I518" s="7" t="n">
        <v>9</v>
      </c>
      <c r="J518" s="10" t="n">
        <v>15.09</v>
      </c>
      <c r="K518" s="11" t="n">
        <v>0.3</v>
      </c>
      <c r="L518" s="10">
        <f>I518*J518*(1-K518)</f>
        <v/>
      </c>
      <c r="M518" s="10" t="n">
        <v>67.5</v>
      </c>
      <c r="N518" s="10">
        <f>L518-M518</f>
        <v/>
      </c>
    </row>
    <row r="519">
      <c r="A519" s="7" t="inlineStr">
        <is>
          <t>ORD-03966</t>
        </is>
      </c>
      <c r="B519" s="8" t="n">
        <v>45071</v>
      </c>
      <c r="C519" s="9" t="n">
        <v>45047</v>
      </c>
      <c r="D519" s="7" t="n">
        <v>2023</v>
      </c>
      <c r="E519" s="7" t="inlineStr">
        <is>
          <t>West</t>
        </is>
      </c>
      <c r="F519" s="7" t="inlineStr">
        <is>
          <t>Technology</t>
        </is>
      </c>
      <c r="G519" s="7" t="inlineStr">
        <is>
          <t>Headphones</t>
        </is>
      </c>
      <c r="H519" s="7" t="inlineStr">
        <is>
          <t>Home Office</t>
        </is>
      </c>
      <c r="I519" s="7" t="n">
        <v>3</v>
      </c>
      <c r="J519" s="10" t="n">
        <v>115.86</v>
      </c>
      <c r="K519" s="11" t="n">
        <v>0.1</v>
      </c>
      <c r="L519" s="10">
        <f>I519*J519*(1-K519)</f>
        <v/>
      </c>
      <c r="M519" s="10" t="n">
        <v>216</v>
      </c>
      <c r="N519" s="10">
        <f>L519-M519</f>
        <v/>
      </c>
    </row>
    <row r="520">
      <c r="A520" s="7" t="inlineStr">
        <is>
          <t>ORD-03289</t>
        </is>
      </c>
      <c r="B520" s="8" t="n">
        <v>45071</v>
      </c>
      <c r="C520" s="9" t="n">
        <v>45047</v>
      </c>
      <c r="D520" s="7" t="n">
        <v>2023</v>
      </c>
      <c r="E520" s="7" t="inlineStr">
        <is>
          <t>East</t>
        </is>
      </c>
      <c r="F520" s="7" t="inlineStr">
        <is>
          <t>Technology</t>
        </is>
      </c>
      <c r="G520" s="7" t="inlineStr">
        <is>
          <t>Keyboard</t>
        </is>
      </c>
      <c r="H520" s="7" t="inlineStr">
        <is>
          <t>Corporate</t>
        </is>
      </c>
      <c r="I520" s="7" t="n">
        <v>1</v>
      </c>
      <c r="J520" s="10" t="n">
        <v>45.31</v>
      </c>
      <c r="K520" s="11" t="n">
        <v>0</v>
      </c>
      <c r="L520" s="10">
        <f>I520*J520*(1-K520)</f>
        <v/>
      </c>
      <c r="M520" s="10" t="n">
        <v>24.75</v>
      </c>
      <c r="N520" s="10">
        <f>L520-M520</f>
        <v/>
      </c>
    </row>
    <row r="521">
      <c r="A521" s="7" t="inlineStr">
        <is>
          <t>ORD-02463</t>
        </is>
      </c>
      <c r="B521" s="8" t="n">
        <v>45071</v>
      </c>
      <c r="C521" s="9" t="n">
        <v>45047</v>
      </c>
      <c r="D521" s="7" t="n">
        <v>2023</v>
      </c>
      <c r="E521" s="7" t="inlineStr">
        <is>
          <t>South</t>
        </is>
      </c>
      <c r="F521" s="7" t="inlineStr">
        <is>
          <t>Office Supplies</t>
        </is>
      </c>
      <c r="G521" s="7" t="inlineStr">
        <is>
          <t>Binder</t>
        </is>
      </c>
      <c r="H521" s="7" t="inlineStr">
        <is>
          <t>Corporate</t>
        </is>
      </c>
      <c r="I521" s="7" t="n">
        <v>4</v>
      </c>
      <c r="J521" s="10" t="n">
        <v>7.7</v>
      </c>
      <c r="K521" s="11" t="n">
        <v>0.2</v>
      </c>
      <c r="L521" s="10">
        <f>I521*J521*(1-K521)</f>
        <v/>
      </c>
      <c r="M521" s="10" t="n">
        <v>12.8</v>
      </c>
      <c r="N521" s="10">
        <f>L521-M521</f>
        <v/>
      </c>
    </row>
    <row r="522">
      <c r="A522" s="7" t="inlineStr">
        <is>
          <t>ORD-01456</t>
        </is>
      </c>
      <c r="B522" s="8" t="n">
        <v>45072</v>
      </c>
      <c r="C522" s="9" t="n">
        <v>45047</v>
      </c>
      <c r="D522" s="7" t="n">
        <v>2023</v>
      </c>
      <c r="E522" s="7" t="inlineStr">
        <is>
          <t>East</t>
        </is>
      </c>
      <c r="F522" s="7" t="inlineStr">
        <is>
          <t>Office Supplies</t>
        </is>
      </c>
      <c r="G522" s="7" t="inlineStr">
        <is>
          <t>Printer Ink</t>
        </is>
      </c>
      <c r="H522" s="7" t="inlineStr">
        <is>
          <t>Corporate</t>
        </is>
      </c>
      <c r="I522" s="7" t="n">
        <v>14</v>
      </c>
      <c r="J522" s="10" t="n">
        <v>57.72</v>
      </c>
      <c r="K522" s="11" t="n">
        <v>0</v>
      </c>
      <c r="L522" s="10">
        <f>I522*J522*(1-K522)</f>
        <v/>
      </c>
      <c r="M522" s="10" t="n">
        <v>504</v>
      </c>
      <c r="N522" s="10">
        <f>L522-M522</f>
        <v/>
      </c>
    </row>
    <row r="523">
      <c r="A523" s="7" t="inlineStr">
        <is>
          <t>ORD-02064</t>
        </is>
      </c>
      <c r="B523" s="8" t="n">
        <v>45072</v>
      </c>
      <c r="C523" s="9" t="n">
        <v>45047</v>
      </c>
      <c r="D523" s="7" t="n">
        <v>2023</v>
      </c>
      <c r="E523" s="7" t="inlineStr">
        <is>
          <t>South</t>
        </is>
      </c>
      <c r="F523" s="7" t="inlineStr">
        <is>
          <t>Technology</t>
        </is>
      </c>
      <c r="G523" s="7" t="inlineStr">
        <is>
          <t>Laptop</t>
        </is>
      </c>
      <c r="H523" s="7" t="inlineStr">
        <is>
          <t>Consumer</t>
        </is>
      </c>
      <c r="I523" s="7" t="n">
        <v>1</v>
      </c>
      <c r="J523" s="10" t="n">
        <v>940.92</v>
      </c>
      <c r="K523" s="11" t="n">
        <v>0</v>
      </c>
      <c r="L523" s="10">
        <f>I523*J523*(1-K523)</f>
        <v/>
      </c>
      <c r="M523" s="10" t="n">
        <v>702</v>
      </c>
      <c r="N523" s="10">
        <f>L523-M523</f>
        <v/>
      </c>
    </row>
    <row r="524">
      <c r="A524" s="7" t="inlineStr">
        <is>
          <t>ORD-03948</t>
        </is>
      </c>
      <c r="B524" s="8" t="n">
        <v>45072</v>
      </c>
      <c r="C524" s="9" t="n">
        <v>45047</v>
      </c>
      <c r="D524" s="7" t="n">
        <v>2023</v>
      </c>
      <c r="E524" s="7" t="inlineStr">
        <is>
          <t>West</t>
        </is>
      </c>
      <c r="F524" s="7" t="inlineStr">
        <is>
          <t>Office Supplies</t>
        </is>
      </c>
      <c r="G524" s="7" t="inlineStr">
        <is>
          <t>Paper</t>
        </is>
      </c>
      <c r="H524" s="7" t="inlineStr">
        <is>
          <t>Consumer</t>
        </is>
      </c>
      <c r="I524" s="7" t="n">
        <v>9</v>
      </c>
      <c r="J524" s="10" t="n">
        <v>23.94</v>
      </c>
      <c r="K524" s="11" t="n">
        <v>0</v>
      </c>
      <c r="L524" s="10">
        <f>I524*J524*(1-K524)</f>
        <v/>
      </c>
      <c r="M524" s="10" t="n">
        <v>112.5</v>
      </c>
      <c r="N524" s="10">
        <f>L524-M524</f>
        <v/>
      </c>
    </row>
    <row r="525">
      <c r="A525" s="7" t="inlineStr">
        <is>
          <t>ORD-00455</t>
        </is>
      </c>
      <c r="B525" s="8" t="n">
        <v>45073</v>
      </c>
      <c r="C525" s="9" t="n">
        <v>45047</v>
      </c>
      <c r="D525" s="7" t="n">
        <v>2023</v>
      </c>
      <c r="E525" s="7" t="inlineStr">
        <is>
          <t>South</t>
        </is>
      </c>
      <c r="F525" s="7" t="inlineStr">
        <is>
          <t>Office Supplies</t>
        </is>
      </c>
      <c r="G525" s="7" t="inlineStr">
        <is>
          <t>Printer Ink</t>
        </is>
      </c>
      <c r="H525" s="7" t="inlineStr">
        <is>
          <t>Corporate</t>
        </is>
      </c>
      <c r="I525" s="7" t="n">
        <v>11</v>
      </c>
      <c r="J525" s="10" t="n">
        <v>58.05</v>
      </c>
      <c r="K525" s="11" t="n">
        <v>0.2</v>
      </c>
      <c r="L525" s="10">
        <f>I525*J525*(1-K525)</f>
        <v/>
      </c>
      <c r="M525" s="10" t="n">
        <v>396</v>
      </c>
      <c r="N525" s="10">
        <f>L525-M525</f>
        <v/>
      </c>
    </row>
    <row r="526">
      <c r="A526" s="7" t="inlineStr">
        <is>
          <t>ORD-05436</t>
        </is>
      </c>
      <c r="B526" s="8" t="n">
        <v>45073</v>
      </c>
      <c r="C526" s="9" t="n">
        <v>45047</v>
      </c>
      <c r="D526" s="7" t="n">
        <v>2023</v>
      </c>
      <c r="E526" s="7" t="inlineStr">
        <is>
          <t>East</t>
        </is>
      </c>
      <c r="F526" s="7" t="inlineStr">
        <is>
          <t>Technology</t>
        </is>
      </c>
      <c r="G526" s="7" t="inlineStr">
        <is>
          <t>Monitor</t>
        </is>
      </c>
      <c r="H526" s="7" t="inlineStr">
        <is>
          <t>Home Office</t>
        </is>
      </c>
      <c r="I526" s="7" t="n">
        <v>1</v>
      </c>
      <c r="J526" s="10" t="n">
        <v>254.27</v>
      </c>
      <c r="K526" s="11" t="n">
        <v>0.2</v>
      </c>
      <c r="L526" s="10">
        <f>I526*J526*(1-K526)</f>
        <v/>
      </c>
      <c r="M526" s="10" t="n">
        <v>180</v>
      </c>
      <c r="N526" s="10">
        <f>L526-M526</f>
        <v/>
      </c>
    </row>
    <row r="527">
      <c r="A527" s="7" t="inlineStr">
        <is>
          <t>ORD-01041</t>
        </is>
      </c>
      <c r="B527" s="8" t="n">
        <v>45073</v>
      </c>
      <c r="C527" s="9" t="n">
        <v>45047</v>
      </c>
      <c r="D527" s="7" t="n">
        <v>2023</v>
      </c>
      <c r="E527" s="7" t="inlineStr">
        <is>
          <t>South</t>
        </is>
      </c>
      <c r="F527" s="7" t="inlineStr">
        <is>
          <t>Office Supplies</t>
        </is>
      </c>
      <c r="G527" s="7" t="inlineStr">
        <is>
          <t>Paper</t>
        </is>
      </c>
      <c r="H527" s="7" t="inlineStr">
        <is>
          <t>Home Office</t>
        </is>
      </c>
      <c r="I527" s="7" t="n">
        <v>4</v>
      </c>
      <c r="J527" s="10" t="n">
        <v>23.8</v>
      </c>
      <c r="K527" s="11" t="n">
        <v>0</v>
      </c>
      <c r="L527" s="10">
        <f>I527*J527*(1-K527)</f>
        <v/>
      </c>
      <c r="M527" s="10" t="n">
        <v>50</v>
      </c>
      <c r="N527" s="10">
        <f>L527-M527</f>
        <v/>
      </c>
    </row>
    <row r="528">
      <c r="A528" s="7" t="inlineStr">
        <is>
          <t>ORD-03018</t>
        </is>
      </c>
      <c r="B528" s="8" t="n">
        <v>45073</v>
      </c>
      <c r="C528" s="9" t="n">
        <v>45047</v>
      </c>
      <c r="D528" s="7" t="n">
        <v>2023</v>
      </c>
      <c r="E528" s="7" t="inlineStr">
        <is>
          <t>East</t>
        </is>
      </c>
      <c r="F528" s="7" t="inlineStr">
        <is>
          <t>Office Supplies</t>
        </is>
      </c>
      <c r="G528" s="7" t="inlineStr">
        <is>
          <t>Pens</t>
        </is>
      </c>
      <c r="H528" s="7" t="inlineStr">
        <is>
          <t>Home Office</t>
        </is>
      </c>
      <c r="I528" s="7" t="n">
        <v>12</v>
      </c>
      <c r="J528" s="10" t="n">
        <v>12.08</v>
      </c>
      <c r="K528" s="11" t="n">
        <v>0</v>
      </c>
      <c r="L528" s="10">
        <f>I528*J528*(1-K528)</f>
        <v/>
      </c>
      <c r="M528" s="10" t="n">
        <v>64.8</v>
      </c>
      <c r="N528" s="10">
        <f>L528-M528</f>
        <v/>
      </c>
    </row>
    <row r="529">
      <c r="A529" s="7" t="inlineStr">
        <is>
          <t>ORD-03693</t>
        </is>
      </c>
      <c r="B529" s="8" t="n">
        <v>45074</v>
      </c>
      <c r="C529" s="9" t="n">
        <v>45047</v>
      </c>
      <c r="D529" s="7" t="n">
        <v>2023</v>
      </c>
      <c r="E529" s="7" t="inlineStr">
        <is>
          <t>South</t>
        </is>
      </c>
      <c r="F529" s="7" t="inlineStr">
        <is>
          <t>Office Supplies</t>
        </is>
      </c>
      <c r="G529" s="7" t="inlineStr">
        <is>
          <t>Pens</t>
        </is>
      </c>
      <c r="H529" s="7" t="inlineStr">
        <is>
          <t>Consumer</t>
        </is>
      </c>
      <c r="I529" s="7" t="n">
        <v>4</v>
      </c>
      <c r="J529" s="10" t="n">
        <v>11.98</v>
      </c>
      <c r="K529" s="11" t="n">
        <v>0</v>
      </c>
      <c r="L529" s="10">
        <f>I529*J529*(1-K529)</f>
        <v/>
      </c>
      <c r="M529" s="10" t="n">
        <v>21.6</v>
      </c>
      <c r="N529" s="10">
        <f>L529-M529</f>
        <v/>
      </c>
    </row>
    <row r="530">
      <c r="A530" s="7" t="inlineStr">
        <is>
          <t>ORD-05300</t>
        </is>
      </c>
      <c r="B530" s="8" t="n">
        <v>45074</v>
      </c>
      <c r="C530" s="9" t="n">
        <v>45047</v>
      </c>
      <c r="D530" s="7" t="n">
        <v>2023</v>
      </c>
      <c r="E530" s="7" t="inlineStr">
        <is>
          <t>South</t>
        </is>
      </c>
      <c r="F530" s="7" t="inlineStr">
        <is>
          <t>Office Supplies</t>
        </is>
      </c>
      <c r="G530" s="7" t="inlineStr">
        <is>
          <t>Stapler</t>
        </is>
      </c>
      <c r="H530" s="7" t="inlineStr">
        <is>
          <t>Consumer</t>
        </is>
      </c>
      <c r="I530" s="7" t="n">
        <v>5</v>
      </c>
      <c r="J530" s="10" t="n">
        <v>14.58</v>
      </c>
      <c r="K530" s="11" t="n">
        <v>0</v>
      </c>
      <c r="L530" s="10">
        <f>I530*J530*(1-K530)</f>
        <v/>
      </c>
      <c r="M530" s="10" t="n">
        <v>37.5</v>
      </c>
      <c r="N530" s="10">
        <f>L530-M530</f>
        <v/>
      </c>
    </row>
    <row r="531">
      <c r="A531" s="7" t="inlineStr">
        <is>
          <t>ORD-02264</t>
        </is>
      </c>
      <c r="B531" s="8" t="n">
        <v>45075</v>
      </c>
      <c r="C531" s="9" t="n">
        <v>45047</v>
      </c>
      <c r="D531" s="7" t="n">
        <v>2023</v>
      </c>
      <c r="E531" s="7" t="inlineStr">
        <is>
          <t>North</t>
        </is>
      </c>
      <c r="F531" s="7" t="inlineStr">
        <is>
          <t>Office Supplies</t>
        </is>
      </c>
      <c r="G531" s="7" t="inlineStr">
        <is>
          <t>Pens</t>
        </is>
      </c>
      <c r="H531" s="7" t="inlineStr">
        <is>
          <t>Consumer</t>
        </is>
      </c>
      <c r="I531" s="7" t="n">
        <v>15</v>
      </c>
      <c r="J531" s="10" t="n">
        <v>11.96</v>
      </c>
      <c r="K531" s="11" t="n">
        <v>0.05</v>
      </c>
      <c r="L531" s="10">
        <f>I531*J531*(1-K531)</f>
        <v/>
      </c>
      <c r="M531" s="10" t="n">
        <v>81</v>
      </c>
      <c r="N531" s="10">
        <f>L531-M531</f>
        <v/>
      </c>
    </row>
    <row r="532">
      <c r="A532" s="7" t="inlineStr">
        <is>
          <t>ORD-02741</t>
        </is>
      </c>
      <c r="B532" s="8" t="n">
        <v>45075</v>
      </c>
      <c r="C532" s="9" t="n">
        <v>45047</v>
      </c>
      <c r="D532" s="7" t="n">
        <v>2023</v>
      </c>
      <c r="E532" s="7" t="inlineStr">
        <is>
          <t>West</t>
        </is>
      </c>
      <c r="F532" s="7" t="inlineStr">
        <is>
          <t>Office Supplies</t>
        </is>
      </c>
      <c r="G532" s="7" t="inlineStr">
        <is>
          <t>Paper</t>
        </is>
      </c>
      <c r="H532" s="7" t="inlineStr">
        <is>
          <t>Corporate</t>
        </is>
      </c>
      <c r="I532" s="7" t="n">
        <v>13</v>
      </c>
      <c r="J532" s="10" t="n">
        <v>25.08</v>
      </c>
      <c r="K532" s="11" t="n">
        <v>0.1</v>
      </c>
      <c r="L532" s="10">
        <f>I532*J532*(1-K532)</f>
        <v/>
      </c>
      <c r="M532" s="10" t="n">
        <v>162.5</v>
      </c>
      <c r="N532" s="10">
        <f>L532-M532</f>
        <v/>
      </c>
    </row>
    <row r="533">
      <c r="A533" s="7" t="inlineStr">
        <is>
          <t>ORD-01170</t>
        </is>
      </c>
      <c r="B533" s="8" t="n">
        <v>45075</v>
      </c>
      <c r="C533" s="9" t="n">
        <v>45047</v>
      </c>
      <c r="D533" s="7" t="n">
        <v>2023</v>
      </c>
      <c r="E533" s="7" t="inlineStr">
        <is>
          <t>West</t>
        </is>
      </c>
      <c r="F533" s="7" t="inlineStr">
        <is>
          <t>Office Supplies</t>
        </is>
      </c>
      <c r="G533" s="7" t="inlineStr">
        <is>
          <t>Paper</t>
        </is>
      </c>
      <c r="H533" s="7" t="inlineStr">
        <is>
          <t>Consumer</t>
        </is>
      </c>
      <c r="I533" s="7" t="n">
        <v>9</v>
      </c>
      <c r="J533" s="10" t="n">
        <v>25.23</v>
      </c>
      <c r="K533" s="11" t="n">
        <v>0</v>
      </c>
      <c r="L533" s="10">
        <f>I533*J533*(1-K533)</f>
        <v/>
      </c>
      <c r="M533" s="10" t="n">
        <v>112.5</v>
      </c>
      <c r="N533" s="10">
        <f>L533-M533</f>
        <v/>
      </c>
    </row>
    <row r="534">
      <c r="A534" s="7" t="inlineStr">
        <is>
          <t>ORD-03940</t>
        </is>
      </c>
      <c r="B534" s="8" t="n">
        <v>45075</v>
      </c>
      <c r="C534" s="9" t="n">
        <v>45047</v>
      </c>
      <c r="D534" s="7" t="n">
        <v>2023</v>
      </c>
      <c r="E534" s="7" t="inlineStr">
        <is>
          <t>South</t>
        </is>
      </c>
      <c r="F534" s="7" t="inlineStr">
        <is>
          <t>Office Supplies</t>
        </is>
      </c>
      <c r="G534" s="7" t="inlineStr">
        <is>
          <t>Paper</t>
        </is>
      </c>
      <c r="H534" s="7" t="inlineStr">
        <is>
          <t>Consumer</t>
        </is>
      </c>
      <c r="I534" s="7" t="n">
        <v>15</v>
      </c>
      <c r="J534" s="10" t="n">
        <v>24.92</v>
      </c>
      <c r="K534" s="11" t="n">
        <v>0</v>
      </c>
      <c r="L534" s="10">
        <f>I534*J534*(1-K534)</f>
        <v/>
      </c>
      <c r="M534" s="10" t="n">
        <v>187.5</v>
      </c>
      <c r="N534" s="10">
        <f>L534-M534</f>
        <v/>
      </c>
    </row>
    <row r="535">
      <c r="A535" s="7" t="inlineStr">
        <is>
          <t>ORD-02150</t>
        </is>
      </c>
      <c r="B535" s="8" t="n">
        <v>45075</v>
      </c>
      <c r="C535" s="9" t="n">
        <v>45047</v>
      </c>
      <c r="D535" s="7" t="n">
        <v>2023</v>
      </c>
      <c r="E535" s="7" t="inlineStr">
        <is>
          <t>West</t>
        </is>
      </c>
      <c r="F535" s="7" t="inlineStr">
        <is>
          <t>Office Supplies</t>
        </is>
      </c>
      <c r="G535" s="7" t="inlineStr">
        <is>
          <t>Printer Ink</t>
        </is>
      </c>
      <c r="H535" s="7" t="inlineStr">
        <is>
          <t>Home Office</t>
        </is>
      </c>
      <c r="I535" s="7" t="n">
        <v>6</v>
      </c>
      <c r="J535" s="10" t="n">
        <v>61.17</v>
      </c>
      <c r="K535" s="11" t="n">
        <v>0.05</v>
      </c>
      <c r="L535" s="10">
        <f>I535*J535*(1-K535)</f>
        <v/>
      </c>
      <c r="M535" s="10" t="n">
        <v>216</v>
      </c>
      <c r="N535" s="10">
        <f>L535-M535</f>
        <v/>
      </c>
    </row>
    <row r="536">
      <c r="A536" s="7" t="inlineStr">
        <is>
          <t>ORD-00845</t>
        </is>
      </c>
      <c r="B536" s="8" t="n">
        <v>45076</v>
      </c>
      <c r="C536" s="9" t="n">
        <v>45047</v>
      </c>
      <c r="D536" s="7" t="n">
        <v>2023</v>
      </c>
      <c r="E536" s="7" t="inlineStr">
        <is>
          <t>South</t>
        </is>
      </c>
      <c r="F536" s="7" t="inlineStr">
        <is>
          <t>Furniture</t>
        </is>
      </c>
      <c r="G536" s="7" t="inlineStr">
        <is>
          <t>Office Chair</t>
        </is>
      </c>
      <c r="H536" s="7" t="inlineStr">
        <is>
          <t>Consumer</t>
        </is>
      </c>
      <c r="I536" s="7" t="n">
        <v>1</v>
      </c>
      <c r="J536" s="10" t="n">
        <v>222.22</v>
      </c>
      <c r="K536" s="11" t="n">
        <v>0.1</v>
      </c>
      <c r="L536" s="10">
        <f>I536*J536*(1-K536)</f>
        <v/>
      </c>
      <c r="M536" s="10" t="n">
        <v>180.4</v>
      </c>
      <c r="N536" s="10">
        <f>L536-M536</f>
        <v/>
      </c>
    </row>
    <row r="537">
      <c r="A537" s="7" t="inlineStr">
        <is>
          <t>ORD-02882</t>
        </is>
      </c>
      <c r="B537" s="8" t="n">
        <v>45076</v>
      </c>
      <c r="C537" s="9" t="n">
        <v>45047</v>
      </c>
      <c r="D537" s="7" t="n">
        <v>2023</v>
      </c>
      <c r="E537" s="7" t="inlineStr">
        <is>
          <t>North</t>
        </is>
      </c>
      <c r="F537" s="7" t="inlineStr">
        <is>
          <t>Furniture</t>
        </is>
      </c>
      <c r="G537" s="7" t="inlineStr">
        <is>
          <t>Office Chair</t>
        </is>
      </c>
      <c r="H537" s="7" t="inlineStr">
        <is>
          <t>Corporate</t>
        </is>
      </c>
      <c r="I537" s="7" t="n">
        <v>1</v>
      </c>
      <c r="J537" s="10" t="n">
        <v>213.29</v>
      </c>
      <c r="K537" s="11" t="n">
        <v>0</v>
      </c>
      <c r="L537" s="10">
        <f>I537*J537*(1-K537)</f>
        <v/>
      </c>
      <c r="M537" s="10" t="n">
        <v>180.4</v>
      </c>
      <c r="N537" s="10">
        <f>L537-M537</f>
        <v/>
      </c>
    </row>
    <row r="538">
      <c r="A538" s="7" t="inlineStr">
        <is>
          <t>ORD-02286</t>
        </is>
      </c>
      <c r="B538" s="8" t="n">
        <v>45076</v>
      </c>
      <c r="C538" s="9" t="n">
        <v>45047</v>
      </c>
      <c r="D538" s="7" t="n">
        <v>2023</v>
      </c>
      <c r="E538" s="7" t="inlineStr">
        <is>
          <t>West</t>
        </is>
      </c>
      <c r="F538" s="7" t="inlineStr">
        <is>
          <t>Furniture</t>
        </is>
      </c>
      <c r="G538" s="7" t="inlineStr">
        <is>
          <t>Desk</t>
        </is>
      </c>
      <c r="H538" s="7" t="inlineStr">
        <is>
          <t>Consumer</t>
        </is>
      </c>
      <c r="I538" s="7" t="n">
        <v>4</v>
      </c>
      <c r="J538" s="10" t="n">
        <v>430.35</v>
      </c>
      <c r="K538" s="11" t="n">
        <v>0.2</v>
      </c>
      <c r="L538" s="10">
        <f>I538*J538*(1-K538)</f>
        <v/>
      </c>
      <c r="M538" s="10" t="n">
        <v>1530</v>
      </c>
      <c r="N538" s="10">
        <f>L538-M538</f>
        <v/>
      </c>
    </row>
    <row r="539">
      <c r="A539" s="7" t="inlineStr">
        <is>
          <t>ORD-02233</t>
        </is>
      </c>
      <c r="B539" s="8" t="n">
        <v>45076</v>
      </c>
      <c r="C539" s="9" t="n">
        <v>45047</v>
      </c>
      <c r="D539" s="7" t="n">
        <v>2023</v>
      </c>
      <c r="E539" s="7" t="inlineStr">
        <is>
          <t>North</t>
        </is>
      </c>
      <c r="F539" s="7" t="inlineStr">
        <is>
          <t>Office Supplies</t>
        </is>
      </c>
      <c r="G539" s="7" t="inlineStr">
        <is>
          <t>Binder</t>
        </is>
      </c>
      <c r="H539" s="7" t="inlineStr">
        <is>
          <t>Corporate</t>
        </is>
      </c>
      <c r="I539" s="7" t="n">
        <v>14</v>
      </c>
      <c r="J539" s="10" t="n">
        <v>7.81</v>
      </c>
      <c r="K539" s="11" t="n">
        <v>0.1</v>
      </c>
      <c r="L539" s="10">
        <f>I539*J539*(1-K539)</f>
        <v/>
      </c>
      <c r="M539" s="10" t="n">
        <v>44.8</v>
      </c>
      <c r="N539" s="10">
        <f>L539-M539</f>
        <v/>
      </c>
    </row>
    <row r="540">
      <c r="A540" s="7" t="inlineStr">
        <is>
          <t>ORD-01707</t>
        </is>
      </c>
      <c r="B540" s="8" t="n">
        <v>45076</v>
      </c>
      <c r="C540" s="9" t="n">
        <v>45047</v>
      </c>
      <c r="D540" s="7" t="n">
        <v>2023</v>
      </c>
      <c r="E540" s="7" t="inlineStr">
        <is>
          <t>West</t>
        </is>
      </c>
      <c r="F540" s="7" t="inlineStr">
        <is>
          <t>Office Supplies</t>
        </is>
      </c>
      <c r="G540" s="7" t="inlineStr">
        <is>
          <t>Binder</t>
        </is>
      </c>
      <c r="H540" s="7" t="inlineStr">
        <is>
          <t>Consumer</t>
        </is>
      </c>
      <c r="I540" s="7" t="n">
        <v>10</v>
      </c>
      <c r="J540" s="10" t="n">
        <v>7.6</v>
      </c>
      <c r="K540" s="11" t="n">
        <v>0.2</v>
      </c>
      <c r="L540" s="10">
        <f>I540*J540*(1-K540)</f>
        <v/>
      </c>
      <c r="M540" s="10" t="n">
        <v>32</v>
      </c>
      <c r="N540" s="10">
        <f>L540-M540</f>
        <v/>
      </c>
    </row>
    <row r="541">
      <c r="A541" s="7" t="inlineStr">
        <is>
          <t>ORD-03284</t>
        </is>
      </c>
      <c r="B541" s="8" t="n">
        <v>45077</v>
      </c>
      <c r="C541" s="9" t="n">
        <v>45047</v>
      </c>
      <c r="D541" s="7" t="n">
        <v>2023</v>
      </c>
      <c r="E541" s="7" t="inlineStr">
        <is>
          <t>West</t>
        </is>
      </c>
      <c r="F541" s="7" t="inlineStr">
        <is>
          <t>Technology</t>
        </is>
      </c>
      <c r="G541" s="7" t="inlineStr">
        <is>
          <t>Monitor</t>
        </is>
      </c>
      <c r="H541" s="7" t="inlineStr">
        <is>
          <t>Home Office</t>
        </is>
      </c>
      <c r="I541" s="7" t="n">
        <v>2</v>
      </c>
      <c r="J541" s="10" t="n">
        <v>238.77</v>
      </c>
      <c r="K541" s="11" t="n">
        <v>0</v>
      </c>
      <c r="L541" s="10">
        <f>I541*J541*(1-K541)</f>
        <v/>
      </c>
      <c r="M541" s="10" t="n">
        <v>360</v>
      </c>
      <c r="N541" s="10">
        <f>L541-M541</f>
        <v/>
      </c>
    </row>
    <row r="542">
      <c r="A542" s="7" t="inlineStr">
        <is>
          <t>ORD-01408</t>
        </is>
      </c>
      <c r="B542" s="8" t="n">
        <v>45077</v>
      </c>
      <c r="C542" s="9" t="n">
        <v>45047</v>
      </c>
      <c r="D542" s="7" t="n">
        <v>2023</v>
      </c>
      <c r="E542" s="7" t="inlineStr">
        <is>
          <t>East</t>
        </is>
      </c>
      <c r="F542" s="7" t="inlineStr">
        <is>
          <t>Technology</t>
        </is>
      </c>
      <c r="G542" s="7" t="inlineStr">
        <is>
          <t>Headphones</t>
        </is>
      </c>
      <c r="H542" s="7" t="inlineStr">
        <is>
          <t>Corporate</t>
        </is>
      </c>
      <c r="I542" s="7" t="n">
        <v>3</v>
      </c>
      <c r="J542" s="10" t="n">
        <v>121.21</v>
      </c>
      <c r="K542" s="11" t="n">
        <v>0.2</v>
      </c>
      <c r="L542" s="10">
        <f>I542*J542*(1-K542)</f>
        <v/>
      </c>
      <c r="M542" s="10" t="n">
        <v>216</v>
      </c>
      <c r="N542" s="10">
        <f>L542-M542</f>
        <v/>
      </c>
    </row>
    <row r="543">
      <c r="A543" s="7" t="inlineStr">
        <is>
          <t>ORD-03686</t>
        </is>
      </c>
      <c r="B543" s="8" t="n">
        <v>45077</v>
      </c>
      <c r="C543" s="9" t="n">
        <v>45047</v>
      </c>
      <c r="D543" s="7" t="n">
        <v>2023</v>
      </c>
      <c r="E543" s="7" t="inlineStr">
        <is>
          <t>West</t>
        </is>
      </c>
      <c r="F543" s="7" t="inlineStr">
        <is>
          <t>Office Supplies</t>
        </is>
      </c>
      <c r="G543" s="7" t="inlineStr">
        <is>
          <t>Stapler</t>
        </is>
      </c>
      <c r="H543" s="7" t="inlineStr">
        <is>
          <t>Consumer</t>
        </is>
      </c>
      <c r="I543" s="7" t="n">
        <v>13</v>
      </c>
      <c r="J543" s="10" t="n">
        <v>15.67</v>
      </c>
      <c r="K543" s="11" t="n">
        <v>0</v>
      </c>
      <c r="L543" s="10">
        <f>I543*J543*(1-K543)</f>
        <v/>
      </c>
      <c r="M543" s="10" t="n">
        <v>97.5</v>
      </c>
      <c r="N543" s="10">
        <f>L543-M543</f>
        <v/>
      </c>
    </row>
    <row r="544">
      <c r="A544" s="7" t="inlineStr">
        <is>
          <t>ORD-01297</t>
        </is>
      </c>
      <c r="B544" s="8" t="n">
        <v>45077</v>
      </c>
      <c r="C544" s="9" t="n">
        <v>45047</v>
      </c>
      <c r="D544" s="7" t="n">
        <v>2023</v>
      </c>
      <c r="E544" s="7" t="inlineStr">
        <is>
          <t>South</t>
        </is>
      </c>
      <c r="F544" s="7" t="inlineStr">
        <is>
          <t>Technology</t>
        </is>
      </c>
      <c r="G544" s="7" t="inlineStr">
        <is>
          <t>Keyboard</t>
        </is>
      </c>
      <c r="H544" s="7" t="inlineStr">
        <is>
          <t>Consumer</t>
        </is>
      </c>
      <c r="I544" s="7" t="n">
        <v>1</v>
      </c>
      <c r="J544" s="10" t="n">
        <v>44.43</v>
      </c>
      <c r="K544" s="11" t="n">
        <v>0</v>
      </c>
      <c r="L544" s="10">
        <f>I544*J544*(1-K544)</f>
        <v/>
      </c>
      <c r="M544" s="10" t="n">
        <v>24.75</v>
      </c>
      <c r="N544" s="10">
        <f>L544-M544</f>
        <v/>
      </c>
    </row>
    <row r="545">
      <c r="A545" s="7" t="inlineStr">
        <is>
          <t>ORD-03198</t>
        </is>
      </c>
      <c r="B545" s="8" t="n">
        <v>45077</v>
      </c>
      <c r="C545" s="9" t="n">
        <v>45047</v>
      </c>
      <c r="D545" s="7" t="n">
        <v>2023</v>
      </c>
      <c r="E545" s="7" t="inlineStr">
        <is>
          <t>West</t>
        </is>
      </c>
      <c r="F545" s="7" t="inlineStr">
        <is>
          <t>Office Supplies</t>
        </is>
      </c>
      <c r="G545" s="7" t="inlineStr">
        <is>
          <t>Pens</t>
        </is>
      </c>
      <c r="H545" s="7" t="inlineStr">
        <is>
          <t>Consumer</t>
        </is>
      </c>
      <c r="I545" s="7" t="n">
        <v>11</v>
      </c>
      <c r="J545" s="10" t="n">
        <v>12.49</v>
      </c>
      <c r="K545" s="11" t="n">
        <v>0.1</v>
      </c>
      <c r="L545" s="10">
        <f>I545*J545*(1-K545)</f>
        <v/>
      </c>
      <c r="M545" s="10" t="n">
        <v>59.4</v>
      </c>
      <c r="N545" s="10">
        <f>L545-M545</f>
        <v/>
      </c>
    </row>
    <row r="546">
      <c r="A546" s="7" t="inlineStr">
        <is>
          <t>ORD-00188</t>
        </is>
      </c>
      <c r="B546" s="8" t="n">
        <v>45077</v>
      </c>
      <c r="C546" s="9" t="n">
        <v>45047</v>
      </c>
      <c r="D546" s="7" t="n">
        <v>2023</v>
      </c>
      <c r="E546" s="7" t="inlineStr">
        <is>
          <t>West</t>
        </is>
      </c>
      <c r="F546" s="7" t="inlineStr">
        <is>
          <t>Office Supplies</t>
        </is>
      </c>
      <c r="G546" s="7" t="inlineStr">
        <is>
          <t>Paper</t>
        </is>
      </c>
      <c r="H546" s="7" t="inlineStr">
        <is>
          <t>Consumer</t>
        </is>
      </c>
      <c r="I546" s="7" t="n">
        <v>9</v>
      </c>
      <c r="J546" s="10" t="n">
        <v>26.13</v>
      </c>
      <c r="K546" s="11" t="n">
        <v>0.05</v>
      </c>
      <c r="L546" s="10">
        <f>I546*J546*(1-K546)</f>
        <v/>
      </c>
      <c r="M546" s="10" t="n">
        <v>112.5</v>
      </c>
      <c r="N546" s="10">
        <f>L546-M546</f>
        <v/>
      </c>
    </row>
    <row r="547">
      <c r="A547" s="7" t="inlineStr">
        <is>
          <t>ORD-02147</t>
        </is>
      </c>
      <c r="B547" s="8" t="n">
        <v>45077</v>
      </c>
      <c r="C547" s="9" t="n">
        <v>45047</v>
      </c>
      <c r="D547" s="7" t="n">
        <v>2023</v>
      </c>
      <c r="E547" s="7" t="inlineStr">
        <is>
          <t>West</t>
        </is>
      </c>
      <c r="F547" s="7" t="inlineStr">
        <is>
          <t>Office Supplies</t>
        </is>
      </c>
      <c r="G547" s="7" t="inlineStr">
        <is>
          <t>Binder</t>
        </is>
      </c>
      <c r="H547" s="7" t="inlineStr">
        <is>
          <t>Consumer</t>
        </is>
      </c>
      <c r="I547" s="7" t="n">
        <v>9</v>
      </c>
      <c r="J547" s="10" t="n">
        <v>7.6</v>
      </c>
      <c r="K547" s="11" t="n">
        <v>0</v>
      </c>
      <c r="L547" s="10">
        <f>I547*J547*(1-K547)</f>
        <v/>
      </c>
      <c r="M547" s="10" t="n">
        <v>28.8</v>
      </c>
      <c r="N547" s="10">
        <f>L547-M547</f>
        <v/>
      </c>
    </row>
    <row r="548">
      <c r="A548" s="7" t="inlineStr">
        <is>
          <t>ORD-00005</t>
        </is>
      </c>
      <c r="B548" s="8" t="n">
        <v>45077</v>
      </c>
      <c r="C548" s="9" t="n">
        <v>45047</v>
      </c>
      <c r="D548" s="7" t="n">
        <v>2023</v>
      </c>
      <c r="E548" s="7" t="inlineStr">
        <is>
          <t>West</t>
        </is>
      </c>
      <c r="F548" s="7" t="inlineStr">
        <is>
          <t>Office Supplies</t>
        </is>
      </c>
      <c r="G548" s="7" t="inlineStr">
        <is>
          <t>Printer Ink</t>
        </is>
      </c>
      <c r="H548" s="7" t="inlineStr">
        <is>
          <t>Consumer</t>
        </is>
      </c>
      <c r="I548" s="7" t="n">
        <v>14</v>
      </c>
      <c r="J548" s="10" t="n">
        <v>62.9</v>
      </c>
      <c r="K548" s="11" t="n">
        <v>0</v>
      </c>
      <c r="L548" s="10">
        <f>I548*J548*(1-K548)</f>
        <v/>
      </c>
      <c r="M548" s="10" t="n">
        <v>504</v>
      </c>
      <c r="N548" s="10">
        <f>L548-M548</f>
        <v/>
      </c>
    </row>
    <row r="549">
      <c r="A549" s="7" t="inlineStr">
        <is>
          <t>ORD-04106</t>
        </is>
      </c>
      <c r="B549" s="8" t="n">
        <v>45078</v>
      </c>
      <c r="C549" s="9" t="n">
        <v>45078</v>
      </c>
      <c r="D549" s="7" t="n">
        <v>2023</v>
      </c>
      <c r="E549" s="7" t="inlineStr">
        <is>
          <t>West</t>
        </is>
      </c>
      <c r="F549" s="7" t="inlineStr">
        <is>
          <t>Office Supplies</t>
        </is>
      </c>
      <c r="G549" s="7" t="inlineStr">
        <is>
          <t>Pens</t>
        </is>
      </c>
      <c r="H549" s="7" t="inlineStr">
        <is>
          <t>Consumer</t>
        </is>
      </c>
      <c r="I549" s="7" t="n">
        <v>12</v>
      </c>
      <c r="J549" s="10" t="n">
        <v>11.67</v>
      </c>
      <c r="K549" s="11" t="n">
        <v>0</v>
      </c>
      <c r="L549" s="10">
        <f>I549*J549*(1-K549)</f>
        <v/>
      </c>
      <c r="M549" s="10" t="n">
        <v>64.8</v>
      </c>
      <c r="N549" s="10">
        <f>L549-M549</f>
        <v/>
      </c>
    </row>
    <row r="550">
      <c r="A550" s="7" t="inlineStr">
        <is>
          <t>ORD-00350</t>
        </is>
      </c>
      <c r="B550" s="8" t="n">
        <v>45078</v>
      </c>
      <c r="C550" s="9" t="n">
        <v>45078</v>
      </c>
      <c r="D550" s="7" t="n">
        <v>2023</v>
      </c>
      <c r="E550" s="7" t="inlineStr">
        <is>
          <t>South</t>
        </is>
      </c>
      <c r="F550" s="7" t="inlineStr">
        <is>
          <t>Furniture</t>
        </is>
      </c>
      <c r="G550" s="7" t="inlineStr">
        <is>
          <t>Office Chair</t>
        </is>
      </c>
      <c r="H550" s="7" t="inlineStr">
        <is>
          <t>Consumer</t>
        </is>
      </c>
      <c r="I550" s="7" t="n">
        <v>1</v>
      </c>
      <c r="J550" s="10" t="n">
        <v>210.52</v>
      </c>
      <c r="K550" s="11" t="n">
        <v>0.3</v>
      </c>
      <c r="L550" s="10">
        <f>I550*J550*(1-K550)</f>
        <v/>
      </c>
      <c r="M550" s="10" t="n">
        <v>180.4</v>
      </c>
      <c r="N550" s="10">
        <f>L550-M550</f>
        <v/>
      </c>
    </row>
    <row r="551">
      <c r="A551" s="7" t="inlineStr">
        <is>
          <t>ORD-01836</t>
        </is>
      </c>
      <c r="B551" s="8" t="n">
        <v>45078</v>
      </c>
      <c r="C551" s="9" t="n">
        <v>45078</v>
      </c>
      <c r="D551" s="7" t="n">
        <v>2023</v>
      </c>
      <c r="E551" s="7" t="inlineStr">
        <is>
          <t>East</t>
        </is>
      </c>
      <c r="F551" s="7" t="inlineStr">
        <is>
          <t>Office Supplies</t>
        </is>
      </c>
      <c r="G551" s="7" t="inlineStr">
        <is>
          <t>Pens</t>
        </is>
      </c>
      <c r="H551" s="7" t="inlineStr">
        <is>
          <t>Corporate</t>
        </is>
      </c>
      <c r="I551" s="7" t="n">
        <v>3</v>
      </c>
      <c r="J551" s="10" t="n">
        <v>12.07</v>
      </c>
      <c r="K551" s="11" t="n">
        <v>0</v>
      </c>
      <c r="L551" s="10">
        <f>I551*J551*(1-K551)</f>
        <v/>
      </c>
      <c r="M551" s="10" t="n">
        <v>16.2</v>
      </c>
      <c r="N551" s="10">
        <f>L551-M551</f>
        <v/>
      </c>
    </row>
    <row r="552">
      <c r="A552" s="7" t="inlineStr">
        <is>
          <t>ORD-01133</t>
        </is>
      </c>
      <c r="B552" s="8" t="n">
        <v>45078</v>
      </c>
      <c r="C552" s="9" t="n">
        <v>45078</v>
      </c>
      <c r="D552" s="7" t="n">
        <v>2023</v>
      </c>
      <c r="E552" s="7" t="inlineStr">
        <is>
          <t>West</t>
        </is>
      </c>
      <c r="F552" s="7" t="inlineStr">
        <is>
          <t>Office Supplies</t>
        </is>
      </c>
      <c r="G552" s="7" t="inlineStr">
        <is>
          <t>Pens</t>
        </is>
      </c>
      <c r="H552" s="7" t="inlineStr">
        <is>
          <t>Consumer</t>
        </is>
      </c>
      <c r="I552" s="7" t="n">
        <v>13</v>
      </c>
      <c r="J552" s="10" t="n">
        <v>11.85</v>
      </c>
      <c r="K552" s="11" t="n">
        <v>0.1</v>
      </c>
      <c r="L552" s="10">
        <f>I552*J552*(1-K552)</f>
        <v/>
      </c>
      <c r="M552" s="10" t="n">
        <v>70.2</v>
      </c>
      <c r="N552" s="10">
        <f>L552-M552</f>
        <v/>
      </c>
    </row>
    <row r="553">
      <c r="A553" s="7" t="inlineStr">
        <is>
          <t>ORD-03997</t>
        </is>
      </c>
      <c r="B553" s="8" t="n">
        <v>45078</v>
      </c>
      <c r="C553" s="9" t="n">
        <v>45078</v>
      </c>
      <c r="D553" s="7" t="n">
        <v>2023</v>
      </c>
      <c r="E553" s="7" t="inlineStr">
        <is>
          <t>West</t>
        </is>
      </c>
      <c r="F553" s="7" t="inlineStr">
        <is>
          <t>Furniture</t>
        </is>
      </c>
      <c r="G553" s="7" t="inlineStr">
        <is>
          <t>Desk</t>
        </is>
      </c>
      <c r="H553" s="7" t="inlineStr">
        <is>
          <t>Home Office</t>
        </is>
      </c>
      <c r="I553" s="7" t="n">
        <v>3</v>
      </c>
      <c r="J553" s="10" t="n">
        <v>469.96</v>
      </c>
      <c r="K553" s="11" t="n">
        <v>0</v>
      </c>
      <c r="L553" s="10">
        <f>I553*J553*(1-K553)</f>
        <v/>
      </c>
      <c r="M553" s="10" t="n">
        <v>1147.5</v>
      </c>
      <c r="N553" s="10">
        <f>L553-M553</f>
        <v/>
      </c>
    </row>
    <row r="554">
      <c r="A554" s="7" t="inlineStr">
        <is>
          <t>ORD-03210</t>
        </is>
      </c>
      <c r="B554" s="8" t="n">
        <v>45078</v>
      </c>
      <c r="C554" s="9" t="n">
        <v>45078</v>
      </c>
      <c r="D554" s="7" t="n">
        <v>2023</v>
      </c>
      <c r="E554" s="7" t="inlineStr">
        <is>
          <t>South</t>
        </is>
      </c>
      <c r="F554" s="7" t="inlineStr">
        <is>
          <t>Technology</t>
        </is>
      </c>
      <c r="G554" s="7" t="inlineStr">
        <is>
          <t>Smartphone</t>
        </is>
      </c>
      <c r="H554" s="7" t="inlineStr">
        <is>
          <t>Corporate</t>
        </is>
      </c>
      <c r="I554" s="7" t="n">
        <v>2</v>
      </c>
      <c r="J554" s="10" t="n">
        <v>618.83</v>
      </c>
      <c r="K554" s="11" t="n">
        <v>0.2</v>
      </c>
      <c r="L554" s="10">
        <f>I554*J554*(1-K554)</f>
        <v/>
      </c>
      <c r="M554" s="10" t="n">
        <v>900</v>
      </c>
      <c r="N554" s="10">
        <f>L554-M554</f>
        <v/>
      </c>
    </row>
    <row r="555">
      <c r="A555" s="7" t="inlineStr">
        <is>
          <t>ORD-00337</t>
        </is>
      </c>
      <c r="B555" s="8" t="n">
        <v>45078</v>
      </c>
      <c r="C555" s="9" t="n">
        <v>45078</v>
      </c>
      <c r="D555" s="7" t="n">
        <v>2023</v>
      </c>
      <c r="E555" s="7" t="inlineStr">
        <is>
          <t>East</t>
        </is>
      </c>
      <c r="F555" s="7" t="inlineStr">
        <is>
          <t>Furniture</t>
        </is>
      </c>
      <c r="G555" s="7" t="inlineStr">
        <is>
          <t>Office Chair</t>
        </is>
      </c>
      <c r="H555" s="7" t="inlineStr">
        <is>
          <t>Consumer</t>
        </is>
      </c>
      <c r="I555" s="7" t="n">
        <v>2</v>
      </c>
      <c r="J555" s="10" t="n">
        <v>229.92</v>
      </c>
      <c r="K555" s="11" t="n">
        <v>0.1</v>
      </c>
      <c r="L555" s="10">
        <f>I555*J555*(1-K555)</f>
        <v/>
      </c>
      <c r="M555" s="10" t="n">
        <v>360.8</v>
      </c>
      <c r="N555" s="10">
        <f>L555-M555</f>
        <v/>
      </c>
    </row>
    <row r="556">
      <c r="A556" s="7" t="inlineStr">
        <is>
          <t>ORD-03167</t>
        </is>
      </c>
      <c r="B556" s="8" t="n">
        <v>45079</v>
      </c>
      <c r="C556" s="9" t="n">
        <v>45078</v>
      </c>
      <c r="D556" s="7" t="n">
        <v>2023</v>
      </c>
      <c r="E556" s="7" t="inlineStr">
        <is>
          <t>South</t>
        </is>
      </c>
      <c r="F556" s="7" t="inlineStr">
        <is>
          <t>Technology</t>
        </is>
      </c>
      <c r="G556" s="7" t="inlineStr">
        <is>
          <t>Keyboard</t>
        </is>
      </c>
      <c r="H556" s="7" t="inlineStr">
        <is>
          <t>Consumer</t>
        </is>
      </c>
      <c r="I556" s="7" t="n">
        <v>2</v>
      </c>
      <c r="J556" s="10" t="n">
        <v>46.7</v>
      </c>
      <c r="K556" s="11" t="n">
        <v>0</v>
      </c>
      <c r="L556" s="10">
        <f>I556*J556*(1-K556)</f>
        <v/>
      </c>
      <c r="M556" s="10" t="n">
        <v>49.5</v>
      </c>
      <c r="N556" s="10">
        <f>L556-M556</f>
        <v/>
      </c>
    </row>
    <row r="557">
      <c r="A557" s="7" t="inlineStr">
        <is>
          <t>ORD-01153</t>
        </is>
      </c>
      <c r="B557" s="8" t="n">
        <v>45079</v>
      </c>
      <c r="C557" s="9" t="n">
        <v>45078</v>
      </c>
      <c r="D557" s="7" t="n">
        <v>2023</v>
      </c>
      <c r="E557" s="7" t="inlineStr">
        <is>
          <t>North</t>
        </is>
      </c>
      <c r="F557" s="7" t="inlineStr">
        <is>
          <t>Technology</t>
        </is>
      </c>
      <c r="G557" s="7" t="inlineStr">
        <is>
          <t>Monitor</t>
        </is>
      </c>
      <c r="H557" s="7" t="inlineStr">
        <is>
          <t>Consumer</t>
        </is>
      </c>
      <c r="I557" s="7" t="n">
        <v>1</v>
      </c>
      <c r="J557" s="10" t="n">
        <v>261.57</v>
      </c>
      <c r="K557" s="11" t="n">
        <v>0.3</v>
      </c>
      <c r="L557" s="10">
        <f>I557*J557*(1-K557)</f>
        <v/>
      </c>
      <c r="M557" s="10" t="n">
        <v>180</v>
      </c>
      <c r="N557" s="10">
        <f>L557-M557</f>
        <v/>
      </c>
    </row>
    <row r="558">
      <c r="A558" s="7" t="inlineStr">
        <is>
          <t>ORD-00109</t>
        </is>
      </c>
      <c r="B558" s="8" t="n">
        <v>45080</v>
      </c>
      <c r="C558" s="9" t="n">
        <v>45078</v>
      </c>
      <c r="D558" s="7" t="n">
        <v>2023</v>
      </c>
      <c r="E558" s="7" t="inlineStr">
        <is>
          <t>East</t>
        </is>
      </c>
      <c r="F558" s="7" t="inlineStr">
        <is>
          <t>Office Supplies</t>
        </is>
      </c>
      <c r="G558" s="7" t="inlineStr">
        <is>
          <t>Binder</t>
        </is>
      </c>
      <c r="H558" s="7" t="inlineStr">
        <is>
          <t>Consumer</t>
        </is>
      </c>
      <c r="I558" s="7" t="n">
        <v>2</v>
      </c>
      <c r="J558" s="10" t="n">
        <v>8.029999999999999</v>
      </c>
      <c r="K558" s="11" t="n">
        <v>0.2</v>
      </c>
      <c r="L558" s="10">
        <f>I558*J558*(1-K558)</f>
        <v/>
      </c>
      <c r="M558" s="10" t="n">
        <v>6.4</v>
      </c>
      <c r="N558" s="10">
        <f>L558-M558</f>
        <v/>
      </c>
    </row>
    <row r="559">
      <c r="A559" s="7" t="inlineStr">
        <is>
          <t>ORD-05470</t>
        </is>
      </c>
      <c r="B559" s="8" t="n">
        <v>45080</v>
      </c>
      <c r="C559" s="9" t="n">
        <v>45078</v>
      </c>
      <c r="D559" s="7" t="n">
        <v>2023</v>
      </c>
      <c r="E559" s="7" t="inlineStr">
        <is>
          <t>South</t>
        </is>
      </c>
      <c r="F559" s="7" t="inlineStr">
        <is>
          <t>Office Supplies</t>
        </is>
      </c>
      <c r="G559" s="7" t="inlineStr">
        <is>
          <t>Paper</t>
        </is>
      </c>
      <c r="H559" s="7" t="inlineStr">
        <is>
          <t>Consumer</t>
        </is>
      </c>
      <c r="I559" s="7" t="n">
        <v>11</v>
      </c>
      <c r="J559" s="10" t="n">
        <v>25.32</v>
      </c>
      <c r="K559" s="11" t="n">
        <v>0.1</v>
      </c>
      <c r="L559" s="10">
        <f>I559*J559*(1-K559)</f>
        <v/>
      </c>
      <c r="M559" s="10" t="n">
        <v>137.5</v>
      </c>
      <c r="N559" s="10">
        <f>L559-M559</f>
        <v/>
      </c>
    </row>
    <row r="560">
      <c r="A560" s="7" t="inlineStr">
        <is>
          <t>ORD-01371</t>
        </is>
      </c>
      <c r="B560" s="8" t="n">
        <v>45080</v>
      </c>
      <c r="C560" s="9" t="n">
        <v>45078</v>
      </c>
      <c r="D560" s="7" t="n">
        <v>2023</v>
      </c>
      <c r="E560" s="7" t="inlineStr">
        <is>
          <t>West</t>
        </is>
      </c>
      <c r="F560" s="7" t="inlineStr">
        <is>
          <t>Office Supplies</t>
        </is>
      </c>
      <c r="G560" s="7" t="inlineStr">
        <is>
          <t>Binder</t>
        </is>
      </c>
      <c r="H560" s="7" t="inlineStr">
        <is>
          <t>Consumer</t>
        </is>
      </c>
      <c r="I560" s="7" t="n">
        <v>13</v>
      </c>
      <c r="J560" s="10" t="n">
        <v>8.029999999999999</v>
      </c>
      <c r="K560" s="11" t="n">
        <v>0.1</v>
      </c>
      <c r="L560" s="10">
        <f>I560*J560*(1-K560)</f>
        <v/>
      </c>
      <c r="M560" s="10" t="n">
        <v>41.6</v>
      </c>
      <c r="N560" s="10">
        <f>L560-M560</f>
        <v/>
      </c>
    </row>
    <row r="561">
      <c r="A561" s="7" t="inlineStr">
        <is>
          <t>ORD-02424</t>
        </is>
      </c>
      <c r="B561" s="8" t="n">
        <v>45080</v>
      </c>
      <c r="C561" s="9" t="n">
        <v>45078</v>
      </c>
      <c r="D561" s="7" t="n">
        <v>2023</v>
      </c>
      <c r="E561" s="7" t="inlineStr">
        <is>
          <t>North</t>
        </is>
      </c>
      <c r="F561" s="7" t="inlineStr">
        <is>
          <t>Technology</t>
        </is>
      </c>
      <c r="G561" s="7" t="inlineStr">
        <is>
          <t>Keyboard</t>
        </is>
      </c>
      <c r="H561" s="7" t="inlineStr">
        <is>
          <t>Home Office</t>
        </is>
      </c>
      <c r="I561" s="7" t="n">
        <v>3</v>
      </c>
      <c r="J561" s="10" t="n">
        <v>42.92</v>
      </c>
      <c r="K561" s="11" t="n">
        <v>0.2</v>
      </c>
      <c r="L561" s="10">
        <f>I561*J561*(1-K561)</f>
        <v/>
      </c>
      <c r="M561" s="10" t="n">
        <v>74.25</v>
      </c>
      <c r="N561" s="10">
        <f>L561-M561</f>
        <v/>
      </c>
    </row>
    <row r="562">
      <c r="A562" s="7" t="inlineStr">
        <is>
          <t>ORD-00921</t>
        </is>
      </c>
      <c r="B562" s="8" t="n">
        <v>45080</v>
      </c>
      <c r="C562" s="9" t="n">
        <v>45078</v>
      </c>
      <c r="D562" s="7" t="n">
        <v>2023</v>
      </c>
      <c r="E562" s="7" t="inlineStr">
        <is>
          <t>South</t>
        </is>
      </c>
      <c r="F562" s="7" t="inlineStr">
        <is>
          <t>Office Supplies</t>
        </is>
      </c>
      <c r="G562" s="7" t="inlineStr">
        <is>
          <t>Printer Ink</t>
        </is>
      </c>
      <c r="H562" s="7" t="inlineStr">
        <is>
          <t>Corporate</t>
        </is>
      </c>
      <c r="I562" s="7" t="n">
        <v>4</v>
      </c>
      <c r="J562" s="10" t="n">
        <v>57.37</v>
      </c>
      <c r="K562" s="11" t="n">
        <v>0.05</v>
      </c>
      <c r="L562" s="10">
        <f>I562*J562*(1-K562)</f>
        <v/>
      </c>
      <c r="M562" s="10" t="n">
        <v>144</v>
      </c>
      <c r="N562" s="10">
        <f>L562-M562</f>
        <v/>
      </c>
    </row>
    <row r="563">
      <c r="A563" s="7" t="inlineStr">
        <is>
          <t>ORD-02514</t>
        </is>
      </c>
      <c r="B563" s="8" t="n">
        <v>45080</v>
      </c>
      <c r="C563" s="9" t="n">
        <v>45078</v>
      </c>
      <c r="D563" s="7" t="n">
        <v>2023</v>
      </c>
      <c r="E563" s="7" t="inlineStr">
        <is>
          <t>North</t>
        </is>
      </c>
      <c r="F563" s="7" t="inlineStr">
        <is>
          <t>Furniture</t>
        </is>
      </c>
      <c r="G563" s="7" t="inlineStr">
        <is>
          <t>Office Chair</t>
        </is>
      </c>
      <c r="H563" s="7" t="inlineStr">
        <is>
          <t>Corporate</t>
        </is>
      </c>
      <c r="I563" s="7" t="n">
        <v>1</v>
      </c>
      <c r="J563" s="10" t="n">
        <v>229.64</v>
      </c>
      <c r="K563" s="11" t="n">
        <v>0.2</v>
      </c>
      <c r="L563" s="10">
        <f>I563*J563*(1-K563)</f>
        <v/>
      </c>
      <c r="M563" s="10" t="n">
        <v>180.4</v>
      </c>
      <c r="N563" s="10">
        <f>L563-M563</f>
        <v/>
      </c>
    </row>
    <row r="564">
      <c r="A564" s="7" t="inlineStr">
        <is>
          <t>ORD-05836</t>
        </is>
      </c>
      <c r="B564" s="8" t="n">
        <v>45080</v>
      </c>
      <c r="C564" s="9" t="n">
        <v>45078</v>
      </c>
      <c r="D564" s="7" t="n">
        <v>2023</v>
      </c>
      <c r="E564" s="7" t="inlineStr">
        <is>
          <t>North</t>
        </is>
      </c>
      <c r="F564" s="7" t="inlineStr">
        <is>
          <t>Office Supplies</t>
        </is>
      </c>
      <c r="G564" s="7" t="inlineStr">
        <is>
          <t>Paper</t>
        </is>
      </c>
      <c r="H564" s="7" t="inlineStr">
        <is>
          <t>Home Office</t>
        </is>
      </c>
      <c r="I564" s="7" t="n">
        <v>4</v>
      </c>
      <c r="J564" s="10" t="n">
        <v>24.56</v>
      </c>
      <c r="K564" s="11" t="n">
        <v>0.3</v>
      </c>
      <c r="L564" s="10">
        <f>I564*J564*(1-K564)</f>
        <v/>
      </c>
      <c r="M564" s="10" t="n">
        <v>50</v>
      </c>
      <c r="N564" s="10">
        <f>L564-M564</f>
        <v/>
      </c>
    </row>
    <row r="565">
      <c r="A565" s="7" t="inlineStr">
        <is>
          <t>ORD-03052</t>
        </is>
      </c>
      <c r="B565" s="8" t="n">
        <v>45081</v>
      </c>
      <c r="C565" s="9" t="n">
        <v>45078</v>
      </c>
      <c r="D565" s="7" t="n">
        <v>2023</v>
      </c>
      <c r="E565" s="7" t="inlineStr">
        <is>
          <t>East</t>
        </is>
      </c>
      <c r="F565" s="7" t="inlineStr">
        <is>
          <t>Technology</t>
        </is>
      </c>
      <c r="G565" s="7" t="inlineStr">
        <is>
          <t>Keyboard</t>
        </is>
      </c>
      <c r="H565" s="7" t="inlineStr">
        <is>
          <t>Home Office</t>
        </is>
      </c>
      <c r="I565" s="7" t="n">
        <v>1</v>
      </c>
      <c r="J565" s="10" t="n">
        <v>44.39</v>
      </c>
      <c r="K565" s="11" t="n">
        <v>0.2</v>
      </c>
      <c r="L565" s="10">
        <f>I565*J565*(1-K565)</f>
        <v/>
      </c>
      <c r="M565" s="10" t="n">
        <v>24.75</v>
      </c>
      <c r="N565" s="10">
        <f>L565-M565</f>
        <v/>
      </c>
    </row>
    <row r="566">
      <c r="A566" s="7" t="inlineStr">
        <is>
          <t>ORD-05702</t>
        </is>
      </c>
      <c r="B566" s="8" t="n">
        <v>45081</v>
      </c>
      <c r="C566" s="9" t="n">
        <v>45078</v>
      </c>
      <c r="D566" s="7" t="n">
        <v>2023</v>
      </c>
      <c r="E566" s="7" t="inlineStr">
        <is>
          <t>South</t>
        </is>
      </c>
      <c r="F566" s="7" t="inlineStr">
        <is>
          <t>Technology</t>
        </is>
      </c>
      <c r="G566" s="7" t="inlineStr">
        <is>
          <t>Keyboard</t>
        </is>
      </c>
      <c r="H566" s="7" t="inlineStr">
        <is>
          <t>Home Office</t>
        </is>
      </c>
      <c r="I566" s="7" t="n">
        <v>2</v>
      </c>
      <c r="J566" s="10" t="n">
        <v>46.12</v>
      </c>
      <c r="K566" s="11" t="n">
        <v>0.05</v>
      </c>
      <c r="L566" s="10">
        <f>I566*J566*(1-K566)</f>
        <v/>
      </c>
      <c r="M566" s="10" t="n">
        <v>49.5</v>
      </c>
      <c r="N566" s="10">
        <f>L566-M566</f>
        <v/>
      </c>
    </row>
    <row r="567">
      <c r="A567" s="7" t="inlineStr">
        <is>
          <t>ORD-03133</t>
        </is>
      </c>
      <c r="B567" s="8" t="n">
        <v>45082</v>
      </c>
      <c r="C567" s="9" t="n">
        <v>45078</v>
      </c>
      <c r="D567" s="7" t="n">
        <v>2023</v>
      </c>
      <c r="E567" s="7" t="inlineStr">
        <is>
          <t>East</t>
        </is>
      </c>
      <c r="F567" s="7" t="inlineStr">
        <is>
          <t>Furniture</t>
        </is>
      </c>
      <c r="G567" s="7" t="inlineStr">
        <is>
          <t>Office Chair</t>
        </is>
      </c>
      <c r="H567" s="7" t="inlineStr">
        <is>
          <t>Corporate</t>
        </is>
      </c>
      <c r="I567" s="7" t="n">
        <v>1</v>
      </c>
      <c r="J567" s="10" t="n">
        <v>225.24</v>
      </c>
      <c r="K567" s="11" t="n">
        <v>0.05</v>
      </c>
      <c r="L567" s="10">
        <f>I567*J567*(1-K567)</f>
        <v/>
      </c>
      <c r="M567" s="10" t="n">
        <v>180.4</v>
      </c>
      <c r="N567" s="10">
        <f>L567-M567</f>
        <v/>
      </c>
    </row>
    <row r="568">
      <c r="A568" s="7" t="inlineStr">
        <is>
          <t>ORD-01642</t>
        </is>
      </c>
      <c r="B568" s="8" t="n">
        <v>45082</v>
      </c>
      <c r="C568" s="9" t="n">
        <v>45078</v>
      </c>
      <c r="D568" s="7" t="n">
        <v>2023</v>
      </c>
      <c r="E568" s="7" t="inlineStr">
        <is>
          <t>North</t>
        </is>
      </c>
      <c r="F568" s="7" t="inlineStr">
        <is>
          <t>Office Supplies</t>
        </is>
      </c>
      <c r="G568" s="7" t="inlineStr">
        <is>
          <t>Paper</t>
        </is>
      </c>
      <c r="H568" s="7" t="inlineStr">
        <is>
          <t>Corporate</t>
        </is>
      </c>
      <c r="I568" s="7" t="n">
        <v>12</v>
      </c>
      <c r="J568" s="10" t="n">
        <v>25.86</v>
      </c>
      <c r="K568" s="11" t="n">
        <v>0</v>
      </c>
      <c r="L568" s="10">
        <f>I568*J568*(1-K568)</f>
        <v/>
      </c>
      <c r="M568" s="10" t="n">
        <v>150</v>
      </c>
      <c r="N568" s="10">
        <f>L568-M568</f>
        <v/>
      </c>
    </row>
    <row r="569">
      <c r="A569" s="7" t="inlineStr">
        <is>
          <t>ORD-03000</t>
        </is>
      </c>
      <c r="B569" s="8" t="n">
        <v>45082</v>
      </c>
      <c r="C569" s="9" t="n">
        <v>45078</v>
      </c>
      <c r="D569" s="7" t="n">
        <v>2023</v>
      </c>
      <c r="E569" s="7" t="inlineStr">
        <is>
          <t>South</t>
        </is>
      </c>
      <c r="F569" s="7" t="inlineStr">
        <is>
          <t>Technology</t>
        </is>
      </c>
      <c r="G569" s="7" t="inlineStr">
        <is>
          <t>Keyboard</t>
        </is>
      </c>
      <c r="H569" s="7" t="inlineStr">
        <is>
          <t>Home Office</t>
        </is>
      </c>
      <c r="I569" s="7" t="n">
        <v>3</v>
      </c>
      <c r="J569" s="10" t="n">
        <v>44.89</v>
      </c>
      <c r="K569" s="11" t="n">
        <v>0</v>
      </c>
      <c r="L569" s="10">
        <f>I569*J569*(1-K569)</f>
        <v/>
      </c>
      <c r="M569" s="10" t="n">
        <v>74.25</v>
      </c>
      <c r="N569" s="10">
        <f>L569-M569</f>
        <v/>
      </c>
    </row>
    <row r="570">
      <c r="A570" s="7" t="inlineStr">
        <is>
          <t>ORD-02157</t>
        </is>
      </c>
      <c r="B570" s="8" t="n">
        <v>45082</v>
      </c>
      <c r="C570" s="9" t="n">
        <v>45078</v>
      </c>
      <c r="D570" s="7" t="n">
        <v>2023</v>
      </c>
      <c r="E570" s="7" t="inlineStr">
        <is>
          <t>North</t>
        </is>
      </c>
      <c r="F570" s="7" t="inlineStr">
        <is>
          <t>Technology</t>
        </is>
      </c>
      <c r="G570" s="7" t="inlineStr">
        <is>
          <t>Monitor</t>
        </is>
      </c>
      <c r="H570" s="7" t="inlineStr">
        <is>
          <t>Corporate</t>
        </is>
      </c>
      <c r="I570" s="7" t="n">
        <v>2</v>
      </c>
      <c r="J570" s="10" t="n">
        <v>249.9</v>
      </c>
      <c r="K570" s="11" t="n">
        <v>0</v>
      </c>
      <c r="L570" s="10">
        <f>I570*J570*(1-K570)</f>
        <v/>
      </c>
      <c r="M570" s="10" t="n">
        <v>360</v>
      </c>
      <c r="N570" s="10">
        <f>L570-M570</f>
        <v/>
      </c>
    </row>
    <row r="571">
      <c r="A571" s="7" t="inlineStr">
        <is>
          <t>ORD-05719</t>
        </is>
      </c>
      <c r="B571" s="8" t="n">
        <v>45082</v>
      </c>
      <c r="C571" s="9" t="n">
        <v>45078</v>
      </c>
      <c r="D571" s="7" t="n">
        <v>2023</v>
      </c>
      <c r="E571" s="7" t="inlineStr">
        <is>
          <t>East</t>
        </is>
      </c>
      <c r="F571" s="7" t="inlineStr">
        <is>
          <t>Furniture</t>
        </is>
      </c>
      <c r="G571" s="7" t="inlineStr">
        <is>
          <t>Office Chair</t>
        </is>
      </c>
      <c r="H571" s="7" t="inlineStr">
        <is>
          <t>Consumer</t>
        </is>
      </c>
      <c r="I571" s="7" t="n">
        <v>3</v>
      </c>
      <c r="J571" s="10" t="n">
        <v>216.89</v>
      </c>
      <c r="K571" s="11" t="n">
        <v>0.1</v>
      </c>
      <c r="L571" s="10">
        <f>I571*J571*(1-K571)</f>
        <v/>
      </c>
      <c r="M571" s="10" t="n">
        <v>541.2</v>
      </c>
      <c r="N571" s="10">
        <f>L571-M571</f>
        <v/>
      </c>
    </row>
    <row r="572">
      <c r="A572" s="7" t="inlineStr">
        <is>
          <t>ORD-05223</t>
        </is>
      </c>
      <c r="B572" s="8" t="n">
        <v>45083</v>
      </c>
      <c r="C572" s="9" t="n">
        <v>45078</v>
      </c>
      <c r="D572" s="7" t="n">
        <v>2023</v>
      </c>
      <c r="E572" s="7" t="inlineStr">
        <is>
          <t>West</t>
        </is>
      </c>
      <c r="F572" s="7" t="inlineStr">
        <is>
          <t>Technology</t>
        </is>
      </c>
      <c r="G572" s="7" t="inlineStr">
        <is>
          <t>Headphones</t>
        </is>
      </c>
      <c r="H572" s="7" t="inlineStr">
        <is>
          <t>Consumer</t>
        </is>
      </c>
      <c r="I572" s="7" t="n">
        <v>3</v>
      </c>
      <c r="J572" s="10" t="n">
        <v>120.08</v>
      </c>
      <c r="K572" s="11" t="n">
        <v>0</v>
      </c>
      <c r="L572" s="10">
        <f>I572*J572*(1-K572)</f>
        <v/>
      </c>
      <c r="M572" s="10" t="n">
        <v>216</v>
      </c>
      <c r="N572" s="10">
        <f>L572-M572</f>
        <v/>
      </c>
    </row>
    <row r="573">
      <c r="A573" s="7" t="inlineStr">
        <is>
          <t>ORD-00294</t>
        </is>
      </c>
      <c r="B573" s="8" t="n">
        <v>45083</v>
      </c>
      <c r="C573" s="9" t="n">
        <v>45078</v>
      </c>
      <c r="D573" s="7" t="n">
        <v>2023</v>
      </c>
      <c r="E573" s="7" t="inlineStr">
        <is>
          <t>North</t>
        </is>
      </c>
      <c r="F573" s="7" t="inlineStr">
        <is>
          <t>Furniture</t>
        </is>
      </c>
      <c r="G573" s="7" t="inlineStr">
        <is>
          <t>Desk</t>
        </is>
      </c>
      <c r="H573" s="7" t="inlineStr">
        <is>
          <t>Corporate</t>
        </is>
      </c>
      <c r="I573" s="7" t="n">
        <v>2</v>
      </c>
      <c r="J573" s="10" t="n">
        <v>441.11</v>
      </c>
      <c r="K573" s="11" t="n">
        <v>0.1</v>
      </c>
      <c r="L573" s="10">
        <f>I573*J573*(1-K573)</f>
        <v/>
      </c>
      <c r="M573" s="10" t="n">
        <v>765</v>
      </c>
      <c r="N573" s="10">
        <f>L573-M573</f>
        <v/>
      </c>
    </row>
    <row r="574">
      <c r="A574" s="7" t="inlineStr">
        <is>
          <t>ORD-01236</t>
        </is>
      </c>
      <c r="B574" s="8" t="n">
        <v>45083</v>
      </c>
      <c r="C574" s="9" t="n">
        <v>45078</v>
      </c>
      <c r="D574" s="7" t="n">
        <v>2023</v>
      </c>
      <c r="E574" s="7" t="inlineStr">
        <is>
          <t>South</t>
        </is>
      </c>
      <c r="F574" s="7" t="inlineStr">
        <is>
          <t>Technology</t>
        </is>
      </c>
      <c r="G574" s="7" t="inlineStr">
        <is>
          <t>Laptop</t>
        </is>
      </c>
      <c r="H574" s="7" t="inlineStr">
        <is>
          <t>Consumer</t>
        </is>
      </c>
      <c r="I574" s="7" t="n">
        <v>2</v>
      </c>
      <c r="J574" s="10" t="n">
        <v>890.71</v>
      </c>
      <c r="K574" s="11" t="n">
        <v>0</v>
      </c>
      <c r="L574" s="10">
        <f>I574*J574*(1-K574)</f>
        <v/>
      </c>
      <c r="M574" s="10" t="n">
        <v>1404</v>
      </c>
      <c r="N574" s="10">
        <f>L574-M574</f>
        <v/>
      </c>
    </row>
    <row r="575">
      <c r="A575" s="7" t="inlineStr">
        <is>
          <t>ORD-00894</t>
        </is>
      </c>
      <c r="B575" s="8" t="n">
        <v>45083</v>
      </c>
      <c r="C575" s="9" t="n">
        <v>45078</v>
      </c>
      <c r="D575" s="7" t="n">
        <v>2023</v>
      </c>
      <c r="E575" s="7" t="inlineStr">
        <is>
          <t>West</t>
        </is>
      </c>
      <c r="F575" s="7" t="inlineStr">
        <is>
          <t>Technology</t>
        </is>
      </c>
      <c r="G575" s="7" t="inlineStr">
        <is>
          <t>Monitor</t>
        </is>
      </c>
      <c r="H575" s="7" t="inlineStr">
        <is>
          <t>Consumer</t>
        </is>
      </c>
      <c r="I575" s="7" t="n">
        <v>3</v>
      </c>
      <c r="J575" s="10" t="n">
        <v>260.64</v>
      </c>
      <c r="K575" s="11" t="n">
        <v>0.1</v>
      </c>
      <c r="L575" s="10">
        <f>I575*J575*(1-K575)</f>
        <v/>
      </c>
      <c r="M575" s="10" t="n">
        <v>540</v>
      </c>
      <c r="N575" s="10">
        <f>L575-M575</f>
        <v/>
      </c>
    </row>
    <row r="576">
      <c r="A576" s="7" t="inlineStr">
        <is>
          <t>ORD-02983</t>
        </is>
      </c>
      <c r="B576" s="8" t="n">
        <v>45084</v>
      </c>
      <c r="C576" s="9" t="n">
        <v>45078</v>
      </c>
      <c r="D576" s="7" t="n">
        <v>2023</v>
      </c>
      <c r="E576" s="7" t="inlineStr">
        <is>
          <t>South</t>
        </is>
      </c>
      <c r="F576" s="7" t="inlineStr">
        <is>
          <t>Office Supplies</t>
        </is>
      </c>
      <c r="G576" s="7" t="inlineStr">
        <is>
          <t>Printer Ink</t>
        </is>
      </c>
      <c r="H576" s="7" t="inlineStr">
        <is>
          <t>Home Office</t>
        </is>
      </c>
      <c r="I576" s="7" t="n">
        <v>5</v>
      </c>
      <c r="J576" s="10" t="n">
        <v>62.18</v>
      </c>
      <c r="K576" s="11" t="n">
        <v>0</v>
      </c>
      <c r="L576" s="10">
        <f>I576*J576*(1-K576)</f>
        <v/>
      </c>
      <c r="M576" s="10" t="n">
        <v>180</v>
      </c>
      <c r="N576" s="10">
        <f>L576-M576</f>
        <v/>
      </c>
    </row>
    <row r="577">
      <c r="A577" s="7" t="inlineStr">
        <is>
          <t>ORD-01251</t>
        </is>
      </c>
      <c r="B577" s="8" t="n">
        <v>45084</v>
      </c>
      <c r="C577" s="9" t="n">
        <v>45078</v>
      </c>
      <c r="D577" s="7" t="n">
        <v>2023</v>
      </c>
      <c r="E577" s="7" t="inlineStr">
        <is>
          <t>East</t>
        </is>
      </c>
      <c r="F577" s="7" t="inlineStr">
        <is>
          <t>Office Supplies</t>
        </is>
      </c>
      <c r="G577" s="7" t="inlineStr">
        <is>
          <t>Paper</t>
        </is>
      </c>
      <c r="H577" s="7" t="inlineStr">
        <is>
          <t>Corporate</t>
        </is>
      </c>
      <c r="I577" s="7" t="n">
        <v>3</v>
      </c>
      <c r="J577" s="10" t="n">
        <v>24.63</v>
      </c>
      <c r="K577" s="11" t="n">
        <v>0</v>
      </c>
      <c r="L577" s="10">
        <f>I577*J577*(1-K577)</f>
        <v/>
      </c>
      <c r="M577" s="10" t="n">
        <v>37.5</v>
      </c>
      <c r="N577" s="10">
        <f>L577-M577</f>
        <v/>
      </c>
    </row>
    <row r="578">
      <c r="A578" s="7" t="inlineStr">
        <is>
          <t>ORD-00869</t>
        </is>
      </c>
      <c r="B578" s="8" t="n">
        <v>45084</v>
      </c>
      <c r="C578" s="9" t="n">
        <v>45078</v>
      </c>
      <c r="D578" s="7" t="n">
        <v>2023</v>
      </c>
      <c r="E578" s="7" t="inlineStr">
        <is>
          <t>South</t>
        </is>
      </c>
      <c r="F578" s="7" t="inlineStr">
        <is>
          <t>Technology</t>
        </is>
      </c>
      <c r="G578" s="7" t="inlineStr">
        <is>
          <t>Smartphone</t>
        </is>
      </c>
      <c r="H578" s="7" t="inlineStr">
        <is>
          <t>Consumer</t>
        </is>
      </c>
      <c r="I578" s="7" t="n">
        <v>3</v>
      </c>
      <c r="J578" s="10" t="n">
        <v>613.9</v>
      </c>
      <c r="K578" s="11" t="n">
        <v>0.3</v>
      </c>
      <c r="L578" s="10">
        <f>I578*J578*(1-K578)</f>
        <v/>
      </c>
      <c r="M578" s="10" t="n">
        <v>1350</v>
      </c>
      <c r="N578" s="10">
        <f>L578-M578</f>
        <v/>
      </c>
    </row>
    <row r="579">
      <c r="A579" s="7" t="inlineStr">
        <is>
          <t>ORD-03234</t>
        </is>
      </c>
      <c r="B579" s="8" t="n">
        <v>45085</v>
      </c>
      <c r="C579" s="9" t="n">
        <v>45078</v>
      </c>
      <c r="D579" s="7" t="n">
        <v>2023</v>
      </c>
      <c r="E579" s="7" t="inlineStr">
        <is>
          <t>North</t>
        </is>
      </c>
      <c r="F579" s="7" t="inlineStr">
        <is>
          <t>Furniture</t>
        </is>
      </c>
      <c r="G579" s="7" t="inlineStr">
        <is>
          <t>Sofa</t>
        </is>
      </c>
      <c r="H579" s="7" t="inlineStr">
        <is>
          <t>Corporate</t>
        </is>
      </c>
      <c r="I579" s="7" t="n">
        <v>2</v>
      </c>
      <c r="J579" s="10" t="n">
        <v>704.27</v>
      </c>
      <c r="K579" s="11" t="n">
        <v>0.1</v>
      </c>
      <c r="L579" s="10">
        <f>I579*J579*(1-K579)</f>
        <v/>
      </c>
      <c r="M579" s="10" t="n">
        <v>1232</v>
      </c>
      <c r="N579" s="10">
        <f>L579-M579</f>
        <v/>
      </c>
    </row>
    <row r="580">
      <c r="A580" s="7" t="inlineStr">
        <is>
          <t>ORD-02035</t>
        </is>
      </c>
      <c r="B580" s="8" t="n">
        <v>45085</v>
      </c>
      <c r="C580" s="9" t="n">
        <v>45078</v>
      </c>
      <c r="D580" s="7" t="n">
        <v>2023</v>
      </c>
      <c r="E580" s="7" t="inlineStr">
        <is>
          <t>West</t>
        </is>
      </c>
      <c r="F580" s="7" t="inlineStr">
        <is>
          <t>Office Supplies</t>
        </is>
      </c>
      <c r="G580" s="7" t="inlineStr">
        <is>
          <t>Binder</t>
        </is>
      </c>
      <c r="H580" s="7" t="inlineStr">
        <is>
          <t>Corporate</t>
        </is>
      </c>
      <c r="I580" s="7" t="n">
        <v>4</v>
      </c>
      <c r="J580" s="10" t="n">
        <v>8.32</v>
      </c>
      <c r="K580" s="11" t="n">
        <v>0.05</v>
      </c>
      <c r="L580" s="10">
        <f>I580*J580*(1-K580)</f>
        <v/>
      </c>
      <c r="M580" s="10" t="n">
        <v>12.8</v>
      </c>
      <c r="N580" s="10">
        <f>L580-M580</f>
        <v/>
      </c>
    </row>
    <row r="581">
      <c r="A581" s="7" t="inlineStr">
        <is>
          <t>ORD-05720</t>
        </is>
      </c>
      <c r="B581" s="8" t="n">
        <v>45085</v>
      </c>
      <c r="C581" s="9" t="n">
        <v>45078</v>
      </c>
      <c r="D581" s="7" t="n">
        <v>2023</v>
      </c>
      <c r="E581" s="7" t="inlineStr">
        <is>
          <t>North</t>
        </is>
      </c>
      <c r="F581" s="7" t="inlineStr">
        <is>
          <t>Office Supplies</t>
        </is>
      </c>
      <c r="G581" s="7" t="inlineStr">
        <is>
          <t>Paper</t>
        </is>
      </c>
      <c r="H581" s="7" t="inlineStr">
        <is>
          <t>Consumer</t>
        </is>
      </c>
      <c r="I581" s="7" t="n">
        <v>11</v>
      </c>
      <c r="J581" s="10" t="n">
        <v>25.97</v>
      </c>
      <c r="K581" s="11" t="n">
        <v>0.3</v>
      </c>
      <c r="L581" s="10">
        <f>I581*J581*(1-K581)</f>
        <v/>
      </c>
      <c r="M581" s="10" t="n">
        <v>137.5</v>
      </c>
      <c r="N581" s="10">
        <f>L581-M581</f>
        <v/>
      </c>
    </row>
    <row r="582">
      <c r="A582" s="7" t="inlineStr">
        <is>
          <t>ORD-02568</t>
        </is>
      </c>
      <c r="B582" s="8" t="n">
        <v>45085</v>
      </c>
      <c r="C582" s="9" t="n">
        <v>45078</v>
      </c>
      <c r="D582" s="7" t="n">
        <v>2023</v>
      </c>
      <c r="E582" s="7" t="inlineStr">
        <is>
          <t>East</t>
        </is>
      </c>
      <c r="F582" s="7" t="inlineStr">
        <is>
          <t>Office Supplies</t>
        </is>
      </c>
      <c r="G582" s="7" t="inlineStr">
        <is>
          <t>Paper</t>
        </is>
      </c>
      <c r="H582" s="7" t="inlineStr">
        <is>
          <t>Consumer</t>
        </is>
      </c>
      <c r="I582" s="7" t="n">
        <v>3</v>
      </c>
      <c r="J582" s="10" t="n">
        <v>25.52</v>
      </c>
      <c r="K582" s="11" t="n">
        <v>0.3</v>
      </c>
      <c r="L582" s="10">
        <f>I582*J582*(1-K582)</f>
        <v/>
      </c>
      <c r="M582" s="10" t="n">
        <v>37.5</v>
      </c>
      <c r="N582" s="10">
        <f>L582-M582</f>
        <v/>
      </c>
    </row>
    <row r="583">
      <c r="A583" s="7" t="inlineStr">
        <is>
          <t>ORD-02763</t>
        </is>
      </c>
      <c r="B583" s="8" t="n">
        <v>45085</v>
      </c>
      <c r="C583" s="9" t="n">
        <v>45078</v>
      </c>
      <c r="D583" s="7" t="n">
        <v>2023</v>
      </c>
      <c r="E583" s="7" t="inlineStr">
        <is>
          <t>West</t>
        </is>
      </c>
      <c r="F583" s="7" t="inlineStr">
        <is>
          <t>Technology</t>
        </is>
      </c>
      <c r="G583" s="7" t="inlineStr">
        <is>
          <t>Keyboard</t>
        </is>
      </c>
      <c r="H583" s="7" t="inlineStr">
        <is>
          <t>Corporate</t>
        </is>
      </c>
      <c r="I583" s="7" t="n">
        <v>1</v>
      </c>
      <c r="J583" s="10" t="n">
        <v>44.21</v>
      </c>
      <c r="K583" s="11" t="n">
        <v>0.05</v>
      </c>
      <c r="L583" s="10">
        <f>I583*J583*(1-K583)</f>
        <v/>
      </c>
      <c r="M583" s="10" t="n">
        <v>24.75</v>
      </c>
      <c r="N583" s="10">
        <f>L583-M583</f>
        <v/>
      </c>
    </row>
    <row r="584">
      <c r="A584" s="7" t="inlineStr">
        <is>
          <t>ORD-00940</t>
        </is>
      </c>
      <c r="B584" s="8" t="n">
        <v>45085</v>
      </c>
      <c r="C584" s="9" t="n">
        <v>45078</v>
      </c>
      <c r="D584" s="7" t="n">
        <v>2023</v>
      </c>
      <c r="E584" s="7" t="inlineStr">
        <is>
          <t>West</t>
        </is>
      </c>
      <c r="F584" s="7" t="inlineStr">
        <is>
          <t>Office Supplies</t>
        </is>
      </c>
      <c r="G584" s="7" t="inlineStr">
        <is>
          <t>Stapler</t>
        </is>
      </c>
      <c r="H584" s="7" t="inlineStr">
        <is>
          <t>Consumer</t>
        </is>
      </c>
      <c r="I584" s="7" t="n">
        <v>11</v>
      </c>
      <c r="J584" s="10" t="n">
        <v>15.71</v>
      </c>
      <c r="K584" s="11" t="n">
        <v>0</v>
      </c>
      <c r="L584" s="10">
        <f>I584*J584*(1-K584)</f>
        <v/>
      </c>
      <c r="M584" s="10" t="n">
        <v>82.5</v>
      </c>
      <c r="N584" s="10">
        <f>L584-M584</f>
        <v/>
      </c>
    </row>
    <row r="585">
      <c r="A585" s="7" t="inlineStr">
        <is>
          <t>ORD-05849</t>
        </is>
      </c>
      <c r="B585" s="8" t="n">
        <v>45085</v>
      </c>
      <c r="C585" s="9" t="n">
        <v>45078</v>
      </c>
      <c r="D585" s="7" t="n">
        <v>2023</v>
      </c>
      <c r="E585" s="7" t="inlineStr">
        <is>
          <t>West</t>
        </is>
      </c>
      <c r="F585" s="7" t="inlineStr">
        <is>
          <t>Office Supplies</t>
        </is>
      </c>
      <c r="G585" s="7" t="inlineStr">
        <is>
          <t>Paper</t>
        </is>
      </c>
      <c r="H585" s="7" t="inlineStr">
        <is>
          <t>Consumer</t>
        </is>
      </c>
      <c r="I585" s="7" t="n">
        <v>7</v>
      </c>
      <c r="J585" s="10" t="n">
        <v>25.64</v>
      </c>
      <c r="K585" s="11" t="n">
        <v>0</v>
      </c>
      <c r="L585" s="10">
        <f>I585*J585*(1-K585)</f>
        <v/>
      </c>
      <c r="M585" s="10" t="n">
        <v>87.5</v>
      </c>
      <c r="N585" s="10">
        <f>L585-M585</f>
        <v/>
      </c>
    </row>
    <row r="586">
      <c r="A586" s="7" t="inlineStr">
        <is>
          <t>ORD-05511</t>
        </is>
      </c>
      <c r="B586" s="8" t="n">
        <v>45086</v>
      </c>
      <c r="C586" s="9" t="n">
        <v>45078</v>
      </c>
      <c r="D586" s="7" t="n">
        <v>2023</v>
      </c>
      <c r="E586" s="7" t="inlineStr">
        <is>
          <t>West</t>
        </is>
      </c>
      <c r="F586" s="7" t="inlineStr">
        <is>
          <t>Office Supplies</t>
        </is>
      </c>
      <c r="G586" s="7" t="inlineStr">
        <is>
          <t>Printer Ink</t>
        </is>
      </c>
      <c r="H586" s="7" t="inlineStr">
        <is>
          <t>Home Office</t>
        </is>
      </c>
      <c r="I586" s="7" t="n">
        <v>13</v>
      </c>
      <c r="J586" s="10" t="n">
        <v>62.83</v>
      </c>
      <c r="K586" s="11" t="n">
        <v>0.1</v>
      </c>
      <c r="L586" s="10">
        <f>I586*J586*(1-K586)</f>
        <v/>
      </c>
      <c r="M586" s="10" t="n">
        <v>468</v>
      </c>
      <c r="N586" s="10">
        <f>L586-M586</f>
        <v/>
      </c>
    </row>
    <row r="587">
      <c r="A587" s="7" t="inlineStr">
        <is>
          <t>ORD-01341</t>
        </is>
      </c>
      <c r="B587" s="8" t="n">
        <v>45086</v>
      </c>
      <c r="C587" s="9" t="n">
        <v>45078</v>
      </c>
      <c r="D587" s="7" t="n">
        <v>2023</v>
      </c>
      <c r="E587" s="7" t="inlineStr">
        <is>
          <t>East</t>
        </is>
      </c>
      <c r="F587" s="7" t="inlineStr">
        <is>
          <t>Office Supplies</t>
        </is>
      </c>
      <c r="G587" s="7" t="inlineStr">
        <is>
          <t>Binder</t>
        </is>
      </c>
      <c r="H587" s="7" t="inlineStr">
        <is>
          <t>Consumer</t>
        </is>
      </c>
      <c r="I587" s="7" t="n">
        <v>15</v>
      </c>
      <c r="J587" s="10" t="n">
        <v>7.8</v>
      </c>
      <c r="K587" s="11" t="n">
        <v>0.1</v>
      </c>
      <c r="L587" s="10">
        <f>I587*J587*(1-K587)</f>
        <v/>
      </c>
      <c r="M587" s="10" t="n">
        <v>48</v>
      </c>
      <c r="N587" s="10">
        <f>L587-M587</f>
        <v/>
      </c>
    </row>
    <row r="588">
      <c r="A588" s="7" t="inlineStr">
        <is>
          <t>ORD-02458</t>
        </is>
      </c>
      <c r="B588" s="8" t="n">
        <v>45086</v>
      </c>
      <c r="C588" s="9" t="n">
        <v>45078</v>
      </c>
      <c r="D588" s="7" t="n">
        <v>2023</v>
      </c>
      <c r="E588" s="7" t="inlineStr">
        <is>
          <t>North</t>
        </is>
      </c>
      <c r="F588" s="7" t="inlineStr">
        <is>
          <t>Office Supplies</t>
        </is>
      </c>
      <c r="G588" s="7" t="inlineStr">
        <is>
          <t>Pens</t>
        </is>
      </c>
      <c r="H588" s="7" t="inlineStr">
        <is>
          <t>Consumer</t>
        </is>
      </c>
      <c r="I588" s="7" t="n">
        <v>14</v>
      </c>
      <c r="J588" s="10" t="n">
        <v>11.68</v>
      </c>
      <c r="K588" s="11" t="n">
        <v>0.3</v>
      </c>
      <c r="L588" s="10">
        <f>I588*J588*(1-K588)</f>
        <v/>
      </c>
      <c r="M588" s="10" t="n">
        <v>75.59999999999999</v>
      </c>
      <c r="N588" s="10">
        <f>L588-M588</f>
        <v/>
      </c>
    </row>
    <row r="589">
      <c r="A589" s="7" t="inlineStr">
        <is>
          <t>ORD-05563</t>
        </is>
      </c>
      <c r="B589" s="8" t="n">
        <v>45086</v>
      </c>
      <c r="C589" s="9" t="n">
        <v>45078</v>
      </c>
      <c r="D589" s="7" t="n">
        <v>2023</v>
      </c>
      <c r="E589" s="7" t="inlineStr">
        <is>
          <t>East</t>
        </is>
      </c>
      <c r="F589" s="7" t="inlineStr">
        <is>
          <t>Furniture</t>
        </is>
      </c>
      <c r="G589" s="7" t="inlineStr">
        <is>
          <t>Bookcase</t>
        </is>
      </c>
      <c r="H589" s="7" t="inlineStr">
        <is>
          <t>Home Office</t>
        </is>
      </c>
      <c r="I589" s="7" t="n">
        <v>3</v>
      </c>
      <c r="J589" s="10" t="n">
        <v>173.58</v>
      </c>
      <c r="K589" s="11" t="n">
        <v>0.3</v>
      </c>
      <c r="L589" s="10">
        <f>I589*J589*(1-K589)</f>
        <v/>
      </c>
      <c r="M589" s="10" t="n">
        <v>432</v>
      </c>
      <c r="N589" s="10">
        <f>L589-M589</f>
        <v/>
      </c>
    </row>
    <row r="590">
      <c r="A590" s="7" t="inlineStr">
        <is>
          <t>ORD-03410</t>
        </is>
      </c>
      <c r="B590" s="8" t="n">
        <v>45086</v>
      </c>
      <c r="C590" s="9" t="n">
        <v>45078</v>
      </c>
      <c r="D590" s="7" t="n">
        <v>2023</v>
      </c>
      <c r="E590" s="7" t="inlineStr">
        <is>
          <t>South</t>
        </is>
      </c>
      <c r="F590" s="7" t="inlineStr">
        <is>
          <t>Office Supplies</t>
        </is>
      </c>
      <c r="G590" s="7" t="inlineStr">
        <is>
          <t>Paper</t>
        </is>
      </c>
      <c r="H590" s="7" t="inlineStr">
        <is>
          <t>Consumer</t>
        </is>
      </c>
      <c r="I590" s="7" t="n">
        <v>3</v>
      </c>
      <c r="J590" s="10" t="n">
        <v>25.35</v>
      </c>
      <c r="K590" s="11" t="n">
        <v>0</v>
      </c>
      <c r="L590" s="10">
        <f>I590*J590*(1-K590)</f>
        <v/>
      </c>
      <c r="M590" s="10" t="n">
        <v>37.5</v>
      </c>
      <c r="N590" s="10">
        <f>L590-M590</f>
        <v/>
      </c>
    </row>
    <row r="591">
      <c r="A591" s="7" t="inlineStr">
        <is>
          <t>ORD-04091</t>
        </is>
      </c>
      <c r="B591" s="8" t="n">
        <v>45086</v>
      </c>
      <c r="C591" s="9" t="n">
        <v>45078</v>
      </c>
      <c r="D591" s="7" t="n">
        <v>2023</v>
      </c>
      <c r="E591" s="7" t="inlineStr">
        <is>
          <t>South</t>
        </is>
      </c>
      <c r="F591" s="7" t="inlineStr">
        <is>
          <t>Office Supplies</t>
        </is>
      </c>
      <c r="G591" s="7" t="inlineStr">
        <is>
          <t>Binder</t>
        </is>
      </c>
      <c r="H591" s="7" t="inlineStr">
        <is>
          <t>Consumer</t>
        </is>
      </c>
      <c r="I591" s="7" t="n">
        <v>9</v>
      </c>
      <c r="J591" s="10" t="n">
        <v>7.65</v>
      </c>
      <c r="K591" s="11" t="n">
        <v>0.1</v>
      </c>
      <c r="L591" s="10">
        <f>I591*J591*(1-K591)</f>
        <v/>
      </c>
      <c r="M591" s="10" t="n">
        <v>28.8</v>
      </c>
      <c r="N591" s="10">
        <f>L591-M591</f>
        <v/>
      </c>
    </row>
    <row r="592">
      <c r="A592" s="7" t="inlineStr">
        <is>
          <t>ORD-02963</t>
        </is>
      </c>
      <c r="B592" s="8" t="n">
        <v>45086</v>
      </c>
      <c r="C592" s="9" t="n">
        <v>45078</v>
      </c>
      <c r="D592" s="7" t="n">
        <v>2023</v>
      </c>
      <c r="E592" s="7" t="inlineStr">
        <is>
          <t>South</t>
        </is>
      </c>
      <c r="F592" s="7" t="inlineStr">
        <is>
          <t>Office Supplies</t>
        </is>
      </c>
      <c r="G592" s="7" t="inlineStr">
        <is>
          <t>Paper</t>
        </is>
      </c>
      <c r="H592" s="7" t="inlineStr">
        <is>
          <t>Consumer</t>
        </is>
      </c>
      <c r="I592" s="7" t="n">
        <v>5</v>
      </c>
      <c r="J592" s="10" t="n">
        <v>23.79</v>
      </c>
      <c r="K592" s="11" t="n">
        <v>0.05</v>
      </c>
      <c r="L592" s="10">
        <f>I592*J592*(1-K592)</f>
        <v/>
      </c>
      <c r="M592" s="10" t="n">
        <v>62.5</v>
      </c>
      <c r="N592" s="10">
        <f>L592-M592</f>
        <v/>
      </c>
    </row>
    <row r="593">
      <c r="A593" s="7" t="inlineStr">
        <is>
          <t>ORD-04331</t>
        </is>
      </c>
      <c r="B593" s="8" t="n">
        <v>45087</v>
      </c>
      <c r="C593" s="9" t="n">
        <v>45078</v>
      </c>
      <c r="D593" s="7" t="n">
        <v>2023</v>
      </c>
      <c r="E593" s="7" t="inlineStr">
        <is>
          <t>East</t>
        </is>
      </c>
      <c r="F593" s="7" t="inlineStr">
        <is>
          <t>Office Supplies</t>
        </is>
      </c>
      <c r="G593" s="7" t="inlineStr">
        <is>
          <t>Binder</t>
        </is>
      </c>
      <c r="H593" s="7" t="inlineStr">
        <is>
          <t>Consumer</t>
        </is>
      </c>
      <c r="I593" s="7" t="n">
        <v>14</v>
      </c>
      <c r="J593" s="10" t="n">
        <v>8.35</v>
      </c>
      <c r="K593" s="11" t="n">
        <v>0</v>
      </c>
      <c r="L593" s="10">
        <f>I593*J593*(1-K593)</f>
        <v/>
      </c>
      <c r="M593" s="10" t="n">
        <v>44.8</v>
      </c>
      <c r="N593" s="10">
        <f>L593-M593</f>
        <v/>
      </c>
    </row>
    <row r="594">
      <c r="A594" s="7" t="inlineStr">
        <is>
          <t>ORD-00290</t>
        </is>
      </c>
      <c r="B594" s="8" t="n">
        <v>45087</v>
      </c>
      <c r="C594" s="9" t="n">
        <v>45078</v>
      </c>
      <c r="D594" s="7" t="n">
        <v>2023</v>
      </c>
      <c r="E594" s="7" t="inlineStr">
        <is>
          <t>North</t>
        </is>
      </c>
      <c r="F594" s="7" t="inlineStr">
        <is>
          <t>Office Supplies</t>
        </is>
      </c>
      <c r="G594" s="7" t="inlineStr">
        <is>
          <t>Printer Ink</t>
        </is>
      </c>
      <c r="H594" s="7" t="inlineStr">
        <is>
          <t>Consumer</t>
        </is>
      </c>
      <c r="I594" s="7" t="n">
        <v>7</v>
      </c>
      <c r="J594" s="10" t="n">
        <v>58.18</v>
      </c>
      <c r="K594" s="11" t="n">
        <v>0</v>
      </c>
      <c r="L594" s="10">
        <f>I594*J594*(1-K594)</f>
        <v/>
      </c>
      <c r="M594" s="10" t="n">
        <v>252</v>
      </c>
      <c r="N594" s="10">
        <f>L594-M594</f>
        <v/>
      </c>
    </row>
    <row r="595">
      <c r="A595" s="7" t="inlineStr">
        <is>
          <t>ORD-03318</t>
        </is>
      </c>
      <c r="B595" s="8" t="n">
        <v>45087</v>
      </c>
      <c r="C595" s="9" t="n">
        <v>45078</v>
      </c>
      <c r="D595" s="7" t="n">
        <v>2023</v>
      </c>
      <c r="E595" s="7" t="inlineStr">
        <is>
          <t>East</t>
        </is>
      </c>
      <c r="F595" s="7" t="inlineStr">
        <is>
          <t>Office Supplies</t>
        </is>
      </c>
      <c r="G595" s="7" t="inlineStr">
        <is>
          <t>Paper</t>
        </is>
      </c>
      <c r="H595" s="7" t="inlineStr">
        <is>
          <t>Consumer</t>
        </is>
      </c>
      <c r="I595" s="7" t="n">
        <v>6</v>
      </c>
      <c r="J595" s="10" t="n">
        <v>24.63</v>
      </c>
      <c r="K595" s="11" t="n">
        <v>0</v>
      </c>
      <c r="L595" s="10">
        <f>I595*J595*(1-K595)</f>
        <v/>
      </c>
      <c r="M595" s="10" t="n">
        <v>75</v>
      </c>
      <c r="N595" s="10">
        <f>L595-M595</f>
        <v/>
      </c>
    </row>
    <row r="596">
      <c r="A596" s="7" t="inlineStr">
        <is>
          <t>ORD-00718</t>
        </is>
      </c>
      <c r="B596" s="8" t="n">
        <v>45087</v>
      </c>
      <c r="C596" s="9" t="n">
        <v>45078</v>
      </c>
      <c r="D596" s="7" t="n">
        <v>2023</v>
      </c>
      <c r="E596" s="7" t="inlineStr">
        <is>
          <t>North</t>
        </is>
      </c>
      <c r="F596" s="7" t="inlineStr">
        <is>
          <t>Technology</t>
        </is>
      </c>
      <c r="G596" s="7" t="inlineStr">
        <is>
          <t>Headphones</t>
        </is>
      </c>
      <c r="H596" s="7" t="inlineStr">
        <is>
          <t>Corporate</t>
        </is>
      </c>
      <c r="I596" s="7" t="n">
        <v>3</v>
      </c>
      <c r="J596" s="10" t="n">
        <v>124.73</v>
      </c>
      <c r="K596" s="11" t="n">
        <v>0.1</v>
      </c>
      <c r="L596" s="10">
        <f>I596*J596*(1-K596)</f>
        <v/>
      </c>
      <c r="M596" s="10" t="n">
        <v>216</v>
      </c>
      <c r="N596" s="10">
        <f>L596-M596</f>
        <v/>
      </c>
    </row>
    <row r="597">
      <c r="A597" s="7" t="inlineStr">
        <is>
          <t>ORD-03257</t>
        </is>
      </c>
      <c r="B597" s="8" t="n">
        <v>45087</v>
      </c>
      <c r="C597" s="9" t="n">
        <v>45078</v>
      </c>
      <c r="D597" s="7" t="n">
        <v>2023</v>
      </c>
      <c r="E597" s="7" t="inlineStr">
        <is>
          <t>East</t>
        </is>
      </c>
      <c r="F597" s="7" t="inlineStr">
        <is>
          <t>Technology</t>
        </is>
      </c>
      <c r="G597" s="7" t="inlineStr">
        <is>
          <t>Smartphone</t>
        </is>
      </c>
      <c r="H597" s="7" t="inlineStr">
        <is>
          <t>Corporate</t>
        </is>
      </c>
      <c r="I597" s="7" t="n">
        <v>1</v>
      </c>
      <c r="J597" s="10" t="n">
        <v>588.36</v>
      </c>
      <c r="K597" s="11" t="n">
        <v>0.3</v>
      </c>
      <c r="L597" s="10">
        <f>I597*J597*(1-K597)</f>
        <v/>
      </c>
      <c r="M597" s="10" t="n">
        <v>450</v>
      </c>
      <c r="N597" s="10">
        <f>L597-M597</f>
        <v/>
      </c>
    </row>
    <row r="598">
      <c r="A598" s="7" t="inlineStr">
        <is>
          <t>ORD-05221</t>
        </is>
      </c>
      <c r="B598" s="8" t="n">
        <v>45088</v>
      </c>
      <c r="C598" s="9" t="n">
        <v>45078</v>
      </c>
      <c r="D598" s="7" t="n">
        <v>2023</v>
      </c>
      <c r="E598" s="7" t="inlineStr">
        <is>
          <t>East</t>
        </is>
      </c>
      <c r="F598" s="7" t="inlineStr">
        <is>
          <t>Technology</t>
        </is>
      </c>
      <c r="G598" s="7" t="inlineStr">
        <is>
          <t>Monitor</t>
        </is>
      </c>
      <c r="H598" s="7" t="inlineStr">
        <is>
          <t>Corporate</t>
        </is>
      </c>
      <c r="I598" s="7" t="n">
        <v>3</v>
      </c>
      <c r="J598" s="10" t="n">
        <v>260.91</v>
      </c>
      <c r="K598" s="11" t="n">
        <v>0.2</v>
      </c>
      <c r="L598" s="10">
        <f>I598*J598*(1-K598)</f>
        <v/>
      </c>
      <c r="M598" s="10" t="n">
        <v>540</v>
      </c>
      <c r="N598" s="10">
        <f>L598-M598</f>
        <v/>
      </c>
    </row>
    <row r="599">
      <c r="A599" s="7" t="inlineStr">
        <is>
          <t>ORD-01936</t>
        </is>
      </c>
      <c r="B599" s="8" t="n">
        <v>45088</v>
      </c>
      <c r="C599" s="9" t="n">
        <v>45078</v>
      </c>
      <c r="D599" s="7" t="n">
        <v>2023</v>
      </c>
      <c r="E599" s="7" t="inlineStr">
        <is>
          <t>West</t>
        </is>
      </c>
      <c r="F599" s="7" t="inlineStr">
        <is>
          <t>Office Supplies</t>
        </is>
      </c>
      <c r="G599" s="7" t="inlineStr">
        <is>
          <t>Stapler</t>
        </is>
      </c>
      <c r="H599" s="7" t="inlineStr">
        <is>
          <t>Consumer</t>
        </is>
      </c>
      <c r="I599" s="7" t="n">
        <v>14</v>
      </c>
      <c r="J599" s="10" t="n">
        <v>15.42</v>
      </c>
      <c r="K599" s="11" t="n">
        <v>0.05</v>
      </c>
      <c r="L599" s="10">
        <f>I599*J599*(1-K599)</f>
        <v/>
      </c>
      <c r="M599" s="10" t="n">
        <v>105</v>
      </c>
      <c r="N599" s="10">
        <f>L599-M599</f>
        <v/>
      </c>
    </row>
    <row r="600">
      <c r="A600" s="7" t="inlineStr">
        <is>
          <t>ORD-04990</t>
        </is>
      </c>
      <c r="B600" s="8" t="n">
        <v>45089</v>
      </c>
      <c r="C600" s="9" t="n">
        <v>45078</v>
      </c>
      <c r="D600" s="7" t="n">
        <v>2023</v>
      </c>
      <c r="E600" s="7" t="inlineStr">
        <is>
          <t>North</t>
        </is>
      </c>
      <c r="F600" s="7" t="inlineStr">
        <is>
          <t>Furniture</t>
        </is>
      </c>
      <c r="G600" s="7" t="inlineStr">
        <is>
          <t>Desk</t>
        </is>
      </c>
      <c r="H600" s="7" t="inlineStr">
        <is>
          <t>Corporate</t>
        </is>
      </c>
      <c r="I600" s="7" t="n">
        <v>4</v>
      </c>
      <c r="J600" s="10" t="n">
        <v>465.35</v>
      </c>
      <c r="K600" s="11" t="n">
        <v>0.05</v>
      </c>
      <c r="L600" s="10">
        <f>I600*J600*(1-K600)</f>
        <v/>
      </c>
      <c r="M600" s="10" t="n">
        <v>1530</v>
      </c>
      <c r="N600" s="10">
        <f>L600-M600</f>
        <v/>
      </c>
    </row>
    <row r="601">
      <c r="A601" s="7" t="inlineStr">
        <is>
          <t>ORD-02782</t>
        </is>
      </c>
      <c r="B601" s="8" t="n">
        <v>45089</v>
      </c>
      <c r="C601" s="9" t="n">
        <v>45078</v>
      </c>
      <c r="D601" s="7" t="n">
        <v>2023</v>
      </c>
      <c r="E601" s="7" t="inlineStr">
        <is>
          <t>West</t>
        </is>
      </c>
      <c r="F601" s="7" t="inlineStr">
        <is>
          <t>Office Supplies</t>
        </is>
      </c>
      <c r="G601" s="7" t="inlineStr">
        <is>
          <t>Paper</t>
        </is>
      </c>
      <c r="H601" s="7" t="inlineStr">
        <is>
          <t>Corporate</t>
        </is>
      </c>
      <c r="I601" s="7" t="n">
        <v>12</v>
      </c>
      <c r="J601" s="10" t="n">
        <v>25.28</v>
      </c>
      <c r="K601" s="11" t="n">
        <v>0</v>
      </c>
      <c r="L601" s="10">
        <f>I601*J601*(1-K601)</f>
        <v/>
      </c>
      <c r="M601" s="10" t="n">
        <v>150</v>
      </c>
      <c r="N601" s="10">
        <f>L601-M601</f>
        <v/>
      </c>
    </row>
    <row r="602">
      <c r="A602" s="7" t="inlineStr">
        <is>
          <t>ORD-01278</t>
        </is>
      </c>
      <c r="B602" s="8" t="n">
        <v>45089</v>
      </c>
      <c r="C602" s="9" t="n">
        <v>45078</v>
      </c>
      <c r="D602" s="7" t="n">
        <v>2023</v>
      </c>
      <c r="E602" s="7" t="inlineStr">
        <is>
          <t>South</t>
        </is>
      </c>
      <c r="F602" s="7" t="inlineStr">
        <is>
          <t>Furniture</t>
        </is>
      </c>
      <c r="G602" s="7" t="inlineStr">
        <is>
          <t>Bookcase</t>
        </is>
      </c>
      <c r="H602" s="7" t="inlineStr">
        <is>
          <t>Home Office</t>
        </is>
      </c>
      <c r="I602" s="7" t="n">
        <v>4</v>
      </c>
      <c r="J602" s="10" t="n">
        <v>180.68</v>
      </c>
      <c r="K602" s="11" t="n">
        <v>0.3</v>
      </c>
      <c r="L602" s="10">
        <f>I602*J602*(1-K602)</f>
        <v/>
      </c>
      <c r="M602" s="10" t="n">
        <v>576</v>
      </c>
      <c r="N602" s="10">
        <f>L602-M602</f>
        <v/>
      </c>
    </row>
    <row r="603">
      <c r="A603" s="7" t="inlineStr">
        <is>
          <t>ORD-00129</t>
        </is>
      </c>
      <c r="B603" s="8" t="n">
        <v>45089</v>
      </c>
      <c r="C603" s="9" t="n">
        <v>45078</v>
      </c>
      <c r="D603" s="7" t="n">
        <v>2023</v>
      </c>
      <c r="E603" s="7" t="inlineStr">
        <is>
          <t>East</t>
        </is>
      </c>
      <c r="F603" s="7" t="inlineStr">
        <is>
          <t>Office Supplies</t>
        </is>
      </c>
      <c r="G603" s="7" t="inlineStr">
        <is>
          <t>Stapler</t>
        </is>
      </c>
      <c r="H603" s="7" t="inlineStr">
        <is>
          <t>Consumer</t>
        </is>
      </c>
      <c r="I603" s="7" t="n">
        <v>7</v>
      </c>
      <c r="J603" s="10" t="n">
        <v>14.38</v>
      </c>
      <c r="K603" s="11" t="n">
        <v>0.2</v>
      </c>
      <c r="L603" s="10">
        <f>I603*J603*(1-K603)</f>
        <v/>
      </c>
      <c r="M603" s="10" t="n">
        <v>52.5</v>
      </c>
      <c r="N603" s="10">
        <f>L603-M603</f>
        <v/>
      </c>
    </row>
    <row r="604">
      <c r="A604" s="7" t="inlineStr">
        <is>
          <t>ORD-00725</t>
        </is>
      </c>
      <c r="B604" s="8" t="n">
        <v>45089</v>
      </c>
      <c r="C604" s="9" t="n">
        <v>45078</v>
      </c>
      <c r="D604" s="7" t="n">
        <v>2023</v>
      </c>
      <c r="E604" s="7" t="inlineStr">
        <is>
          <t>East</t>
        </is>
      </c>
      <c r="F604" s="7" t="inlineStr">
        <is>
          <t>Technology</t>
        </is>
      </c>
      <c r="G604" s="7" t="inlineStr">
        <is>
          <t>Smartphone</t>
        </is>
      </c>
      <c r="H604" s="7" t="inlineStr">
        <is>
          <t>Consumer</t>
        </is>
      </c>
      <c r="I604" s="7" t="n">
        <v>2</v>
      </c>
      <c r="J604" s="10" t="n">
        <v>603.26</v>
      </c>
      <c r="K604" s="11" t="n">
        <v>0.2</v>
      </c>
      <c r="L604" s="10">
        <f>I604*J604*(1-K604)</f>
        <v/>
      </c>
      <c r="M604" s="10" t="n">
        <v>900</v>
      </c>
      <c r="N604" s="10">
        <f>L604-M604</f>
        <v/>
      </c>
    </row>
    <row r="605">
      <c r="A605" s="7" t="inlineStr">
        <is>
          <t>ORD-05224</t>
        </is>
      </c>
      <c r="B605" s="8" t="n">
        <v>45089</v>
      </c>
      <c r="C605" s="9" t="n">
        <v>45078</v>
      </c>
      <c r="D605" s="7" t="n">
        <v>2023</v>
      </c>
      <c r="E605" s="7" t="inlineStr">
        <is>
          <t>East</t>
        </is>
      </c>
      <c r="F605" s="7" t="inlineStr">
        <is>
          <t>Office Supplies</t>
        </is>
      </c>
      <c r="G605" s="7" t="inlineStr">
        <is>
          <t>Pens</t>
        </is>
      </c>
      <c r="H605" s="7" t="inlineStr">
        <is>
          <t>Consumer</t>
        </is>
      </c>
      <c r="I605" s="7" t="n">
        <v>12</v>
      </c>
      <c r="J605" s="10" t="n">
        <v>12.07</v>
      </c>
      <c r="K605" s="11" t="n">
        <v>0.3</v>
      </c>
      <c r="L605" s="10">
        <f>I605*J605*(1-K605)</f>
        <v/>
      </c>
      <c r="M605" s="10" t="n">
        <v>64.8</v>
      </c>
      <c r="N605" s="10">
        <f>L605-M605</f>
        <v/>
      </c>
    </row>
    <row r="606">
      <c r="A606" s="7" t="inlineStr">
        <is>
          <t>ORD-03344</t>
        </is>
      </c>
      <c r="B606" s="8" t="n">
        <v>45089</v>
      </c>
      <c r="C606" s="9" t="n">
        <v>45078</v>
      </c>
      <c r="D606" s="7" t="n">
        <v>2023</v>
      </c>
      <c r="E606" s="7" t="inlineStr">
        <is>
          <t>West</t>
        </is>
      </c>
      <c r="F606" s="7" t="inlineStr">
        <is>
          <t>Office Supplies</t>
        </is>
      </c>
      <c r="G606" s="7" t="inlineStr">
        <is>
          <t>Paper</t>
        </is>
      </c>
      <c r="H606" s="7" t="inlineStr">
        <is>
          <t>Consumer</t>
        </is>
      </c>
      <c r="I606" s="7" t="n">
        <v>15</v>
      </c>
      <c r="J606" s="10" t="n">
        <v>25.02</v>
      </c>
      <c r="K606" s="11" t="n">
        <v>0</v>
      </c>
      <c r="L606" s="10">
        <f>I606*J606*(1-K606)</f>
        <v/>
      </c>
      <c r="M606" s="10" t="n">
        <v>187.5</v>
      </c>
      <c r="N606" s="10">
        <f>L606-M606</f>
        <v/>
      </c>
    </row>
    <row r="607">
      <c r="A607" s="7" t="inlineStr">
        <is>
          <t>ORD-02864</t>
        </is>
      </c>
      <c r="B607" s="8" t="n">
        <v>45090</v>
      </c>
      <c r="C607" s="9" t="n">
        <v>45078</v>
      </c>
      <c r="D607" s="7" t="n">
        <v>2023</v>
      </c>
      <c r="E607" s="7" t="inlineStr">
        <is>
          <t>East</t>
        </is>
      </c>
      <c r="F607" s="7" t="inlineStr">
        <is>
          <t>Technology</t>
        </is>
      </c>
      <c r="G607" s="7" t="inlineStr">
        <is>
          <t>Monitor</t>
        </is>
      </c>
      <c r="H607" s="7" t="inlineStr">
        <is>
          <t>Consumer</t>
        </is>
      </c>
      <c r="I607" s="7" t="n">
        <v>1</v>
      </c>
      <c r="J607" s="10" t="n">
        <v>260.3</v>
      </c>
      <c r="K607" s="11" t="n">
        <v>0.05</v>
      </c>
      <c r="L607" s="10">
        <f>I607*J607*(1-K607)</f>
        <v/>
      </c>
      <c r="M607" s="10" t="n">
        <v>180</v>
      </c>
      <c r="N607" s="10">
        <f>L607-M607</f>
        <v/>
      </c>
    </row>
    <row r="608">
      <c r="A608" s="7" t="inlineStr">
        <is>
          <t>ORD-05715</t>
        </is>
      </c>
      <c r="B608" s="8" t="n">
        <v>45090</v>
      </c>
      <c r="C608" s="9" t="n">
        <v>45078</v>
      </c>
      <c r="D608" s="7" t="n">
        <v>2023</v>
      </c>
      <c r="E608" s="7" t="inlineStr">
        <is>
          <t>North</t>
        </is>
      </c>
      <c r="F608" s="7" t="inlineStr">
        <is>
          <t>Furniture</t>
        </is>
      </c>
      <c r="G608" s="7" t="inlineStr">
        <is>
          <t>Office Chair</t>
        </is>
      </c>
      <c r="H608" s="7" t="inlineStr">
        <is>
          <t>Corporate</t>
        </is>
      </c>
      <c r="I608" s="7" t="n">
        <v>3</v>
      </c>
      <c r="J608" s="10" t="n">
        <v>230.74</v>
      </c>
      <c r="K608" s="11" t="n">
        <v>0.2</v>
      </c>
      <c r="L608" s="10">
        <f>I608*J608*(1-K608)</f>
        <v/>
      </c>
      <c r="M608" s="10" t="n">
        <v>541.2</v>
      </c>
      <c r="N608" s="10">
        <f>L608-M608</f>
        <v/>
      </c>
    </row>
    <row r="609">
      <c r="A609" s="7" t="inlineStr">
        <is>
          <t>ORD-04187</t>
        </is>
      </c>
      <c r="B609" s="8" t="n">
        <v>45090</v>
      </c>
      <c r="C609" s="9" t="n">
        <v>45078</v>
      </c>
      <c r="D609" s="7" t="n">
        <v>2023</v>
      </c>
      <c r="E609" s="7" t="inlineStr">
        <is>
          <t>East</t>
        </is>
      </c>
      <c r="F609" s="7" t="inlineStr">
        <is>
          <t>Furniture</t>
        </is>
      </c>
      <c r="G609" s="7" t="inlineStr">
        <is>
          <t>Office Chair</t>
        </is>
      </c>
      <c r="H609" s="7" t="inlineStr">
        <is>
          <t>Corporate</t>
        </is>
      </c>
      <c r="I609" s="7" t="n">
        <v>3</v>
      </c>
      <c r="J609" s="10" t="n">
        <v>215.73</v>
      </c>
      <c r="K609" s="11" t="n">
        <v>0</v>
      </c>
      <c r="L609" s="10">
        <f>I609*J609*(1-K609)</f>
        <v/>
      </c>
      <c r="M609" s="10" t="n">
        <v>541.2</v>
      </c>
      <c r="N609" s="10">
        <f>L609-M609</f>
        <v/>
      </c>
    </row>
    <row r="610">
      <c r="A610" s="7" t="inlineStr">
        <is>
          <t>ORD-02210</t>
        </is>
      </c>
      <c r="B610" s="8" t="n">
        <v>45090</v>
      </c>
      <c r="C610" s="9" t="n">
        <v>45078</v>
      </c>
      <c r="D610" s="7" t="n">
        <v>2023</v>
      </c>
      <c r="E610" s="7" t="inlineStr">
        <is>
          <t>North</t>
        </is>
      </c>
      <c r="F610" s="7" t="inlineStr">
        <is>
          <t>Office Supplies</t>
        </is>
      </c>
      <c r="G610" s="7" t="inlineStr">
        <is>
          <t>Binder</t>
        </is>
      </c>
      <c r="H610" s="7" t="inlineStr">
        <is>
          <t>Consumer</t>
        </is>
      </c>
      <c r="I610" s="7" t="n">
        <v>7</v>
      </c>
      <c r="J610" s="10" t="n">
        <v>7.81</v>
      </c>
      <c r="K610" s="11" t="n">
        <v>0.05</v>
      </c>
      <c r="L610" s="10">
        <f>I610*J610*(1-K610)</f>
        <v/>
      </c>
      <c r="M610" s="10" t="n">
        <v>22.4</v>
      </c>
      <c r="N610" s="10">
        <f>L610-M610</f>
        <v/>
      </c>
    </row>
    <row r="611">
      <c r="A611" s="7" t="inlineStr">
        <is>
          <t>ORD-00865</t>
        </is>
      </c>
      <c r="B611" s="8" t="n">
        <v>45091</v>
      </c>
      <c r="C611" s="9" t="n">
        <v>45078</v>
      </c>
      <c r="D611" s="7" t="n">
        <v>2023</v>
      </c>
      <c r="E611" s="7" t="inlineStr">
        <is>
          <t>East</t>
        </is>
      </c>
      <c r="F611" s="7" t="inlineStr">
        <is>
          <t>Office Supplies</t>
        </is>
      </c>
      <c r="G611" s="7" t="inlineStr">
        <is>
          <t>Pens</t>
        </is>
      </c>
      <c r="H611" s="7" t="inlineStr">
        <is>
          <t>Corporate</t>
        </is>
      </c>
      <c r="I611" s="7" t="n">
        <v>11</v>
      </c>
      <c r="J611" s="10" t="n">
        <v>12.13</v>
      </c>
      <c r="K611" s="11" t="n">
        <v>0</v>
      </c>
      <c r="L611" s="10">
        <f>I611*J611*(1-K611)</f>
        <v/>
      </c>
      <c r="M611" s="10" t="n">
        <v>59.4</v>
      </c>
      <c r="N611" s="10">
        <f>L611-M611</f>
        <v/>
      </c>
    </row>
    <row r="612">
      <c r="A612" s="7" t="inlineStr">
        <is>
          <t>ORD-05912</t>
        </is>
      </c>
      <c r="B612" s="8" t="n">
        <v>45091</v>
      </c>
      <c r="C612" s="9" t="n">
        <v>45078</v>
      </c>
      <c r="D612" s="7" t="n">
        <v>2023</v>
      </c>
      <c r="E612" s="7" t="inlineStr">
        <is>
          <t>North</t>
        </is>
      </c>
      <c r="F612" s="7" t="inlineStr">
        <is>
          <t>Office Supplies</t>
        </is>
      </c>
      <c r="G612" s="7" t="inlineStr">
        <is>
          <t>Stapler</t>
        </is>
      </c>
      <c r="H612" s="7" t="inlineStr">
        <is>
          <t>Corporate</t>
        </is>
      </c>
      <c r="I612" s="7" t="n">
        <v>11</v>
      </c>
      <c r="J612" s="10" t="n">
        <v>14.42</v>
      </c>
      <c r="K612" s="11" t="n">
        <v>0.05</v>
      </c>
      <c r="L612" s="10">
        <f>I612*J612*(1-K612)</f>
        <v/>
      </c>
      <c r="M612" s="10" t="n">
        <v>82.5</v>
      </c>
      <c r="N612" s="10">
        <f>L612-M612</f>
        <v/>
      </c>
    </row>
    <row r="613">
      <c r="A613" s="7" t="inlineStr">
        <is>
          <t>ORD-00583</t>
        </is>
      </c>
      <c r="B613" s="8" t="n">
        <v>45091</v>
      </c>
      <c r="C613" s="9" t="n">
        <v>45078</v>
      </c>
      <c r="D613" s="7" t="n">
        <v>2023</v>
      </c>
      <c r="E613" s="7" t="inlineStr">
        <is>
          <t>South</t>
        </is>
      </c>
      <c r="F613" s="7" t="inlineStr">
        <is>
          <t>Technology</t>
        </is>
      </c>
      <c r="G613" s="7" t="inlineStr">
        <is>
          <t>Keyboard</t>
        </is>
      </c>
      <c r="H613" s="7" t="inlineStr">
        <is>
          <t>Corporate</t>
        </is>
      </c>
      <c r="I613" s="7" t="n">
        <v>2</v>
      </c>
      <c r="J613" s="10" t="n">
        <v>44.83</v>
      </c>
      <c r="K613" s="11" t="n">
        <v>0.05</v>
      </c>
      <c r="L613" s="10">
        <f>I613*J613*(1-K613)</f>
        <v/>
      </c>
      <c r="M613" s="10" t="n">
        <v>49.5</v>
      </c>
      <c r="N613" s="10">
        <f>L613-M613</f>
        <v/>
      </c>
    </row>
    <row r="614">
      <c r="A614" s="7" t="inlineStr">
        <is>
          <t>ORD-03280</t>
        </is>
      </c>
      <c r="B614" s="8" t="n">
        <v>45092</v>
      </c>
      <c r="C614" s="9" t="n">
        <v>45078</v>
      </c>
      <c r="D614" s="7" t="n">
        <v>2023</v>
      </c>
      <c r="E614" s="7" t="inlineStr">
        <is>
          <t>North</t>
        </is>
      </c>
      <c r="F614" s="7" t="inlineStr">
        <is>
          <t>Office Supplies</t>
        </is>
      </c>
      <c r="G614" s="7" t="inlineStr">
        <is>
          <t>Pens</t>
        </is>
      </c>
      <c r="H614" s="7" t="inlineStr">
        <is>
          <t>Home Office</t>
        </is>
      </c>
      <c r="I614" s="7" t="n">
        <v>9</v>
      </c>
      <c r="J614" s="10" t="n">
        <v>11.57</v>
      </c>
      <c r="K614" s="11" t="n">
        <v>0</v>
      </c>
      <c r="L614" s="10">
        <f>I614*J614*(1-K614)</f>
        <v/>
      </c>
      <c r="M614" s="10" t="n">
        <v>48.6</v>
      </c>
      <c r="N614" s="10">
        <f>L614-M614</f>
        <v/>
      </c>
    </row>
    <row r="615">
      <c r="A615" s="7" t="inlineStr">
        <is>
          <t>ORD-00258</t>
        </is>
      </c>
      <c r="B615" s="8" t="n">
        <v>45092</v>
      </c>
      <c r="C615" s="9" t="n">
        <v>45078</v>
      </c>
      <c r="D615" s="7" t="n">
        <v>2023</v>
      </c>
      <c r="E615" s="7" t="inlineStr">
        <is>
          <t>West</t>
        </is>
      </c>
      <c r="F615" s="7" t="inlineStr">
        <is>
          <t>Office Supplies</t>
        </is>
      </c>
      <c r="G615" s="7" t="inlineStr">
        <is>
          <t>Paper</t>
        </is>
      </c>
      <c r="H615" s="7" t="inlineStr">
        <is>
          <t>Consumer</t>
        </is>
      </c>
      <c r="I615" s="7" t="n">
        <v>5</v>
      </c>
      <c r="J615" s="10" t="n">
        <v>23.9</v>
      </c>
      <c r="K615" s="11" t="n">
        <v>0</v>
      </c>
      <c r="L615" s="10">
        <f>I615*J615*(1-K615)</f>
        <v/>
      </c>
      <c r="M615" s="10" t="n">
        <v>62.5</v>
      </c>
      <c r="N615" s="10">
        <f>L615-M615</f>
        <v/>
      </c>
    </row>
    <row r="616">
      <c r="A616" s="7" t="inlineStr">
        <is>
          <t>ORD-05692</t>
        </is>
      </c>
      <c r="B616" s="8" t="n">
        <v>45092</v>
      </c>
      <c r="C616" s="9" t="n">
        <v>45078</v>
      </c>
      <c r="D616" s="7" t="n">
        <v>2023</v>
      </c>
      <c r="E616" s="7" t="inlineStr">
        <is>
          <t>South</t>
        </is>
      </c>
      <c r="F616" s="7" t="inlineStr">
        <is>
          <t>Office Supplies</t>
        </is>
      </c>
      <c r="G616" s="7" t="inlineStr">
        <is>
          <t>Pens</t>
        </is>
      </c>
      <c r="H616" s="7" t="inlineStr">
        <is>
          <t>Consumer</t>
        </is>
      </c>
      <c r="I616" s="7" t="n">
        <v>7</v>
      </c>
      <c r="J616" s="10" t="n">
        <v>11.43</v>
      </c>
      <c r="K616" s="11" t="n">
        <v>0.2</v>
      </c>
      <c r="L616" s="10">
        <f>I616*J616*(1-K616)</f>
        <v/>
      </c>
      <c r="M616" s="10" t="n">
        <v>37.8</v>
      </c>
      <c r="N616" s="10">
        <f>L616-M616</f>
        <v/>
      </c>
    </row>
    <row r="617">
      <c r="A617" s="7" t="inlineStr">
        <is>
          <t>ORD-02483</t>
        </is>
      </c>
      <c r="B617" s="8" t="n">
        <v>45092</v>
      </c>
      <c r="C617" s="9" t="n">
        <v>45078</v>
      </c>
      <c r="D617" s="7" t="n">
        <v>2023</v>
      </c>
      <c r="E617" s="7" t="inlineStr">
        <is>
          <t>North</t>
        </is>
      </c>
      <c r="F617" s="7" t="inlineStr">
        <is>
          <t>Technology</t>
        </is>
      </c>
      <c r="G617" s="7" t="inlineStr">
        <is>
          <t>Smartphone</t>
        </is>
      </c>
      <c r="H617" s="7" t="inlineStr">
        <is>
          <t>Home Office</t>
        </is>
      </c>
      <c r="I617" s="7" t="n">
        <v>2</v>
      </c>
      <c r="J617" s="10" t="n">
        <v>591.63</v>
      </c>
      <c r="K617" s="11" t="n">
        <v>0.1</v>
      </c>
      <c r="L617" s="10">
        <f>I617*J617*(1-K617)</f>
        <v/>
      </c>
      <c r="M617" s="10" t="n">
        <v>900</v>
      </c>
      <c r="N617" s="10">
        <f>L617-M617</f>
        <v/>
      </c>
    </row>
    <row r="618">
      <c r="A618" s="7" t="inlineStr">
        <is>
          <t>ORD-05463</t>
        </is>
      </c>
      <c r="B618" s="8" t="n">
        <v>45093</v>
      </c>
      <c r="C618" s="9" t="n">
        <v>45078</v>
      </c>
      <c r="D618" s="7" t="n">
        <v>2023</v>
      </c>
      <c r="E618" s="7" t="inlineStr">
        <is>
          <t>South</t>
        </is>
      </c>
      <c r="F618" s="7" t="inlineStr">
        <is>
          <t>Furniture</t>
        </is>
      </c>
      <c r="G618" s="7" t="inlineStr">
        <is>
          <t>Office Chair</t>
        </is>
      </c>
      <c r="H618" s="7" t="inlineStr">
        <is>
          <t>Home Office</t>
        </is>
      </c>
      <c r="I618" s="7" t="n">
        <v>1</v>
      </c>
      <c r="J618" s="10" t="n">
        <v>228.5</v>
      </c>
      <c r="K618" s="11" t="n">
        <v>0.1</v>
      </c>
      <c r="L618" s="10">
        <f>I618*J618*(1-K618)</f>
        <v/>
      </c>
      <c r="M618" s="10" t="n">
        <v>180.4</v>
      </c>
      <c r="N618" s="10">
        <f>L618-M618</f>
        <v/>
      </c>
    </row>
    <row r="619">
      <c r="A619" s="7" t="inlineStr">
        <is>
          <t>ORD-02659</t>
        </is>
      </c>
      <c r="B619" s="8" t="n">
        <v>45093</v>
      </c>
      <c r="C619" s="9" t="n">
        <v>45078</v>
      </c>
      <c r="D619" s="7" t="n">
        <v>2023</v>
      </c>
      <c r="E619" s="7" t="inlineStr">
        <is>
          <t>East</t>
        </is>
      </c>
      <c r="F619" s="7" t="inlineStr">
        <is>
          <t>Technology</t>
        </is>
      </c>
      <c r="G619" s="7" t="inlineStr">
        <is>
          <t>Smartphone</t>
        </is>
      </c>
      <c r="H619" s="7" t="inlineStr">
        <is>
          <t>Consumer</t>
        </is>
      </c>
      <c r="I619" s="7" t="n">
        <v>1</v>
      </c>
      <c r="J619" s="10" t="n">
        <v>623.59</v>
      </c>
      <c r="K619" s="11" t="n">
        <v>0</v>
      </c>
      <c r="L619" s="10">
        <f>I619*J619*(1-K619)</f>
        <v/>
      </c>
      <c r="M619" s="10" t="n">
        <v>450</v>
      </c>
      <c r="N619" s="10">
        <f>L619-M619</f>
        <v/>
      </c>
    </row>
    <row r="620">
      <c r="A620" s="7" t="inlineStr">
        <is>
          <t>ORD-04609</t>
        </is>
      </c>
      <c r="B620" s="8" t="n">
        <v>45093</v>
      </c>
      <c r="C620" s="9" t="n">
        <v>45078</v>
      </c>
      <c r="D620" s="7" t="n">
        <v>2023</v>
      </c>
      <c r="E620" s="7" t="inlineStr">
        <is>
          <t>North</t>
        </is>
      </c>
      <c r="F620" s="7" t="inlineStr">
        <is>
          <t>Office Supplies</t>
        </is>
      </c>
      <c r="G620" s="7" t="inlineStr">
        <is>
          <t>Paper</t>
        </is>
      </c>
      <c r="H620" s="7" t="inlineStr">
        <is>
          <t>Consumer</t>
        </is>
      </c>
      <c r="I620" s="7" t="n">
        <v>2</v>
      </c>
      <c r="J620" s="10" t="n">
        <v>24.19</v>
      </c>
      <c r="K620" s="11" t="n">
        <v>0.05</v>
      </c>
      <c r="L620" s="10">
        <f>I620*J620*(1-K620)</f>
        <v/>
      </c>
      <c r="M620" s="10" t="n">
        <v>25</v>
      </c>
      <c r="N620" s="10">
        <f>L620-M620</f>
        <v/>
      </c>
    </row>
    <row r="621">
      <c r="A621" s="7" t="inlineStr">
        <is>
          <t>ORD-00409</t>
        </is>
      </c>
      <c r="B621" s="8" t="n">
        <v>45093</v>
      </c>
      <c r="C621" s="9" t="n">
        <v>45078</v>
      </c>
      <c r="D621" s="7" t="n">
        <v>2023</v>
      </c>
      <c r="E621" s="7" t="inlineStr">
        <is>
          <t>South</t>
        </is>
      </c>
      <c r="F621" s="7" t="inlineStr">
        <is>
          <t>Technology</t>
        </is>
      </c>
      <c r="G621" s="7" t="inlineStr">
        <is>
          <t>Smartphone</t>
        </is>
      </c>
      <c r="H621" s="7" t="inlineStr">
        <is>
          <t>Corporate</t>
        </is>
      </c>
      <c r="I621" s="7" t="n">
        <v>2</v>
      </c>
      <c r="J621" s="10" t="n">
        <v>622.04</v>
      </c>
      <c r="K621" s="11" t="n">
        <v>0.05</v>
      </c>
      <c r="L621" s="10">
        <f>I621*J621*(1-K621)</f>
        <v/>
      </c>
      <c r="M621" s="10" t="n">
        <v>900</v>
      </c>
      <c r="N621" s="10">
        <f>L621-M621</f>
        <v/>
      </c>
    </row>
    <row r="622">
      <c r="A622" s="7" t="inlineStr">
        <is>
          <t>ORD-00230</t>
        </is>
      </c>
      <c r="B622" s="8" t="n">
        <v>45093</v>
      </c>
      <c r="C622" s="9" t="n">
        <v>45078</v>
      </c>
      <c r="D622" s="7" t="n">
        <v>2023</v>
      </c>
      <c r="E622" s="7" t="inlineStr">
        <is>
          <t>East</t>
        </is>
      </c>
      <c r="F622" s="7" t="inlineStr">
        <is>
          <t>Office Supplies</t>
        </is>
      </c>
      <c r="G622" s="7" t="inlineStr">
        <is>
          <t>Binder</t>
        </is>
      </c>
      <c r="H622" s="7" t="inlineStr">
        <is>
          <t>Corporate</t>
        </is>
      </c>
      <c r="I622" s="7" t="n">
        <v>3</v>
      </c>
      <c r="J622" s="10" t="n">
        <v>7.65</v>
      </c>
      <c r="K622" s="11" t="n">
        <v>0</v>
      </c>
      <c r="L622" s="10">
        <f>I622*J622*(1-K622)</f>
        <v/>
      </c>
      <c r="M622" s="10" t="n">
        <v>9.6</v>
      </c>
      <c r="N622" s="10">
        <f>L622-M622</f>
        <v/>
      </c>
    </row>
    <row r="623">
      <c r="A623" s="7" t="inlineStr">
        <is>
          <t>ORD-03959</t>
        </is>
      </c>
      <c r="B623" s="8" t="n">
        <v>45093</v>
      </c>
      <c r="C623" s="9" t="n">
        <v>45078</v>
      </c>
      <c r="D623" s="7" t="n">
        <v>2023</v>
      </c>
      <c r="E623" s="7" t="inlineStr">
        <is>
          <t>East</t>
        </is>
      </c>
      <c r="F623" s="7" t="inlineStr">
        <is>
          <t>Technology</t>
        </is>
      </c>
      <c r="G623" s="7" t="inlineStr">
        <is>
          <t>Headphones</t>
        </is>
      </c>
      <c r="H623" s="7" t="inlineStr">
        <is>
          <t>Consumer</t>
        </is>
      </c>
      <c r="I623" s="7" t="n">
        <v>2</v>
      </c>
      <c r="J623" s="10" t="n">
        <v>115.65</v>
      </c>
      <c r="K623" s="11" t="n">
        <v>0.05</v>
      </c>
      <c r="L623" s="10">
        <f>I623*J623*(1-K623)</f>
        <v/>
      </c>
      <c r="M623" s="10" t="n">
        <v>144</v>
      </c>
      <c r="N623" s="10">
        <f>L623-M623</f>
        <v/>
      </c>
    </row>
    <row r="624">
      <c r="A624" s="7" t="inlineStr">
        <is>
          <t>ORD-03631</t>
        </is>
      </c>
      <c r="B624" s="8" t="n">
        <v>45093</v>
      </c>
      <c r="C624" s="9" t="n">
        <v>45078</v>
      </c>
      <c r="D624" s="7" t="n">
        <v>2023</v>
      </c>
      <c r="E624" s="7" t="inlineStr">
        <is>
          <t>South</t>
        </is>
      </c>
      <c r="F624" s="7" t="inlineStr">
        <is>
          <t>Technology</t>
        </is>
      </c>
      <c r="G624" s="7" t="inlineStr">
        <is>
          <t>Monitor</t>
        </is>
      </c>
      <c r="H624" s="7" t="inlineStr">
        <is>
          <t>Corporate</t>
        </is>
      </c>
      <c r="I624" s="7" t="n">
        <v>2</v>
      </c>
      <c r="J624" s="10" t="n">
        <v>261.11</v>
      </c>
      <c r="K624" s="11" t="n">
        <v>0.2</v>
      </c>
      <c r="L624" s="10">
        <f>I624*J624*(1-K624)</f>
        <v/>
      </c>
      <c r="M624" s="10" t="n">
        <v>360</v>
      </c>
      <c r="N624" s="10">
        <f>L624-M624</f>
        <v/>
      </c>
    </row>
    <row r="625">
      <c r="A625" s="7" t="inlineStr">
        <is>
          <t>ORD-04203</t>
        </is>
      </c>
      <c r="B625" s="8" t="n">
        <v>45093</v>
      </c>
      <c r="C625" s="9" t="n">
        <v>45078</v>
      </c>
      <c r="D625" s="7" t="n">
        <v>2023</v>
      </c>
      <c r="E625" s="7" t="inlineStr">
        <is>
          <t>East</t>
        </is>
      </c>
      <c r="F625" s="7" t="inlineStr">
        <is>
          <t>Technology</t>
        </is>
      </c>
      <c r="G625" s="7" t="inlineStr">
        <is>
          <t>Headphones</t>
        </is>
      </c>
      <c r="H625" s="7" t="inlineStr">
        <is>
          <t>Consumer</t>
        </is>
      </c>
      <c r="I625" s="7" t="n">
        <v>3</v>
      </c>
      <c r="J625" s="10" t="n">
        <v>119.29</v>
      </c>
      <c r="K625" s="11" t="n">
        <v>0.2</v>
      </c>
      <c r="L625" s="10">
        <f>I625*J625*(1-K625)</f>
        <v/>
      </c>
      <c r="M625" s="10" t="n">
        <v>216</v>
      </c>
      <c r="N625" s="10">
        <f>L625-M625</f>
        <v/>
      </c>
    </row>
    <row r="626">
      <c r="A626" s="7" t="inlineStr">
        <is>
          <t>ORD-04494</t>
        </is>
      </c>
      <c r="B626" s="8" t="n">
        <v>45094</v>
      </c>
      <c r="C626" s="9" t="n">
        <v>45078</v>
      </c>
      <c r="D626" s="7" t="n">
        <v>2023</v>
      </c>
      <c r="E626" s="7" t="inlineStr">
        <is>
          <t>East</t>
        </is>
      </c>
      <c r="F626" s="7" t="inlineStr">
        <is>
          <t>Office Supplies</t>
        </is>
      </c>
      <c r="G626" s="7" t="inlineStr">
        <is>
          <t>Binder</t>
        </is>
      </c>
      <c r="H626" s="7" t="inlineStr">
        <is>
          <t>Corporate</t>
        </is>
      </c>
      <c r="I626" s="7" t="n">
        <v>6</v>
      </c>
      <c r="J626" s="10" t="n">
        <v>8.19</v>
      </c>
      <c r="K626" s="11" t="n">
        <v>0</v>
      </c>
      <c r="L626" s="10">
        <f>I626*J626*(1-K626)</f>
        <v/>
      </c>
      <c r="M626" s="10" t="n">
        <v>19.2</v>
      </c>
      <c r="N626" s="10">
        <f>L626-M626</f>
        <v/>
      </c>
    </row>
    <row r="627">
      <c r="A627" s="7" t="inlineStr">
        <is>
          <t>ORD-05238</t>
        </is>
      </c>
      <c r="B627" s="8" t="n">
        <v>45095</v>
      </c>
      <c r="C627" s="9" t="n">
        <v>45078</v>
      </c>
      <c r="D627" s="7" t="n">
        <v>2023</v>
      </c>
      <c r="E627" s="7" t="inlineStr">
        <is>
          <t>South</t>
        </is>
      </c>
      <c r="F627" s="7" t="inlineStr">
        <is>
          <t>Office Supplies</t>
        </is>
      </c>
      <c r="G627" s="7" t="inlineStr">
        <is>
          <t>Binder</t>
        </is>
      </c>
      <c r="H627" s="7" t="inlineStr">
        <is>
          <t>Corporate</t>
        </is>
      </c>
      <c r="I627" s="7" t="n">
        <v>12</v>
      </c>
      <c r="J627" s="10" t="n">
        <v>7.68</v>
      </c>
      <c r="K627" s="11" t="n">
        <v>0.3</v>
      </c>
      <c r="L627" s="10">
        <f>I627*J627*(1-K627)</f>
        <v/>
      </c>
      <c r="M627" s="10" t="n">
        <v>38.4</v>
      </c>
      <c r="N627" s="10">
        <f>L627-M627</f>
        <v/>
      </c>
    </row>
    <row r="628">
      <c r="A628" s="7" t="inlineStr">
        <is>
          <t>ORD-00161</t>
        </is>
      </c>
      <c r="B628" s="8" t="n">
        <v>45095</v>
      </c>
      <c r="C628" s="9" t="n">
        <v>45078</v>
      </c>
      <c r="D628" s="7" t="n">
        <v>2023</v>
      </c>
      <c r="E628" s="7" t="inlineStr">
        <is>
          <t>South</t>
        </is>
      </c>
      <c r="F628" s="7" t="inlineStr">
        <is>
          <t>Office Supplies</t>
        </is>
      </c>
      <c r="G628" s="7" t="inlineStr">
        <is>
          <t>Pens</t>
        </is>
      </c>
      <c r="H628" s="7" t="inlineStr">
        <is>
          <t>Consumer</t>
        </is>
      </c>
      <c r="I628" s="7" t="n">
        <v>9</v>
      </c>
      <c r="J628" s="10" t="n">
        <v>12.08</v>
      </c>
      <c r="K628" s="11" t="n">
        <v>0</v>
      </c>
      <c r="L628" s="10">
        <f>I628*J628*(1-K628)</f>
        <v/>
      </c>
      <c r="M628" s="10" t="n">
        <v>48.6</v>
      </c>
      <c r="N628" s="10">
        <f>L628-M628</f>
        <v/>
      </c>
    </row>
    <row r="629">
      <c r="A629" s="7" t="inlineStr">
        <is>
          <t>ORD-01252</t>
        </is>
      </c>
      <c r="B629" s="8" t="n">
        <v>45095</v>
      </c>
      <c r="C629" s="9" t="n">
        <v>45078</v>
      </c>
      <c r="D629" s="7" t="n">
        <v>2023</v>
      </c>
      <c r="E629" s="7" t="inlineStr">
        <is>
          <t>East</t>
        </is>
      </c>
      <c r="F629" s="7" t="inlineStr">
        <is>
          <t>Technology</t>
        </is>
      </c>
      <c r="G629" s="7" t="inlineStr">
        <is>
          <t>Keyboard</t>
        </is>
      </c>
      <c r="H629" s="7" t="inlineStr">
        <is>
          <t>Consumer</t>
        </is>
      </c>
      <c r="I629" s="7" t="n">
        <v>1</v>
      </c>
      <c r="J629" s="10" t="n">
        <v>43.39</v>
      </c>
      <c r="K629" s="11" t="n">
        <v>0.2</v>
      </c>
      <c r="L629" s="10">
        <f>I629*J629*(1-K629)</f>
        <v/>
      </c>
      <c r="M629" s="10" t="n">
        <v>24.75</v>
      </c>
      <c r="N629" s="10">
        <f>L629-M629</f>
        <v/>
      </c>
    </row>
    <row r="630">
      <c r="A630" s="7" t="inlineStr">
        <is>
          <t>ORD-01473</t>
        </is>
      </c>
      <c r="B630" s="8" t="n">
        <v>45095</v>
      </c>
      <c r="C630" s="9" t="n">
        <v>45078</v>
      </c>
      <c r="D630" s="7" t="n">
        <v>2023</v>
      </c>
      <c r="E630" s="7" t="inlineStr">
        <is>
          <t>East</t>
        </is>
      </c>
      <c r="F630" s="7" t="inlineStr">
        <is>
          <t>Office Supplies</t>
        </is>
      </c>
      <c r="G630" s="7" t="inlineStr">
        <is>
          <t>Paper</t>
        </is>
      </c>
      <c r="H630" s="7" t="inlineStr">
        <is>
          <t>Consumer</t>
        </is>
      </c>
      <c r="I630" s="7" t="n">
        <v>4</v>
      </c>
      <c r="J630" s="10" t="n">
        <v>24.12</v>
      </c>
      <c r="K630" s="11" t="n">
        <v>0.3</v>
      </c>
      <c r="L630" s="10">
        <f>I630*J630*(1-K630)</f>
        <v/>
      </c>
      <c r="M630" s="10" t="n">
        <v>50</v>
      </c>
      <c r="N630" s="10">
        <f>L630-M630</f>
        <v/>
      </c>
    </row>
    <row r="631">
      <c r="A631" s="7" t="inlineStr">
        <is>
          <t>ORD-02416</t>
        </is>
      </c>
      <c r="B631" s="8" t="n">
        <v>45095</v>
      </c>
      <c r="C631" s="9" t="n">
        <v>45078</v>
      </c>
      <c r="D631" s="7" t="n">
        <v>2023</v>
      </c>
      <c r="E631" s="7" t="inlineStr">
        <is>
          <t>North</t>
        </is>
      </c>
      <c r="F631" s="7" t="inlineStr">
        <is>
          <t>Office Supplies</t>
        </is>
      </c>
      <c r="G631" s="7" t="inlineStr">
        <is>
          <t>Binder</t>
        </is>
      </c>
      <c r="H631" s="7" t="inlineStr">
        <is>
          <t>Corporate</t>
        </is>
      </c>
      <c r="I631" s="7" t="n">
        <v>13</v>
      </c>
      <c r="J631" s="10" t="n">
        <v>7.93</v>
      </c>
      <c r="K631" s="11" t="n">
        <v>0.05</v>
      </c>
      <c r="L631" s="10">
        <f>I631*J631*(1-K631)</f>
        <v/>
      </c>
      <c r="M631" s="10" t="n">
        <v>41.6</v>
      </c>
      <c r="N631" s="10">
        <f>L631-M631</f>
        <v/>
      </c>
    </row>
    <row r="632">
      <c r="A632" s="7" t="inlineStr">
        <is>
          <t>ORD-04658</t>
        </is>
      </c>
      <c r="B632" s="8" t="n">
        <v>45095</v>
      </c>
      <c r="C632" s="9" t="n">
        <v>45078</v>
      </c>
      <c r="D632" s="7" t="n">
        <v>2023</v>
      </c>
      <c r="E632" s="7" t="inlineStr">
        <is>
          <t>South</t>
        </is>
      </c>
      <c r="F632" s="7" t="inlineStr">
        <is>
          <t>Furniture</t>
        </is>
      </c>
      <c r="G632" s="7" t="inlineStr">
        <is>
          <t>Desk</t>
        </is>
      </c>
      <c r="H632" s="7" t="inlineStr">
        <is>
          <t>Consumer</t>
        </is>
      </c>
      <c r="I632" s="7" t="n">
        <v>3</v>
      </c>
      <c r="J632" s="10" t="n">
        <v>431.94</v>
      </c>
      <c r="K632" s="11" t="n">
        <v>0.3</v>
      </c>
      <c r="L632" s="10">
        <f>I632*J632*(1-K632)</f>
        <v/>
      </c>
      <c r="M632" s="10" t="n">
        <v>1147.5</v>
      </c>
      <c r="N632" s="10">
        <f>L632-M632</f>
        <v/>
      </c>
    </row>
    <row r="633">
      <c r="A633" s="7" t="inlineStr">
        <is>
          <t>ORD-05991</t>
        </is>
      </c>
      <c r="B633" s="8" t="n">
        <v>45096</v>
      </c>
      <c r="C633" s="9" t="n">
        <v>45078</v>
      </c>
      <c r="D633" s="7" t="n">
        <v>2023</v>
      </c>
      <c r="E633" s="7" t="inlineStr">
        <is>
          <t>North</t>
        </is>
      </c>
      <c r="F633" s="7" t="inlineStr">
        <is>
          <t>Office Supplies</t>
        </is>
      </c>
      <c r="G633" s="7" t="inlineStr">
        <is>
          <t>Binder</t>
        </is>
      </c>
      <c r="H633" s="7" t="inlineStr">
        <is>
          <t>Consumer</t>
        </is>
      </c>
      <c r="I633" s="7" t="n">
        <v>12</v>
      </c>
      <c r="J633" s="10" t="n">
        <v>7.94</v>
      </c>
      <c r="K633" s="11" t="n">
        <v>0</v>
      </c>
      <c r="L633" s="10">
        <f>I633*J633*(1-K633)</f>
        <v/>
      </c>
      <c r="M633" s="10" t="n">
        <v>38.4</v>
      </c>
      <c r="N633" s="10">
        <f>L633-M633</f>
        <v/>
      </c>
    </row>
    <row r="634">
      <c r="A634" s="7" t="inlineStr">
        <is>
          <t>ORD-00155</t>
        </is>
      </c>
      <c r="B634" s="8" t="n">
        <v>45096</v>
      </c>
      <c r="C634" s="9" t="n">
        <v>45078</v>
      </c>
      <c r="D634" s="7" t="n">
        <v>2023</v>
      </c>
      <c r="E634" s="7" t="inlineStr">
        <is>
          <t>East</t>
        </is>
      </c>
      <c r="F634" s="7" t="inlineStr">
        <is>
          <t>Office Supplies</t>
        </is>
      </c>
      <c r="G634" s="7" t="inlineStr">
        <is>
          <t>Paper</t>
        </is>
      </c>
      <c r="H634" s="7" t="inlineStr">
        <is>
          <t>Corporate</t>
        </is>
      </c>
      <c r="I634" s="7" t="n">
        <v>10</v>
      </c>
      <c r="J634" s="10" t="n">
        <v>23.95</v>
      </c>
      <c r="K634" s="11" t="n">
        <v>0.05</v>
      </c>
      <c r="L634" s="10">
        <f>I634*J634*(1-K634)</f>
        <v/>
      </c>
      <c r="M634" s="10" t="n">
        <v>125</v>
      </c>
      <c r="N634" s="10">
        <f>L634-M634</f>
        <v/>
      </c>
    </row>
    <row r="635">
      <c r="A635" s="7" t="inlineStr">
        <is>
          <t>ORD-01575</t>
        </is>
      </c>
      <c r="B635" s="8" t="n">
        <v>45096</v>
      </c>
      <c r="C635" s="9" t="n">
        <v>45078</v>
      </c>
      <c r="D635" s="7" t="n">
        <v>2023</v>
      </c>
      <c r="E635" s="7" t="inlineStr">
        <is>
          <t>West</t>
        </is>
      </c>
      <c r="F635" s="7" t="inlineStr">
        <is>
          <t>Office Supplies</t>
        </is>
      </c>
      <c r="G635" s="7" t="inlineStr">
        <is>
          <t>Printer Ink</t>
        </is>
      </c>
      <c r="H635" s="7" t="inlineStr">
        <is>
          <t>Corporate</t>
        </is>
      </c>
      <c r="I635" s="7" t="n">
        <v>4</v>
      </c>
      <c r="J635" s="10" t="n">
        <v>60.32</v>
      </c>
      <c r="K635" s="11" t="n">
        <v>0</v>
      </c>
      <c r="L635" s="10">
        <f>I635*J635*(1-K635)</f>
        <v/>
      </c>
      <c r="M635" s="10" t="n">
        <v>144</v>
      </c>
      <c r="N635" s="10">
        <f>L635-M635</f>
        <v/>
      </c>
    </row>
    <row r="636">
      <c r="A636" s="7" t="inlineStr">
        <is>
          <t>ORD-02022</t>
        </is>
      </c>
      <c r="B636" s="8" t="n">
        <v>45096</v>
      </c>
      <c r="C636" s="9" t="n">
        <v>45078</v>
      </c>
      <c r="D636" s="7" t="n">
        <v>2023</v>
      </c>
      <c r="E636" s="7" t="inlineStr">
        <is>
          <t>West</t>
        </is>
      </c>
      <c r="F636" s="7" t="inlineStr">
        <is>
          <t>Office Supplies</t>
        </is>
      </c>
      <c r="G636" s="7" t="inlineStr">
        <is>
          <t>Pens</t>
        </is>
      </c>
      <c r="H636" s="7" t="inlineStr">
        <is>
          <t>Consumer</t>
        </is>
      </c>
      <c r="I636" s="7" t="n">
        <v>5</v>
      </c>
      <c r="J636" s="10" t="n">
        <v>11.83</v>
      </c>
      <c r="K636" s="11" t="n">
        <v>0.2</v>
      </c>
      <c r="L636" s="10">
        <f>I636*J636*(1-K636)</f>
        <v/>
      </c>
      <c r="M636" s="10" t="n">
        <v>27</v>
      </c>
      <c r="N636" s="10">
        <f>L636-M636</f>
        <v/>
      </c>
    </row>
    <row r="637">
      <c r="A637" s="7" t="inlineStr">
        <is>
          <t>ORD-02889</t>
        </is>
      </c>
      <c r="B637" s="8" t="n">
        <v>45096</v>
      </c>
      <c r="C637" s="9" t="n">
        <v>45078</v>
      </c>
      <c r="D637" s="7" t="n">
        <v>2023</v>
      </c>
      <c r="E637" s="7" t="inlineStr">
        <is>
          <t>South</t>
        </is>
      </c>
      <c r="F637" s="7" t="inlineStr">
        <is>
          <t>Furniture</t>
        </is>
      </c>
      <c r="G637" s="7" t="inlineStr">
        <is>
          <t>Bookcase</t>
        </is>
      </c>
      <c r="H637" s="7" t="inlineStr">
        <is>
          <t>Home Office</t>
        </is>
      </c>
      <c r="I637" s="7" t="n">
        <v>3</v>
      </c>
      <c r="J637" s="10" t="n">
        <v>177.67</v>
      </c>
      <c r="K637" s="11" t="n">
        <v>0.3</v>
      </c>
      <c r="L637" s="10">
        <f>I637*J637*(1-K637)</f>
        <v/>
      </c>
      <c r="M637" s="10" t="n">
        <v>432</v>
      </c>
      <c r="N637" s="10">
        <f>L637-M637</f>
        <v/>
      </c>
    </row>
    <row r="638">
      <c r="A638" s="7" t="inlineStr">
        <is>
          <t>ORD-02119</t>
        </is>
      </c>
      <c r="B638" s="8" t="n">
        <v>45096</v>
      </c>
      <c r="C638" s="9" t="n">
        <v>45078</v>
      </c>
      <c r="D638" s="7" t="n">
        <v>2023</v>
      </c>
      <c r="E638" s="7" t="inlineStr">
        <is>
          <t>East</t>
        </is>
      </c>
      <c r="F638" s="7" t="inlineStr">
        <is>
          <t>Furniture</t>
        </is>
      </c>
      <c r="G638" s="7" t="inlineStr">
        <is>
          <t>Sofa</t>
        </is>
      </c>
      <c r="H638" s="7" t="inlineStr">
        <is>
          <t>Corporate</t>
        </is>
      </c>
      <c r="I638" s="7" t="n">
        <v>3</v>
      </c>
      <c r="J638" s="10" t="n">
        <v>720.11</v>
      </c>
      <c r="K638" s="11" t="n">
        <v>0.3</v>
      </c>
      <c r="L638" s="10">
        <f>I638*J638*(1-K638)</f>
        <v/>
      </c>
      <c r="M638" s="10" t="n">
        <v>1848</v>
      </c>
      <c r="N638" s="10">
        <f>L638-M638</f>
        <v/>
      </c>
    </row>
    <row r="639">
      <c r="A639" s="7" t="inlineStr">
        <is>
          <t>ORD-03527</t>
        </is>
      </c>
      <c r="B639" s="8" t="n">
        <v>45096</v>
      </c>
      <c r="C639" s="9" t="n">
        <v>45078</v>
      </c>
      <c r="D639" s="7" t="n">
        <v>2023</v>
      </c>
      <c r="E639" s="7" t="inlineStr">
        <is>
          <t>East</t>
        </is>
      </c>
      <c r="F639" s="7" t="inlineStr">
        <is>
          <t>Office Supplies</t>
        </is>
      </c>
      <c r="G639" s="7" t="inlineStr">
        <is>
          <t>Paper</t>
        </is>
      </c>
      <c r="H639" s="7" t="inlineStr">
        <is>
          <t>Consumer</t>
        </is>
      </c>
      <c r="I639" s="7" t="n">
        <v>6</v>
      </c>
      <c r="J639" s="10" t="n">
        <v>26.17</v>
      </c>
      <c r="K639" s="11" t="n">
        <v>0.1</v>
      </c>
      <c r="L639" s="10">
        <f>I639*J639*(1-K639)</f>
        <v/>
      </c>
      <c r="M639" s="10" t="n">
        <v>75</v>
      </c>
      <c r="N639" s="10">
        <f>L639-M639</f>
        <v/>
      </c>
    </row>
    <row r="640">
      <c r="A640" s="7" t="inlineStr">
        <is>
          <t>ORD-04887</t>
        </is>
      </c>
      <c r="B640" s="8" t="n">
        <v>45097</v>
      </c>
      <c r="C640" s="9" t="n">
        <v>45078</v>
      </c>
      <c r="D640" s="7" t="n">
        <v>2023</v>
      </c>
      <c r="E640" s="7" t="inlineStr">
        <is>
          <t>East</t>
        </is>
      </c>
      <c r="F640" s="7" t="inlineStr">
        <is>
          <t>Technology</t>
        </is>
      </c>
      <c r="G640" s="7" t="inlineStr">
        <is>
          <t>Headphones</t>
        </is>
      </c>
      <c r="H640" s="7" t="inlineStr">
        <is>
          <t>Corporate</t>
        </is>
      </c>
      <c r="I640" s="7" t="n">
        <v>3</v>
      </c>
      <c r="J640" s="10" t="n">
        <v>118.15</v>
      </c>
      <c r="K640" s="11" t="n">
        <v>0</v>
      </c>
      <c r="L640" s="10">
        <f>I640*J640*(1-K640)</f>
        <v/>
      </c>
      <c r="M640" s="10" t="n">
        <v>216</v>
      </c>
      <c r="N640" s="10">
        <f>L640-M640</f>
        <v/>
      </c>
    </row>
    <row r="641">
      <c r="A641" s="7" t="inlineStr">
        <is>
          <t>ORD-00636</t>
        </is>
      </c>
      <c r="B641" s="8" t="n">
        <v>45097</v>
      </c>
      <c r="C641" s="9" t="n">
        <v>45078</v>
      </c>
      <c r="D641" s="7" t="n">
        <v>2023</v>
      </c>
      <c r="E641" s="7" t="inlineStr">
        <is>
          <t>West</t>
        </is>
      </c>
      <c r="F641" s="7" t="inlineStr">
        <is>
          <t>Office Supplies</t>
        </is>
      </c>
      <c r="G641" s="7" t="inlineStr">
        <is>
          <t>Pens</t>
        </is>
      </c>
      <c r="H641" s="7" t="inlineStr">
        <is>
          <t>Corporate</t>
        </is>
      </c>
      <c r="I641" s="7" t="n">
        <v>2</v>
      </c>
      <c r="J641" s="10" t="n">
        <v>12.25</v>
      </c>
      <c r="K641" s="11" t="n">
        <v>0.3</v>
      </c>
      <c r="L641" s="10">
        <f>I641*J641*(1-K641)</f>
        <v/>
      </c>
      <c r="M641" s="10" t="n">
        <v>10.8</v>
      </c>
      <c r="N641" s="10">
        <f>L641-M641</f>
        <v/>
      </c>
    </row>
    <row r="642">
      <c r="A642" s="7" t="inlineStr">
        <is>
          <t>ORD-04625</t>
        </is>
      </c>
      <c r="B642" s="8" t="n">
        <v>45097</v>
      </c>
      <c r="C642" s="9" t="n">
        <v>45078</v>
      </c>
      <c r="D642" s="7" t="n">
        <v>2023</v>
      </c>
      <c r="E642" s="7" t="inlineStr">
        <is>
          <t>East</t>
        </is>
      </c>
      <c r="F642" s="7" t="inlineStr">
        <is>
          <t>Technology</t>
        </is>
      </c>
      <c r="G642" s="7" t="inlineStr">
        <is>
          <t>Keyboard</t>
        </is>
      </c>
      <c r="H642" s="7" t="inlineStr">
        <is>
          <t>Consumer</t>
        </is>
      </c>
      <c r="I642" s="7" t="n">
        <v>2</v>
      </c>
      <c r="J642" s="10" t="n">
        <v>43.02</v>
      </c>
      <c r="K642" s="11" t="n">
        <v>0.1</v>
      </c>
      <c r="L642" s="10">
        <f>I642*J642*(1-K642)</f>
        <v/>
      </c>
      <c r="M642" s="10" t="n">
        <v>49.5</v>
      </c>
      <c r="N642" s="10">
        <f>L642-M642</f>
        <v/>
      </c>
    </row>
    <row r="643">
      <c r="A643" s="7" t="inlineStr">
        <is>
          <t>ORD-00240</t>
        </is>
      </c>
      <c r="B643" s="8" t="n">
        <v>45097</v>
      </c>
      <c r="C643" s="9" t="n">
        <v>45078</v>
      </c>
      <c r="D643" s="7" t="n">
        <v>2023</v>
      </c>
      <c r="E643" s="7" t="inlineStr">
        <is>
          <t>East</t>
        </is>
      </c>
      <c r="F643" s="7" t="inlineStr">
        <is>
          <t>Technology</t>
        </is>
      </c>
      <c r="G643" s="7" t="inlineStr">
        <is>
          <t>Laptop</t>
        </is>
      </c>
      <c r="H643" s="7" t="inlineStr">
        <is>
          <t>Corporate</t>
        </is>
      </c>
      <c r="I643" s="7" t="n">
        <v>3</v>
      </c>
      <c r="J643" s="10" t="n">
        <v>881.73</v>
      </c>
      <c r="K643" s="11" t="n">
        <v>0</v>
      </c>
      <c r="L643" s="10">
        <f>I643*J643*(1-K643)</f>
        <v/>
      </c>
      <c r="M643" s="10" t="n">
        <v>2106</v>
      </c>
      <c r="N643" s="10">
        <f>L643-M643</f>
        <v/>
      </c>
    </row>
    <row r="644">
      <c r="A644" s="7" t="inlineStr">
        <is>
          <t>ORD-03209</t>
        </is>
      </c>
      <c r="B644" s="8" t="n">
        <v>45098</v>
      </c>
      <c r="C644" s="9" t="n">
        <v>45078</v>
      </c>
      <c r="D644" s="7" t="n">
        <v>2023</v>
      </c>
      <c r="E644" s="7" t="inlineStr">
        <is>
          <t>West</t>
        </is>
      </c>
      <c r="F644" s="7" t="inlineStr">
        <is>
          <t>Office Supplies</t>
        </is>
      </c>
      <c r="G644" s="7" t="inlineStr">
        <is>
          <t>Binder</t>
        </is>
      </c>
      <c r="H644" s="7" t="inlineStr">
        <is>
          <t>Consumer</t>
        </is>
      </c>
      <c r="I644" s="7" t="n">
        <v>6</v>
      </c>
      <c r="J644" s="10" t="n">
        <v>7.96</v>
      </c>
      <c r="K644" s="11" t="n">
        <v>0.1</v>
      </c>
      <c r="L644" s="10">
        <f>I644*J644*(1-K644)</f>
        <v/>
      </c>
      <c r="M644" s="10" t="n">
        <v>19.2</v>
      </c>
      <c r="N644" s="10">
        <f>L644-M644</f>
        <v/>
      </c>
    </row>
    <row r="645">
      <c r="A645" s="7" t="inlineStr">
        <is>
          <t>ORD-03523</t>
        </is>
      </c>
      <c r="B645" s="8" t="n">
        <v>45098</v>
      </c>
      <c r="C645" s="9" t="n">
        <v>45078</v>
      </c>
      <c r="D645" s="7" t="n">
        <v>2023</v>
      </c>
      <c r="E645" s="7" t="inlineStr">
        <is>
          <t>West</t>
        </is>
      </c>
      <c r="F645" s="7" t="inlineStr">
        <is>
          <t>Office Supplies</t>
        </is>
      </c>
      <c r="G645" s="7" t="inlineStr">
        <is>
          <t>Paper</t>
        </is>
      </c>
      <c r="H645" s="7" t="inlineStr">
        <is>
          <t>Consumer</t>
        </is>
      </c>
      <c r="I645" s="7" t="n">
        <v>12</v>
      </c>
      <c r="J645" s="10" t="n">
        <v>25.76</v>
      </c>
      <c r="K645" s="11" t="n">
        <v>0.1</v>
      </c>
      <c r="L645" s="10">
        <f>I645*J645*(1-K645)</f>
        <v/>
      </c>
      <c r="M645" s="10" t="n">
        <v>150</v>
      </c>
      <c r="N645" s="10">
        <f>L645-M645</f>
        <v/>
      </c>
    </row>
    <row r="646">
      <c r="A646" s="7" t="inlineStr">
        <is>
          <t>ORD-04445</t>
        </is>
      </c>
      <c r="B646" s="8" t="n">
        <v>45098</v>
      </c>
      <c r="C646" s="9" t="n">
        <v>45078</v>
      </c>
      <c r="D646" s="7" t="n">
        <v>2023</v>
      </c>
      <c r="E646" s="7" t="inlineStr">
        <is>
          <t>East</t>
        </is>
      </c>
      <c r="F646" s="7" t="inlineStr">
        <is>
          <t>Office Supplies</t>
        </is>
      </c>
      <c r="G646" s="7" t="inlineStr">
        <is>
          <t>Paper</t>
        </is>
      </c>
      <c r="H646" s="7" t="inlineStr">
        <is>
          <t>Consumer</t>
        </is>
      </c>
      <c r="I646" s="7" t="n">
        <v>5</v>
      </c>
      <c r="J646" s="10" t="n">
        <v>25.36</v>
      </c>
      <c r="K646" s="11" t="n">
        <v>0</v>
      </c>
      <c r="L646" s="10">
        <f>I646*J646*(1-K646)</f>
        <v/>
      </c>
      <c r="M646" s="10" t="n">
        <v>62.5</v>
      </c>
      <c r="N646" s="10">
        <f>L646-M646</f>
        <v/>
      </c>
    </row>
    <row r="647">
      <c r="A647" s="7" t="inlineStr">
        <is>
          <t>ORD-03008</t>
        </is>
      </c>
      <c r="B647" s="8" t="n">
        <v>45099</v>
      </c>
      <c r="C647" s="9" t="n">
        <v>45078</v>
      </c>
      <c r="D647" s="7" t="n">
        <v>2023</v>
      </c>
      <c r="E647" s="7" t="inlineStr">
        <is>
          <t>East</t>
        </is>
      </c>
      <c r="F647" s="7" t="inlineStr">
        <is>
          <t>Office Supplies</t>
        </is>
      </c>
      <c r="G647" s="7" t="inlineStr">
        <is>
          <t>Stapler</t>
        </is>
      </c>
      <c r="H647" s="7" t="inlineStr">
        <is>
          <t>Home Office</t>
        </is>
      </c>
      <c r="I647" s="7" t="n">
        <v>14</v>
      </c>
      <c r="J647" s="10" t="n">
        <v>15.03</v>
      </c>
      <c r="K647" s="11" t="n">
        <v>0.1</v>
      </c>
      <c r="L647" s="10">
        <f>I647*J647*(1-K647)</f>
        <v/>
      </c>
      <c r="M647" s="10" t="n">
        <v>105</v>
      </c>
      <c r="N647" s="10">
        <f>L647-M647</f>
        <v/>
      </c>
    </row>
    <row r="648">
      <c r="A648" s="7" t="inlineStr">
        <is>
          <t>ORD-00404</t>
        </is>
      </c>
      <c r="B648" s="8" t="n">
        <v>45099</v>
      </c>
      <c r="C648" s="9" t="n">
        <v>45078</v>
      </c>
      <c r="D648" s="7" t="n">
        <v>2023</v>
      </c>
      <c r="E648" s="7" t="inlineStr">
        <is>
          <t>East</t>
        </is>
      </c>
      <c r="F648" s="7" t="inlineStr">
        <is>
          <t>Technology</t>
        </is>
      </c>
      <c r="G648" s="7" t="inlineStr">
        <is>
          <t>Laptop</t>
        </is>
      </c>
      <c r="H648" s="7" t="inlineStr">
        <is>
          <t>Consumer</t>
        </is>
      </c>
      <c r="I648" s="7" t="n">
        <v>2</v>
      </c>
      <c r="J648" s="10" t="n">
        <v>923.64</v>
      </c>
      <c r="K648" s="11" t="n">
        <v>0.1</v>
      </c>
      <c r="L648" s="10">
        <f>I648*J648*(1-K648)</f>
        <v/>
      </c>
      <c r="M648" s="10" t="n">
        <v>1404</v>
      </c>
      <c r="N648" s="10">
        <f>L648-M648</f>
        <v/>
      </c>
    </row>
    <row r="649">
      <c r="A649" s="7" t="inlineStr">
        <is>
          <t>ORD-05515</t>
        </is>
      </c>
      <c r="B649" s="8" t="n">
        <v>45099</v>
      </c>
      <c r="C649" s="9" t="n">
        <v>45078</v>
      </c>
      <c r="D649" s="7" t="n">
        <v>2023</v>
      </c>
      <c r="E649" s="7" t="inlineStr">
        <is>
          <t>West</t>
        </is>
      </c>
      <c r="F649" s="7" t="inlineStr">
        <is>
          <t>Technology</t>
        </is>
      </c>
      <c r="G649" s="7" t="inlineStr">
        <is>
          <t>Monitor</t>
        </is>
      </c>
      <c r="H649" s="7" t="inlineStr">
        <is>
          <t>Corporate</t>
        </is>
      </c>
      <c r="I649" s="7" t="n">
        <v>1</v>
      </c>
      <c r="J649" s="10" t="n">
        <v>247.95</v>
      </c>
      <c r="K649" s="11" t="n">
        <v>0</v>
      </c>
      <c r="L649" s="10">
        <f>I649*J649*(1-K649)</f>
        <v/>
      </c>
      <c r="M649" s="10" t="n">
        <v>180</v>
      </c>
      <c r="N649" s="10">
        <f>L649-M649</f>
        <v/>
      </c>
    </row>
    <row r="650">
      <c r="A650" s="7" t="inlineStr">
        <is>
          <t>ORD-05462</t>
        </is>
      </c>
      <c r="B650" s="8" t="n">
        <v>45099</v>
      </c>
      <c r="C650" s="9" t="n">
        <v>45078</v>
      </c>
      <c r="D650" s="7" t="n">
        <v>2023</v>
      </c>
      <c r="E650" s="7" t="inlineStr">
        <is>
          <t>East</t>
        </is>
      </c>
      <c r="F650" s="7" t="inlineStr">
        <is>
          <t>Office Supplies</t>
        </is>
      </c>
      <c r="G650" s="7" t="inlineStr">
        <is>
          <t>Stapler</t>
        </is>
      </c>
      <c r="H650" s="7" t="inlineStr">
        <is>
          <t>Consumer</t>
        </is>
      </c>
      <c r="I650" s="7" t="n">
        <v>7</v>
      </c>
      <c r="J650" s="10" t="n">
        <v>15.58</v>
      </c>
      <c r="K650" s="11" t="n">
        <v>0.2</v>
      </c>
      <c r="L650" s="10">
        <f>I650*J650*(1-K650)</f>
        <v/>
      </c>
      <c r="M650" s="10" t="n">
        <v>52.5</v>
      </c>
      <c r="N650" s="10">
        <f>L650-M650</f>
        <v/>
      </c>
    </row>
    <row r="651">
      <c r="A651" s="7" t="inlineStr">
        <is>
          <t>ORD-04750</t>
        </is>
      </c>
      <c r="B651" s="8" t="n">
        <v>45099</v>
      </c>
      <c r="C651" s="9" t="n">
        <v>45078</v>
      </c>
      <c r="D651" s="7" t="n">
        <v>2023</v>
      </c>
      <c r="E651" s="7" t="inlineStr">
        <is>
          <t>West</t>
        </is>
      </c>
      <c r="F651" s="7" t="inlineStr">
        <is>
          <t>Technology</t>
        </is>
      </c>
      <c r="G651" s="7" t="inlineStr">
        <is>
          <t>Keyboard</t>
        </is>
      </c>
      <c r="H651" s="7" t="inlineStr">
        <is>
          <t>Corporate</t>
        </is>
      </c>
      <c r="I651" s="7" t="n">
        <v>3</v>
      </c>
      <c r="J651" s="10" t="n">
        <v>46.49</v>
      </c>
      <c r="K651" s="11" t="n">
        <v>0</v>
      </c>
      <c r="L651" s="10">
        <f>I651*J651*(1-K651)</f>
        <v/>
      </c>
      <c r="M651" s="10" t="n">
        <v>74.25</v>
      </c>
      <c r="N651" s="10">
        <f>L651-M651</f>
        <v/>
      </c>
    </row>
    <row r="652">
      <c r="A652" s="7" t="inlineStr">
        <is>
          <t>ORD-00769</t>
        </is>
      </c>
      <c r="B652" s="8" t="n">
        <v>45099</v>
      </c>
      <c r="C652" s="9" t="n">
        <v>45078</v>
      </c>
      <c r="D652" s="7" t="n">
        <v>2023</v>
      </c>
      <c r="E652" s="7" t="inlineStr">
        <is>
          <t>South</t>
        </is>
      </c>
      <c r="F652" s="7" t="inlineStr">
        <is>
          <t>Office Supplies</t>
        </is>
      </c>
      <c r="G652" s="7" t="inlineStr">
        <is>
          <t>Binder</t>
        </is>
      </c>
      <c r="H652" s="7" t="inlineStr">
        <is>
          <t>Corporate</t>
        </is>
      </c>
      <c r="I652" s="7" t="n">
        <v>5</v>
      </c>
      <c r="J652" s="10" t="n">
        <v>7.77</v>
      </c>
      <c r="K652" s="11" t="n">
        <v>0</v>
      </c>
      <c r="L652" s="10">
        <f>I652*J652*(1-K652)</f>
        <v/>
      </c>
      <c r="M652" s="10" t="n">
        <v>16</v>
      </c>
      <c r="N652" s="10">
        <f>L652-M652</f>
        <v/>
      </c>
    </row>
    <row r="653">
      <c r="A653" s="7" t="inlineStr">
        <is>
          <t>ORD-00908</t>
        </is>
      </c>
      <c r="B653" s="8" t="n">
        <v>45099</v>
      </c>
      <c r="C653" s="9" t="n">
        <v>45078</v>
      </c>
      <c r="D653" s="7" t="n">
        <v>2023</v>
      </c>
      <c r="E653" s="7" t="inlineStr">
        <is>
          <t>South</t>
        </is>
      </c>
      <c r="F653" s="7" t="inlineStr">
        <is>
          <t>Technology</t>
        </is>
      </c>
      <c r="G653" s="7" t="inlineStr">
        <is>
          <t>Keyboard</t>
        </is>
      </c>
      <c r="H653" s="7" t="inlineStr">
        <is>
          <t>Corporate</t>
        </is>
      </c>
      <c r="I653" s="7" t="n">
        <v>1</v>
      </c>
      <c r="J653" s="10" t="n">
        <v>44.07</v>
      </c>
      <c r="K653" s="11" t="n">
        <v>0.05</v>
      </c>
      <c r="L653" s="10">
        <f>I653*J653*(1-K653)</f>
        <v/>
      </c>
      <c r="M653" s="10" t="n">
        <v>24.75</v>
      </c>
      <c r="N653" s="10">
        <f>L653-M653</f>
        <v/>
      </c>
    </row>
    <row r="654">
      <c r="A654" s="7" t="inlineStr">
        <is>
          <t>ORD-03398</t>
        </is>
      </c>
      <c r="B654" s="8" t="n">
        <v>45099</v>
      </c>
      <c r="C654" s="9" t="n">
        <v>45078</v>
      </c>
      <c r="D654" s="7" t="n">
        <v>2023</v>
      </c>
      <c r="E654" s="7" t="inlineStr">
        <is>
          <t>North</t>
        </is>
      </c>
      <c r="F654" s="7" t="inlineStr">
        <is>
          <t>Furniture</t>
        </is>
      </c>
      <c r="G654" s="7" t="inlineStr">
        <is>
          <t>Office Chair</t>
        </is>
      </c>
      <c r="H654" s="7" t="inlineStr">
        <is>
          <t>Consumer</t>
        </is>
      </c>
      <c r="I654" s="7" t="n">
        <v>4</v>
      </c>
      <c r="J654" s="10" t="n">
        <v>210.23</v>
      </c>
      <c r="K654" s="11" t="n">
        <v>0</v>
      </c>
      <c r="L654" s="10">
        <f>I654*J654*(1-K654)</f>
        <v/>
      </c>
      <c r="M654" s="10" t="n">
        <v>721.6</v>
      </c>
      <c r="N654" s="10">
        <f>L654-M654</f>
        <v/>
      </c>
    </row>
    <row r="655">
      <c r="A655" s="7" t="inlineStr">
        <is>
          <t>ORD-01517</t>
        </is>
      </c>
      <c r="B655" s="8" t="n">
        <v>45099</v>
      </c>
      <c r="C655" s="9" t="n">
        <v>45078</v>
      </c>
      <c r="D655" s="7" t="n">
        <v>2023</v>
      </c>
      <c r="E655" s="7" t="inlineStr">
        <is>
          <t>North</t>
        </is>
      </c>
      <c r="F655" s="7" t="inlineStr">
        <is>
          <t>Technology</t>
        </is>
      </c>
      <c r="G655" s="7" t="inlineStr">
        <is>
          <t>Laptop</t>
        </is>
      </c>
      <c r="H655" s="7" t="inlineStr">
        <is>
          <t>Consumer</t>
        </is>
      </c>
      <c r="I655" s="7" t="n">
        <v>3</v>
      </c>
      <c r="J655" s="10" t="n">
        <v>941.88</v>
      </c>
      <c r="K655" s="11" t="n">
        <v>0.3</v>
      </c>
      <c r="L655" s="10">
        <f>I655*J655*(1-K655)</f>
        <v/>
      </c>
      <c r="M655" s="10" t="n">
        <v>2106</v>
      </c>
      <c r="N655" s="10">
        <f>L655-M655</f>
        <v/>
      </c>
    </row>
    <row r="656">
      <c r="A656" s="7" t="inlineStr">
        <is>
          <t>ORD-02489</t>
        </is>
      </c>
      <c r="B656" s="8" t="n">
        <v>45099</v>
      </c>
      <c r="C656" s="9" t="n">
        <v>45078</v>
      </c>
      <c r="D656" s="7" t="n">
        <v>2023</v>
      </c>
      <c r="E656" s="7" t="inlineStr">
        <is>
          <t>South</t>
        </is>
      </c>
      <c r="F656" s="7" t="inlineStr">
        <is>
          <t>Office Supplies</t>
        </is>
      </c>
      <c r="G656" s="7" t="inlineStr">
        <is>
          <t>Paper</t>
        </is>
      </c>
      <c r="H656" s="7" t="inlineStr">
        <is>
          <t>Consumer</t>
        </is>
      </c>
      <c r="I656" s="7" t="n">
        <v>2</v>
      </c>
      <c r="J656" s="10" t="n">
        <v>24.07</v>
      </c>
      <c r="K656" s="11" t="n">
        <v>0.05</v>
      </c>
      <c r="L656" s="10">
        <f>I656*J656*(1-K656)</f>
        <v/>
      </c>
      <c r="M656" s="10" t="n">
        <v>25</v>
      </c>
      <c r="N656" s="10">
        <f>L656-M656</f>
        <v/>
      </c>
    </row>
    <row r="657">
      <c r="A657" s="7" t="inlineStr">
        <is>
          <t>ORD-04677</t>
        </is>
      </c>
      <c r="B657" s="8" t="n">
        <v>45100</v>
      </c>
      <c r="C657" s="9" t="n">
        <v>45078</v>
      </c>
      <c r="D657" s="7" t="n">
        <v>2023</v>
      </c>
      <c r="E657" s="7" t="inlineStr">
        <is>
          <t>East</t>
        </is>
      </c>
      <c r="F657" s="7" t="inlineStr">
        <is>
          <t>Furniture</t>
        </is>
      </c>
      <c r="G657" s="7" t="inlineStr">
        <is>
          <t>Desk</t>
        </is>
      </c>
      <c r="H657" s="7" t="inlineStr">
        <is>
          <t>Home Office</t>
        </is>
      </c>
      <c r="I657" s="7" t="n">
        <v>3</v>
      </c>
      <c r="J657" s="10" t="n">
        <v>455.93</v>
      </c>
      <c r="K657" s="11" t="n">
        <v>0</v>
      </c>
      <c r="L657" s="10">
        <f>I657*J657*(1-K657)</f>
        <v/>
      </c>
      <c r="M657" s="10" t="n">
        <v>1147.5</v>
      </c>
      <c r="N657" s="10">
        <f>L657-M657</f>
        <v/>
      </c>
    </row>
    <row r="658">
      <c r="A658" s="7" t="inlineStr">
        <is>
          <t>ORD-03873</t>
        </is>
      </c>
      <c r="B658" s="8" t="n">
        <v>45100</v>
      </c>
      <c r="C658" s="9" t="n">
        <v>45078</v>
      </c>
      <c r="D658" s="7" t="n">
        <v>2023</v>
      </c>
      <c r="E658" s="7" t="inlineStr">
        <is>
          <t>South</t>
        </is>
      </c>
      <c r="F658" s="7" t="inlineStr">
        <is>
          <t>Furniture</t>
        </is>
      </c>
      <c r="G658" s="7" t="inlineStr">
        <is>
          <t>Desk</t>
        </is>
      </c>
      <c r="H658" s="7" t="inlineStr">
        <is>
          <t>Consumer</t>
        </is>
      </c>
      <c r="I658" s="7" t="n">
        <v>3</v>
      </c>
      <c r="J658" s="10" t="n">
        <v>456.41</v>
      </c>
      <c r="K658" s="11" t="n">
        <v>0.2</v>
      </c>
      <c r="L658" s="10">
        <f>I658*J658*(1-K658)</f>
        <v/>
      </c>
      <c r="M658" s="10" t="n">
        <v>1147.5</v>
      </c>
      <c r="N658" s="10">
        <f>L658-M658</f>
        <v/>
      </c>
    </row>
    <row r="659">
      <c r="A659" s="7" t="inlineStr">
        <is>
          <t>ORD-00733</t>
        </is>
      </c>
      <c r="B659" s="8" t="n">
        <v>45101</v>
      </c>
      <c r="C659" s="9" t="n">
        <v>45078</v>
      </c>
      <c r="D659" s="7" t="n">
        <v>2023</v>
      </c>
      <c r="E659" s="7" t="inlineStr">
        <is>
          <t>North</t>
        </is>
      </c>
      <c r="F659" s="7" t="inlineStr">
        <is>
          <t>Office Supplies</t>
        </is>
      </c>
      <c r="G659" s="7" t="inlineStr">
        <is>
          <t>Printer Ink</t>
        </is>
      </c>
      <c r="H659" s="7" t="inlineStr">
        <is>
          <t>Consumer</t>
        </is>
      </c>
      <c r="I659" s="7" t="n">
        <v>14</v>
      </c>
      <c r="J659" s="10" t="n">
        <v>59.1</v>
      </c>
      <c r="K659" s="11" t="n">
        <v>0</v>
      </c>
      <c r="L659" s="10">
        <f>I659*J659*(1-K659)</f>
        <v/>
      </c>
      <c r="M659" s="10" t="n">
        <v>504</v>
      </c>
      <c r="N659" s="10">
        <f>L659-M659</f>
        <v/>
      </c>
    </row>
    <row r="660">
      <c r="A660" s="7" t="inlineStr">
        <is>
          <t>ORD-01122</t>
        </is>
      </c>
      <c r="B660" s="8" t="n">
        <v>45101</v>
      </c>
      <c r="C660" s="9" t="n">
        <v>45078</v>
      </c>
      <c r="D660" s="7" t="n">
        <v>2023</v>
      </c>
      <c r="E660" s="7" t="inlineStr">
        <is>
          <t>West</t>
        </is>
      </c>
      <c r="F660" s="7" t="inlineStr">
        <is>
          <t>Technology</t>
        </is>
      </c>
      <c r="G660" s="7" t="inlineStr">
        <is>
          <t>Keyboard</t>
        </is>
      </c>
      <c r="H660" s="7" t="inlineStr">
        <is>
          <t>Corporate</t>
        </is>
      </c>
      <c r="I660" s="7" t="n">
        <v>2</v>
      </c>
      <c r="J660" s="10" t="n">
        <v>43.57</v>
      </c>
      <c r="K660" s="11" t="n">
        <v>0.05</v>
      </c>
      <c r="L660" s="10">
        <f>I660*J660*(1-K660)</f>
        <v/>
      </c>
      <c r="M660" s="10" t="n">
        <v>49.5</v>
      </c>
      <c r="N660" s="10">
        <f>L660-M660</f>
        <v/>
      </c>
    </row>
    <row r="661">
      <c r="A661" s="7" t="inlineStr">
        <is>
          <t>ORD-03232</t>
        </is>
      </c>
      <c r="B661" s="8" t="n">
        <v>45101</v>
      </c>
      <c r="C661" s="9" t="n">
        <v>45078</v>
      </c>
      <c r="D661" s="7" t="n">
        <v>2023</v>
      </c>
      <c r="E661" s="7" t="inlineStr">
        <is>
          <t>South</t>
        </is>
      </c>
      <c r="F661" s="7" t="inlineStr">
        <is>
          <t>Technology</t>
        </is>
      </c>
      <c r="G661" s="7" t="inlineStr">
        <is>
          <t>Keyboard</t>
        </is>
      </c>
      <c r="H661" s="7" t="inlineStr">
        <is>
          <t>Home Office</t>
        </is>
      </c>
      <c r="I661" s="7" t="n">
        <v>3</v>
      </c>
      <c r="J661" s="10" t="n">
        <v>46.95</v>
      </c>
      <c r="K661" s="11" t="n">
        <v>0.1</v>
      </c>
      <c r="L661" s="10">
        <f>I661*J661*(1-K661)</f>
        <v/>
      </c>
      <c r="M661" s="10" t="n">
        <v>74.25</v>
      </c>
      <c r="N661" s="10">
        <f>L661-M661</f>
        <v/>
      </c>
    </row>
    <row r="662">
      <c r="A662" s="7" t="inlineStr">
        <is>
          <t>ORD-05286</t>
        </is>
      </c>
      <c r="B662" s="8" t="n">
        <v>45101</v>
      </c>
      <c r="C662" s="9" t="n">
        <v>45078</v>
      </c>
      <c r="D662" s="7" t="n">
        <v>2023</v>
      </c>
      <c r="E662" s="7" t="inlineStr">
        <is>
          <t>West</t>
        </is>
      </c>
      <c r="F662" s="7" t="inlineStr">
        <is>
          <t>Technology</t>
        </is>
      </c>
      <c r="G662" s="7" t="inlineStr">
        <is>
          <t>Headphones</t>
        </is>
      </c>
      <c r="H662" s="7" t="inlineStr">
        <is>
          <t>Consumer</t>
        </is>
      </c>
      <c r="I662" s="7" t="n">
        <v>1</v>
      </c>
      <c r="J662" s="10" t="n">
        <v>121.82</v>
      </c>
      <c r="K662" s="11" t="n">
        <v>0</v>
      </c>
      <c r="L662" s="10">
        <f>I662*J662*(1-K662)</f>
        <v/>
      </c>
      <c r="M662" s="10" t="n">
        <v>72</v>
      </c>
      <c r="N662" s="10">
        <f>L662-M662</f>
        <v/>
      </c>
    </row>
    <row r="663">
      <c r="A663" s="7" t="inlineStr">
        <is>
          <t>ORD-00742</t>
        </is>
      </c>
      <c r="B663" s="8" t="n">
        <v>45101</v>
      </c>
      <c r="C663" s="9" t="n">
        <v>45078</v>
      </c>
      <c r="D663" s="7" t="n">
        <v>2023</v>
      </c>
      <c r="E663" s="7" t="inlineStr">
        <is>
          <t>East</t>
        </is>
      </c>
      <c r="F663" s="7" t="inlineStr">
        <is>
          <t>Technology</t>
        </is>
      </c>
      <c r="G663" s="7" t="inlineStr">
        <is>
          <t>Laptop</t>
        </is>
      </c>
      <c r="H663" s="7" t="inlineStr">
        <is>
          <t>Consumer</t>
        </is>
      </c>
      <c r="I663" s="7" t="n">
        <v>1</v>
      </c>
      <c r="J663" s="10" t="n">
        <v>860.95</v>
      </c>
      <c r="K663" s="11" t="n">
        <v>0.05</v>
      </c>
      <c r="L663" s="10">
        <f>I663*J663*(1-K663)</f>
        <v/>
      </c>
      <c r="M663" s="10" t="n">
        <v>702</v>
      </c>
      <c r="N663" s="10">
        <f>L663-M663</f>
        <v/>
      </c>
    </row>
    <row r="664">
      <c r="A664" s="7" t="inlineStr">
        <is>
          <t>ORD-04488</t>
        </is>
      </c>
      <c r="B664" s="8" t="n">
        <v>45101</v>
      </c>
      <c r="C664" s="9" t="n">
        <v>45078</v>
      </c>
      <c r="D664" s="7" t="n">
        <v>2023</v>
      </c>
      <c r="E664" s="7" t="inlineStr">
        <is>
          <t>West</t>
        </is>
      </c>
      <c r="F664" s="7" t="inlineStr">
        <is>
          <t>Office Supplies</t>
        </is>
      </c>
      <c r="G664" s="7" t="inlineStr">
        <is>
          <t>Paper</t>
        </is>
      </c>
      <c r="H664" s="7" t="inlineStr">
        <is>
          <t>Home Office</t>
        </is>
      </c>
      <c r="I664" s="7" t="n">
        <v>11</v>
      </c>
      <c r="J664" s="10" t="n">
        <v>25.99</v>
      </c>
      <c r="K664" s="11" t="n">
        <v>0</v>
      </c>
      <c r="L664" s="10">
        <f>I664*J664*(1-K664)</f>
        <v/>
      </c>
      <c r="M664" s="10" t="n">
        <v>137.5</v>
      </c>
      <c r="N664" s="10">
        <f>L664-M664</f>
        <v/>
      </c>
    </row>
    <row r="665">
      <c r="A665" s="7" t="inlineStr">
        <is>
          <t>ORD-05503</t>
        </is>
      </c>
      <c r="B665" s="8" t="n">
        <v>45102</v>
      </c>
      <c r="C665" s="9" t="n">
        <v>45078</v>
      </c>
      <c r="D665" s="7" t="n">
        <v>2023</v>
      </c>
      <c r="E665" s="7" t="inlineStr">
        <is>
          <t>East</t>
        </is>
      </c>
      <c r="F665" s="7" t="inlineStr">
        <is>
          <t>Technology</t>
        </is>
      </c>
      <c r="G665" s="7" t="inlineStr">
        <is>
          <t>Laptop</t>
        </is>
      </c>
      <c r="H665" s="7" t="inlineStr">
        <is>
          <t>Consumer</t>
        </is>
      </c>
      <c r="I665" s="7" t="n">
        <v>3</v>
      </c>
      <c r="J665" s="10" t="n">
        <v>865.35</v>
      </c>
      <c r="K665" s="11" t="n">
        <v>0.2</v>
      </c>
      <c r="L665" s="10">
        <f>I665*J665*(1-K665)</f>
        <v/>
      </c>
      <c r="M665" s="10" t="n">
        <v>2106</v>
      </c>
      <c r="N665" s="10">
        <f>L665-M665</f>
        <v/>
      </c>
    </row>
    <row r="666">
      <c r="A666" s="7" t="inlineStr">
        <is>
          <t>ORD-05635</t>
        </is>
      </c>
      <c r="B666" s="8" t="n">
        <v>45103</v>
      </c>
      <c r="C666" s="9" t="n">
        <v>45078</v>
      </c>
      <c r="D666" s="7" t="n">
        <v>2023</v>
      </c>
      <c r="E666" s="7" t="inlineStr">
        <is>
          <t>East</t>
        </is>
      </c>
      <c r="F666" s="7" t="inlineStr">
        <is>
          <t>Technology</t>
        </is>
      </c>
      <c r="G666" s="7" t="inlineStr">
        <is>
          <t>Keyboard</t>
        </is>
      </c>
      <c r="H666" s="7" t="inlineStr">
        <is>
          <t>Home Office</t>
        </is>
      </c>
      <c r="I666" s="7" t="n">
        <v>3</v>
      </c>
      <c r="J666" s="10" t="n">
        <v>45.19</v>
      </c>
      <c r="K666" s="11" t="n">
        <v>0</v>
      </c>
      <c r="L666" s="10">
        <f>I666*J666*(1-K666)</f>
        <v/>
      </c>
      <c r="M666" s="10" t="n">
        <v>74.25</v>
      </c>
      <c r="N666" s="10">
        <f>L666-M666</f>
        <v/>
      </c>
    </row>
    <row r="667">
      <c r="A667" s="7" t="inlineStr">
        <is>
          <t>ORD-04214</t>
        </is>
      </c>
      <c r="B667" s="8" t="n">
        <v>45103</v>
      </c>
      <c r="C667" s="9" t="n">
        <v>45078</v>
      </c>
      <c r="D667" s="7" t="n">
        <v>2023</v>
      </c>
      <c r="E667" s="7" t="inlineStr">
        <is>
          <t>East</t>
        </is>
      </c>
      <c r="F667" s="7" t="inlineStr">
        <is>
          <t>Office Supplies</t>
        </is>
      </c>
      <c r="G667" s="7" t="inlineStr">
        <is>
          <t>Pens</t>
        </is>
      </c>
      <c r="H667" s="7" t="inlineStr">
        <is>
          <t>Consumer</t>
        </is>
      </c>
      <c r="I667" s="7" t="n">
        <v>7</v>
      </c>
      <c r="J667" s="10" t="n">
        <v>11.78</v>
      </c>
      <c r="K667" s="11" t="n">
        <v>0.05</v>
      </c>
      <c r="L667" s="10">
        <f>I667*J667*(1-K667)</f>
        <v/>
      </c>
      <c r="M667" s="10" t="n">
        <v>37.8</v>
      </c>
      <c r="N667" s="10">
        <f>L667-M667</f>
        <v/>
      </c>
    </row>
    <row r="668">
      <c r="A668" s="7" t="inlineStr">
        <is>
          <t>ORD-02217</t>
        </is>
      </c>
      <c r="B668" s="8" t="n">
        <v>45104</v>
      </c>
      <c r="C668" s="9" t="n">
        <v>45078</v>
      </c>
      <c r="D668" s="7" t="n">
        <v>2023</v>
      </c>
      <c r="E668" s="7" t="inlineStr">
        <is>
          <t>North</t>
        </is>
      </c>
      <c r="F668" s="7" t="inlineStr">
        <is>
          <t>Office Supplies</t>
        </is>
      </c>
      <c r="G668" s="7" t="inlineStr">
        <is>
          <t>Stapler</t>
        </is>
      </c>
      <c r="H668" s="7" t="inlineStr">
        <is>
          <t>Home Office</t>
        </is>
      </c>
      <c r="I668" s="7" t="n">
        <v>15</v>
      </c>
      <c r="J668" s="10" t="n">
        <v>15.62</v>
      </c>
      <c r="K668" s="11" t="n">
        <v>0.2</v>
      </c>
      <c r="L668" s="10">
        <f>I668*J668*(1-K668)</f>
        <v/>
      </c>
      <c r="M668" s="10" t="n">
        <v>112.5</v>
      </c>
      <c r="N668" s="10">
        <f>L668-M668</f>
        <v/>
      </c>
    </row>
    <row r="669">
      <c r="A669" s="7" t="inlineStr">
        <is>
          <t>ORD-04515</t>
        </is>
      </c>
      <c r="B669" s="8" t="n">
        <v>45104</v>
      </c>
      <c r="C669" s="9" t="n">
        <v>45078</v>
      </c>
      <c r="D669" s="7" t="n">
        <v>2023</v>
      </c>
      <c r="E669" s="7" t="inlineStr">
        <is>
          <t>North</t>
        </is>
      </c>
      <c r="F669" s="7" t="inlineStr">
        <is>
          <t>Office Supplies</t>
        </is>
      </c>
      <c r="G669" s="7" t="inlineStr">
        <is>
          <t>Paper</t>
        </is>
      </c>
      <c r="H669" s="7" t="inlineStr">
        <is>
          <t>Consumer</t>
        </is>
      </c>
      <c r="I669" s="7" t="n">
        <v>13</v>
      </c>
      <c r="J669" s="10" t="n">
        <v>25.76</v>
      </c>
      <c r="K669" s="11" t="n">
        <v>0</v>
      </c>
      <c r="L669" s="10">
        <f>I669*J669*(1-K669)</f>
        <v/>
      </c>
      <c r="M669" s="10" t="n">
        <v>162.5</v>
      </c>
      <c r="N669" s="10">
        <f>L669-M669</f>
        <v/>
      </c>
    </row>
    <row r="670">
      <c r="A670" s="7" t="inlineStr">
        <is>
          <t>ORD-03082</t>
        </is>
      </c>
      <c r="B670" s="8" t="n">
        <v>45104</v>
      </c>
      <c r="C670" s="9" t="n">
        <v>45078</v>
      </c>
      <c r="D670" s="7" t="n">
        <v>2023</v>
      </c>
      <c r="E670" s="7" t="inlineStr">
        <is>
          <t>East</t>
        </is>
      </c>
      <c r="F670" s="7" t="inlineStr">
        <is>
          <t>Office Supplies</t>
        </is>
      </c>
      <c r="G670" s="7" t="inlineStr">
        <is>
          <t>Binder</t>
        </is>
      </c>
      <c r="H670" s="7" t="inlineStr">
        <is>
          <t>Corporate</t>
        </is>
      </c>
      <c r="I670" s="7" t="n">
        <v>5</v>
      </c>
      <c r="J670" s="10" t="n">
        <v>7.76</v>
      </c>
      <c r="K670" s="11" t="n">
        <v>0</v>
      </c>
      <c r="L670" s="10">
        <f>I670*J670*(1-K670)</f>
        <v/>
      </c>
      <c r="M670" s="10" t="n">
        <v>16</v>
      </c>
      <c r="N670" s="10">
        <f>L670-M670</f>
        <v/>
      </c>
    </row>
    <row r="671">
      <c r="A671" s="7" t="inlineStr">
        <is>
          <t>ORD-03549</t>
        </is>
      </c>
      <c r="B671" s="8" t="n">
        <v>45104</v>
      </c>
      <c r="C671" s="9" t="n">
        <v>45078</v>
      </c>
      <c r="D671" s="7" t="n">
        <v>2023</v>
      </c>
      <c r="E671" s="7" t="inlineStr">
        <is>
          <t>East</t>
        </is>
      </c>
      <c r="F671" s="7" t="inlineStr">
        <is>
          <t>Furniture</t>
        </is>
      </c>
      <c r="G671" s="7" t="inlineStr">
        <is>
          <t>Bookcase</t>
        </is>
      </c>
      <c r="H671" s="7" t="inlineStr">
        <is>
          <t>Corporate</t>
        </is>
      </c>
      <c r="I671" s="7" t="n">
        <v>2</v>
      </c>
      <c r="J671" s="10" t="n">
        <v>184.91</v>
      </c>
      <c r="K671" s="11" t="n">
        <v>0.3</v>
      </c>
      <c r="L671" s="10">
        <f>I671*J671*(1-K671)</f>
        <v/>
      </c>
      <c r="M671" s="10" t="n">
        <v>288</v>
      </c>
      <c r="N671" s="10">
        <f>L671-M671</f>
        <v/>
      </c>
    </row>
    <row r="672">
      <c r="A672" s="7" t="inlineStr">
        <is>
          <t>ORD-00608</t>
        </is>
      </c>
      <c r="B672" s="8" t="n">
        <v>45104</v>
      </c>
      <c r="C672" s="9" t="n">
        <v>45078</v>
      </c>
      <c r="D672" s="7" t="n">
        <v>2023</v>
      </c>
      <c r="E672" s="7" t="inlineStr">
        <is>
          <t>West</t>
        </is>
      </c>
      <c r="F672" s="7" t="inlineStr">
        <is>
          <t>Office Supplies</t>
        </is>
      </c>
      <c r="G672" s="7" t="inlineStr">
        <is>
          <t>Binder</t>
        </is>
      </c>
      <c r="H672" s="7" t="inlineStr">
        <is>
          <t>Home Office</t>
        </is>
      </c>
      <c r="I672" s="7" t="n">
        <v>2</v>
      </c>
      <c r="J672" s="10" t="n">
        <v>8.050000000000001</v>
      </c>
      <c r="K672" s="11" t="n">
        <v>0</v>
      </c>
      <c r="L672" s="10">
        <f>I672*J672*(1-K672)</f>
        <v/>
      </c>
      <c r="M672" s="10" t="n">
        <v>6.4</v>
      </c>
      <c r="N672" s="10">
        <f>L672-M672</f>
        <v/>
      </c>
    </row>
    <row r="673">
      <c r="A673" s="7" t="inlineStr">
        <is>
          <t>ORD-05794</t>
        </is>
      </c>
      <c r="B673" s="8" t="n">
        <v>45104</v>
      </c>
      <c r="C673" s="9" t="n">
        <v>45078</v>
      </c>
      <c r="D673" s="7" t="n">
        <v>2023</v>
      </c>
      <c r="E673" s="7" t="inlineStr">
        <is>
          <t>West</t>
        </is>
      </c>
      <c r="F673" s="7" t="inlineStr">
        <is>
          <t>Technology</t>
        </is>
      </c>
      <c r="G673" s="7" t="inlineStr">
        <is>
          <t>Laptop</t>
        </is>
      </c>
      <c r="H673" s="7" t="inlineStr">
        <is>
          <t>Consumer</t>
        </is>
      </c>
      <c r="I673" s="7" t="n">
        <v>3</v>
      </c>
      <c r="J673" s="10" t="n">
        <v>865.8099999999999</v>
      </c>
      <c r="K673" s="11" t="n">
        <v>0</v>
      </c>
      <c r="L673" s="10">
        <f>I673*J673*(1-K673)</f>
        <v/>
      </c>
      <c r="M673" s="10" t="n">
        <v>2106</v>
      </c>
      <c r="N673" s="10">
        <f>L673-M673</f>
        <v/>
      </c>
    </row>
    <row r="674">
      <c r="A674" s="7" t="inlineStr">
        <is>
          <t>ORD-00060</t>
        </is>
      </c>
      <c r="B674" s="8" t="n">
        <v>45105</v>
      </c>
      <c r="C674" s="9" t="n">
        <v>45078</v>
      </c>
      <c r="D674" s="7" t="n">
        <v>2023</v>
      </c>
      <c r="E674" s="7" t="inlineStr">
        <is>
          <t>North</t>
        </is>
      </c>
      <c r="F674" s="7" t="inlineStr">
        <is>
          <t>Office Supplies</t>
        </is>
      </c>
      <c r="G674" s="7" t="inlineStr">
        <is>
          <t>Pens</t>
        </is>
      </c>
      <c r="H674" s="7" t="inlineStr">
        <is>
          <t>Corporate</t>
        </is>
      </c>
      <c r="I674" s="7" t="n">
        <v>8</v>
      </c>
      <c r="J674" s="10" t="n">
        <v>12.53</v>
      </c>
      <c r="K674" s="11" t="n">
        <v>0.1</v>
      </c>
      <c r="L674" s="10">
        <f>I674*J674*(1-K674)</f>
        <v/>
      </c>
      <c r="M674" s="10" t="n">
        <v>43.2</v>
      </c>
      <c r="N674" s="10">
        <f>L674-M674</f>
        <v/>
      </c>
    </row>
    <row r="675">
      <c r="A675" s="7" t="inlineStr">
        <is>
          <t>ORD-03245</t>
        </is>
      </c>
      <c r="B675" s="8" t="n">
        <v>45105</v>
      </c>
      <c r="C675" s="9" t="n">
        <v>45078</v>
      </c>
      <c r="D675" s="7" t="n">
        <v>2023</v>
      </c>
      <c r="E675" s="7" t="inlineStr">
        <is>
          <t>East</t>
        </is>
      </c>
      <c r="F675" s="7" t="inlineStr">
        <is>
          <t>Office Supplies</t>
        </is>
      </c>
      <c r="G675" s="7" t="inlineStr">
        <is>
          <t>Paper</t>
        </is>
      </c>
      <c r="H675" s="7" t="inlineStr">
        <is>
          <t>Home Office</t>
        </is>
      </c>
      <c r="I675" s="7" t="n">
        <v>6</v>
      </c>
      <c r="J675" s="10" t="n">
        <v>24.89</v>
      </c>
      <c r="K675" s="11" t="n">
        <v>0.3</v>
      </c>
      <c r="L675" s="10">
        <f>I675*J675*(1-K675)</f>
        <v/>
      </c>
      <c r="M675" s="10" t="n">
        <v>75</v>
      </c>
      <c r="N675" s="10">
        <f>L675-M675</f>
        <v/>
      </c>
    </row>
    <row r="676">
      <c r="A676" s="7" t="inlineStr">
        <is>
          <t>ORD-02191</t>
        </is>
      </c>
      <c r="B676" s="8" t="n">
        <v>45105</v>
      </c>
      <c r="C676" s="9" t="n">
        <v>45078</v>
      </c>
      <c r="D676" s="7" t="n">
        <v>2023</v>
      </c>
      <c r="E676" s="7" t="inlineStr">
        <is>
          <t>South</t>
        </is>
      </c>
      <c r="F676" s="7" t="inlineStr">
        <is>
          <t>Furniture</t>
        </is>
      </c>
      <c r="G676" s="7" t="inlineStr">
        <is>
          <t>Desk</t>
        </is>
      </c>
      <c r="H676" s="7" t="inlineStr">
        <is>
          <t>Consumer</t>
        </is>
      </c>
      <c r="I676" s="7" t="n">
        <v>2</v>
      </c>
      <c r="J676" s="10" t="n">
        <v>456.3</v>
      </c>
      <c r="K676" s="11" t="n">
        <v>0.1</v>
      </c>
      <c r="L676" s="10">
        <f>I676*J676*(1-K676)</f>
        <v/>
      </c>
      <c r="M676" s="10" t="n">
        <v>765</v>
      </c>
      <c r="N676" s="10">
        <f>L676-M676</f>
        <v/>
      </c>
    </row>
    <row r="677">
      <c r="A677" s="7" t="inlineStr">
        <is>
          <t>ORD-00269</t>
        </is>
      </c>
      <c r="B677" s="8" t="n">
        <v>45106</v>
      </c>
      <c r="C677" s="9" t="n">
        <v>45078</v>
      </c>
      <c r="D677" s="7" t="n">
        <v>2023</v>
      </c>
      <c r="E677" s="7" t="inlineStr">
        <is>
          <t>West</t>
        </is>
      </c>
      <c r="F677" s="7" t="inlineStr">
        <is>
          <t>Technology</t>
        </is>
      </c>
      <c r="G677" s="7" t="inlineStr">
        <is>
          <t>Headphones</t>
        </is>
      </c>
      <c r="H677" s="7" t="inlineStr">
        <is>
          <t>Consumer</t>
        </is>
      </c>
      <c r="I677" s="7" t="n">
        <v>1</v>
      </c>
      <c r="J677" s="10" t="n">
        <v>123.86</v>
      </c>
      <c r="K677" s="11" t="n">
        <v>0.3</v>
      </c>
      <c r="L677" s="10">
        <f>I677*J677*(1-K677)</f>
        <v/>
      </c>
      <c r="M677" s="10" t="n">
        <v>72</v>
      </c>
      <c r="N677" s="10">
        <f>L677-M677</f>
        <v/>
      </c>
    </row>
    <row r="678">
      <c r="A678" s="7" t="inlineStr">
        <is>
          <t>ORD-02005</t>
        </is>
      </c>
      <c r="B678" s="8" t="n">
        <v>45106</v>
      </c>
      <c r="C678" s="9" t="n">
        <v>45078</v>
      </c>
      <c r="D678" s="7" t="n">
        <v>2023</v>
      </c>
      <c r="E678" s="7" t="inlineStr">
        <is>
          <t>South</t>
        </is>
      </c>
      <c r="F678" s="7" t="inlineStr">
        <is>
          <t>Office Supplies</t>
        </is>
      </c>
      <c r="G678" s="7" t="inlineStr">
        <is>
          <t>Binder</t>
        </is>
      </c>
      <c r="H678" s="7" t="inlineStr">
        <is>
          <t>Consumer</t>
        </is>
      </c>
      <c r="I678" s="7" t="n">
        <v>7</v>
      </c>
      <c r="J678" s="10" t="n">
        <v>7.93</v>
      </c>
      <c r="K678" s="11" t="n">
        <v>0.3</v>
      </c>
      <c r="L678" s="10">
        <f>I678*J678*(1-K678)</f>
        <v/>
      </c>
      <c r="M678" s="10" t="n">
        <v>22.4</v>
      </c>
      <c r="N678" s="10">
        <f>L678-M678</f>
        <v/>
      </c>
    </row>
    <row r="679">
      <c r="A679" s="7" t="inlineStr">
        <is>
          <t>ORD-04866</t>
        </is>
      </c>
      <c r="B679" s="8" t="n">
        <v>45106</v>
      </c>
      <c r="C679" s="9" t="n">
        <v>45078</v>
      </c>
      <c r="D679" s="7" t="n">
        <v>2023</v>
      </c>
      <c r="E679" s="7" t="inlineStr">
        <is>
          <t>West</t>
        </is>
      </c>
      <c r="F679" s="7" t="inlineStr">
        <is>
          <t>Office Supplies</t>
        </is>
      </c>
      <c r="G679" s="7" t="inlineStr">
        <is>
          <t>Paper</t>
        </is>
      </c>
      <c r="H679" s="7" t="inlineStr">
        <is>
          <t>Consumer</t>
        </is>
      </c>
      <c r="I679" s="7" t="n">
        <v>7</v>
      </c>
      <c r="J679" s="10" t="n">
        <v>24.86</v>
      </c>
      <c r="K679" s="11" t="n">
        <v>0</v>
      </c>
      <c r="L679" s="10">
        <f>I679*J679*(1-K679)</f>
        <v/>
      </c>
      <c r="M679" s="10" t="n">
        <v>87.5</v>
      </c>
      <c r="N679" s="10">
        <f>L679-M679</f>
        <v/>
      </c>
    </row>
    <row r="680">
      <c r="A680" s="7" t="inlineStr">
        <is>
          <t>ORD-01253</t>
        </is>
      </c>
      <c r="B680" s="8" t="n">
        <v>45106</v>
      </c>
      <c r="C680" s="9" t="n">
        <v>45078</v>
      </c>
      <c r="D680" s="7" t="n">
        <v>2023</v>
      </c>
      <c r="E680" s="7" t="inlineStr">
        <is>
          <t>North</t>
        </is>
      </c>
      <c r="F680" s="7" t="inlineStr">
        <is>
          <t>Office Supplies</t>
        </is>
      </c>
      <c r="G680" s="7" t="inlineStr">
        <is>
          <t>Paper</t>
        </is>
      </c>
      <c r="H680" s="7" t="inlineStr">
        <is>
          <t>Consumer</t>
        </is>
      </c>
      <c r="I680" s="7" t="n">
        <v>9</v>
      </c>
      <c r="J680" s="10" t="n">
        <v>24.05</v>
      </c>
      <c r="K680" s="11" t="n">
        <v>0</v>
      </c>
      <c r="L680" s="10">
        <f>I680*J680*(1-K680)</f>
        <v/>
      </c>
      <c r="M680" s="10" t="n">
        <v>112.5</v>
      </c>
      <c r="N680" s="10">
        <f>L680-M680</f>
        <v/>
      </c>
    </row>
    <row r="681">
      <c r="A681" s="7" t="inlineStr">
        <is>
          <t>ORD-01107</t>
        </is>
      </c>
      <c r="B681" s="8" t="n">
        <v>45106</v>
      </c>
      <c r="C681" s="9" t="n">
        <v>45078</v>
      </c>
      <c r="D681" s="7" t="n">
        <v>2023</v>
      </c>
      <c r="E681" s="7" t="inlineStr">
        <is>
          <t>South</t>
        </is>
      </c>
      <c r="F681" s="7" t="inlineStr">
        <is>
          <t>Office Supplies</t>
        </is>
      </c>
      <c r="G681" s="7" t="inlineStr">
        <is>
          <t>Binder</t>
        </is>
      </c>
      <c r="H681" s="7" t="inlineStr">
        <is>
          <t>Home Office</t>
        </is>
      </c>
      <c r="I681" s="7" t="n">
        <v>15</v>
      </c>
      <c r="J681" s="10" t="n">
        <v>7.6</v>
      </c>
      <c r="K681" s="11" t="n">
        <v>0.05</v>
      </c>
      <c r="L681" s="10">
        <f>I681*J681*(1-K681)</f>
        <v/>
      </c>
      <c r="M681" s="10" t="n">
        <v>48</v>
      </c>
      <c r="N681" s="10">
        <f>L681-M681</f>
        <v/>
      </c>
    </row>
    <row r="682">
      <c r="A682" s="7" t="inlineStr">
        <is>
          <t>ORD-00510</t>
        </is>
      </c>
      <c r="B682" s="8" t="n">
        <v>45106</v>
      </c>
      <c r="C682" s="9" t="n">
        <v>45078</v>
      </c>
      <c r="D682" s="7" t="n">
        <v>2023</v>
      </c>
      <c r="E682" s="7" t="inlineStr">
        <is>
          <t>East</t>
        </is>
      </c>
      <c r="F682" s="7" t="inlineStr">
        <is>
          <t>Office Supplies</t>
        </is>
      </c>
      <c r="G682" s="7" t="inlineStr">
        <is>
          <t>Stapler</t>
        </is>
      </c>
      <c r="H682" s="7" t="inlineStr">
        <is>
          <t>Corporate</t>
        </is>
      </c>
      <c r="I682" s="7" t="n">
        <v>9</v>
      </c>
      <c r="J682" s="10" t="n">
        <v>15.29</v>
      </c>
      <c r="K682" s="11" t="n">
        <v>0</v>
      </c>
      <c r="L682" s="10">
        <f>I682*J682*(1-K682)</f>
        <v/>
      </c>
      <c r="M682" s="10" t="n">
        <v>67.5</v>
      </c>
      <c r="N682" s="10">
        <f>L682-M682</f>
        <v/>
      </c>
    </row>
    <row r="683">
      <c r="A683" s="7" t="inlineStr">
        <is>
          <t>ORD-05897</t>
        </is>
      </c>
      <c r="B683" s="8" t="n">
        <v>45107</v>
      </c>
      <c r="C683" s="9" t="n">
        <v>45078</v>
      </c>
      <c r="D683" s="7" t="n">
        <v>2023</v>
      </c>
      <c r="E683" s="7" t="inlineStr">
        <is>
          <t>East</t>
        </is>
      </c>
      <c r="F683" s="7" t="inlineStr">
        <is>
          <t>Office Supplies</t>
        </is>
      </c>
      <c r="G683" s="7" t="inlineStr">
        <is>
          <t>Stapler</t>
        </is>
      </c>
      <c r="H683" s="7" t="inlineStr">
        <is>
          <t>Home Office</t>
        </is>
      </c>
      <c r="I683" s="7" t="n">
        <v>8</v>
      </c>
      <c r="J683" s="10" t="n">
        <v>15.16</v>
      </c>
      <c r="K683" s="11" t="n">
        <v>0</v>
      </c>
      <c r="L683" s="10">
        <f>I683*J683*(1-K683)</f>
        <v/>
      </c>
      <c r="M683" s="10" t="n">
        <v>60</v>
      </c>
      <c r="N683" s="10">
        <f>L683-M683</f>
        <v/>
      </c>
    </row>
    <row r="684">
      <c r="A684" s="7" t="inlineStr">
        <is>
          <t>ORD-03352</t>
        </is>
      </c>
      <c r="B684" s="8" t="n">
        <v>45107</v>
      </c>
      <c r="C684" s="9" t="n">
        <v>45078</v>
      </c>
      <c r="D684" s="7" t="n">
        <v>2023</v>
      </c>
      <c r="E684" s="7" t="inlineStr">
        <is>
          <t>East</t>
        </is>
      </c>
      <c r="F684" s="7" t="inlineStr">
        <is>
          <t>Office Supplies</t>
        </is>
      </c>
      <c r="G684" s="7" t="inlineStr">
        <is>
          <t>Paper</t>
        </is>
      </c>
      <c r="H684" s="7" t="inlineStr">
        <is>
          <t>Corporate</t>
        </is>
      </c>
      <c r="I684" s="7" t="n">
        <v>8</v>
      </c>
      <c r="J684" s="10" t="n">
        <v>24.93</v>
      </c>
      <c r="K684" s="11" t="n">
        <v>0.05</v>
      </c>
      <c r="L684" s="10">
        <f>I684*J684*(1-K684)</f>
        <v/>
      </c>
      <c r="M684" s="10" t="n">
        <v>100</v>
      </c>
      <c r="N684" s="10">
        <f>L684-M684</f>
        <v/>
      </c>
    </row>
    <row r="685">
      <c r="A685" s="7" t="inlineStr">
        <is>
          <t>ORD-05115</t>
        </is>
      </c>
      <c r="B685" s="8" t="n">
        <v>45108</v>
      </c>
      <c r="C685" s="9" t="n">
        <v>45108</v>
      </c>
      <c r="D685" s="7" t="n">
        <v>2023</v>
      </c>
      <c r="E685" s="7" t="inlineStr">
        <is>
          <t>South</t>
        </is>
      </c>
      <c r="F685" s="7" t="inlineStr">
        <is>
          <t>Technology</t>
        </is>
      </c>
      <c r="G685" s="7" t="inlineStr">
        <is>
          <t>Monitor</t>
        </is>
      </c>
      <c r="H685" s="7" t="inlineStr">
        <is>
          <t>Consumer</t>
        </is>
      </c>
      <c r="I685" s="7" t="n">
        <v>3</v>
      </c>
      <c r="J685" s="10" t="n">
        <v>241.59</v>
      </c>
      <c r="K685" s="11" t="n">
        <v>0</v>
      </c>
      <c r="L685" s="10">
        <f>I685*J685*(1-K685)</f>
        <v/>
      </c>
      <c r="M685" s="10" t="n">
        <v>540</v>
      </c>
      <c r="N685" s="10">
        <f>L685-M685</f>
        <v/>
      </c>
    </row>
    <row r="686">
      <c r="A686" s="7" t="inlineStr">
        <is>
          <t>ORD-02781</t>
        </is>
      </c>
      <c r="B686" s="8" t="n">
        <v>45108</v>
      </c>
      <c r="C686" s="9" t="n">
        <v>45108</v>
      </c>
      <c r="D686" s="7" t="n">
        <v>2023</v>
      </c>
      <c r="E686" s="7" t="inlineStr">
        <is>
          <t>East</t>
        </is>
      </c>
      <c r="F686" s="7" t="inlineStr">
        <is>
          <t>Office Supplies</t>
        </is>
      </c>
      <c r="G686" s="7" t="inlineStr">
        <is>
          <t>Binder</t>
        </is>
      </c>
      <c r="H686" s="7" t="inlineStr">
        <is>
          <t>Corporate</t>
        </is>
      </c>
      <c r="I686" s="7" t="n">
        <v>8</v>
      </c>
      <c r="J686" s="10" t="n">
        <v>8.26</v>
      </c>
      <c r="K686" s="11" t="n">
        <v>0.1</v>
      </c>
      <c r="L686" s="10">
        <f>I686*J686*(1-K686)</f>
        <v/>
      </c>
      <c r="M686" s="10" t="n">
        <v>25.6</v>
      </c>
      <c r="N686" s="10">
        <f>L686-M686</f>
        <v/>
      </c>
    </row>
    <row r="687">
      <c r="A687" s="7" t="inlineStr">
        <is>
          <t>ORD-00363</t>
        </is>
      </c>
      <c r="B687" s="8" t="n">
        <v>45108</v>
      </c>
      <c r="C687" s="9" t="n">
        <v>45108</v>
      </c>
      <c r="D687" s="7" t="n">
        <v>2023</v>
      </c>
      <c r="E687" s="7" t="inlineStr">
        <is>
          <t>East</t>
        </is>
      </c>
      <c r="F687" s="7" t="inlineStr">
        <is>
          <t>Technology</t>
        </is>
      </c>
      <c r="G687" s="7" t="inlineStr">
        <is>
          <t>Laptop</t>
        </is>
      </c>
      <c r="H687" s="7" t="inlineStr">
        <is>
          <t>Consumer</t>
        </is>
      </c>
      <c r="I687" s="7" t="n">
        <v>3</v>
      </c>
      <c r="J687" s="10" t="n">
        <v>858.52</v>
      </c>
      <c r="K687" s="11" t="n">
        <v>0.3</v>
      </c>
      <c r="L687" s="10">
        <f>I687*J687*(1-K687)</f>
        <v/>
      </c>
      <c r="M687" s="10" t="n">
        <v>2106</v>
      </c>
      <c r="N687" s="10">
        <f>L687-M687</f>
        <v/>
      </c>
    </row>
    <row r="688">
      <c r="A688" s="7" t="inlineStr">
        <is>
          <t>ORD-04197</t>
        </is>
      </c>
      <c r="B688" s="8" t="n">
        <v>45109</v>
      </c>
      <c r="C688" s="9" t="n">
        <v>45108</v>
      </c>
      <c r="D688" s="7" t="n">
        <v>2023</v>
      </c>
      <c r="E688" s="7" t="inlineStr">
        <is>
          <t>West</t>
        </is>
      </c>
      <c r="F688" s="7" t="inlineStr">
        <is>
          <t>Office Supplies</t>
        </is>
      </c>
      <c r="G688" s="7" t="inlineStr">
        <is>
          <t>Binder</t>
        </is>
      </c>
      <c r="H688" s="7" t="inlineStr">
        <is>
          <t>Corporate</t>
        </is>
      </c>
      <c r="I688" s="7" t="n">
        <v>10</v>
      </c>
      <c r="J688" s="10" t="n">
        <v>7.66</v>
      </c>
      <c r="K688" s="11" t="n">
        <v>0.05</v>
      </c>
      <c r="L688" s="10">
        <f>I688*J688*(1-K688)</f>
        <v/>
      </c>
      <c r="M688" s="10" t="n">
        <v>32</v>
      </c>
      <c r="N688" s="10">
        <f>L688-M688</f>
        <v/>
      </c>
    </row>
    <row r="689">
      <c r="A689" s="7" t="inlineStr">
        <is>
          <t>ORD-01393</t>
        </is>
      </c>
      <c r="B689" s="8" t="n">
        <v>45109</v>
      </c>
      <c r="C689" s="9" t="n">
        <v>45108</v>
      </c>
      <c r="D689" s="7" t="n">
        <v>2023</v>
      </c>
      <c r="E689" s="7" t="inlineStr">
        <is>
          <t>West</t>
        </is>
      </c>
      <c r="F689" s="7" t="inlineStr">
        <is>
          <t>Office Supplies</t>
        </is>
      </c>
      <c r="G689" s="7" t="inlineStr">
        <is>
          <t>Paper</t>
        </is>
      </c>
      <c r="H689" s="7" t="inlineStr">
        <is>
          <t>Corporate</t>
        </is>
      </c>
      <c r="I689" s="7" t="n">
        <v>14</v>
      </c>
      <c r="J689" s="10" t="n">
        <v>25.92</v>
      </c>
      <c r="K689" s="11" t="n">
        <v>0.1</v>
      </c>
      <c r="L689" s="10">
        <f>I689*J689*(1-K689)</f>
        <v/>
      </c>
      <c r="M689" s="10" t="n">
        <v>175</v>
      </c>
      <c r="N689" s="10">
        <f>L689-M689</f>
        <v/>
      </c>
    </row>
    <row r="690">
      <c r="A690" s="7" t="inlineStr">
        <is>
          <t>ORD-00099</t>
        </is>
      </c>
      <c r="B690" s="8" t="n">
        <v>45109</v>
      </c>
      <c r="C690" s="9" t="n">
        <v>45108</v>
      </c>
      <c r="D690" s="7" t="n">
        <v>2023</v>
      </c>
      <c r="E690" s="7" t="inlineStr">
        <is>
          <t>South</t>
        </is>
      </c>
      <c r="F690" s="7" t="inlineStr">
        <is>
          <t>Office Supplies</t>
        </is>
      </c>
      <c r="G690" s="7" t="inlineStr">
        <is>
          <t>Pens</t>
        </is>
      </c>
      <c r="H690" s="7" t="inlineStr">
        <is>
          <t>Home Office</t>
        </is>
      </c>
      <c r="I690" s="7" t="n">
        <v>15</v>
      </c>
      <c r="J690" s="10" t="n">
        <v>12.25</v>
      </c>
      <c r="K690" s="11" t="n">
        <v>0.3</v>
      </c>
      <c r="L690" s="10">
        <f>I690*J690*(1-K690)</f>
        <v/>
      </c>
      <c r="M690" s="10" t="n">
        <v>81</v>
      </c>
      <c r="N690" s="10">
        <f>L690-M690</f>
        <v/>
      </c>
    </row>
    <row r="691">
      <c r="A691" s="7" t="inlineStr">
        <is>
          <t>ORD-01685</t>
        </is>
      </c>
      <c r="B691" s="8" t="n">
        <v>45109</v>
      </c>
      <c r="C691" s="9" t="n">
        <v>45108</v>
      </c>
      <c r="D691" s="7" t="n">
        <v>2023</v>
      </c>
      <c r="E691" s="7" t="inlineStr">
        <is>
          <t>West</t>
        </is>
      </c>
      <c r="F691" s="7" t="inlineStr">
        <is>
          <t>Furniture</t>
        </is>
      </c>
      <c r="G691" s="7" t="inlineStr">
        <is>
          <t>Sofa</t>
        </is>
      </c>
      <c r="H691" s="7" t="inlineStr">
        <is>
          <t>Consumer</t>
        </is>
      </c>
      <c r="I691" s="7" t="n">
        <v>1</v>
      </c>
      <c r="J691" s="10" t="n">
        <v>726.21</v>
      </c>
      <c r="K691" s="11" t="n">
        <v>0.2</v>
      </c>
      <c r="L691" s="10">
        <f>I691*J691*(1-K691)</f>
        <v/>
      </c>
      <c r="M691" s="10" t="n">
        <v>616</v>
      </c>
      <c r="N691" s="10">
        <f>L691-M691</f>
        <v/>
      </c>
    </row>
    <row r="692">
      <c r="A692" s="7" t="inlineStr">
        <is>
          <t>ORD-02875</t>
        </is>
      </c>
      <c r="B692" s="8" t="n">
        <v>45110</v>
      </c>
      <c r="C692" s="9" t="n">
        <v>45108</v>
      </c>
      <c r="D692" s="7" t="n">
        <v>2023</v>
      </c>
      <c r="E692" s="7" t="inlineStr">
        <is>
          <t>West</t>
        </is>
      </c>
      <c r="F692" s="7" t="inlineStr">
        <is>
          <t>Office Supplies</t>
        </is>
      </c>
      <c r="G692" s="7" t="inlineStr">
        <is>
          <t>Paper</t>
        </is>
      </c>
      <c r="H692" s="7" t="inlineStr">
        <is>
          <t>Consumer</t>
        </is>
      </c>
      <c r="I692" s="7" t="n">
        <v>3</v>
      </c>
      <c r="J692" s="10" t="n">
        <v>25.36</v>
      </c>
      <c r="K692" s="11" t="n">
        <v>0.2</v>
      </c>
      <c r="L692" s="10">
        <f>I692*J692*(1-K692)</f>
        <v/>
      </c>
      <c r="M692" s="10" t="n">
        <v>37.5</v>
      </c>
      <c r="N692" s="10">
        <f>L692-M692</f>
        <v/>
      </c>
    </row>
    <row r="693">
      <c r="A693" s="7" t="inlineStr">
        <is>
          <t>ORD-00389</t>
        </is>
      </c>
      <c r="B693" s="8" t="n">
        <v>45110</v>
      </c>
      <c r="C693" s="9" t="n">
        <v>45108</v>
      </c>
      <c r="D693" s="7" t="n">
        <v>2023</v>
      </c>
      <c r="E693" s="7" t="inlineStr">
        <is>
          <t>North</t>
        </is>
      </c>
      <c r="F693" s="7" t="inlineStr">
        <is>
          <t>Office Supplies</t>
        </is>
      </c>
      <c r="G693" s="7" t="inlineStr">
        <is>
          <t>Pens</t>
        </is>
      </c>
      <c r="H693" s="7" t="inlineStr">
        <is>
          <t>Corporate</t>
        </is>
      </c>
      <c r="I693" s="7" t="n">
        <v>8</v>
      </c>
      <c r="J693" s="10" t="n">
        <v>12.16</v>
      </c>
      <c r="K693" s="11" t="n">
        <v>0.3</v>
      </c>
      <c r="L693" s="10">
        <f>I693*J693*(1-K693)</f>
        <v/>
      </c>
      <c r="M693" s="10" t="n">
        <v>43.2</v>
      </c>
      <c r="N693" s="10">
        <f>L693-M693</f>
        <v/>
      </c>
    </row>
    <row r="694">
      <c r="A694" s="7" t="inlineStr">
        <is>
          <t>ORD-04366</t>
        </is>
      </c>
      <c r="B694" s="8" t="n">
        <v>45110</v>
      </c>
      <c r="C694" s="9" t="n">
        <v>45108</v>
      </c>
      <c r="D694" s="7" t="n">
        <v>2023</v>
      </c>
      <c r="E694" s="7" t="inlineStr">
        <is>
          <t>West</t>
        </is>
      </c>
      <c r="F694" s="7" t="inlineStr">
        <is>
          <t>Furniture</t>
        </is>
      </c>
      <c r="G694" s="7" t="inlineStr">
        <is>
          <t>Office Chair</t>
        </is>
      </c>
      <c r="H694" s="7" t="inlineStr">
        <is>
          <t>Consumer</t>
        </is>
      </c>
      <c r="I694" s="7" t="n">
        <v>3</v>
      </c>
      <c r="J694" s="10" t="n">
        <v>224.97</v>
      </c>
      <c r="K694" s="11" t="n">
        <v>0.3</v>
      </c>
      <c r="L694" s="10">
        <f>I694*J694*(1-K694)</f>
        <v/>
      </c>
      <c r="M694" s="10" t="n">
        <v>541.2</v>
      </c>
      <c r="N694" s="10">
        <f>L694-M694</f>
        <v/>
      </c>
    </row>
    <row r="695">
      <c r="A695" s="7" t="inlineStr">
        <is>
          <t>ORD-02201</t>
        </is>
      </c>
      <c r="B695" s="8" t="n">
        <v>45110</v>
      </c>
      <c r="C695" s="9" t="n">
        <v>45108</v>
      </c>
      <c r="D695" s="7" t="n">
        <v>2023</v>
      </c>
      <c r="E695" s="7" t="inlineStr">
        <is>
          <t>West</t>
        </is>
      </c>
      <c r="F695" s="7" t="inlineStr">
        <is>
          <t>Furniture</t>
        </is>
      </c>
      <c r="G695" s="7" t="inlineStr">
        <is>
          <t>Office Chair</t>
        </is>
      </c>
      <c r="H695" s="7" t="inlineStr">
        <is>
          <t>Corporate</t>
        </is>
      </c>
      <c r="I695" s="7" t="n">
        <v>3</v>
      </c>
      <c r="J695" s="10" t="n">
        <v>218.71</v>
      </c>
      <c r="K695" s="11" t="n">
        <v>0.1</v>
      </c>
      <c r="L695" s="10">
        <f>I695*J695*(1-K695)</f>
        <v/>
      </c>
      <c r="M695" s="10" t="n">
        <v>541.2</v>
      </c>
      <c r="N695" s="10">
        <f>L695-M695</f>
        <v/>
      </c>
    </row>
    <row r="696">
      <c r="A696" s="7" t="inlineStr">
        <is>
          <t>ORD-01350</t>
        </is>
      </c>
      <c r="B696" s="8" t="n">
        <v>45110</v>
      </c>
      <c r="C696" s="9" t="n">
        <v>45108</v>
      </c>
      <c r="D696" s="7" t="n">
        <v>2023</v>
      </c>
      <c r="E696" s="7" t="inlineStr">
        <is>
          <t>West</t>
        </is>
      </c>
      <c r="F696" s="7" t="inlineStr">
        <is>
          <t>Office Supplies</t>
        </is>
      </c>
      <c r="G696" s="7" t="inlineStr">
        <is>
          <t>Pens</t>
        </is>
      </c>
      <c r="H696" s="7" t="inlineStr">
        <is>
          <t>Corporate</t>
        </is>
      </c>
      <c r="I696" s="7" t="n">
        <v>5</v>
      </c>
      <c r="J696" s="10" t="n">
        <v>11.8</v>
      </c>
      <c r="K696" s="11" t="n">
        <v>0</v>
      </c>
      <c r="L696" s="10">
        <f>I696*J696*(1-K696)</f>
        <v/>
      </c>
      <c r="M696" s="10" t="n">
        <v>27</v>
      </c>
      <c r="N696" s="10">
        <f>L696-M696</f>
        <v/>
      </c>
    </row>
    <row r="697">
      <c r="A697" s="7" t="inlineStr">
        <is>
          <t>ORD-00973</t>
        </is>
      </c>
      <c r="B697" s="8" t="n">
        <v>45111</v>
      </c>
      <c r="C697" s="9" t="n">
        <v>45108</v>
      </c>
      <c r="D697" s="7" t="n">
        <v>2023</v>
      </c>
      <c r="E697" s="7" t="inlineStr">
        <is>
          <t>West</t>
        </is>
      </c>
      <c r="F697" s="7" t="inlineStr">
        <is>
          <t>Technology</t>
        </is>
      </c>
      <c r="G697" s="7" t="inlineStr">
        <is>
          <t>Smartphone</t>
        </is>
      </c>
      <c r="H697" s="7" t="inlineStr">
        <is>
          <t>Home Office</t>
        </is>
      </c>
      <c r="I697" s="7" t="n">
        <v>3</v>
      </c>
      <c r="J697" s="10" t="n">
        <v>574.29</v>
      </c>
      <c r="K697" s="11" t="n">
        <v>0.3</v>
      </c>
      <c r="L697" s="10">
        <f>I697*J697*(1-K697)</f>
        <v/>
      </c>
      <c r="M697" s="10" t="n">
        <v>1350</v>
      </c>
      <c r="N697" s="10">
        <f>L697-M697</f>
        <v/>
      </c>
    </row>
    <row r="698">
      <c r="A698" s="7" t="inlineStr">
        <is>
          <t>ORD-02805</t>
        </is>
      </c>
      <c r="B698" s="8" t="n">
        <v>45111</v>
      </c>
      <c r="C698" s="9" t="n">
        <v>45108</v>
      </c>
      <c r="D698" s="7" t="n">
        <v>2023</v>
      </c>
      <c r="E698" s="7" t="inlineStr">
        <is>
          <t>South</t>
        </is>
      </c>
      <c r="F698" s="7" t="inlineStr">
        <is>
          <t>Technology</t>
        </is>
      </c>
      <c r="G698" s="7" t="inlineStr">
        <is>
          <t>Headphones</t>
        </is>
      </c>
      <c r="H698" s="7" t="inlineStr">
        <is>
          <t>Corporate</t>
        </is>
      </c>
      <c r="I698" s="7" t="n">
        <v>2</v>
      </c>
      <c r="J698" s="10" t="n">
        <v>115.08</v>
      </c>
      <c r="K698" s="11" t="n">
        <v>0.05</v>
      </c>
      <c r="L698" s="10">
        <f>I698*J698*(1-K698)</f>
        <v/>
      </c>
      <c r="M698" s="10" t="n">
        <v>144</v>
      </c>
      <c r="N698" s="10">
        <f>L698-M698</f>
        <v/>
      </c>
    </row>
    <row r="699">
      <c r="A699" s="7" t="inlineStr">
        <is>
          <t>ORD-02513</t>
        </is>
      </c>
      <c r="B699" s="8" t="n">
        <v>45111</v>
      </c>
      <c r="C699" s="9" t="n">
        <v>45108</v>
      </c>
      <c r="D699" s="7" t="n">
        <v>2023</v>
      </c>
      <c r="E699" s="7" t="inlineStr">
        <is>
          <t>East</t>
        </is>
      </c>
      <c r="F699" s="7" t="inlineStr">
        <is>
          <t>Office Supplies</t>
        </is>
      </c>
      <c r="G699" s="7" t="inlineStr">
        <is>
          <t>Binder</t>
        </is>
      </c>
      <c r="H699" s="7" t="inlineStr">
        <is>
          <t>Corporate</t>
        </is>
      </c>
      <c r="I699" s="7" t="n">
        <v>9</v>
      </c>
      <c r="J699" s="10" t="n">
        <v>7.65</v>
      </c>
      <c r="K699" s="11" t="n">
        <v>0</v>
      </c>
      <c r="L699" s="10">
        <f>I699*J699*(1-K699)</f>
        <v/>
      </c>
      <c r="M699" s="10" t="n">
        <v>28.8</v>
      </c>
      <c r="N699" s="10">
        <f>L699-M699</f>
        <v/>
      </c>
    </row>
    <row r="700">
      <c r="A700" s="7" t="inlineStr">
        <is>
          <t>ORD-05873</t>
        </is>
      </c>
      <c r="B700" s="8" t="n">
        <v>45111</v>
      </c>
      <c r="C700" s="9" t="n">
        <v>45108</v>
      </c>
      <c r="D700" s="7" t="n">
        <v>2023</v>
      </c>
      <c r="E700" s="7" t="inlineStr">
        <is>
          <t>South</t>
        </is>
      </c>
      <c r="F700" s="7" t="inlineStr">
        <is>
          <t>Office Supplies</t>
        </is>
      </c>
      <c r="G700" s="7" t="inlineStr">
        <is>
          <t>Stapler</t>
        </is>
      </c>
      <c r="H700" s="7" t="inlineStr">
        <is>
          <t>Consumer</t>
        </is>
      </c>
      <c r="I700" s="7" t="n">
        <v>9</v>
      </c>
      <c r="J700" s="10" t="n">
        <v>14.91</v>
      </c>
      <c r="K700" s="11" t="n">
        <v>0.3</v>
      </c>
      <c r="L700" s="10">
        <f>I700*J700*(1-K700)</f>
        <v/>
      </c>
      <c r="M700" s="10" t="n">
        <v>67.5</v>
      </c>
      <c r="N700" s="10">
        <f>L700-M700</f>
        <v/>
      </c>
    </row>
    <row r="701">
      <c r="A701" s="7" t="inlineStr">
        <is>
          <t>ORD-04372</t>
        </is>
      </c>
      <c r="B701" s="8" t="n">
        <v>45111</v>
      </c>
      <c r="C701" s="9" t="n">
        <v>45108</v>
      </c>
      <c r="D701" s="7" t="n">
        <v>2023</v>
      </c>
      <c r="E701" s="7" t="inlineStr">
        <is>
          <t>West</t>
        </is>
      </c>
      <c r="F701" s="7" t="inlineStr">
        <is>
          <t>Technology</t>
        </is>
      </c>
      <c r="G701" s="7" t="inlineStr">
        <is>
          <t>Monitor</t>
        </is>
      </c>
      <c r="H701" s="7" t="inlineStr">
        <is>
          <t>Corporate</t>
        </is>
      </c>
      <c r="I701" s="7" t="n">
        <v>1</v>
      </c>
      <c r="J701" s="10" t="n">
        <v>251.51</v>
      </c>
      <c r="K701" s="11" t="n">
        <v>0.05</v>
      </c>
      <c r="L701" s="10">
        <f>I701*J701*(1-K701)</f>
        <v/>
      </c>
      <c r="M701" s="10" t="n">
        <v>180</v>
      </c>
      <c r="N701" s="10">
        <f>L701-M701</f>
        <v/>
      </c>
    </row>
    <row r="702">
      <c r="A702" s="7" t="inlineStr">
        <is>
          <t>ORD-01182</t>
        </is>
      </c>
      <c r="B702" s="8" t="n">
        <v>45111</v>
      </c>
      <c r="C702" s="9" t="n">
        <v>45108</v>
      </c>
      <c r="D702" s="7" t="n">
        <v>2023</v>
      </c>
      <c r="E702" s="7" t="inlineStr">
        <is>
          <t>East</t>
        </is>
      </c>
      <c r="F702" s="7" t="inlineStr">
        <is>
          <t>Office Supplies</t>
        </is>
      </c>
      <c r="G702" s="7" t="inlineStr">
        <is>
          <t>Paper</t>
        </is>
      </c>
      <c r="H702" s="7" t="inlineStr">
        <is>
          <t>Home Office</t>
        </is>
      </c>
      <c r="I702" s="7" t="n">
        <v>8</v>
      </c>
      <c r="J702" s="10" t="n">
        <v>24.29</v>
      </c>
      <c r="K702" s="11" t="n">
        <v>0</v>
      </c>
      <c r="L702" s="10">
        <f>I702*J702*(1-K702)</f>
        <v/>
      </c>
      <c r="M702" s="10" t="n">
        <v>100</v>
      </c>
      <c r="N702" s="10">
        <f>L702-M702</f>
        <v/>
      </c>
    </row>
    <row r="703">
      <c r="A703" s="7" t="inlineStr">
        <is>
          <t>ORD-04065</t>
        </is>
      </c>
      <c r="B703" s="8" t="n">
        <v>45111</v>
      </c>
      <c r="C703" s="9" t="n">
        <v>45108</v>
      </c>
      <c r="D703" s="7" t="n">
        <v>2023</v>
      </c>
      <c r="E703" s="7" t="inlineStr">
        <is>
          <t>East</t>
        </is>
      </c>
      <c r="F703" s="7" t="inlineStr">
        <is>
          <t>Office Supplies</t>
        </is>
      </c>
      <c r="G703" s="7" t="inlineStr">
        <is>
          <t>Pens</t>
        </is>
      </c>
      <c r="H703" s="7" t="inlineStr">
        <is>
          <t>Consumer</t>
        </is>
      </c>
      <c r="I703" s="7" t="n">
        <v>12</v>
      </c>
      <c r="J703" s="10" t="n">
        <v>12.08</v>
      </c>
      <c r="K703" s="11" t="n">
        <v>0</v>
      </c>
      <c r="L703" s="10">
        <f>I703*J703*(1-K703)</f>
        <v/>
      </c>
      <c r="M703" s="10" t="n">
        <v>64.8</v>
      </c>
      <c r="N703" s="10">
        <f>L703-M703</f>
        <v/>
      </c>
    </row>
    <row r="704">
      <c r="A704" s="7" t="inlineStr">
        <is>
          <t>ORD-00473</t>
        </is>
      </c>
      <c r="B704" s="8" t="n">
        <v>45111</v>
      </c>
      <c r="C704" s="9" t="n">
        <v>45108</v>
      </c>
      <c r="D704" s="7" t="n">
        <v>2023</v>
      </c>
      <c r="E704" s="7" t="inlineStr">
        <is>
          <t>North</t>
        </is>
      </c>
      <c r="F704" s="7" t="inlineStr">
        <is>
          <t>Office Supplies</t>
        </is>
      </c>
      <c r="G704" s="7" t="inlineStr">
        <is>
          <t>Pens</t>
        </is>
      </c>
      <c r="H704" s="7" t="inlineStr">
        <is>
          <t>Consumer</t>
        </is>
      </c>
      <c r="I704" s="7" t="n">
        <v>12</v>
      </c>
      <c r="J704" s="10" t="n">
        <v>11.93</v>
      </c>
      <c r="K704" s="11" t="n">
        <v>0.1</v>
      </c>
      <c r="L704" s="10">
        <f>I704*J704*(1-K704)</f>
        <v/>
      </c>
      <c r="M704" s="10" t="n">
        <v>64.8</v>
      </c>
      <c r="N704" s="10">
        <f>L704-M704</f>
        <v/>
      </c>
    </row>
    <row r="705">
      <c r="A705" s="7" t="inlineStr">
        <is>
          <t>ORD-00525</t>
        </is>
      </c>
      <c r="B705" s="8" t="n">
        <v>45112</v>
      </c>
      <c r="C705" s="9" t="n">
        <v>45108</v>
      </c>
      <c r="D705" s="7" t="n">
        <v>2023</v>
      </c>
      <c r="E705" s="7" t="inlineStr">
        <is>
          <t>East</t>
        </is>
      </c>
      <c r="F705" s="7" t="inlineStr">
        <is>
          <t>Office Supplies</t>
        </is>
      </c>
      <c r="G705" s="7" t="inlineStr">
        <is>
          <t>Paper</t>
        </is>
      </c>
      <c r="H705" s="7" t="inlineStr">
        <is>
          <t>Corporate</t>
        </is>
      </c>
      <c r="I705" s="7" t="n">
        <v>7</v>
      </c>
      <c r="J705" s="10" t="n">
        <v>23.99</v>
      </c>
      <c r="K705" s="11" t="n">
        <v>0.3</v>
      </c>
      <c r="L705" s="10">
        <f>I705*J705*(1-K705)</f>
        <v/>
      </c>
      <c r="M705" s="10" t="n">
        <v>87.5</v>
      </c>
      <c r="N705" s="10">
        <f>L705-M705</f>
        <v/>
      </c>
    </row>
    <row r="706">
      <c r="A706" s="7" t="inlineStr">
        <is>
          <t>ORD-00362</t>
        </is>
      </c>
      <c r="B706" s="8" t="n">
        <v>45112</v>
      </c>
      <c r="C706" s="9" t="n">
        <v>45108</v>
      </c>
      <c r="D706" s="7" t="n">
        <v>2023</v>
      </c>
      <c r="E706" s="7" t="inlineStr">
        <is>
          <t>South</t>
        </is>
      </c>
      <c r="F706" s="7" t="inlineStr">
        <is>
          <t>Office Supplies</t>
        </is>
      </c>
      <c r="G706" s="7" t="inlineStr">
        <is>
          <t>Binder</t>
        </is>
      </c>
      <c r="H706" s="7" t="inlineStr">
        <is>
          <t>Corporate</t>
        </is>
      </c>
      <c r="I706" s="7" t="n">
        <v>15</v>
      </c>
      <c r="J706" s="10" t="n">
        <v>7.98</v>
      </c>
      <c r="K706" s="11" t="n">
        <v>0.05</v>
      </c>
      <c r="L706" s="10">
        <f>I706*J706*(1-K706)</f>
        <v/>
      </c>
      <c r="M706" s="10" t="n">
        <v>48</v>
      </c>
      <c r="N706" s="10">
        <f>L706-M706</f>
        <v/>
      </c>
    </row>
    <row r="707">
      <c r="A707" s="7" t="inlineStr">
        <is>
          <t>ORD-03874</t>
        </is>
      </c>
      <c r="B707" s="8" t="n">
        <v>45112</v>
      </c>
      <c r="C707" s="9" t="n">
        <v>45108</v>
      </c>
      <c r="D707" s="7" t="n">
        <v>2023</v>
      </c>
      <c r="E707" s="7" t="inlineStr">
        <is>
          <t>West</t>
        </is>
      </c>
      <c r="F707" s="7" t="inlineStr">
        <is>
          <t>Office Supplies</t>
        </is>
      </c>
      <c r="G707" s="7" t="inlineStr">
        <is>
          <t>Pens</t>
        </is>
      </c>
      <c r="H707" s="7" t="inlineStr">
        <is>
          <t>Corporate</t>
        </is>
      </c>
      <c r="I707" s="7" t="n">
        <v>7</v>
      </c>
      <c r="J707" s="10" t="n">
        <v>11.9</v>
      </c>
      <c r="K707" s="11" t="n">
        <v>0</v>
      </c>
      <c r="L707" s="10">
        <f>I707*J707*(1-K707)</f>
        <v/>
      </c>
      <c r="M707" s="10" t="n">
        <v>37.8</v>
      </c>
      <c r="N707" s="10">
        <f>L707-M707</f>
        <v/>
      </c>
    </row>
    <row r="708">
      <c r="A708" s="7" t="inlineStr">
        <is>
          <t>ORD-01765</t>
        </is>
      </c>
      <c r="B708" s="8" t="n">
        <v>45112</v>
      </c>
      <c r="C708" s="9" t="n">
        <v>45108</v>
      </c>
      <c r="D708" s="7" t="n">
        <v>2023</v>
      </c>
      <c r="E708" s="7" t="inlineStr">
        <is>
          <t>South</t>
        </is>
      </c>
      <c r="F708" s="7" t="inlineStr">
        <is>
          <t>Furniture</t>
        </is>
      </c>
      <c r="G708" s="7" t="inlineStr">
        <is>
          <t>Sofa</t>
        </is>
      </c>
      <c r="H708" s="7" t="inlineStr">
        <is>
          <t>Corporate</t>
        </is>
      </c>
      <c r="I708" s="7" t="n">
        <v>4</v>
      </c>
      <c r="J708" s="10" t="n">
        <v>688.12</v>
      </c>
      <c r="K708" s="11" t="n">
        <v>0.05</v>
      </c>
      <c r="L708" s="10">
        <f>I708*J708*(1-K708)</f>
        <v/>
      </c>
      <c r="M708" s="10" t="n">
        <v>2464</v>
      </c>
      <c r="N708" s="10">
        <f>L708-M708</f>
        <v/>
      </c>
    </row>
    <row r="709">
      <c r="A709" s="7" t="inlineStr">
        <is>
          <t>ORD-00938</t>
        </is>
      </c>
      <c r="B709" s="8" t="n">
        <v>45113</v>
      </c>
      <c r="C709" s="9" t="n">
        <v>45108</v>
      </c>
      <c r="D709" s="7" t="n">
        <v>2023</v>
      </c>
      <c r="E709" s="7" t="inlineStr">
        <is>
          <t>East</t>
        </is>
      </c>
      <c r="F709" s="7" t="inlineStr">
        <is>
          <t>Office Supplies</t>
        </is>
      </c>
      <c r="G709" s="7" t="inlineStr">
        <is>
          <t>Printer Ink</t>
        </is>
      </c>
      <c r="H709" s="7" t="inlineStr">
        <is>
          <t>Consumer</t>
        </is>
      </c>
      <c r="I709" s="7" t="n">
        <v>8</v>
      </c>
      <c r="J709" s="10" t="n">
        <v>60.49</v>
      </c>
      <c r="K709" s="11" t="n">
        <v>0</v>
      </c>
      <c r="L709" s="10">
        <f>I709*J709*(1-K709)</f>
        <v/>
      </c>
      <c r="M709" s="10" t="n">
        <v>288</v>
      </c>
      <c r="N709" s="10">
        <f>L709-M709</f>
        <v/>
      </c>
    </row>
    <row r="710">
      <c r="A710" s="7" t="inlineStr">
        <is>
          <t>ORD-04911</t>
        </is>
      </c>
      <c r="B710" s="8" t="n">
        <v>45113</v>
      </c>
      <c r="C710" s="9" t="n">
        <v>45108</v>
      </c>
      <c r="D710" s="7" t="n">
        <v>2023</v>
      </c>
      <c r="E710" s="7" t="inlineStr">
        <is>
          <t>South</t>
        </is>
      </c>
      <c r="F710" s="7" t="inlineStr">
        <is>
          <t>Office Supplies</t>
        </is>
      </c>
      <c r="G710" s="7" t="inlineStr">
        <is>
          <t>Paper</t>
        </is>
      </c>
      <c r="H710" s="7" t="inlineStr">
        <is>
          <t>Consumer</t>
        </is>
      </c>
      <c r="I710" s="7" t="n">
        <v>2</v>
      </c>
      <c r="J710" s="10" t="n">
        <v>26.24</v>
      </c>
      <c r="K710" s="11" t="n">
        <v>0</v>
      </c>
      <c r="L710" s="10">
        <f>I710*J710*(1-K710)</f>
        <v/>
      </c>
      <c r="M710" s="10" t="n">
        <v>25</v>
      </c>
      <c r="N710" s="10">
        <f>L710-M710</f>
        <v/>
      </c>
    </row>
    <row r="711">
      <c r="A711" s="7" t="inlineStr">
        <is>
          <t>ORD-05054</t>
        </is>
      </c>
      <c r="B711" s="8" t="n">
        <v>45113</v>
      </c>
      <c r="C711" s="9" t="n">
        <v>45108</v>
      </c>
      <c r="D711" s="7" t="n">
        <v>2023</v>
      </c>
      <c r="E711" s="7" t="inlineStr">
        <is>
          <t>East</t>
        </is>
      </c>
      <c r="F711" s="7" t="inlineStr">
        <is>
          <t>Office Supplies</t>
        </is>
      </c>
      <c r="G711" s="7" t="inlineStr">
        <is>
          <t>Printer Ink</t>
        </is>
      </c>
      <c r="H711" s="7" t="inlineStr">
        <is>
          <t>Consumer</t>
        </is>
      </c>
      <c r="I711" s="7" t="n">
        <v>5</v>
      </c>
      <c r="J711" s="10" t="n">
        <v>62.83</v>
      </c>
      <c r="K711" s="11" t="n">
        <v>0.3</v>
      </c>
      <c r="L711" s="10">
        <f>I711*J711*(1-K711)</f>
        <v/>
      </c>
      <c r="M711" s="10" t="n">
        <v>180</v>
      </c>
      <c r="N711" s="10">
        <f>L711-M711</f>
        <v/>
      </c>
    </row>
    <row r="712">
      <c r="A712" s="7" t="inlineStr">
        <is>
          <t>ORD-04908</t>
        </is>
      </c>
      <c r="B712" s="8" t="n">
        <v>45115</v>
      </c>
      <c r="C712" s="9" t="n">
        <v>45108</v>
      </c>
      <c r="D712" s="7" t="n">
        <v>2023</v>
      </c>
      <c r="E712" s="7" t="inlineStr">
        <is>
          <t>West</t>
        </is>
      </c>
      <c r="F712" s="7" t="inlineStr">
        <is>
          <t>Furniture</t>
        </is>
      </c>
      <c r="G712" s="7" t="inlineStr">
        <is>
          <t>Bookcase</t>
        </is>
      </c>
      <c r="H712" s="7" t="inlineStr">
        <is>
          <t>Home Office</t>
        </is>
      </c>
      <c r="I712" s="7" t="n">
        <v>1</v>
      </c>
      <c r="J712" s="10" t="n">
        <v>179.18</v>
      </c>
      <c r="K712" s="11" t="n">
        <v>0.3</v>
      </c>
      <c r="L712" s="10">
        <f>I712*J712*(1-K712)</f>
        <v/>
      </c>
      <c r="M712" s="10" t="n">
        <v>144</v>
      </c>
      <c r="N712" s="10">
        <f>L712-M712</f>
        <v/>
      </c>
    </row>
    <row r="713">
      <c r="A713" s="7" t="inlineStr">
        <is>
          <t>ORD-04514</t>
        </is>
      </c>
      <c r="B713" s="8" t="n">
        <v>45115</v>
      </c>
      <c r="C713" s="9" t="n">
        <v>45108</v>
      </c>
      <c r="D713" s="7" t="n">
        <v>2023</v>
      </c>
      <c r="E713" s="7" t="inlineStr">
        <is>
          <t>East</t>
        </is>
      </c>
      <c r="F713" s="7" t="inlineStr">
        <is>
          <t>Office Supplies</t>
        </is>
      </c>
      <c r="G713" s="7" t="inlineStr">
        <is>
          <t>Pens</t>
        </is>
      </c>
      <c r="H713" s="7" t="inlineStr">
        <is>
          <t>Corporate</t>
        </is>
      </c>
      <c r="I713" s="7" t="n">
        <v>13</v>
      </c>
      <c r="J713" s="10" t="n">
        <v>11.42</v>
      </c>
      <c r="K713" s="11" t="n">
        <v>0</v>
      </c>
      <c r="L713" s="10">
        <f>I713*J713*(1-K713)</f>
        <v/>
      </c>
      <c r="M713" s="10" t="n">
        <v>70.2</v>
      </c>
      <c r="N713" s="10">
        <f>L713-M713</f>
        <v/>
      </c>
    </row>
    <row r="714">
      <c r="A714" s="7" t="inlineStr">
        <is>
          <t>ORD-01255</t>
        </is>
      </c>
      <c r="B714" s="8" t="n">
        <v>45115</v>
      </c>
      <c r="C714" s="9" t="n">
        <v>45108</v>
      </c>
      <c r="D714" s="7" t="n">
        <v>2023</v>
      </c>
      <c r="E714" s="7" t="inlineStr">
        <is>
          <t>East</t>
        </is>
      </c>
      <c r="F714" s="7" t="inlineStr">
        <is>
          <t>Technology</t>
        </is>
      </c>
      <c r="G714" s="7" t="inlineStr">
        <is>
          <t>Headphones</t>
        </is>
      </c>
      <c r="H714" s="7" t="inlineStr">
        <is>
          <t>Corporate</t>
        </is>
      </c>
      <c r="I714" s="7" t="n">
        <v>1</v>
      </c>
      <c r="J714" s="10" t="n">
        <v>114.84</v>
      </c>
      <c r="K714" s="11" t="n">
        <v>0.3</v>
      </c>
      <c r="L714" s="10">
        <f>I714*J714*(1-K714)</f>
        <v/>
      </c>
      <c r="M714" s="10" t="n">
        <v>72</v>
      </c>
      <c r="N714" s="10">
        <f>L714-M714</f>
        <v/>
      </c>
    </row>
    <row r="715">
      <c r="A715" s="7" t="inlineStr">
        <is>
          <t>ORD-00209</t>
        </is>
      </c>
      <c r="B715" s="8" t="n">
        <v>45115</v>
      </c>
      <c r="C715" s="9" t="n">
        <v>45108</v>
      </c>
      <c r="D715" s="7" t="n">
        <v>2023</v>
      </c>
      <c r="E715" s="7" t="inlineStr">
        <is>
          <t>West</t>
        </is>
      </c>
      <c r="F715" s="7" t="inlineStr">
        <is>
          <t>Technology</t>
        </is>
      </c>
      <c r="G715" s="7" t="inlineStr">
        <is>
          <t>Smartphone</t>
        </is>
      </c>
      <c r="H715" s="7" t="inlineStr">
        <is>
          <t>Consumer</t>
        </is>
      </c>
      <c r="I715" s="7" t="n">
        <v>1</v>
      </c>
      <c r="J715" s="10" t="n">
        <v>629.24</v>
      </c>
      <c r="K715" s="11" t="n">
        <v>0.1</v>
      </c>
      <c r="L715" s="10">
        <f>I715*J715*(1-K715)</f>
        <v/>
      </c>
      <c r="M715" s="10" t="n">
        <v>450</v>
      </c>
      <c r="N715" s="10">
        <f>L715-M715</f>
        <v/>
      </c>
    </row>
    <row r="716">
      <c r="A716" s="7" t="inlineStr">
        <is>
          <t>ORD-00392</t>
        </is>
      </c>
      <c r="B716" s="8" t="n">
        <v>45115</v>
      </c>
      <c r="C716" s="9" t="n">
        <v>45108</v>
      </c>
      <c r="D716" s="7" t="n">
        <v>2023</v>
      </c>
      <c r="E716" s="7" t="inlineStr">
        <is>
          <t>South</t>
        </is>
      </c>
      <c r="F716" s="7" t="inlineStr">
        <is>
          <t>Technology</t>
        </is>
      </c>
      <c r="G716" s="7" t="inlineStr">
        <is>
          <t>Keyboard</t>
        </is>
      </c>
      <c r="H716" s="7" t="inlineStr">
        <is>
          <t>Corporate</t>
        </is>
      </c>
      <c r="I716" s="7" t="n">
        <v>3</v>
      </c>
      <c r="J716" s="10" t="n">
        <v>45.23</v>
      </c>
      <c r="K716" s="11" t="n">
        <v>0.05</v>
      </c>
      <c r="L716" s="10">
        <f>I716*J716*(1-K716)</f>
        <v/>
      </c>
      <c r="M716" s="10" t="n">
        <v>74.25</v>
      </c>
      <c r="N716" s="10">
        <f>L716-M716</f>
        <v/>
      </c>
    </row>
    <row r="717">
      <c r="A717" s="7" t="inlineStr">
        <is>
          <t>ORD-02579</t>
        </is>
      </c>
      <c r="B717" s="8" t="n">
        <v>45116</v>
      </c>
      <c r="C717" s="9" t="n">
        <v>45108</v>
      </c>
      <c r="D717" s="7" t="n">
        <v>2023</v>
      </c>
      <c r="E717" s="7" t="inlineStr">
        <is>
          <t>South</t>
        </is>
      </c>
      <c r="F717" s="7" t="inlineStr">
        <is>
          <t>Technology</t>
        </is>
      </c>
      <c r="G717" s="7" t="inlineStr">
        <is>
          <t>Smartphone</t>
        </is>
      </c>
      <c r="H717" s="7" t="inlineStr">
        <is>
          <t>Consumer</t>
        </is>
      </c>
      <c r="I717" s="7" t="n">
        <v>2</v>
      </c>
      <c r="J717" s="10" t="n">
        <v>576.16</v>
      </c>
      <c r="K717" s="11" t="n">
        <v>0</v>
      </c>
      <c r="L717" s="10">
        <f>I717*J717*(1-K717)</f>
        <v/>
      </c>
      <c r="M717" s="10" t="n">
        <v>900</v>
      </c>
      <c r="N717" s="10">
        <f>L717-M717</f>
        <v/>
      </c>
    </row>
    <row r="718">
      <c r="A718" s="7" t="inlineStr">
        <is>
          <t>ORD-00193</t>
        </is>
      </c>
      <c r="B718" s="8" t="n">
        <v>45116</v>
      </c>
      <c r="C718" s="9" t="n">
        <v>45108</v>
      </c>
      <c r="D718" s="7" t="n">
        <v>2023</v>
      </c>
      <c r="E718" s="7" t="inlineStr">
        <is>
          <t>West</t>
        </is>
      </c>
      <c r="F718" s="7" t="inlineStr">
        <is>
          <t>Technology</t>
        </is>
      </c>
      <c r="G718" s="7" t="inlineStr">
        <is>
          <t>Keyboard</t>
        </is>
      </c>
      <c r="H718" s="7" t="inlineStr">
        <is>
          <t>Consumer</t>
        </is>
      </c>
      <c r="I718" s="7" t="n">
        <v>3</v>
      </c>
      <c r="J718" s="10" t="n">
        <v>43.64</v>
      </c>
      <c r="K718" s="11" t="n">
        <v>0.1</v>
      </c>
      <c r="L718" s="10">
        <f>I718*J718*(1-K718)</f>
        <v/>
      </c>
      <c r="M718" s="10" t="n">
        <v>74.25</v>
      </c>
      <c r="N718" s="10">
        <f>L718-M718</f>
        <v/>
      </c>
    </row>
    <row r="719">
      <c r="A719" s="7" t="inlineStr">
        <is>
          <t>ORD-05220</t>
        </is>
      </c>
      <c r="B719" s="8" t="n">
        <v>45116</v>
      </c>
      <c r="C719" s="9" t="n">
        <v>45108</v>
      </c>
      <c r="D719" s="7" t="n">
        <v>2023</v>
      </c>
      <c r="E719" s="7" t="inlineStr">
        <is>
          <t>South</t>
        </is>
      </c>
      <c r="F719" s="7" t="inlineStr">
        <is>
          <t>Furniture</t>
        </is>
      </c>
      <c r="G719" s="7" t="inlineStr">
        <is>
          <t>Office Chair</t>
        </is>
      </c>
      <c r="H719" s="7" t="inlineStr">
        <is>
          <t>Consumer</t>
        </is>
      </c>
      <c r="I719" s="7" t="n">
        <v>2</v>
      </c>
      <c r="J719" s="10" t="n">
        <v>222.93</v>
      </c>
      <c r="K719" s="11" t="n">
        <v>0.05</v>
      </c>
      <c r="L719" s="10">
        <f>I719*J719*(1-K719)</f>
        <v/>
      </c>
      <c r="M719" s="10" t="n">
        <v>360.8</v>
      </c>
      <c r="N719" s="10">
        <f>L719-M719</f>
        <v/>
      </c>
    </row>
    <row r="720">
      <c r="A720" s="7" t="inlineStr">
        <is>
          <t>ORD-05193</t>
        </is>
      </c>
      <c r="B720" s="8" t="n">
        <v>45116</v>
      </c>
      <c r="C720" s="9" t="n">
        <v>45108</v>
      </c>
      <c r="D720" s="7" t="n">
        <v>2023</v>
      </c>
      <c r="E720" s="7" t="inlineStr">
        <is>
          <t>South</t>
        </is>
      </c>
      <c r="F720" s="7" t="inlineStr">
        <is>
          <t>Furniture</t>
        </is>
      </c>
      <c r="G720" s="7" t="inlineStr">
        <is>
          <t>Office Chair</t>
        </is>
      </c>
      <c r="H720" s="7" t="inlineStr">
        <is>
          <t>Consumer</t>
        </is>
      </c>
      <c r="I720" s="7" t="n">
        <v>1</v>
      </c>
      <c r="J720" s="10" t="n">
        <v>209.61</v>
      </c>
      <c r="K720" s="11" t="n">
        <v>0.3</v>
      </c>
      <c r="L720" s="10">
        <f>I720*J720*(1-K720)</f>
        <v/>
      </c>
      <c r="M720" s="10" t="n">
        <v>180.4</v>
      </c>
      <c r="N720" s="10">
        <f>L720-M720</f>
        <v/>
      </c>
    </row>
    <row r="721">
      <c r="A721" s="7" t="inlineStr">
        <is>
          <t>ORD-04839</t>
        </is>
      </c>
      <c r="B721" s="8" t="n">
        <v>45117</v>
      </c>
      <c r="C721" s="9" t="n">
        <v>45108</v>
      </c>
      <c r="D721" s="7" t="n">
        <v>2023</v>
      </c>
      <c r="E721" s="7" t="inlineStr">
        <is>
          <t>West</t>
        </is>
      </c>
      <c r="F721" s="7" t="inlineStr">
        <is>
          <t>Technology</t>
        </is>
      </c>
      <c r="G721" s="7" t="inlineStr">
        <is>
          <t>Laptop</t>
        </is>
      </c>
      <c r="H721" s="7" t="inlineStr">
        <is>
          <t>Consumer</t>
        </is>
      </c>
      <c r="I721" s="7" t="n">
        <v>3</v>
      </c>
      <c r="J721" s="10" t="n">
        <v>924.91</v>
      </c>
      <c r="K721" s="11" t="n">
        <v>0</v>
      </c>
      <c r="L721" s="10">
        <f>I721*J721*(1-K721)</f>
        <v/>
      </c>
      <c r="M721" s="10" t="n">
        <v>2106</v>
      </c>
      <c r="N721" s="10">
        <f>L721-M721</f>
        <v/>
      </c>
    </row>
    <row r="722">
      <c r="A722" s="7" t="inlineStr">
        <is>
          <t>ORD-02421</t>
        </is>
      </c>
      <c r="B722" s="8" t="n">
        <v>45118</v>
      </c>
      <c r="C722" s="9" t="n">
        <v>45108</v>
      </c>
      <c r="D722" s="7" t="n">
        <v>2023</v>
      </c>
      <c r="E722" s="7" t="inlineStr">
        <is>
          <t>West</t>
        </is>
      </c>
      <c r="F722" s="7" t="inlineStr">
        <is>
          <t>Office Supplies</t>
        </is>
      </c>
      <c r="G722" s="7" t="inlineStr">
        <is>
          <t>Binder</t>
        </is>
      </c>
      <c r="H722" s="7" t="inlineStr">
        <is>
          <t>Home Office</t>
        </is>
      </c>
      <c r="I722" s="7" t="n">
        <v>2</v>
      </c>
      <c r="J722" s="10" t="n">
        <v>8.15</v>
      </c>
      <c r="K722" s="11" t="n">
        <v>0</v>
      </c>
      <c r="L722" s="10">
        <f>I722*J722*(1-K722)</f>
        <v/>
      </c>
      <c r="M722" s="10" t="n">
        <v>6.4</v>
      </c>
      <c r="N722" s="10">
        <f>L722-M722</f>
        <v/>
      </c>
    </row>
    <row r="723">
      <c r="A723" s="7" t="inlineStr">
        <is>
          <t>ORD-03154</t>
        </is>
      </c>
      <c r="B723" s="8" t="n">
        <v>45118</v>
      </c>
      <c r="C723" s="9" t="n">
        <v>45108</v>
      </c>
      <c r="D723" s="7" t="n">
        <v>2023</v>
      </c>
      <c r="E723" s="7" t="inlineStr">
        <is>
          <t>North</t>
        </is>
      </c>
      <c r="F723" s="7" t="inlineStr">
        <is>
          <t>Technology</t>
        </is>
      </c>
      <c r="G723" s="7" t="inlineStr">
        <is>
          <t>Keyboard</t>
        </is>
      </c>
      <c r="H723" s="7" t="inlineStr">
        <is>
          <t>Consumer</t>
        </is>
      </c>
      <c r="I723" s="7" t="n">
        <v>3</v>
      </c>
      <c r="J723" s="10" t="n">
        <v>43.58</v>
      </c>
      <c r="K723" s="11" t="n">
        <v>0.1</v>
      </c>
      <c r="L723" s="10">
        <f>I723*J723*(1-K723)</f>
        <v/>
      </c>
      <c r="M723" s="10" t="n">
        <v>74.25</v>
      </c>
      <c r="N723" s="10">
        <f>L723-M723</f>
        <v/>
      </c>
    </row>
    <row r="724">
      <c r="A724" s="7" t="inlineStr">
        <is>
          <t>ORD-04035</t>
        </is>
      </c>
      <c r="B724" s="8" t="n">
        <v>45118</v>
      </c>
      <c r="C724" s="9" t="n">
        <v>45108</v>
      </c>
      <c r="D724" s="7" t="n">
        <v>2023</v>
      </c>
      <c r="E724" s="7" t="inlineStr">
        <is>
          <t>North</t>
        </is>
      </c>
      <c r="F724" s="7" t="inlineStr">
        <is>
          <t>Furniture</t>
        </is>
      </c>
      <c r="G724" s="7" t="inlineStr">
        <is>
          <t>Sofa</t>
        </is>
      </c>
      <c r="H724" s="7" t="inlineStr">
        <is>
          <t>Consumer</t>
        </is>
      </c>
      <c r="I724" s="7" t="n">
        <v>2</v>
      </c>
      <c r="J724" s="10" t="n">
        <v>705.41</v>
      </c>
      <c r="K724" s="11" t="n">
        <v>0.2</v>
      </c>
      <c r="L724" s="10">
        <f>I724*J724*(1-K724)</f>
        <v/>
      </c>
      <c r="M724" s="10" t="n">
        <v>1232</v>
      </c>
      <c r="N724" s="10">
        <f>L724-M724</f>
        <v/>
      </c>
    </row>
    <row r="725">
      <c r="A725" s="7" t="inlineStr">
        <is>
          <t>ORD-05697</t>
        </is>
      </c>
      <c r="B725" s="8" t="n">
        <v>45118</v>
      </c>
      <c r="C725" s="9" t="n">
        <v>45108</v>
      </c>
      <c r="D725" s="7" t="n">
        <v>2023</v>
      </c>
      <c r="E725" s="7" t="inlineStr">
        <is>
          <t>South</t>
        </is>
      </c>
      <c r="F725" s="7" t="inlineStr">
        <is>
          <t>Office Supplies</t>
        </is>
      </c>
      <c r="G725" s="7" t="inlineStr">
        <is>
          <t>Paper</t>
        </is>
      </c>
      <c r="H725" s="7" t="inlineStr">
        <is>
          <t>Consumer</t>
        </is>
      </c>
      <c r="I725" s="7" t="n">
        <v>7</v>
      </c>
      <c r="J725" s="10" t="n">
        <v>24.57</v>
      </c>
      <c r="K725" s="11" t="n">
        <v>0.2</v>
      </c>
      <c r="L725" s="10">
        <f>I725*J725*(1-K725)</f>
        <v/>
      </c>
      <c r="M725" s="10" t="n">
        <v>87.5</v>
      </c>
      <c r="N725" s="10">
        <f>L725-M725</f>
        <v/>
      </c>
    </row>
    <row r="726">
      <c r="A726" s="7" t="inlineStr">
        <is>
          <t>ORD-00218</t>
        </is>
      </c>
      <c r="B726" s="8" t="n">
        <v>45118</v>
      </c>
      <c r="C726" s="9" t="n">
        <v>45108</v>
      </c>
      <c r="D726" s="7" t="n">
        <v>2023</v>
      </c>
      <c r="E726" s="7" t="inlineStr">
        <is>
          <t>South</t>
        </is>
      </c>
      <c r="F726" s="7" t="inlineStr">
        <is>
          <t>Technology</t>
        </is>
      </c>
      <c r="G726" s="7" t="inlineStr">
        <is>
          <t>Headphones</t>
        </is>
      </c>
      <c r="H726" s="7" t="inlineStr">
        <is>
          <t>Consumer</t>
        </is>
      </c>
      <c r="I726" s="7" t="n">
        <v>3</v>
      </c>
      <c r="J726" s="10" t="n">
        <v>121.17</v>
      </c>
      <c r="K726" s="11" t="n">
        <v>0.2</v>
      </c>
      <c r="L726" s="10">
        <f>I726*J726*(1-K726)</f>
        <v/>
      </c>
      <c r="M726" s="10" t="n">
        <v>216</v>
      </c>
      <c r="N726" s="10">
        <f>L726-M726</f>
        <v/>
      </c>
    </row>
    <row r="727">
      <c r="A727" s="7" t="inlineStr">
        <is>
          <t>ORD-02399</t>
        </is>
      </c>
      <c r="B727" s="8" t="n">
        <v>45118</v>
      </c>
      <c r="C727" s="9" t="n">
        <v>45108</v>
      </c>
      <c r="D727" s="7" t="n">
        <v>2023</v>
      </c>
      <c r="E727" s="7" t="inlineStr">
        <is>
          <t>North</t>
        </is>
      </c>
      <c r="F727" s="7" t="inlineStr">
        <is>
          <t>Technology</t>
        </is>
      </c>
      <c r="G727" s="7" t="inlineStr">
        <is>
          <t>Monitor</t>
        </is>
      </c>
      <c r="H727" s="7" t="inlineStr">
        <is>
          <t>Consumer</t>
        </is>
      </c>
      <c r="I727" s="7" t="n">
        <v>3</v>
      </c>
      <c r="J727" s="10" t="n">
        <v>239.32</v>
      </c>
      <c r="K727" s="11" t="n">
        <v>0.2</v>
      </c>
      <c r="L727" s="10">
        <f>I727*J727*(1-K727)</f>
        <v/>
      </c>
      <c r="M727" s="10" t="n">
        <v>540</v>
      </c>
      <c r="N727" s="10">
        <f>L727-M727</f>
        <v/>
      </c>
    </row>
    <row r="728">
      <c r="A728" s="7" t="inlineStr">
        <is>
          <t>ORD-02099</t>
        </is>
      </c>
      <c r="B728" s="8" t="n">
        <v>45118</v>
      </c>
      <c r="C728" s="9" t="n">
        <v>45108</v>
      </c>
      <c r="D728" s="7" t="n">
        <v>2023</v>
      </c>
      <c r="E728" s="7" t="inlineStr">
        <is>
          <t>East</t>
        </is>
      </c>
      <c r="F728" s="7" t="inlineStr">
        <is>
          <t>Technology</t>
        </is>
      </c>
      <c r="G728" s="7" t="inlineStr">
        <is>
          <t>Monitor</t>
        </is>
      </c>
      <c r="H728" s="7" t="inlineStr">
        <is>
          <t>Home Office</t>
        </is>
      </c>
      <c r="I728" s="7" t="n">
        <v>2</v>
      </c>
      <c r="J728" s="10" t="n">
        <v>244.07</v>
      </c>
      <c r="K728" s="11" t="n">
        <v>0.3</v>
      </c>
      <c r="L728" s="10">
        <f>I728*J728*(1-K728)</f>
        <v/>
      </c>
      <c r="M728" s="10" t="n">
        <v>360</v>
      </c>
      <c r="N728" s="10">
        <f>L728-M728</f>
        <v/>
      </c>
    </row>
    <row r="729">
      <c r="A729" s="7" t="inlineStr">
        <is>
          <t>ORD-05169</t>
        </is>
      </c>
      <c r="B729" s="8" t="n">
        <v>45118</v>
      </c>
      <c r="C729" s="9" t="n">
        <v>45108</v>
      </c>
      <c r="D729" s="7" t="n">
        <v>2023</v>
      </c>
      <c r="E729" s="7" t="inlineStr">
        <is>
          <t>South</t>
        </is>
      </c>
      <c r="F729" s="7" t="inlineStr">
        <is>
          <t>Technology</t>
        </is>
      </c>
      <c r="G729" s="7" t="inlineStr">
        <is>
          <t>Laptop</t>
        </is>
      </c>
      <c r="H729" s="7" t="inlineStr">
        <is>
          <t>Corporate</t>
        </is>
      </c>
      <c r="I729" s="7" t="n">
        <v>3</v>
      </c>
      <c r="J729" s="10" t="n">
        <v>873.3</v>
      </c>
      <c r="K729" s="11" t="n">
        <v>0.2</v>
      </c>
      <c r="L729" s="10">
        <f>I729*J729*(1-K729)</f>
        <v/>
      </c>
      <c r="M729" s="10" t="n">
        <v>2106</v>
      </c>
      <c r="N729" s="10">
        <f>L729-M729</f>
        <v/>
      </c>
    </row>
    <row r="730">
      <c r="A730" s="7" t="inlineStr">
        <is>
          <t>ORD-02866</t>
        </is>
      </c>
      <c r="B730" s="8" t="n">
        <v>45118</v>
      </c>
      <c r="C730" s="9" t="n">
        <v>45108</v>
      </c>
      <c r="D730" s="7" t="n">
        <v>2023</v>
      </c>
      <c r="E730" s="7" t="inlineStr">
        <is>
          <t>East</t>
        </is>
      </c>
      <c r="F730" s="7" t="inlineStr">
        <is>
          <t>Technology</t>
        </is>
      </c>
      <c r="G730" s="7" t="inlineStr">
        <is>
          <t>Keyboard</t>
        </is>
      </c>
      <c r="H730" s="7" t="inlineStr">
        <is>
          <t>Consumer</t>
        </is>
      </c>
      <c r="I730" s="7" t="n">
        <v>1</v>
      </c>
      <c r="J730" s="10" t="n">
        <v>44.41</v>
      </c>
      <c r="K730" s="11" t="n">
        <v>0.1</v>
      </c>
      <c r="L730" s="10">
        <f>I730*J730*(1-K730)</f>
        <v/>
      </c>
      <c r="M730" s="10" t="n">
        <v>24.75</v>
      </c>
      <c r="N730" s="10">
        <f>L730-M730</f>
        <v/>
      </c>
    </row>
    <row r="731">
      <c r="A731" s="7" t="inlineStr">
        <is>
          <t>ORD-00619</t>
        </is>
      </c>
      <c r="B731" s="8" t="n">
        <v>45118</v>
      </c>
      <c r="C731" s="9" t="n">
        <v>45108</v>
      </c>
      <c r="D731" s="7" t="n">
        <v>2023</v>
      </c>
      <c r="E731" s="7" t="inlineStr">
        <is>
          <t>West</t>
        </is>
      </c>
      <c r="F731" s="7" t="inlineStr">
        <is>
          <t>Office Supplies</t>
        </is>
      </c>
      <c r="G731" s="7" t="inlineStr">
        <is>
          <t>Paper</t>
        </is>
      </c>
      <c r="H731" s="7" t="inlineStr">
        <is>
          <t>Consumer</t>
        </is>
      </c>
      <c r="I731" s="7" t="n">
        <v>7</v>
      </c>
      <c r="J731" s="10" t="n">
        <v>25.18</v>
      </c>
      <c r="K731" s="11" t="n">
        <v>0</v>
      </c>
      <c r="L731" s="10">
        <f>I731*J731*(1-K731)</f>
        <v/>
      </c>
      <c r="M731" s="10" t="n">
        <v>87.5</v>
      </c>
      <c r="N731" s="10">
        <f>L731-M731</f>
        <v/>
      </c>
    </row>
    <row r="732">
      <c r="A732" s="7" t="inlineStr">
        <is>
          <t>ORD-00437</t>
        </is>
      </c>
      <c r="B732" s="8" t="n">
        <v>45119</v>
      </c>
      <c r="C732" s="9" t="n">
        <v>45108</v>
      </c>
      <c r="D732" s="7" t="n">
        <v>2023</v>
      </c>
      <c r="E732" s="7" t="inlineStr">
        <is>
          <t>East</t>
        </is>
      </c>
      <c r="F732" s="7" t="inlineStr">
        <is>
          <t>Technology</t>
        </is>
      </c>
      <c r="G732" s="7" t="inlineStr">
        <is>
          <t>Headphones</t>
        </is>
      </c>
      <c r="H732" s="7" t="inlineStr">
        <is>
          <t>Consumer</t>
        </is>
      </c>
      <c r="I732" s="7" t="n">
        <v>3</v>
      </c>
      <c r="J732" s="10" t="n">
        <v>125.43</v>
      </c>
      <c r="K732" s="11" t="n">
        <v>0</v>
      </c>
      <c r="L732" s="10">
        <f>I732*J732*(1-K732)</f>
        <v/>
      </c>
      <c r="M732" s="10" t="n">
        <v>216</v>
      </c>
      <c r="N732" s="10">
        <f>L732-M732</f>
        <v/>
      </c>
    </row>
    <row r="733">
      <c r="A733" s="7" t="inlineStr">
        <is>
          <t>ORD-04342</t>
        </is>
      </c>
      <c r="B733" s="8" t="n">
        <v>45119</v>
      </c>
      <c r="C733" s="9" t="n">
        <v>45108</v>
      </c>
      <c r="D733" s="7" t="n">
        <v>2023</v>
      </c>
      <c r="E733" s="7" t="inlineStr">
        <is>
          <t>North</t>
        </is>
      </c>
      <c r="F733" s="7" t="inlineStr">
        <is>
          <t>Office Supplies</t>
        </is>
      </c>
      <c r="G733" s="7" t="inlineStr">
        <is>
          <t>Printer Ink</t>
        </is>
      </c>
      <c r="H733" s="7" t="inlineStr">
        <is>
          <t>Corporate</t>
        </is>
      </c>
      <c r="I733" s="7" t="n">
        <v>7</v>
      </c>
      <c r="J733" s="10" t="n">
        <v>62.94</v>
      </c>
      <c r="K733" s="11" t="n">
        <v>0.05</v>
      </c>
      <c r="L733" s="10">
        <f>I733*J733*(1-K733)</f>
        <v/>
      </c>
      <c r="M733" s="10" t="n">
        <v>252</v>
      </c>
      <c r="N733" s="10">
        <f>L733-M733</f>
        <v/>
      </c>
    </row>
    <row r="734">
      <c r="A734" s="7" t="inlineStr">
        <is>
          <t>ORD-02594</t>
        </is>
      </c>
      <c r="B734" s="8" t="n">
        <v>45119</v>
      </c>
      <c r="C734" s="9" t="n">
        <v>45108</v>
      </c>
      <c r="D734" s="7" t="n">
        <v>2023</v>
      </c>
      <c r="E734" s="7" t="inlineStr">
        <is>
          <t>East</t>
        </is>
      </c>
      <c r="F734" s="7" t="inlineStr">
        <is>
          <t>Office Supplies</t>
        </is>
      </c>
      <c r="G734" s="7" t="inlineStr">
        <is>
          <t>Stapler</t>
        </is>
      </c>
      <c r="H734" s="7" t="inlineStr">
        <is>
          <t>Home Office</t>
        </is>
      </c>
      <c r="I734" s="7" t="n">
        <v>4</v>
      </c>
      <c r="J734" s="10" t="n">
        <v>14.45</v>
      </c>
      <c r="K734" s="11" t="n">
        <v>0.2</v>
      </c>
      <c r="L734" s="10">
        <f>I734*J734*(1-K734)</f>
        <v/>
      </c>
      <c r="M734" s="10" t="n">
        <v>30</v>
      </c>
      <c r="N734" s="10">
        <f>L734-M734</f>
        <v/>
      </c>
    </row>
    <row r="735">
      <c r="A735" s="7" t="inlineStr">
        <is>
          <t>ORD-04654</t>
        </is>
      </c>
      <c r="B735" s="8" t="n">
        <v>45119</v>
      </c>
      <c r="C735" s="9" t="n">
        <v>45108</v>
      </c>
      <c r="D735" s="7" t="n">
        <v>2023</v>
      </c>
      <c r="E735" s="7" t="inlineStr">
        <is>
          <t>West</t>
        </is>
      </c>
      <c r="F735" s="7" t="inlineStr">
        <is>
          <t>Office Supplies</t>
        </is>
      </c>
      <c r="G735" s="7" t="inlineStr">
        <is>
          <t>Paper</t>
        </is>
      </c>
      <c r="H735" s="7" t="inlineStr">
        <is>
          <t>Consumer</t>
        </is>
      </c>
      <c r="I735" s="7" t="n">
        <v>3</v>
      </c>
      <c r="J735" s="10" t="n">
        <v>25.76</v>
      </c>
      <c r="K735" s="11" t="n">
        <v>0</v>
      </c>
      <c r="L735" s="10">
        <f>I735*J735*(1-K735)</f>
        <v/>
      </c>
      <c r="M735" s="10" t="n">
        <v>37.5</v>
      </c>
      <c r="N735" s="10">
        <f>L735-M735</f>
        <v/>
      </c>
    </row>
    <row r="736">
      <c r="A736" s="7" t="inlineStr">
        <is>
          <t>ORD-00964</t>
        </is>
      </c>
      <c r="B736" s="8" t="n">
        <v>45120</v>
      </c>
      <c r="C736" s="9" t="n">
        <v>45108</v>
      </c>
      <c r="D736" s="7" t="n">
        <v>2023</v>
      </c>
      <c r="E736" s="7" t="inlineStr">
        <is>
          <t>East</t>
        </is>
      </c>
      <c r="F736" s="7" t="inlineStr">
        <is>
          <t>Technology</t>
        </is>
      </c>
      <c r="G736" s="7" t="inlineStr">
        <is>
          <t>Headphones</t>
        </is>
      </c>
      <c r="H736" s="7" t="inlineStr">
        <is>
          <t>Corporate</t>
        </is>
      </c>
      <c r="I736" s="7" t="n">
        <v>2</v>
      </c>
      <c r="J736" s="10" t="n">
        <v>122.69</v>
      </c>
      <c r="K736" s="11" t="n">
        <v>0</v>
      </c>
      <c r="L736" s="10">
        <f>I736*J736*(1-K736)</f>
        <v/>
      </c>
      <c r="M736" s="10" t="n">
        <v>144</v>
      </c>
      <c r="N736" s="10">
        <f>L736-M736</f>
        <v/>
      </c>
    </row>
    <row r="737">
      <c r="A737" s="7" t="inlineStr">
        <is>
          <t>ORD-04306</t>
        </is>
      </c>
      <c r="B737" s="8" t="n">
        <v>45120</v>
      </c>
      <c r="C737" s="9" t="n">
        <v>45108</v>
      </c>
      <c r="D737" s="7" t="n">
        <v>2023</v>
      </c>
      <c r="E737" s="7" t="inlineStr">
        <is>
          <t>South</t>
        </is>
      </c>
      <c r="F737" s="7" t="inlineStr">
        <is>
          <t>Furniture</t>
        </is>
      </c>
      <c r="G737" s="7" t="inlineStr">
        <is>
          <t>Desk</t>
        </is>
      </c>
      <c r="H737" s="7" t="inlineStr">
        <is>
          <t>Corporate</t>
        </is>
      </c>
      <c r="I737" s="7" t="n">
        <v>2</v>
      </c>
      <c r="J737" s="10" t="n">
        <v>433.24</v>
      </c>
      <c r="K737" s="11" t="n">
        <v>0.2</v>
      </c>
      <c r="L737" s="10">
        <f>I737*J737*(1-K737)</f>
        <v/>
      </c>
      <c r="M737" s="10" t="n">
        <v>765</v>
      </c>
      <c r="N737" s="10">
        <f>L737-M737</f>
        <v/>
      </c>
    </row>
    <row r="738">
      <c r="A738" s="7" t="inlineStr">
        <is>
          <t>ORD-04854</t>
        </is>
      </c>
      <c r="B738" s="8" t="n">
        <v>45120</v>
      </c>
      <c r="C738" s="9" t="n">
        <v>45108</v>
      </c>
      <c r="D738" s="7" t="n">
        <v>2023</v>
      </c>
      <c r="E738" s="7" t="inlineStr">
        <is>
          <t>South</t>
        </is>
      </c>
      <c r="F738" s="7" t="inlineStr">
        <is>
          <t>Furniture</t>
        </is>
      </c>
      <c r="G738" s="7" t="inlineStr">
        <is>
          <t>Desk</t>
        </is>
      </c>
      <c r="H738" s="7" t="inlineStr">
        <is>
          <t>Corporate</t>
        </is>
      </c>
      <c r="I738" s="7" t="n">
        <v>3</v>
      </c>
      <c r="J738" s="10" t="n">
        <v>457.11</v>
      </c>
      <c r="K738" s="11" t="n">
        <v>0.3</v>
      </c>
      <c r="L738" s="10">
        <f>I738*J738*(1-K738)</f>
        <v/>
      </c>
      <c r="M738" s="10" t="n">
        <v>1147.5</v>
      </c>
      <c r="N738" s="10">
        <f>L738-M738</f>
        <v/>
      </c>
    </row>
    <row r="739">
      <c r="A739" s="7" t="inlineStr">
        <is>
          <t>ORD-04653</t>
        </is>
      </c>
      <c r="B739" s="8" t="n">
        <v>45121</v>
      </c>
      <c r="C739" s="9" t="n">
        <v>45108</v>
      </c>
      <c r="D739" s="7" t="n">
        <v>2023</v>
      </c>
      <c r="E739" s="7" t="inlineStr">
        <is>
          <t>South</t>
        </is>
      </c>
      <c r="F739" s="7" t="inlineStr">
        <is>
          <t>Office Supplies</t>
        </is>
      </c>
      <c r="G739" s="7" t="inlineStr">
        <is>
          <t>Binder</t>
        </is>
      </c>
      <c r="H739" s="7" t="inlineStr">
        <is>
          <t>Home Office</t>
        </is>
      </c>
      <c r="I739" s="7" t="n">
        <v>14</v>
      </c>
      <c r="J739" s="10" t="n">
        <v>8.17</v>
      </c>
      <c r="K739" s="11" t="n">
        <v>0.1</v>
      </c>
      <c r="L739" s="10">
        <f>I739*J739*(1-K739)</f>
        <v/>
      </c>
      <c r="M739" s="10" t="n">
        <v>44.8</v>
      </c>
      <c r="N739" s="10">
        <f>L739-M739</f>
        <v/>
      </c>
    </row>
    <row r="740">
      <c r="A740" s="7" t="inlineStr">
        <is>
          <t>ORD-00805</t>
        </is>
      </c>
      <c r="B740" s="8" t="n">
        <v>45121</v>
      </c>
      <c r="C740" s="9" t="n">
        <v>45108</v>
      </c>
      <c r="D740" s="7" t="n">
        <v>2023</v>
      </c>
      <c r="E740" s="7" t="inlineStr">
        <is>
          <t>North</t>
        </is>
      </c>
      <c r="F740" s="7" t="inlineStr">
        <is>
          <t>Furniture</t>
        </is>
      </c>
      <c r="G740" s="7" t="inlineStr">
        <is>
          <t>Sofa</t>
        </is>
      </c>
      <c r="H740" s="7" t="inlineStr">
        <is>
          <t>Corporate</t>
        </is>
      </c>
      <c r="I740" s="7" t="n">
        <v>1</v>
      </c>
      <c r="J740" s="10" t="n">
        <v>677.55</v>
      </c>
      <c r="K740" s="11" t="n">
        <v>0.1</v>
      </c>
      <c r="L740" s="10">
        <f>I740*J740*(1-K740)</f>
        <v/>
      </c>
      <c r="M740" s="10" t="n">
        <v>616</v>
      </c>
      <c r="N740" s="10">
        <f>L740-M740</f>
        <v/>
      </c>
    </row>
    <row r="741">
      <c r="A741" s="7" t="inlineStr">
        <is>
          <t>ORD-01040</t>
        </is>
      </c>
      <c r="B741" s="8" t="n">
        <v>45121</v>
      </c>
      <c r="C741" s="9" t="n">
        <v>45108</v>
      </c>
      <c r="D741" s="7" t="n">
        <v>2023</v>
      </c>
      <c r="E741" s="7" t="inlineStr">
        <is>
          <t>North</t>
        </is>
      </c>
      <c r="F741" s="7" t="inlineStr">
        <is>
          <t>Office Supplies</t>
        </is>
      </c>
      <c r="G741" s="7" t="inlineStr">
        <is>
          <t>Pens</t>
        </is>
      </c>
      <c r="H741" s="7" t="inlineStr">
        <is>
          <t>Home Office</t>
        </is>
      </c>
      <c r="I741" s="7" t="n">
        <v>14</v>
      </c>
      <c r="J741" s="10" t="n">
        <v>12.09</v>
      </c>
      <c r="K741" s="11" t="n">
        <v>0.1</v>
      </c>
      <c r="L741" s="10">
        <f>I741*J741*(1-K741)</f>
        <v/>
      </c>
      <c r="M741" s="10" t="n">
        <v>75.59999999999999</v>
      </c>
      <c r="N741" s="10">
        <f>L741-M741</f>
        <v/>
      </c>
    </row>
    <row r="742">
      <c r="A742" s="7" t="inlineStr">
        <is>
          <t>ORD-02266</t>
        </is>
      </c>
      <c r="B742" s="8" t="n">
        <v>45122</v>
      </c>
      <c r="C742" s="9" t="n">
        <v>45108</v>
      </c>
      <c r="D742" s="7" t="n">
        <v>2023</v>
      </c>
      <c r="E742" s="7" t="inlineStr">
        <is>
          <t>North</t>
        </is>
      </c>
      <c r="F742" s="7" t="inlineStr">
        <is>
          <t>Office Supplies</t>
        </is>
      </c>
      <c r="G742" s="7" t="inlineStr">
        <is>
          <t>Stapler</t>
        </is>
      </c>
      <c r="H742" s="7" t="inlineStr">
        <is>
          <t>Corporate</t>
        </is>
      </c>
      <c r="I742" s="7" t="n">
        <v>6</v>
      </c>
      <c r="J742" s="10" t="n">
        <v>15.45</v>
      </c>
      <c r="K742" s="11" t="n">
        <v>0.1</v>
      </c>
      <c r="L742" s="10">
        <f>I742*J742*(1-K742)</f>
        <v/>
      </c>
      <c r="M742" s="10" t="n">
        <v>45</v>
      </c>
      <c r="N742" s="10">
        <f>L742-M742</f>
        <v/>
      </c>
    </row>
    <row r="743">
      <c r="A743" s="7" t="inlineStr">
        <is>
          <t>ORD-01415</t>
        </is>
      </c>
      <c r="B743" s="8" t="n">
        <v>45122</v>
      </c>
      <c r="C743" s="9" t="n">
        <v>45108</v>
      </c>
      <c r="D743" s="7" t="n">
        <v>2023</v>
      </c>
      <c r="E743" s="7" t="inlineStr">
        <is>
          <t>South</t>
        </is>
      </c>
      <c r="F743" s="7" t="inlineStr">
        <is>
          <t>Technology</t>
        </is>
      </c>
      <c r="G743" s="7" t="inlineStr">
        <is>
          <t>Keyboard</t>
        </is>
      </c>
      <c r="H743" s="7" t="inlineStr">
        <is>
          <t>Consumer</t>
        </is>
      </c>
      <c r="I743" s="7" t="n">
        <v>2</v>
      </c>
      <c r="J743" s="10" t="n">
        <v>47.14</v>
      </c>
      <c r="K743" s="11" t="n">
        <v>0.1</v>
      </c>
      <c r="L743" s="10">
        <f>I743*J743*(1-K743)</f>
        <v/>
      </c>
      <c r="M743" s="10" t="n">
        <v>49.5</v>
      </c>
      <c r="N743" s="10">
        <f>L743-M743</f>
        <v/>
      </c>
    </row>
    <row r="744">
      <c r="A744" s="7" t="inlineStr">
        <is>
          <t>ORD-00815</t>
        </is>
      </c>
      <c r="B744" s="8" t="n">
        <v>45122</v>
      </c>
      <c r="C744" s="9" t="n">
        <v>45108</v>
      </c>
      <c r="D744" s="7" t="n">
        <v>2023</v>
      </c>
      <c r="E744" s="7" t="inlineStr">
        <is>
          <t>East</t>
        </is>
      </c>
      <c r="F744" s="7" t="inlineStr">
        <is>
          <t>Office Supplies</t>
        </is>
      </c>
      <c r="G744" s="7" t="inlineStr">
        <is>
          <t>Paper</t>
        </is>
      </c>
      <c r="H744" s="7" t="inlineStr">
        <is>
          <t>Consumer</t>
        </is>
      </c>
      <c r="I744" s="7" t="n">
        <v>6</v>
      </c>
      <c r="J744" s="10" t="n">
        <v>26.18</v>
      </c>
      <c r="K744" s="11" t="n">
        <v>0</v>
      </c>
      <c r="L744" s="10">
        <f>I744*J744*(1-K744)</f>
        <v/>
      </c>
      <c r="M744" s="10" t="n">
        <v>75</v>
      </c>
      <c r="N744" s="10">
        <f>L744-M744</f>
        <v/>
      </c>
    </row>
    <row r="745">
      <c r="A745" s="7" t="inlineStr">
        <is>
          <t>ORD-02890</t>
        </is>
      </c>
      <c r="B745" s="8" t="n">
        <v>45122</v>
      </c>
      <c r="C745" s="9" t="n">
        <v>45108</v>
      </c>
      <c r="D745" s="7" t="n">
        <v>2023</v>
      </c>
      <c r="E745" s="7" t="inlineStr">
        <is>
          <t>West</t>
        </is>
      </c>
      <c r="F745" s="7" t="inlineStr">
        <is>
          <t>Office Supplies</t>
        </is>
      </c>
      <c r="G745" s="7" t="inlineStr">
        <is>
          <t>Binder</t>
        </is>
      </c>
      <c r="H745" s="7" t="inlineStr">
        <is>
          <t>Consumer</t>
        </is>
      </c>
      <c r="I745" s="7" t="n">
        <v>9</v>
      </c>
      <c r="J745" s="10" t="n">
        <v>7.78</v>
      </c>
      <c r="K745" s="11" t="n">
        <v>0.2</v>
      </c>
      <c r="L745" s="10">
        <f>I745*J745*(1-K745)</f>
        <v/>
      </c>
      <c r="M745" s="10" t="n">
        <v>28.8</v>
      </c>
      <c r="N745" s="10">
        <f>L745-M745</f>
        <v/>
      </c>
    </row>
    <row r="746">
      <c r="A746" s="7" t="inlineStr">
        <is>
          <t>ORD-04341</t>
        </is>
      </c>
      <c r="B746" s="8" t="n">
        <v>45123</v>
      </c>
      <c r="C746" s="9" t="n">
        <v>45108</v>
      </c>
      <c r="D746" s="7" t="n">
        <v>2023</v>
      </c>
      <c r="E746" s="7" t="inlineStr">
        <is>
          <t>South</t>
        </is>
      </c>
      <c r="F746" s="7" t="inlineStr">
        <is>
          <t>Technology</t>
        </is>
      </c>
      <c r="G746" s="7" t="inlineStr">
        <is>
          <t>Monitor</t>
        </is>
      </c>
      <c r="H746" s="7" t="inlineStr">
        <is>
          <t>Corporate</t>
        </is>
      </c>
      <c r="I746" s="7" t="n">
        <v>2</v>
      </c>
      <c r="J746" s="10" t="n">
        <v>252.45</v>
      </c>
      <c r="K746" s="11" t="n">
        <v>0.2</v>
      </c>
      <c r="L746" s="10">
        <f>I746*J746*(1-K746)</f>
        <v/>
      </c>
      <c r="M746" s="10" t="n">
        <v>360</v>
      </c>
      <c r="N746" s="10">
        <f>L746-M746</f>
        <v/>
      </c>
    </row>
    <row r="747">
      <c r="A747" s="7" t="inlineStr">
        <is>
          <t>ORD-04182</t>
        </is>
      </c>
      <c r="B747" s="8" t="n">
        <v>45123</v>
      </c>
      <c r="C747" s="9" t="n">
        <v>45108</v>
      </c>
      <c r="D747" s="7" t="n">
        <v>2023</v>
      </c>
      <c r="E747" s="7" t="inlineStr">
        <is>
          <t>South</t>
        </is>
      </c>
      <c r="F747" s="7" t="inlineStr">
        <is>
          <t>Office Supplies</t>
        </is>
      </c>
      <c r="G747" s="7" t="inlineStr">
        <is>
          <t>Paper</t>
        </is>
      </c>
      <c r="H747" s="7" t="inlineStr">
        <is>
          <t>Corporate</t>
        </is>
      </c>
      <c r="I747" s="7" t="n">
        <v>2</v>
      </c>
      <c r="J747" s="10" t="n">
        <v>24.91</v>
      </c>
      <c r="K747" s="11" t="n">
        <v>0.2</v>
      </c>
      <c r="L747" s="10">
        <f>I747*J747*(1-K747)</f>
        <v/>
      </c>
      <c r="M747" s="10" t="n">
        <v>25</v>
      </c>
      <c r="N747" s="10">
        <f>L747-M747</f>
        <v/>
      </c>
    </row>
    <row r="748">
      <c r="A748" s="7" t="inlineStr">
        <is>
          <t>ORD-01887</t>
        </is>
      </c>
      <c r="B748" s="8" t="n">
        <v>45123</v>
      </c>
      <c r="C748" s="9" t="n">
        <v>45108</v>
      </c>
      <c r="D748" s="7" t="n">
        <v>2023</v>
      </c>
      <c r="E748" s="7" t="inlineStr">
        <is>
          <t>West</t>
        </is>
      </c>
      <c r="F748" s="7" t="inlineStr">
        <is>
          <t>Furniture</t>
        </is>
      </c>
      <c r="G748" s="7" t="inlineStr">
        <is>
          <t>Office Chair</t>
        </is>
      </c>
      <c r="H748" s="7" t="inlineStr">
        <is>
          <t>Home Office</t>
        </is>
      </c>
      <c r="I748" s="7" t="n">
        <v>2</v>
      </c>
      <c r="J748" s="10" t="n">
        <v>211.07</v>
      </c>
      <c r="K748" s="11" t="n">
        <v>0.1</v>
      </c>
      <c r="L748" s="10">
        <f>I748*J748*(1-K748)</f>
        <v/>
      </c>
      <c r="M748" s="10" t="n">
        <v>360.8</v>
      </c>
      <c r="N748" s="10">
        <f>L748-M748</f>
        <v/>
      </c>
    </row>
    <row r="749">
      <c r="A749" s="7" t="inlineStr">
        <is>
          <t>ORD-01532</t>
        </is>
      </c>
      <c r="B749" s="8" t="n">
        <v>45123</v>
      </c>
      <c r="C749" s="9" t="n">
        <v>45108</v>
      </c>
      <c r="D749" s="7" t="n">
        <v>2023</v>
      </c>
      <c r="E749" s="7" t="inlineStr">
        <is>
          <t>West</t>
        </is>
      </c>
      <c r="F749" s="7" t="inlineStr">
        <is>
          <t>Office Supplies</t>
        </is>
      </c>
      <c r="G749" s="7" t="inlineStr">
        <is>
          <t>Pens</t>
        </is>
      </c>
      <c r="H749" s="7" t="inlineStr">
        <is>
          <t>Consumer</t>
        </is>
      </c>
      <c r="I749" s="7" t="n">
        <v>4</v>
      </c>
      <c r="J749" s="10" t="n">
        <v>11.77</v>
      </c>
      <c r="K749" s="11" t="n">
        <v>0.05</v>
      </c>
      <c r="L749" s="10">
        <f>I749*J749*(1-K749)</f>
        <v/>
      </c>
      <c r="M749" s="10" t="n">
        <v>21.6</v>
      </c>
      <c r="N749" s="10">
        <f>L749-M749</f>
        <v/>
      </c>
    </row>
    <row r="750">
      <c r="A750" s="7" t="inlineStr">
        <is>
          <t>ORD-03788</t>
        </is>
      </c>
      <c r="B750" s="8" t="n">
        <v>45124</v>
      </c>
      <c r="C750" s="9" t="n">
        <v>45108</v>
      </c>
      <c r="D750" s="7" t="n">
        <v>2023</v>
      </c>
      <c r="E750" s="7" t="inlineStr">
        <is>
          <t>East</t>
        </is>
      </c>
      <c r="F750" s="7" t="inlineStr">
        <is>
          <t>Office Supplies</t>
        </is>
      </c>
      <c r="G750" s="7" t="inlineStr">
        <is>
          <t>Paper</t>
        </is>
      </c>
      <c r="H750" s="7" t="inlineStr">
        <is>
          <t>Consumer</t>
        </is>
      </c>
      <c r="I750" s="7" t="n">
        <v>13</v>
      </c>
      <c r="J750" s="10" t="n">
        <v>25.71</v>
      </c>
      <c r="K750" s="11" t="n">
        <v>0.2</v>
      </c>
      <c r="L750" s="10">
        <f>I750*J750*(1-K750)</f>
        <v/>
      </c>
      <c r="M750" s="10" t="n">
        <v>162.5</v>
      </c>
      <c r="N750" s="10">
        <f>L750-M750</f>
        <v/>
      </c>
    </row>
    <row r="751">
      <c r="A751" s="7" t="inlineStr">
        <is>
          <t>ORD-00009</t>
        </is>
      </c>
      <c r="B751" s="8" t="n">
        <v>45124</v>
      </c>
      <c r="C751" s="9" t="n">
        <v>45108</v>
      </c>
      <c r="D751" s="7" t="n">
        <v>2023</v>
      </c>
      <c r="E751" s="7" t="inlineStr">
        <is>
          <t>South</t>
        </is>
      </c>
      <c r="F751" s="7" t="inlineStr">
        <is>
          <t>Technology</t>
        </is>
      </c>
      <c r="G751" s="7" t="inlineStr">
        <is>
          <t>Smartphone</t>
        </is>
      </c>
      <c r="H751" s="7" t="inlineStr">
        <is>
          <t>Corporate</t>
        </is>
      </c>
      <c r="I751" s="7" t="n">
        <v>2</v>
      </c>
      <c r="J751" s="10" t="n">
        <v>582.29</v>
      </c>
      <c r="K751" s="11" t="n">
        <v>0.2</v>
      </c>
      <c r="L751" s="10">
        <f>I751*J751*(1-K751)</f>
        <v/>
      </c>
      <c r="M751" s="10" t="n">
        <v>900</v>
      </c>
      <c r="N751" s="10">
        <f>L751-M751</f>
        <v/>
      </c>
    </row>
    <row r="752">
      <c r="A752" s="7" t="inlineStr">
        <is>
          <t>ORD-05869</t>
        </is>
      </c>
      <c r="B752" s="8" t="n">
        <v>45124</v>
      </c>
      <c r="C752" s="9" t="n">
        <v>45108</v>
      </c>
      <c r="D752" s="7" t="n">
        <v>2023</v>
      </c>
      <c r="E752" s="7" t="inlineStr">
        <is>
          <t>West</t>
        </is>
      </c>
      <c r="F752" s="7" t="inlineStr">
        <is>
          <t>Furniture</t>
        </is>
      </c>
      <c r="G752" s="7" t="inlineStr">
        <is>
          <t>Office Chair</t>
        </is>
      </c>
      <c r="H752" s="7" t="inlineStr">
        <is>
          <t>Corporate</t>
        </is>
      </c>
      <c r="I752" s="7" t="n">
        <v>2</v>
      </c>
      <c r="J752" s="10" t="n">
        <v>221.06</v>
      </c>
      <c r="K752" s="11" t="n">
        <v>0.1</v>
      </c>
      <c r="L752" s="10">
        <f>I752*J752*(1-K752)</f>
        <v/>
      </c>
      <c r="M752" s="10" t="n">
        <v>360.8</v>
      </c>
      <c r="N752" s="10">
        <f>L752-M752</f>
        <v/>
      </c>
    </row>
    <row r="753">
      <c r="A753" s="7" t="inlineStr">
        <is>
          <t>ORD-01674</t>
        </is>
      </c>
      <c r="B753" s="8" t="n">
        <v>45124</v>
      </c>
      <c r="C753" s="9" t="n">
        <v>45108</v>
      </c>
      <c r="D753" s="7" t="n">
        <v>2023</v>
      </c>
      <c r="E753" s="7" t="inlineStr">
        <is>
          <t>East</t>
        </is>
      </c>
      <c r="F753" s="7" t="inlineStr">
        <is>
          <t>Technology</t>
        </is>
      </c>
      <c r="G753" s="7" t="inlineStr">
        <is>
          <t>Keyboard</t>
        </is>
      </c>
      <c r="H753" s="7" t="inlineStr">
        <is>
          <t>Consumer</t>
        </is>
      </c>
      <c r="I753" s="7" t="n">
        <v>1</v>
      </c>
      <c r="J753" s="10" t="n">
        <v>45.59</v>
      </c>
      <c r="K753" s="11" t="n">
        <v>0.2</v>
      </c>
      <c r="L753" s="10">
        <f>I753*J753*(1-K753)</f>
        <v/>
      </c>
      <c r="M753" s="10" t="n">
        <v>24.75</v>
      </c>
      <c r="N753" s="10">
        <f>L753-M753</f>
        <v/>
      </c>
    </row>
    <row r="754">
      <c r="A754" s="7" t="inlineStr">
        <is>
          <t>ORD-01275</t>
        </is>
      </c>
      <c r="B754" s="8" t="n">
        <v>45124</v>
      </c>
      <c r="C754" s="9" t="n">
        <v>45108</v>
      </c>
      <c r="D754" s="7" t="n">
        <v>2023</v>
      </c>
      <c r="E754" s="7" t="inlineStr">
        <is>
          <t>South</t>
        </is>
      </c>
      <c r="F754" s="7" t="inlineStr">
        <is>
          <t>Technology</t>
        </is>
      </c>
      <c r="G754" s="7" t="inlineStr">
        <is>
          <t>Headphones</t>
        </is>
      </c>
      <c r="H754" s="7" t="inlineStr">
        <is>
          <t>Corporate</t>
        </is>
      </c>
      <c r="I754" s="7" t="n">
        <v>3</v>
      </c>
      <c r="J754" s="10" t="n">
        <v>117.74</v>
      </c>
      <c r="K754" s="11" t="n">
        <v>0.2</v>
      </c>
      <c r="L754" s="10">
        <f>I754*J754*(1-K754)</f>
        <v/>
      </c>
      <c r="M754" s="10" t="n">
        <v>216</v>
      </c>
      <c r="N754" s="10">
        <f>L754-M754</f>
        <v/>
      </c>
    </row>
    <row r="755">
      <c r="A755" s="7" t="inlineStr">
        <is>
          <t>ORD-05476</t>
        </is>
      </c>
      <c r="B755" s="8" t="n">
        <v>45124</v>
      </c>
      <c r="C755" s="9" t="n">
        <v>45108</v>
      </c>
      <c r="D755" s="7" t="n">
        <v>2023</v>
      </c>
      <c r="E755" s="7" t="inlineStr">
        <is>
          <t>West</t>
        </is>
      </c>
      <c r="F755" s="7" t="inlineStr">
        <is>
          <t>Technology</t>
        </is>
      </c>
      <c r="G755" s="7" t="inlineStr">
        <is>
          <t>Headphones</t>
        </is>
      </c>
      <c r="H755" s="7" t="inlineStr">
        <is>
          <t>Corporate</t>
        </is>
      </c>
      <c r="I755" s="7" t="n">
        <v>3</v>
      </c>
      <c r="J755" s="10" t="n">
        <v>116.52</v>
      </c>
      <c r="K755" s="11" t="n">
        <v>0.2</v>
      </c>
      <c r="L755" s="10">
        <f>I755*J755*(1-K755)</f>
        <v/>
      </c>
      <c r="M755" s="10" t="n">
        <v>216</v>
      </c>
      <c r="N755" s="10">
        <f>L755-M755</f>
        <v/>
      </c>
    </row>
    <row r="756">
      <c r="A756" s="7" t="inlineStr">
        <is>
          <t>ORD-05576</t>
        </is>
      </c>
      <c r="B756" s="8" t="n">
        <v>45124</v>
      </c>
      <c r="C756" s="9" t="n">
        <v>45108</v>
      </c>
      <c r="D756" s="7" t="n">
        <v>2023</v>
      </c>
      <c r="E756" s="7" t="inlineStr">
        <is>
          <t>West</t>
        </is>
      </c>
      <c r="F756" s="7" t="inlineStr">
        <is>
          <t>Office Supplies</t>
        </is>
      </c>
      <c r="G756" s="7" t="inlineStr">
        <is>
          <t>Pens</t>
        </is>
      </c>
      <c r="H756" s="7" t="inlineStr">
        <is>
          <t>Corporate</t>
        </is>
      </c>
      <c r="I756" s="7" t="n">
        <v>8</v>
      </c>
      <c r="J756" s="10" t="n">
        <v>12.35</v>
      </c>
      <c r="K756" s="11" t="n">
        <v>0.1</v>
      </c>
      <c r="L756" s="10">
        <f>I756*J756*(1-K756)</f>
        <v/>
      </c>
      <c r="M756" s="10" t="n">
        <v>43.2</v>
      </c>
      <c r="N756" s="10">
        <f>L756-M756</f>
        <v/>
      </c>
    </row>
    <row r="757">
      <c r="A757" s="7" t="inlineStr">
        <is>
          <t>ORD-02973</t>
        </is>
      </c>
      <c r="B757" s="8" t="n">
        <v>45124</v>
      </c>
      <c r="C757" s="9" t="n">
        <v>45108</v>
      </c>
      <c r="D757" s="7" t="n">
        <v>2023</v>
      </c>
      <c r="E757" s="7" t="inlineStr">
        <is>
          <t>North</t>
        </is>
      </c>
      <c r="F757" s="7" t="inlineStr">
        <is>
          <t>Office Supplies</t>
        </is>
      </c>
      <c r="G757" s="7" t="inlineStr">
        <is>
          <t>Paper</t>
        </is>
      </c>
      <c r="H757" s="7" t="inlineStr">
        <is>
          <t>Consumer</t>
        </is>
      </c>
      <c r="I757" s="7" t="n">
        <v>6</v>
      </c>
      <c r="J757" s="10" t="n">
        <v>25.62</v>
      </c>
      <c r="K757" s="11" t="n">
        <v>0</v>
      </c>
      <c r="L757" s="10">
        <f>I757*J757*(1-K757)</f>
        <v/>
      </c>
      <c r="M757" s="10" t="n">
        <v>75</v>
      </c>
      <c r="N757" s="10">
        <f>L757-M757</f>
        <v/>
      </c>
    </row>
    <row r="758">
      <c r="A758" s="7" t="inlineStr">
        <is>
          <t>ORD-03128</t>
        </is>
      </c>
      <c r="B758" s="8" t="n">
        <v>45125</v>
      </c>
      <c r="C758" s="9" t="n">
        <v>45108</v>
      </c>
      <c r="D758" s="7" t="n">
        <v>2023</v>
      </c>
      <c r="E758" s="7" t="inlineStr">
        <is>
          <t>South</t>
        </is>
      </c>
      <c r="F758" s="7" t="inlineStr">
        <is>
          <t>Office Supplies</t>
        </is>
      </c>
      <c r="G758" s="7" t="inlineStr">
        <is>
          <t>Paper</t>
        </is>
      </c>
      <c r="H758" s="7" t="inlineStr">
        <is>
          <t>Consumer</t>
        </is>
      </c>
      <c r="I758" s="7" t="n">
        <v>6</v>
      </c>
      <c r="J758" s="10" t="n">
        <v>25.49</v>
      </c>
      <c r="K758" s="11" t="n">
        <v>0.3</v>
      </c>
      <c r="L758" s="10">
        <f>I758*J758*(1-K758)</f>
        <v/>
      </c>
      <c r="M758" s="10" t="n">
        <v>75</v>
      </c>
      <c r="N758" s="10">
        <f>L758-M758</f>
        <v/>
      </c>
    </row>
    <row r="759">
      <c r="A759" s="7" t="inlineStr">
        <is>
          <t>ORD-03495</t>
        </is>
      </c>
      <c r="B759" s="8" t="n">
        <v>45125</v>
      </c>
      <c r="C759" s="9" t="n">
        <v>45108</v>
      </c>
      <c r="D759" s="7" t="n">
        <v>2023</v>
      </c>
      <c r="E759" s="7" t="inlineStr">
        <is>
          <t>West</t>
        </is>
      </c>
      <c r="F759" s="7" t="inlineStr">
        <is>
          <t>Technology</t>
        </is>
      </c>
      <c r="G759" s="7" t="inlineStr">
        <is>
          <t>Headphones</t>
        </is>
      </c>
      <c r="H759" s="7" t="inlineStr">
        <is>
          <t>Consumer</t>
        </is>
      </c>
      <c r="I759" s="7" t="n">
        <v>1</v>
      </c>
      <c r="J759" s="10" t="n">
        <v>119.67</v>
      </c>
      <c r="K759" s="11" t="n">
        <v>0.05</v>
      </c>
      <c r="L759" s="10">
        <f>I759*J759*(1-K759)</f>
        <v/>
      </c>
      <c r="M759" s="10" t="n">
        <v>72</v>
      </c>
      <c r="N759" s="10">
        <f>L759-M759</f>
        <v/>
      </c>
    </row>
    <row r="760">
      <c r="A760" s="7" t="inlineStr">
        <is>
          <t>ORD-01003</t>
        </is>
      </c>
      <c r="B760" s="8" t="n">
        <v>45125</v>
      </c>
      <c r="C760" s="9" t="n">
        <v>45108</v>
      </c>
      <c r="D760" s="7" t="n">
        <v>2023</v>
      </c>
      <c r="E760" s="7" t="inlineStr">
        <is>
          <t>East</t>
        </is>
      </c>
      <c r="F760" s="7" t="inlineStr">
        <is>
          <t>Office Supplies</t>
        </is>
      </c>
      <c r="G760" s="7" t="inlineStr">
        <is>
          <t>Stapler</t>
        </is>
      </c>
      <c r="H760" s="7" t="inlineStr">
        <is>
          <t>Corporate</t>
        </is>
      </c>
      <c r="I760" s="7" t="n">
        <v>15</v>
      </c>
      <c r="J760" s="10" t="n">
        <v>14.61</v>
      </c>
      <c r="K760" s="11" t="n">
        <v>0.1</v>
      </c>
      <c r="L760" s="10">
        <f>I760*J760*(1-K760)</f>
        <v/>
      </c>
      <c r="M760" s="10" t="n">
        <v>112.5</v>
      </c>
      <c r="N760" s="10">
        <f>L760-M760</f>
        <v/>
      </c>
    </row>
    <row r="761">
      <c r="A761" s="7" t="inlineStr">
        <is>
          <t>ORD-03668</t>
        </is>
      </c>
      <c r="B761" s="8" t="n">
        <v>45125</v>
      </c>
      <c r="C761" s="9" t="n">
        <v>45108</v>
      </c>
      <c r="D761" s="7" t="n">
        <v>2023</v>
      </c>
      <c r="E761" s="7" t="inlineStr">
        <is>
          <t>North</t>
        </is>
      </c>
      <c r="F761" s="7" t="inlineStr">
        <is>
          <t>Office Supplies</t>
        </is>
      </c>
      <c r="G761" s="7" t="inlineStr">
        <is>
          <t>Binder</t>
        </is>
      </c>
      <c r="H761" s="7" t="inlineStr">
        <is>
          <t>Home Office</t>
        </is>
      </c>
      <c r="I761" s="7" t="n">
        <v>5</v>
      </c>
      <c r="J761" s="10" t="n">
        <v>7.93</v>
      </c>
      <c r="K761" s="11" t="n">
        <v>0</v>
      </c>
      <c r="L761" s="10">
        <f>I761*J761*(1-K761)</f>
        <v/>
      </c>
      <c r="M761" s="10" t="n">
        <v>16</v>
      </c>
      <c r="N761" s="10">
        <f>L761-M761</f>
        <v/>
      </c>
    </row>
    <row r="762">
      <c r="A762" s="7" t="inlineStr">
        <is>
          <t>ORD-03962</t>
        </is>
      </c>
      <c r="B762" s="8" t="n">
        <v>45126</v>
      </c>
      <c r="C762" s="9" t="n">
        <v>45108</v>
      </c>
      <c r="D762" s="7" t="n">
        <v>2023</v>
      </c>
      <c r="E762" s="7" t="inlineStr">
        <is>
          <t>East</t>
        </is>
      </c>
      <c r="F762" s="7" t="inlineStr">
        <is>
          <t>Office Supplies</t>
        </is>
      </c>
      <c r="G762" s="7" t="inlineStr">
        <is>
          <t>Stapler</t>
        </is>
      </c>
      <c r="H762" s="7" t="inlineStr">
        <is>
          <t>Corporate</t>
        </is>
      </c>
      <c r="I762" s="7" t="n">
        <v>13</v>
      </c>
      <c r="J762" s="10" t="n">
        <v>15.1</v>
      </c>
      <c r="K762" s="11" t="n">
        <v>0</v>
      </c>
      <c r="L762" s="10">
        <f>I762*J762*(1-K762)</f>
        <v/>
      </c>
      <c r="M762" s="10" t="n">
        <v>97.5</v>
      </c>
      <c r="N762" s="10">
        <f>L762-M762</f>
        <v/>
      </c>
    </row>
    <row r="763">
      <c r="A763" s="7" t="inlineStr">
        <is>
          <t>ORD-05441</t>
        </is>
      </c>
      <c r="B763" s="8" t="n">
        <v>45126</v>
      </c>
      <c r="C763" s="9" t="n">
        <v>45108</v>
      </c>
      <c r="D763" s="7" t="n">
        <v>2023</v>
      </c>
      <c r="E763" s="7" t="inlineStr">
        <is>
          <t>East</t>
        </is>
      </c>
      <c r="F763" s="7" t="inlineStr">
        <is>
          <t>Furniture</t>
        </is>
      </c>
      <c r="G763" s="7" t="inlineStr">
        <is>
          <t>Desk</t>
        </is>
      </c>
      <c r="H763" s="7" t="inlineStr">
        <is>
          <t>Consumer</t>
        </is>
      </c>
      <c r="I763" s="7" t="n">
        <v>1</v>
      </c>
      <c r="J763" s="10" t="n">
        <v>428.22</v>
      </c>
      <c r="K763" s="11" t="n">
        <v>0.3</v>
      </c>
      <c r="L763" s="10">
        <f>I763*J763*(1-K763)</f>
        <v/>
      </c>
      <c r="M763" s="10" t="n">
        <v>382.5</v>
      </c>
      <c r="N763" s="10">
        <f>L763-M763</f>
        <v/>
      </c>
    </row>
    <row r="764">
      <c r="A764" s="7" t="inlineStr">
        <is>
          <t>ORD-04284</t>
        </is>
      </c>
      <c r="B764" s="8" t="n">
        <v>45126</v>
      </c>
      <c r="C764" s="9" t="n">
        <v>45108</v>
      </c>
      <c r="D764" s="7" t="n">
        <v>2023</v>
      </c>
      <c r="E764" s="7" t="inlineStr">
        <is>
          <t>North</t>
        </is>
      </c>
      <c r="F764" s="7" t="inlineStr">
        <is>
          <t>Office Supplies</t>
        </is>
      </c>
      <c r="G764" s="7" t="inlineStr">
        <is>
          <t>Binder</t>
        </is>
      </c>
      <c r="H764" s="7" t="inlineStr">
        <is>
          <t>Consumer</t>
        </is>
      </c>
      <c r="I764" s="7" t="n">
        <v>2</v>
      </c>
      <c r="J764" s="10" t="n">
        <v>8.359999999999999</v>
      </c>
      <c r="K764" s="11" t="n">
        <v>0</v>
      </c>
      <c r="L764" s="10">
        <f>I764*J764*(1-K764)</f>
        <v/>
      </c>
      <c r="M764" s="10" t="n">
        <v>6.4</v>
      </c>
      <c r="N764" s="10">
        <f>L764-M764</f>
        <v/>
      </c>
    </row>
    <row r="765">
      <c r="A765" s="7" t="inlineStr">
        <is>
          <t>ORD-01052</t>
        </is>
      </c>
      <c r="B765" s="8" t="n">
        <v>45126</v>
      </c>
      <c r="C765" s="9" t="n">
        <v>45108</v>
      </c>
      <c r="D765" s="7" t="n">
        <v>2023</v>
      </c>
      <c r="E765" s="7" t="inlineStr">
        <is>
          <t>West</t>
        </is>
      </c>
      <c r="F765" s="7" t="inlineStr">
        <is>
          <t>Technology</t>
        </is>
      </c>
      <c r="G765" s="7" t="inlineStr">
        <is>
          <t>Headphones</t>
        </is>
      </c>
      <c r="H765" s="7" t="inlineStr">
        <is>
          <t>Home Office</t>
        </is>
      </c>
      <c r="I765" s="7" t="n">
        <v>2</v>
      </c>
      <c r="J765" s="10" t="n">
        <v>123.46</v>
      </c>
      <c r="K765" s="11" t="n">
        <v>0</v>
      </c>
      <c r="L765" s="10">
        <f>I765*J765*(1-K765)</f>
        <v/>
      </c>
      <c r="M765" s="10" t="n">
        <v>144</v>
      </c>
      <c r="N765" s="10">
        <f>L765-M765</f>
        <v/>
      </c>
    </row>
    <row r="766">
      <c r="A766" s="7" t="inlineStr">
        <is>
          <t>ORD-05664</t>
        </is>
      </c>
      <c r="B766" s="8" t="n">
        <v>45127</v>
      </c>
      <c r="C766" s="9" t="n">
        <v>45108</v>
      </c>
      <c r="D766" s="7" t="n">
        <v>2023</v>
      </c>
      <c r="E766" s="7" t="inlineStr">
        <is>
          <t>East</t>
        </is>
      </c>
      <c r="F766" s="7" t="inlineStr">
        <is>
          <t>Office Supplies</t>
        </is>
      </c>
      <c r="G766" s="7" t="inlineStr">
        <is>
          <t>Paper</t>
        </is>
      </c>
      <c r="H766" s="7" t="inlineStr">
        <is>
          <t>Corporate</t>
        </is>
      </c>
      <c r="I766" s="7" t="n">
        <v>11</v>
      </c>
      <c r="J766" s="10" t="n">
        <v>25.18</v>
      </c>
      <c r="K766" s="11" t="n">
        <v>0</v>
      </c>
      <c r="L766" s="10">
        <f>I766*J766*(1-K766)</f>
        <v/>
      </c>
      <c r="M766" s="10" t="n">
        <v>137.5</v>
      </c>
      <c r="N766" s="10">
        <f>L766-M766</f>
        <v/>
      </c>
    </row>
    <row r="767">
      <c r="A767" s="7" t="inlineStr">
        <is>
          <t>ORD-03602</t>
        </is>
      </c>
      <c r="B767" s="8" t="n">
        <v>45127</v>
      </c>
      <c r="C767" s="9" t="n">
        <v>45108</v>
      </c>
      <c r="D767" s="7" t="n">
        <v>2023</v>
      </c>
      <c r="E767" s="7" t="inlineStr">
        <is>
          <t>West</t>
        </is>
      </c>
      <c r="F767" s="7" t="inlineStr">
        <is>
          <t>Furniture</t>
        </is>
      </c>
      <c r="G767" s="7" t="inlineStr">
        <is>
          <t>Bookcase</t>
        </is>
      </c>
      <c r="H767" s="7" t="inlineStr">
        <is>
          <t>Consumer</t>
        </is>
      </c>
      <c r="I767" s="7" t="n">
        <v>4</v>
      </c>
      <c r="J767" s="10" t="n">
        <v>179.44</v>
      </c>
      <c r="K767" s="11" t="n">
        <v>0.2</v>
      </c>
      <c r="L767" s="10">
        <f>I767*J767*(1-K767)</f>
        <v/>
      </c>
      <c r="M767" s="10" t="n">
        <v>576</v>
      </c>
      <c r="N767" s="10">
        <f>L767-M767</f>
        <v/>
      </c>
    </row>
    <row r="768">
      <c r="A768" s="7" t="inlineStr">
        <is>
          <t>ORD-00217</t>
        </is>
      </c>
      <c r="B768" s="8" t="n">
        <v>45128</v>
      </c>
      <c r="C768" s="9" t="n">
        <v>45108</v>
      </c>
      <c r="D768" s="7" t="n">
        <v>2023</v>
      </c>
      <c r="E768" s="7" t="inlineStr">
        <is>
          <t>East</t>
        </is>
      </c>
      <c r="F768" s="7" t="inlineStr">
        <is>
          <t>Office Supplies</t>
        </is>
      </c>
      <c r="G768" s="7" t="inlineStr">
        <is>
          <t>Binder</t>
        </is>
      </c>
      <c r="H768" s="7" t="inlineStr">
        <is>
          <t>Consumer</t>
        </is>
      </c>
      <c r="I768" s="7" t="n">
        <v>15</v>
      </c>
      <c r="J768" s="10" t="n">
        <v>7.79</v>
      </c>
      <c r="K768" s="11" t="n">
        <v>0.1</v>
      </c>
      <c r="L768" s="10">
        <f>I768*J768*(1-K768)</f>
        <v/>
      </c>
      <c r="M768" s="10" t="n">
        <v>48</v>
      </c>
      <c r="N768" s="10">
        <f>L768-M768</f>
        <v/>
      </c>
    </row>
    <row r="769">
      <c r="A769" s="7" t="inlineStr">
        <is>
          <t>ORD-04739</t>
        </is>
      </c>
      <c r="B769" s="8" t="n">
        <v>45128</v>
      </c>
      <c r="C769" s="9" t="n">
        <v>45108</v>
      </c>
      <c r="D769" s="7" t="n">
        <v>2023</v>
      </c>
      <c r="E769" s="7" t="inlineStr">
        <is>
          <t>South</t>
        </is>
      </c>
      <c r="F769" s="7" t="inlineStr">
        <is>
          <t>Technology</t>
        </is>
      </c>
      <c r="G769" s="7" t="inlineStr">
        <is>
          <t>Laptop</t>
        </is>
      </c>
      <c r="H769" s="7" t="inlineStr">
        <is>
          <t>Home Office</t>
        </is>
      </c>
      <c r="I769" s="7" t="n">
        <v>2</v>
      </c>
      <c r="J769" s="10" t="n">
        <v>926.11</v>
      </c>
      <c r="K769" s="11" t="n">
        <v>0.3</v>
      </c>
      <c r="L769" s="10">
        <f>I769*J769*(1-K769)</f>
        <v/>
      </c>
      <c r="M769" s="10" t="n">
        <v>1404</v>
      </c>
      <c r="N769" s="10">
        <f>L769-M769</f>
        <v/>
      </c>
    </row>
    <row r="770">
      <c r="A770" s="7" t="inlineStr">
        <is>
          <t>ORD-02102</t>
        </is>
      </c>
      <c r="B770" s="8" t="n">
        <v>45128</v>
      </c>
      <c r="C770" s="9" t="n">
        <v>45108</v>
      </c>
      <c r="D770" s="7" t="n">
        <v>2023</v>
      </c>
      <c r="E770" s="7" t="inlineStr">
        <is>
          <t>West</t>
        </is>
      </c>
      <c r="F770" s="7" t="inlineStr">
        <is>
          <t>Office Supplies</t>
        </is>
      </c>
      <c r="G770" s="7" t="inlineStr">
        <is>
          <t>Stapler</t>
        </is>
      </c>
      <c r="H770" s="7" t="inlineStr">
        <is>
          <t>Consumer</t>
        </is>
      </c>
      <c r="I770" s="7" t="n">
        <v>6</v>
      </c>
      <c r="J770" s="10" t="n">
        <v>14.35</v>
      </c>
      <c r="K770" s="11" t="n">
        <v>0</v>
      </c>
      <c r="L770" s="10">
        <f>I770*J770*(1-K770)</f>
        <v/>
      </c>
      <c r="M770" s="10" t="n">
        <v>45</v>
      </c>
      <c r="N770" s="10">
        <f>L770-M770</f>
        <v/>
      </c>
    </row>
    <row r="771">
      <c r="A771" s="7" t="inlineStr">
        <is>
          <t>ORD-02059</t>
        </is>
      </c>
      <c r="B771" s="8" t="n">
        <v>45128</v>
      </c>
      <c r="C771" s="9" t="n">
        <v>45108</v>
      </c>
      <c r="D771" s="7" t="n">
        <v>2023</v>
      </c>
      <c r="E771" s="7" t="inlineStr">
        <is>
          <t>South</t>
        </is>
      </c>
      <c r="F771" s="7" t="inlineStr">
        <is>
          <t>Office Supplies</t>
        </is>
      </c>
      <c r="G771" s="7" t="inlineStr">
        <is>
          <t>Binder</t>
        </is>
      </c>
      <c r="H771" s="7" t="inlineStr">
        <is>
          <t>Consumer</t>
        </is>
      </c>
      <c r="I771" s="7" t="n">
        <v>4</v>
      </c>
      <c r="J771" s="10" t="n">
        <v>7.98</v>
      </c>
      <c r="K771" s="11" t="n">
        <v>0</v>
      </c>
      <c r="L771" s="10">
        <f>I771*J771*(1-K771)</f>
        <v/>
      </c>
      <c r="M771" s="10" t="n">
        <v>12.8</v>
      </c>
      <c r="N771" s="10">
        <f>L771-M771</f>
        <v/>
      </c>
    </row>
    <row r="772">
      <c r="A772" s="7" t="inlineStr">
        <is>
          <t>ORD-00888</t>
        </is>
      </c>
      <c r="B772" s="8" t="n">
        <v>45128</v>
      </c>
      <c r="C772" s="9" t="n">
        <v>45108</v>
      </c>
      <c r="D772" s="7" t="n">
        <v>2023</v>
      </c>
      <c r="E772" s="7" t="inlineStr">
        <is>
          <t>West</t>
        </is>
      </c>
      <c r="F772" s="7" t="inlineStr">
        <is>
          <t>Technology</t>
        </is>
      </c>
      <c r="G772" s="7" t="inlineStr">
        <is>
          <t>Headphones</t>
        </is>
      </c>
      <c r="H772" s="7" t="inlineStr">
        <is>
          <t>Consumer</t>
        </is>
      </c>
      <c r="I772" s="7" t="n">
        <v>2</v>
      </c>
      <c r="J772" s="10" t="n">
        <v>118.59</v>
      </c>
      <c r="K772" s="11" t="n">
        <v>0</v>
      </c>
      <c r="L772" s="10">
        <f>I772*J772*(1-K772)</f>
        <v/>
      </c>
      <c r="M772" s="10" t="n">
        <v>144</v>
      </c>
      <c r="N772" s="10">
        <f>L772-M772</f>
        <v/>
      </c>
    </row>
    <row r="773">
      <c r="A773" s="7" t="inlineStr">
        <is>
          <t>ORD-01511</t>
        </is>
      </c>
      <c r="B773" s="8" t="n">
        <v>45128</v>
      </c>
      <c r="C773" s="9" t="n">
        <v>45108</v>
      </c>
      <c r="D773" s="7" t="n">
        <v>2023</v>
      </c>
      <c r="E773" s="7" t="inlineStr">
        <is>
          <t>South</t>
        </is>
      </c>
      <c r="F773" s="7" t="inlineStr">
        <is>
          <t>Furniture</t>
        </is>
      </c>
      <c r="G773" s="7" t="inlineStr">
        <is>
          <t>Desk</t>
        </is>
      </c>
      <c r="H773" s="7" t="inlineStr">
        <is>
          <t>Consumer</t>
        </is>
      </c>
      <c r="I773" s="7" t="n">
        <v>3</v>
      </c>
      <c r="J773" s="10" t="n">
        <v>470.79</v>
      </c>
      <c r="K773" s="11" t="n">
        <v>0.2</v>
      </c>
      <c r="L773" s="10">
        <f>I773*J773*(1-K773)</f>
        <v/>
      </c>
      <c r="M773" s="10" t="n">
        <v>1147.5</v>
      </c>
      <c r="N773" s="10">
        <f>L773-M773</f>
        <v/>
      </c>
    </row>
    <row r="774">
      <c r="A774" s="7" t="inlineStr">
        <is>
          <t>ORD-04505</t>
        </is>
      </c>
      <c r="B774" s="8" t="n">
        <v>45128</v>
      </c>
      <c r="C774" s="9" t="n">
        <v>45108</v>
      </c>
      <c r="D774" s="7" t="n">
        <v>2023</v>
      </c>
      <c r="E774" s="7" t="inlineStr">
        <is>
          <t>South</t>
        </is>
      </c>
      <c r="F774" s="7" t="inlineStr">
        <is>
          <t>Furniture</t>
        </is>
      </c>
      <c r="G774" s="7" t="inlineStr">
        <is>
          <t>Bookcase</t>
        </is>
      </c>
      <c r="H774" s="7" t="inlineStr">
        <is>
          <t>Consumer</t>
        </is>
      </c>
      <c r="I774" s="7" t="n">
        <v>2</v>
      </c>
      <c r="J774" s="10" t="n">
        <v>181.65</v>
      </c>
      <c r="K774" s="11" t="n">
        <v>0.05</v>
      </c>
      <c r="L774" s="10">
        <f>I774*J774*(1-K774)</f>
        <v/>
      </c>
      <c r="M774" s="10" t="n">
        <v>288</v>
      </c>
      <c r="N774" s="10">
        <f>L774-M774</f>
        <v/>
      </c>
    </row>
    <row r="775">
      <c r="A775" s="7" t="inlineStr">
        <is>
          <t>ORD-01551</t>
        </is>
      </c>
      <c r="B775" s="8" t="n">
        <v>45128</v>
      </c>
      <c r="C775" s="9" t="n">
        <v>45108</v>
      </c>
      <c r="D775" s="7" t="n">
        <v>2023</v>
      </c>
      <c r="E775" s="7" t="inlineStr">
        <is>
          <t>North</t>
        </is>
      </c>
      <c r="F775" s="7" t="inlineStr">
        <is>
          <t>Office Supplies</t>
        </is>
      </c>
      <c r="G775" s="7" t="inlineStr">
        <is>
          <t>Pens</t>
        </is>
      </c>
      <c r="H775" s="7" t="inlineStr">
        <is>
          <t>Consumer</t>
        </is>
      </c>
      <c r="I775" s="7" t="n">
        <v>15</v>
      </c>
      <c r="J775" s="10" t="n">
        <v>12.53</v>
      </c>
      <c r="K775" s="11" t="n">
        <v>0</v>
      </c>
      <c r="L775" s="10">
        <f>I775*J775*(1-K775)</f>
        <v/>
      </c>
      <c r="M775" s="10" t="n">
        <v>81</v>
      </c>
      <c r="N775" s="10">
        <f>L775-M775</f>
        <v/>
      </c>
    </row>
    <row r="776">
      <c r="A776" s="7" t="inlineStr">
        <is>
          <t>ORD-00207</t>
        </is>
      </c>
      <c r="B776" s="8" t="n">
        <v>45129</v>
      </c>
      <c r="C776" s="9" t="n">
        <v>45108</v>
      </c>
      <c r="D776" s="7" t="n">
        <v>2023</v>
      </c>
      <c r="E776" s="7" t="inlineStr">
        <is>
          <t>East</t>
        </is>
      </c>
      <c r="F776" s="7" t="inlineStr">
        <is>
          <t>Office Supplies</t>
        </is>
      </c>
      <c r="G776" s="7" t="inlineStr">
        <is>
          <t>Pens</t>
        </is>
      </c>
      <c r="H776" s="7" t="inlineStr">
        <is>
          <t>Consumer</t>
        </is>
      </c>
      <c r="I776" s="7" t="n">
        <v>15</v>
      </c>
      <c r="J776" s="10" t="n">
        <v>11.85</v>
      </c>
      <c r="K776" s="11" t="n">
        <v>0</v>
      </c>
      <c r="L776" s="10">
        <f>I776*J776*(1-K776)</f>
        <v/>
      </c>
      <c r="M776" s="10" t="n">
        <v>81</v>
      </c>
      <c r="N776" s="10">
        <f>L776-M776</f>
        <v/>
      </c>
    </row>
    <row r="777">
      <c r="A777" s="7" t="inlineStr">
        <is>
          <t>ORD-00963</t>
        </is>
      </c>
      <c r="B777" s="8" t="n">
        <v>45129</v>
      </c>
      <c r="C777" s="9" t="n">
        <v>45108</v>
      </c>
      <c r="D777" s="7" t="n">
        <v>2023</v>
      </c>
      <c r="E777" s="7" t="inlineStr">
        <is>
          <t>East</t>
        </is>
      </c>
      <c r="F777" s="7" t="inlineStr">
        <is>
          <t>Office Supplies</t>
        </is>
      </c>
      <c r="G777" s="7" t="inlineStr">
        <is>
          <t>Pens</t>
        </is>
      </c>
      <c r="H777" s="7" t="inlineStr">
        <is>
          <t>Corporate</t>
        </is>
      </c>
      <c r="I777" s="7" t="n">
        <v>14</v>
      </c>
      <c r="J777" s="10" t="n">
        <v>11.9</v>
      </c>
      <c r="K777" s="11" t="n">
        <v>0</v>
      </c>
      <c r="L777" s="10">
        <f>I777*J777*(1-K777)</f>
        <v/>
      </c>
      <c r="M777" s="10" t="n">
        <v>75.59999999999999</v>
      </c>
      <c r="N777" s="10">
        <f>L777-M777</f>
        <v/>
      </c>
    </row>
    <row r="778">
      <c r="A778" s="7" t="inlineStr">
        <is>
          <t>ORD-03236</t>
        </is>
      </c>
      <c r="B778" s="8" t="n">
        <v>45130</v>
      </c>
      <c r="C778" s="9" t="n">
        <v>45108</v>
      </c>
      <c r="D778" s="7" t="n">
        <v>2023</v>
      </c>
      <c r="E778" s="7" t="inlineStr">
        <is>
          <t>West</t>
        </is>
      </c>
      <c r="F778" s="7" t="inlineStr">
        <is>
          <t>Office Supplies</t>
        </is>
      </c>
      <c r="G778" s="7" t="inlineStr">
        <is>
          <t>Paper</t>
        </is>
      </c>
      <c r="H778" s="7" t="inlineStr">
        <is>
          <t>Home Office</t>
        </is>
      </c>
      <c r="I778" s="7" t="n">
        <v>15</v>
      </c>
      <c r="J778" s="10" t="n">
        <v>24.15</v>
      </c>
      <c r="K778" s="11" t="n">
        <v>0</v>
      </c>
      <c r="L778" s="10">
        <f>I778*J778*(1-K778)</f>
        <v/>
      </c>
      <c r="M778" s="10" t="n">
        <v>187.5</v>
      </c>
      <c r="N778" s="10">
        <f>L778-M778</f>
        <v/>
      </c>
    </row>
    <row r="779">
      <c r="A779" s="7" t="inlineStr">
        <is>
          <t>ORD-00335</t>
        </is>
      </c>
      <c r="B779" s="8" t="n">
        <v>45130</v>
      </c>
      <c r="C779" s="9" t="n">
        <v>45108</v>
      </c>
      <c r="D779" s="7" t="n">
        <v>2023</v>
      </c>
      <c r="E779" s="7" t="inlineStr">
        <is>
          <t>South</t>
        </is>
      </c>
      <c r="F779" s="7" t="inlineStr">
        <is>
          <t>Technology</t>
        </is>
      </c>
      <c r="G779" s="7" t="inlineStr">
        <is>
          <t>Keyboard</t>
        </is>
      </c>
      <c r="H779" s="7" t="inlineStr">
        <is>
          <t>Consumer</t>
        </is>
      </c>
      <c r="I779" s="7" t="n">
        <v>3</v>
      </c>
      <c r="J779" s="10" t="n">
        <v>46.64</v>
      </c>
      <c r="K779" s="11" t="n">
        <v>0.2</v>
      </c>
      <c r="L779" s="10">
        <f>I779*J779*(1-K779)</f>
        <v/>
      </c>
      <c r="M779" s="10" t="n">
        <v>74.25</v>
      </c>
      <c r="N779" s="10">
        <f>L779-M779</f>
        <v/>
      </c>
    </row>
    <row r="780">
      <c r="A780" s="7" t="inlineStr">
        <is>
          <t>ORD-01769</t>
        </is>
      </c>
      <c r="B780" s="8" t="n">
        <v>45130</v>
      </c>
      <c r="C780" s="9" t="n">
        <v>45108</v>
      </c>
      <c r="D780" s="7" t="n">
        <v>2023</v>
      </c>
      <c r="E780" s="7" t="inlineStr">
        <is>
          <t>North</t>
        </is>
      </c>
      <c r="F780" s="7" t="inlineStr">
        <is>
          <t>Office Supplies</t>
        </is>
      </c>
      <c r="G780" s="7" t="inlineStr">
        <is>
          <t>Pens</t>
        </is>
      </c>
      <c r="H780" s="7" t="inlineStr">
        <is>
          <t>Consumer</t>
        </is>
      </c>
      <c r="I780" s="7" t="n">
        <v>6</v>
      </c>
      <c r="J780" s="10" t="n">
        <v>12.39</v>
      </c>
      <c r="K780" s="11" t="n">
        <v>0.1</v>
      </c>
      <c r="L780" s="10">
        <f>I780*J780*(1-K780)</f>
        <v/>
      </c>
      <c r="M780" s="10" t="n">
        <v>32.4</v>
      </c>
      <c r="N780" s="10">
        <f>L780-M780</f>
        <v/>
      </c>
    </row>
    <row r="781">
      <c r="A781" s="7" t="inlineStr">
        <is>
          <t>ORD-04678</t>
        </is>
      </c>
      <c r="B781" s="8" t="n">
        <v>45130</v>
      </c>
      <c r="C781" s="9" t="n">
        <v>45108</v>
      </c>
      <c r="D781" s="7" t="n">
        <v>2023</v>
      </c>
      <c r="E781" s="7" t="inlineStr">
        <is>
          <t>South</t>
        </is>
      </c>
      <c r="F781" s="7" t="inlineStr">
        <is>
          <t>Office Supplies</t>
        </is>
      </c>
      <c r="G781" s="7" t="inlineStr">
        <is>
          <t>Paper</t>
        </is>
      </c>
      <c r="H781" s="7" t="inlineStr">
        <is>
          <t>Consumer</t>
        </is>
      </c>
      <c r="I781" s="7" t="n">
        <v>9</v>
      </c>
      <c r="J781" s="10" t="n">
        <v>25.31</v>
      </c>
      <c r="K781" s="11" t="n">
        <v>0.2</v>
      </c>
      <c r="L781" s="10">
        <f>I781*J781*(1-K781)</f>
        <v/>
      </c>
      <c r="M781" s="10" t="n">
        <v>112.5</v>
      </c>
      <c r="N781" s="10">
        <f>L781-M781</f>
        <v/>
      </c>
    </row>
    <row r="782">
      <c r="A782" s="7" t="inlineStr">
        <is>
          <t>ORD-05793</t>
        </is>
      </c>
      <c r="B782" s="8" t="n">
        <v>45130</v>
      </c>
      <c r="C782" s="9" t="n">
        <v>45108</v>
      </c>
      <c r="D782" s="7" t="n">
        <v>2023</v>
      </c>
      <c r="E782" s="7" t="inlineStr">
        <is>
          <t>South</t>
        </is>
      </c>
      <c r="F782" s="7" t="inlineStr">
        <is>
          <t>Office Supplies</t>
        </is>
      </c>
      <c r="G782" s="7" t="inlineStr">
        <is>
          <t>Paper</t>
        </is>
      </c>
      <c r="H782" s="7" t="inlineStr">
        <is>
          <t>Consumer</t>
        </is>
      </c>
      <c r="I782" s="7" t="n">
        <v>6</v>
      </c>
      <c r="J782" s="10" t="n">
        <v>25.44</v>
      </c>
      <c r="K782" s="11" t="n">
        <v>0.05</v>
      </c>
      <c r="L782" s="10">
        <f>I782*J782*(1-K782)</f>
        <v/>
      </c>
      <c r="M782" s="10" t="n">
        <v>75</v>
      </c>
      <c r="N782" s="10">
        <f>L782-M782</f>
        <v/>
      </c>
    </row>
    <row r="783">
      <c r="A783" s="7" t="inlineStr">
        <is>
          <t>ORD-05659</t>
        </is>
      </c>
      <c r="B783" s="8" t="n">
        <v>45131</v>
      </c>
      <c r="C783" s="9" t="n">
        <v>45108</v>
      </c>
      <c r="D783" s="7" t="n">
        <v>2023</v>
      </c>
      <c r="E783" s="7" t="inlineStr">
        <is>
          <t>West</t>
        </is>
      </c>
      <c r="F783" s="7" t="inlineStr">
        <is>
          <t>Office Supplies</t>
        </is>
      </c>
      <c r="G783" s="7" t="inlineStr">
        <is>
          <t>Paper</t>
        </is>
      </c>
      <c r="H783" s="7" t="inlineStr">
        <is>
          <t>Consumer</t>
        </is>
      </c>
      <c r="I783" s="7" t="n">
        <v>12</v>
      </c>
      <c r="J783" s="10" t="n">
        <v>25.9</v>
      </c>
      <c r="K783" s="11" t="n">
        <v>0.1</v>
      </c>
      <c r="L783" s="10">
        <f>I783*J783*(1-K783)</f>
        <v/>
      </c>
      <c r="M783" s="10" t="n">
        <v>150</v>
      </c>
      <c r="N783" s="10">
        <f>L783-M783</f>
        <v/>
      </c>
    </row>
    <row r="784">
      <c r="A784" s="7" t="inlineStr">
        <is>
          <t>ORD-02379</t>
        </is>
      </c>
      <c r="B784" s="8" t="n">
        <v>45132</v>
      </c>
      <c r="C784" s="9" t="n">
        <v>45108</v>
      </c>
      <c r="D784" s="7" t="n">
        <v>2023</v>
      </c>
      <c r="E784" s="7" t="inlineStr">
        <is>
          <t>East</t>
        </is>
      </c>
      <c r="F784" s="7" t="inlineStr">
        <is>
          <t>Office Supplies</t>
        </is>
      </c>
      <c r="G784" s="7" t="inlineStr">
        <is>
          <t>Paper</t>
        </is>
      </c>
      <c r="H784" s="7" t="inlineStr">
        <is>
          <t>Home Office</t>
        </is>
      </c>
      <c r="I784" s="7" t="n">
        <v>2</v>
      </c>
      <c r="J784" s="10" t="n">
        <v>24.04</v>
      </c>
      <c r="K784" s="11" t="n">
        <v>0.3</v>
      </c>
      <c r="L784" s="10">
        <f>I784*J784*(1-K784)</f>
        <v/>
      </c>
      <c r="M784" s="10" t="n">
        <v>25</v>
      </c>
      <c r="N784" s="10">
        <f>L784-M784</f>
        <v/>
      </c>
    </row>
    <row r="785">
      <c r="A785" s="7" t="inlineStr">
        <is>
          <t>ORD-03899</t>
        </is>
      </c>
      <c r="B785" s="8" t="n">
        <v>45132</v>
      </c>
      <c r="C785" s="9" t="n">
        <v>45108</v>
      </c>
      <c r="D785" s="7" t="n">
        <v>2023</v>
      </c>
      <c r="E785" s="7" t="inlineStr">
        <is>
          <t>South</t>
        </is>
      </c>
      <c r="F785" s="7" t="inlineStr">
        <is>
          <t>Office Supplies</t>
        </is>
      </c>
      <c r="G785" s="7" t="inlineStr">
        <is>
          <t>Stapler</t>
        </is>
      </c>
      <c r="H785" s="7" t="inlineStr">
        <is>
          <t>Consumer</t>
        </is>
      </c>
      <c r="I785" s="7" t="n">
        <v>2</v>
      </c>
      <c r="J785" s="10" t="n">
        <v>15.55</v>
      </c>
      <c r="K785" s="11" t="n">
        <v>0.3</v>
      </c>
      <c r="L785" s="10">
        <f>I785*J785*(1-K785)</f>
        <v/>
      </c>
      <c r="M785" s="10" t="n">
        <v>15</v>
      </c>
      <c r="N785" s="10">
        <f>L785-M785</f>
        <v/>
      </c>
    </row>
    <row r="786">
      <c r="A786" s="7" t="inlineStr">
        <is>
          <t>ORD-04705</t>
        </is>
      </c>
      <c r="B786" s="8" t="n">
        <v>45132</v>
      </c>
      <c r="C786" s="9" t="n">
        <v>45108</v>
      </c>
      <c r="D786" s="7" t="n">
        <v>2023</v>
      </c>
      <c r="E786" s="7" t="inlineStr">
        <is>
          <t>West</t>
        </is>
      </c>
      <c r="F786" s="7" t="inlineStr">
        <is>
          <t>Office Supplies</t>
        </is>
      </c>
      <c r="G786" s="7" t="inlineStr">
        <is>
          <t>Pens</t>
        </is>
      </c>
      <c r="H786" s="7" t="inlineStr">
        <is>
          <t>Consumer</t>
        </is>
      </c>
      <c r="I786" s="7" t="n">
        <v>15</v>
      </c>
      <c r="J786" s="10" t="n">
        <v>12.56</v>
      </c>
      <c r="K786" s="11" t="n">
        <v>0</v>
      </c>
      <c r="L786" s="10">
        <f>I786*J786*(1-K786)</f>
        <v/>
      </c>
      <c r="M786" s="10" t="n">
        <v>81</v>
      </c>
      <c r="N786" s="10">
        <f>L786-M786</f>
        <v/>
      </c>
    </row>
    <row r="787">
      <c r="A787" s="7" t="inlineStr">
        <is>
          <t>ORD-05910</t>
        </is>
      </c>
      <c r="B787" s="8" t="n">
        <v>45132</v>
      </c>
      <c r="C787" s="9" t="n">
        <v>45108</v>
      </c>
      <c r="D787" s="7" t="n">
        <v>2023</v>
      </c>
      <c r="E787" s="7" t="inlineStr">
        <is>
          <t>South</t>
        </is>
      </c>
      <c r="F787" s="7" t="inlineStr">
        <is>
          <t>Office Supplies</t>
        </is>
      </c>
      <c r="G787" s="7" t="inlineStr">
        <is>
          <t>Printer Ink</t>
        </is>
      </c>
      <c r="H787" s="7" t="inlineStr">
        <is>
          <t>Home Office</t>
        </is>
      </c>
      <c r="I787" s="7" t="n">
        <v>6</v>
      </c>
      <c r="J787" s="10" t="n">
        <v>59.72</v>
      </c>
      <c r="K787" s="11" t="n">
        <v>0.3</v>
      </c>
      <c r="L787" s="10">
        <f>I787*J787*(1-K787)</f>
        <v/>
      </c>
      <c r="M787" s="10" t="n">
        <v>216</v>
      </c>
      <c r="N787" s="10">
        <f>L787-M787</f>
        <v/>
      </c>
    </row>
    <row r="788">
      <c r="A788" s="7" t="inlineStr">
        <is>
          <t>ORD-03412</t>
        </is>
      </c>
      <c r="B788" s="8" t="n">
        <v>45132</v>
      </c>
      <c r="C788" s="9" t="n">
        <v>45108</v>
      </c>
      <c r="D788" s="7" t="n">
        <v>2023</v>
      </c>
      <c r="E788" s="7" t="inlineStr">
        <is>
          <t>East</t>
        </is>
      </c>
      <c r="F788" s="7" t="inlineStr">
        <is>
          <t>Office Supplies</t>
        </is>
      </c>
      <c r="G788" s="7" t="inlineStr">
        <is>
          <t>Pens</t>
        </is>
      </c>
      <c r="H788" s="7" t="inlineStr">
        <is>
          <t>Corporate</t>
        </is>
      </c>
      <c r="I788" s="7" t="n">
        <v>15</v>
      </c>
      <c r="J788" s="10" t="n">
        <v>12.51</v>
      </c>
      <c r="K788" s="11" t="n">
        <v>0</v>
      </c>
      <c r="L788" s="10">
        <f>I788*J788*(1-K788)</f>
        <v/>
      </c>
      <c r="M788" s="10" t="n">
        <v>81</v>
      </c>
      <c r="N788" s="10">
        <f>L788-M788</f>
        <v/>
      </c>
    </row>
    <row r="789">
      <c r="A789" s="7" t="inlineStr">
        <is>
          <t>ORD-04188</t>
        </is>
      </c>
      <c r="B789" s="8" t="n">
        <v>45132</v>
      </c>
      <c r="C789" s="9" t="n">
        <v>45108</v>
      </c>
      <c r="D789" s="7" t="n">
        <v>2023</v>
      </c>
      <c r="E789" s="7" t="inlineStr">
        <is>
          <t>East</t>
        </is>
      </c>
      <c r="F789" s="7" t="inlineStr">
        <is>
          <t>Office Supplies</t>
        </is>
      </c>
      <c r="G789" s="7" t="inlineStr">
        <is>
          <t>Paper</t>
        </is>
      </c>
      <c r="H789" s="7" t="inlineStr">
        <is>
          <t>Corporate</t>
        </is>
      </c>
      <c r="I789" s="7" t="n">
        <v>6</v>
      </c>
      <c r="J789" s="10" t="n">
        <v>25.49</v>
      </c>
      <c r="K789" s="11" t="n">
        <v>0.05</v>
      </c>
      <c r="L789" s="10">
        <f>I789*J789*(1-K789)</f>
        <v/>
      </c>
      <c r="M789" s="10" t="n">
        <v>75</v>
      </c>
      <c r="N789" s="10">
        <f>L789-M789</f>
        <v/>
      </c>
    </row>
    <row r="790">
      <c r="A790" s="7" t="inlineStr">
        <is>
          <t>ORD-00302</t>
        </is>
      </c>
      <c r="B790" s="8" t="n">
        <v>45133</v>
      </c>
      <c r="C790" s="9" t="n">
        <v>45108</v>
      </c>
      <c r="D790" s="7" t="n">
        <v>2023</v>
      </c>
      <c r="E790" s="7" t="inlineStr">
        <is>
          <t>East</t>
        </is>
      </c>
      <c r="F790" s="7" t="inlineStr">
        <is>
          <t>Technology</t>
        </is>
      </c>
      <c r="G790" s="7" t="inlineStr">
        <is>
          <t>Monitor</t>
        </is>
      </c>
      <c r="H790" s="7" t="inlineStr">
        <is>
          <t>Consumer</t>
        </is>
      </c>
      <c r="I790" s="7" t="n">
        <v>2</v>
      </c>
      <c r="J790" s="10" t="n">
        <v>241.57</v>
      </c>
      <c r="K790" s="11" t="n">
        <v>0.1</v>
      </c>
      <c r="L790" s="10">
        <f>I790*J790*(1-K790)</f>
        <v/>
      </c>
      <c r="M790" s="10" t="n">
        <v>360</v>
      </c>
      <c r="N790" s="10">
        <f>L790-M790</f>
        <v/>
      </c>
    </row>
    <row r="791">
      <c r="A791" s="7" t="inlineStr">
        <is>
          <t>ORD-00679</t>
        </is>
      </c>
      <c r="B791" s="8" t="n">
        <v>45133</v>
      </c>
      <c r="C791" s="9" t="n">
        <v>45108</v>
      </c>
      <c r="D791" s="7" t="n">
        <v>2023</v>
      </c>
      <c r="E791" s="7" t="inlineStr">
        <is>
          <t>West</t>
        </is>
      </c>
      <c r="F791" s="7" t="inlineStr">
        <is>
          <t>Office Supplies</t>
        </is>
      </c>
      <c r="G791" s="7" t="inlineStr">
        <is>
          <t>Pens</t>
        </is>
      </c>
      <c r="H791" s="7" t="inlineStr">
        <is>
          <t>Consumer</t>
        </is>
      </c>
      <c r="I791" s="7" t="n">
        <v>15</v>
      </c>
      <c r="J791" s="10" t="n">
        <v>12.41</v>
      </c>
      <c r="K791" s="11" t="n">
        <v>0</v>
      </c>
      <c r="L791" s="10">
        <f>I791*J791*(1-K791)</f>
        <v/>
      </c>
      <c r="M791" s="10" t="n">
        <v>81</v>
      </c>
      <c r="N791" s="10">
        <f>L791-M791</f>
        <v/>
      </c>
    </row>
    <row r="792">
      <c r="A792" s="7" t="inlineStr">
        <is>
          <t>ORD-00474</t>
        </is>
      </c>
      <c r="B792" s="8" t="n">
        <v>45133</v>
      </c>
      <c r="C792" s="9" t="n">
        <v>45108</v>
      </c>
      <c r="D792" s="7" t="n">
        <v>2023</v>
      </c>
      <c r="E792" s="7" t="inlineStr">
        <is>
          <t>East</t>
        </is>
      </c>
      <c r="F792" s="7" t="inlineStr">
        <is>
          <t>Office Supplies</t>
        </is>
      </c>
      <c r="G792" s="7" t="inlineStr">
        <is>
          <t>Paper</t>
        </is>
      </c>
      <c r="H792" s="7" t="inlineStr">
        <is>
          <t>Consumer</t>
        </is>
      </c>
      <c r="I792" s="7" t="n">
        <v>10</v>
      </c>
      <c r="J792" s="10" t="n">
        <v>25.31</v>
      </c>
      <c r="K792" s="11" t="n">
        <v>0</v>
      </c>
      <c r="L792" s="10">
        <f>I792*J792*(1-K792)</f>
        <v/>
      </c>
      <c r="M792" s="10" t="n">
        <v>125</v>
      </c>
      <c r="N792" s="10">
        <f>L792-M792</f>
        <v/>
      </c>
    </row>
    <row r="793">
      <c r="A793" s="7" t="inlineStr">
        <is>
          <t>ORD-01240</t>
        </is>
      </c>
      <c r="B793" s="8" t="n">
        <v>45133</v>
      </c>
      <c r="C793" s="9" t="n">
        <v>45108</v>
      </c>
      <c r="D793" s="7" t="n">
        <v>2023</v>
      </c>
      <c r="E793" s="7" t="inlineStr">
        <is>
          <t>North</t>
        </is>
      </c>
      <c r="F793" s="7" t="inlineStr">
        <is>
          <t>Office Supplies</t>
        </is>
      </c>
      <c r="G793" s="7" t="inlineStr">
        <is>
          <t>Binder</t>
        </is>
      </c>
      <c r="H793" s="7" t="inlineStr">
        <is>
          <t>Consumer</t>
        </is>
      </c>
      <c r="I793" s="7" t="n">
        <v>7</v>
      </c>
      <c r="J793" s="10" t="n">
        <v>7.72</v>
      </c>
      <c r="K793" s="11" t="n">
        <v>0.05</v>
      </c>
      <c r="L793" s="10">
        <f>I793*J793*(1-K793)</f>
        <v/>
      </c>
      <c r="M793" s="10" t="n">
        <v>22.4</v>
      </c>
      <c r="N793" s="10">
        <f>L793-M793</f>
        <v/>
      </c>
    </row>
    <row r="794">
      <c r="A794" s="7" t="inlineStr">
        <is>
          <t>ORD-04043</t>
        </is>
      </c>
      <c r="B794" s="8" t="n">
        <v>45134</v>
      </c>
      <c r="C794" s="9" t="n">
        <v>45108</v>
      </c>
      <c r="D794" s="7" t="n">
        <v>2023</v>
      </c>
      <c r="E794" s="7" t="inlineStr">
        <is>
          <t>South</t>
        </is>
      </c>
      <c r="F794" s="7" t="inlineStr">
        <is>
          <t>Furniture</t>
        </is>
      </c>
      <c r="G794" s="7" t="inlineStr">
        <is>
          <t>Office Chair</t>
        </is>
      </c>
      <c r="H794" s="7" t="inlineStr">
        <is>
          <t>Consumer</t>
        </is>
      </c>
      <c r="I794" s="7" t="n">
        <v>1</v>
      </c>
      <c r="J794" s="10" t="n">
        <v>222.36</v>
      </c>
      <c r="K794" s="11" t="n">
        <v>0</v>
      </c>
      <c r="L794" s="10">
        <f>I794*J794*(1-K794)</f>
        <v/>
      </c>
      <c r="M794" s="10" t="n">
        <v>180.4</v>
      </c>
      <c r="N794" s="10">
        <f>L794-M794</f>
        <v/>
      </c>
    </row>
    <row r="795">
      <c r="A795" s="7" t="inlineStr">
        <is>
          <t>ORD-03369</t>
        </is>
      </c>
      <c r="B795" s="8" t="n">
        <v>45134</v>
      </c>
      <c r="C795" s="9" t="n">
        <v>45108</v>
      </c>
      <c r="D795" s="7" t="n">
        <v>2023</v>
      </c>
      <c r="E795" s="7" t="inlineStr">
        <is>
          <t>South</t>
        </is>
      </c>
      <c r="F795" s="7" t="inlineStr">
        <is>
          <t>Furniture</t>
        </is>
      </c>
      <c r="G795" s="7" t="inlineStr">
        <is>
          <t>Sofa</t>
        </is>
      </c>
      <c r="H795" s="7" t="inlineStr">
        <is>
          <t>Consumer</t>
        </is>
      </c>
      <c r="I795" s="7" t="n">
        <v>2</v>
      </c>
      <c r="J795" s="10" t="n">
        <v>733.8</v>
      </c>
      <c r="K795" s="11" t="n">
        <v>0.3</v>
      </c>
      <c r="L795" s="10">
        <f>I795*J795*(1-K795)</f>
        <v/>
      </c>
      <c r="M795" s="10" t="n">
        <v>1232</v>
      </c>
      <c r="N795" s="10">
        <f>L795-M795</f>
        <v/>
      </c>
    </row>
    <row r="796">
      <c r="A796" s="7" t="inlineStr">
        <is>
          <t>ORD-01654</t>
        </is>
      </c>
      <c r="B796" s="8" t="n">
        <v>45134</v>
      </c>
      <c r="C796" s="9" t="n">
        <v>45108</v>
      </c>
      <c r="D796" s="7" t="n">
        <v>2023</v>
      </c>
      <c r="E796" s="7" t="inlineStr">
        <is>
          <t>West</t>
        </is>
      </c>
      <c r="F796" s="7" t="inlineStr">
        <is>
          <t>Office Supplies</t>
        </is>
      </c>
      <c r="G796" s="7" t="inlineStr">
        <is>
          <t>Printer Ink</t>
        </is>
      </c>
      <c r="H796" s="7" t="inlineStr">
        <is>
          <t>Consumer</t>
        </is>
      </c>
      <c r="I796" s="7" t="n">
        <v>4</v>
      </c>
      <c r="J796" s="10" t="n">
        <v>58.42</v>
      </c>
      <c r="K796" s="11" t="n">
        <v>0</v>
      </c>
      <c r="L796" s="10">
        <f>I796*J796*(1-K796)</f>
        <v/>
      </c>
      <c r="M796" s="10" t="n">
        <v>144</v>
      </c>
      <c r="N796" s="10">
        <f>L796-M796</f>
        <v/>
      </c>
    </row>
    <row r="797">
      <c r="A797" s="7" t="inlineStr">
        <is>
          <t>ORD-01803</t>
        </is>
      </c>
      <c r="B797" s="8" t="n">
        <v>45134</v>
      </c>
      <c r="C797" s="9" t="n">
        <v>45108</v>
      </c>
      <c r="D797" s="7" t="n">
        <v>2023</v>
      </c>
      <c r="E797" s="7" t="inlineStr">
        <is>
          <t>East</t>
        </is>
      </c>
      <c r="F797" s="7" t="inlineStr">
        <is>
          <t>Office Supplies</t>
        </is>
      </c>
      <c r="G797" s="7" t="inlineStr">
        <is>
          <t>Binder</t>
        </is>
      </c>
      <c r="H797" s="7" t="inlineStr">
        <is>
          <t>Consumer</t>
        </is>
      </c>
      <c r="I797" s="7" t="n">
        <v>6</v>
      </c>
      <c r="J797" s="10" t="n">
        <v>8.18</v>
      </c>
      <c r="K797" s="11" t="n">
        <v>0</v>
      </c>
      <c r="L797" s="10">
        <f>I797*J797*(1-K797)</f>
        <v/>
      </c>
      <c r="M797" s="10" t="n">
        <v>19.2</v>
      </c>
      <c r="N797" s="10">
        <f>L797-M797</f>
        <v/>
      </c>
    </row>
    <row r="798">
      <c r="A798" s="7" t="inlineStr">
        <is>
          <t>ORD-02780</t>
        </is>
      </c>
      <c r="B798" s="8" t="n">
        <v>45134</v>
      </c>
      <c r="C798" s="9" t="n">
        <v>45108</v>
      </c>
      <c r="D798" s="7" t="n">
        <v>2023</v>
      </c>
      <c r="E798" s="7" t="inlineStr">
        <is>
          <t>West</t>
        </is>
      </c>
      <c r="F798" s="7" t="inlineStr">
        <is>
          <t>Office Supplies</t>
        </is>
      </c>
      <c r="G798" s="7" t="inlineStr">
        <is>
          <t>Pens</t>
        </is>
      </c>
      <c r="H798" s="7" t="inlineStr">
        <is>
          <t>Consumer</t>
        </is>
      </c>
      <c r="I798" s="7" t="n">
        <v>14</v>
      </c>
      <c r="J798" s="10" t="n">
        <v>11.73</v>
      </c>
      <c r="K798" s="11" t="n">
        <v>0</v>
      </c>
      <c r="L798" s="10">
        <f>I798*J798*(1-K798)</f>
        <v/>
      </c>
      <c r="M798" s="10" t="n">
        <v>75.59999999999999</v>
      </c>
      <c r="N798" s="10">
        <f>L798-M798</f>
        <v/>
      </c>
    </row>
    <row r="799">
      <c r="A799" s="7" t="inlineStr">
        <is>
          <t>ORD-04617</t>
        </is>
      </c>
      <c r="B799" s="8" t="n">
        <v>45135</v>
      </c>
      <c r="C799" s="9" t="n">
        <v>45108</v>
      </c>
      <c r="D799" s="7" t="n">
        <v>2023</v>
      </c>
      <c r="E799" s="7" t="inlineStr">
        <is>
          <t>West</t>
        </is>
      </c>
      <c r="F799" s="7" t="inlineStr">
        <is>
          <t>Office Supplies</t>
        </is>
      </c>
      <c r="G799" s="7" t="inlineStr">
        <is>
          <t>Paper</t>
        </is>
      </c>
      <c r="H799" s="7" t="inlineStr">
        <is>
          <t>Corporate</t>
        </is>
      </c>
      <c r="I799" s="7" t="n">
        <v>9</v>
      </c>
      <c r="J799" s="10" t="n">
        <v>24.51</v>
      </c>
      <c r="K799" s="11" t="n">
        <v>0</v>
      </c>
      <c r="L799" s="10">
        <f>I799*J799*(1-K799)</f>
        <v/>
      </c>
      <c r="M799" s="10" t="n">
        <v>112.5</v>
      </c>
      <c r="N799" s="10">
        <f>L799-M799</f>
        <v/>
      </c>
    </row>
    <row r="800">
      <c r="A800" s="7" t="inlineStr">
        <is>
          <t>ORD-02237</t>
        </is>
      </c>
      <c r="B800" s="8" t="n">
        <v>45136</v>
      </c>
      <c r="C800" s="9" t="n">
        <v>45108</v>
      </c>
      <c r="D800" s="7" t="n">
        <v>2023</v>
      </c>
      <c r="E800" s="7" t="inlineStr">
        <is>
          <t>North</t>
        </is>
      </c>
      <c r="F800" s="7" t="inlineStr">
        <is>
          <t>Office Supplies</t>
        </is>
      </c>
      <c r="G800" s="7" t="inlineStr">
        <is>
          <t>Paper</t>
        </is>
      </c>
      <c r="H800" s="7" t="inlineStr">
        <is>
          <t>Home Office</t>
        </is>
      </c>
      <c r="I800" s="7" t="n">
        <v>3</v>
      </c>
      <c r="J800" s="10" t="n">
        <v>24.77</v>
      </c>
      <c r="K800" s="11" t="n">
        <v>0</v>
      </c>
      <c r="L800" s="10">
        <f>I800*J800*(1-K800)</f>
        <v/>
      </c>
      <c r="M800" s="10" t="n">
        <v>37.5</v>
      </c>
      <c r="N800" s="10">
        <f>L800-M800</f>
        <v/>
      </c>
    </row>
    <row r="801">
      <c r="A801" s="7" t="inlineStr">
        <is>
          <t>ORD-04849</t>
        </is>
      </c>
      <c r="B801" s="8" t="n">
        <v>45136</v>
      </c>
      <c r="C801" s="9" t="n">
        <v>45108</v>
      </c>
      <c r="D801" s="7" t="n">
        <v>2023</v>
      </c>
      <c r="E801" s="7" t="inlineStr">
        <is>
          <t>South</t>
        </is>
      </c>
      <c r="F801" s="7" t="inlineStr">
        <is>
          <t>Office Supplies</t>
        </is>
      </c>
      <c r="G801" s="7" t="inlineStr">
        <is>
          <t>Pens</t>
        </is>
      </c>
      <c r="H801" s="7" t="inlineStr">
        <is>
          <t>Consumer</t>
        </is>
      </c>
      <c r="I801" s="7" t="n">
        <v>3</v>
      </c>
      <c r="J801" s="10" t="n">
        <v>12.41</v>
      </c>
      <c r="K801" s="11" t="n">
        <v>0.3</v>
      </c>
      <c r="L801" s="10">
        <f>I801*J801*(1-K801)</f>
        <v/>
      </c>
      <c r="M801" s="10" t="n">
        <v>16.2</v>
      </c>
      <c r="N801" s="10">
        <f>L801-M801</f>
        <v/>
      </c>
    </row>
    <row r="802">
      <c r="A802" s="7" t="inlineStr">
        <is>
          <t>ORD-00671</t>
        </is>
      </c>
      <c r="B802" s="8" t="n">
        <v>45137</v>
      </c>
      <c r="C802" s="9" t="n">
        <v>45108</v>
      </c>
      <c r="D802" s="7" t="n">
        <v>2023</v>
      </c>
      <c r="E802" s="7" t="inlineStr">
        <is>
          <t>East</t>
        </is>
      </c>
      <c r="F802" s="7" t="inlineStr">
        <is>
          <t>Office Supplies</t>
        </is>
      </c>
      <c r="G802" s="7" t="inlineStr">
        <is>
          <t>Stapler</t>
        </is>
      </c>
      <c r="H802" s="7" t="inlineStr">
        <is>
          <t>Consumer</t>
        </is>
      </c>
      <c r="I802" s="7" t="n">
        <v>6</v>
      </c>
      <c r="J802" s="10" t="n">
        <v>15.14</v>
      </c>
      <c r="K802" s="11" t="n">
        <v>0</v>
      </c>
      <c r="L802" s="10">
        <f>I802*J802*(1-K802)</f>
        <v/>
      </c>
      <c r="M802" s="10" t="n">
        <v>45</v>
      </c>
      <c r="N802" s="10">
        <f>L802-M802</f>
        <v/>
      </c>
    </row>
    <row r="803">
      <c r="A803" s="7" t="inlineStr">
        <is>
          <t>ORD-01189</t>
        </is>
      </c>
      <c r="B803" s="8" t="n">
        <v>45137</v>
      </c>
      <c r="C803" s="9" t="n">
        <v>45108</v>
      </c>
      <c r="D803" s="7" t="n">
        <v>2023</v>
      </c>
      <c r="E803" s="7" t="inlineStr">
        <is>
          <t>West</t>
        </is>
      </c>
      <c r="F803" s="7" t="inlineStr">
        <is>
          <t>Office Supplies</t>
        </is>
      </c>
      <c r="G803" s="7" t="inlineStr">
        <is>
          <t>Binder</t>
        </is>
      </c>
      <c r="H803" s="7" t="inlineStr">
        <is>
          <t>Consumer</t>
        </is>
      </c>
      <c r="I803" s="7" t="n">
        <v>11</v>
      </c>
      <c r="J803" s="10" t="n">
        <v>8.15</v>
      </c>
      <c r="K803" s="11" t="n">
        <v>0.1</v>
      </c>
      <c r="L803" s="10">
        <f>I803*J803*(1-K803)</f>
        <v/>
      </c>
      <c r="M803" s="10" t="n">
        <v>35.2</v>
      </c>
      <c r="N803" s="10">
        <f>L803-M803</f>
        <v/>
      </c>
    </row>
    <row r="804">
      <c r="A804" s="7" t="inlineStr">
        <is>
          <t>ORD-00341</t>
        </is>
      </c>
      <c r="B804" s="8" t="n">
        <v>45137</v>
      </c>
      <c r="C804" s="9" t="n">
        <v>45108</v>
      </c>
      <c r="D804" s="7" t="n">
        <v>2023</v>
      </c>
      <c r="E804" s="7" t="inlineStr">
        <is>
          <t>North</t>
        </is>
      </c>
      <c r="F804" s="7" t="inlineStr">
        <is>
          <t>Furniture</t>
        </is>
      </c>
      <c r="G804" s="7" t="inlineStr">
        <is>
          <t>Bookcase</t>
        </is>
      </c>
      <c r="H804" s="7" t="inlineStr">
        <is>
          <t>Consumer</t>
        </is>
      </c>
      <c r="I804" s="7" t="n">
        <v>2</v>
      </c>
      <c r="J804" s="10" t="n">
        <v>186.89</v>
      </c>
      <c r="K804" s="11" t="n">
        <v>0.2</v>
      </c>
      <c r="L804" s="10">
        <f>I804*J804*(1-K804)</f>
        <v/>
      </c>
      <c r="M804" s="10" t="n">
        <v>288</v>
      </c>
      <c r="N804" s="10">
        <f>L804-M804</f>
        <v/>
      </c>
    </row>
    <row r="805">
      <c r="A805" s="7" t="inlineStr">
        <is>
          <t>ORD-04789</t>
        </is>
      </c>
      <c r="B805" s="8" t="n">
        <v>45137</v>
      </c>
      <c r="C805" s="9" t="n">
        <v>45108</v>
      </c>
      <c r="D805" s="7" t="n">
        <v>2023</v>
      </c>
      <c r="E805" s="7" t="inlineStr">
        <is>
          <t>West</t>
        </is>
      </c>
      <c r="F805" s="7" t="inlineStr">
        <is>
          <t>Office Supplies</t>
        </is>
      </c>
      <c r="G805" s="7" t="inlineStr">
        <is>
          <t>Binder</t>
        </is>
      </c>
      <c r="H805" s="7" t="inlineStr">
        <is>
          <t>Corporate</t>
        </is>
      </c>
      <c r="I805" s="7" t="n">
        <v>12</v>
      </c>
      <c r="J805" s="10" t="n">
        <v>8.27</v>
      </c>
      <c r="K805" s="11" t="n">
        <v>0.05</v>
      </c>
      <c r="L805" s="10">
        <f>I805*J805*(1-K805)</f>
        <v/>
      </c>
      <c r="M805" s="10" t="n">
        <v>38.4</v>
      </c>
      <c r="N805" s="10">
        <f>L805-M805</f>
        <v/>
      </c>
    </row>
    <row r="806">
      <c r="A806" s="7" t="inlineStr">
        <is>
          <t>ORD-04428</t>
        </is>
      </c>
      <c r="B806" s="8" t="n">
        <v>45138</v>
      </c>
      <c r="C806" s="9" t="n">
        <v>45108</v>
      </c>
      <c r="D806" s="7" t="n">
        <v>2023</v>
      </c>
      <c r="E806" s="7" t="inlineStr">
        <is>
          <t>South</t>
        </is>
      </c>
      <c r="F806" s="7" t="inlineStr">
        <is>
          <t>Office Supplies</t>
        </is>
      </c>
      <c r="G806" s="7" t="inlineStr">
        <is>
          <t>Printer Ink</t>
        </is>
      </c>
      <c r="H806" s="7" t="inlineStr">
        <is>
          <t>Consumer</t>
        </is>
      </c>
      <c r="I806" s="7" t="n">
        <v>7</v>
      </c>
      <c r="J806" s="10" t="n">
        <v>62.56</v>
      </c>
      <c r="K806" s="11" t="n">
        <v>0.05</v>
      </c>
      <c r="L806" s="10">
        <f>I806*J806*(1-K806)</f>
        <v/>
      </c>
      <c r="M806" s="10" t="n">
        <v>252</v>
      </c>
      <c r="N806" s="10">
        <f>L806-M806</f>
        <v/>
      </c>
    </row>
    <row r="807">
      <c r="A807" s="7" t="inlineStr">
        <is>
          <t>ORD-04847</t>
        </is>
      </c>
      <c r="B807" s="8" t="n">
        <v>45138</v>
      </c>
      <c r="C807" s="9" t="n">
        <v>45108</v>
      </c>
      <c r="D807" s="7" t="n">
        <v>2023</v>
      </c>
      <c r="E807" s="7" t="inlineStr">
        <is>
          <t>South</t>
        </is>
      </c>
      <c r="F807" s="7" t="inlineStr">
        <is>
          <t>Office Supplies</t>
        </is>
      </c>
      <c r="G807" s="7" t="inlineStr">
        <is>
          <t>Pens</t>
        </is>
      </c>
      <c r="H807" s="7" t="inlineStr">
        <is>
          <t>Consumer</t>
        </is>
      </c>
      <c r="I807" s="7" t="n">
        <v>13</v>
      </c>
      <c r="J807" s="10" t="n">
        <v>12.47</v>
      </c>
      <c r="K807" s="11" t="n">
        <v>0.05</v>
      </c>
      <c r="L807" s="10">
        <f>I807*J807*(1-K807)</f>
        <v/>
      </c>
      <c r="M807" s="10" t="n">
        <v>70.2</v>
      </c>
      <c r="N807" s="10">
        <f>L807-M807</f>
        <v/>
      </c>
    </row>
    <row r="808">
      <c r="A808" s="7" t="inlineStr">
        <is>
          <t>ORD-00918</t>
        </is>
      </c>
      <c r="B808" s="8" t="n">
        <v>45138</v>
      </c>
      <c r="C808" s="9" t="n">
        <v>45108</v>
      </c>
      <c r="D808" s="7" t="n">
        <v>2023</v>
      </c>
      <c r="E808" s="7" t="inlineStr">
        <is>
          <t>South</t>
        </is>
      </c>
      <c r="F808" s="7" t="inlineStr">
        <is>
          <t>Office Supplies</t>
        </is>
      </c>
      <c r="G808" s="7" t="inlineStr">
        <is>
          <t>Binder</t>
        </is>
      </c>
      <c r="H808" s="7" t="inlineStr">
        <is>
          <t>Home Office</t>
        </is>
      </c>
      <c r="I808" s="7" t="n">
        <v>13</v>
      </c>
      <c r="J808" s="10" t="n">
        <v>8.17</v>
      </c>
      <c r="K808" s="11" t="n">
        <v>0</v>
      </c>
      <c r="L808" s="10">
        <f>I808*J808*(1-K808)</f>
        <v/>
      </c>
      <c r="M808" s="10" t="n">
        <v>41.6</v>
      </c>
      <c r="N808" s="10">
        <f>L808-M808</f>
        <v/>
      </c>
    </row>
    <row r="809">
      <c r="A809" s="7" t="inlineStr">
        <is>
          <t>ORD-05227</t>
        </is>
      </c>
      <c r="B809" s="8" t="n">
        <v>45138</v>
      </c>
      <c r="C809" s="9" t="n">
        <v>45108</v>
      </c>
      <c r="D809" s="7" t="n">
        <v>2023</v>
      </c>
      <c r="E809" s="7" t="inlineStr">
        <is>
          <t>West</t>
        </is>
      </c>
      <c r="F809" s="7" t="inlineStr">
        <is>
          <t>Technology</t>
        </is>
      </c>
      <c r="G809" s="7" t="inlineStr">
        <is>
          <t>Keyboard</t>
        </is>
      </c>
      <c r="H809" s="7" t="inlineStr">
        <is>
          <t>Consumer</t>
        </is>
      </c>
      <c r="I809" s="7" t="n">
        <v>2</v>
      </c>
      <c r="J809" s="10" t="n">
        <v>45.32</v>
      </c>
      <c r="K809" s="11" t="n">
        <v>0.1</v>
      </c>
      <c r="L809" s="10">
        <f>I809*J809*(1-K809)</f>
        <v/>
      </c>
      <c r="M809" s="10" t="n">
        <v>49.5</v>
      </c>
      <c r="N809" s="10">
        <f>L809-M809</f>
        <v/>
      </c>
    </row>
    <row r="810">
      <c r="A810" s="7" t="inlineStr">
        <is>
          <t>ORD-01117</t>
        </is>
      </c>
      <c r="B810" s="8" t="n">
        <v>45138</v>
      </c>
      <c r="C810" s="9" t="n">
        <v>45108</v>
      </c>
      <c r="D810" s="7" t="n">
        <v>2023</v>
      </c>
      <c r="E810" s="7" t="inlineStr">
        <is>
          <t>East</t>
        </is>
      </c>
      <c r="F810" s="7" t="inlineStr">
        <is>
          <t>Office Supplies</t>
        </is>
      </c>
      <c r="G810" s="7" t="inlineStr">
        <is>
          <t>Binder</t>
        </is>
      </c>
      <c r="H810" s="7" t="inlineStr">
        <is>
          <t>Corporate</t>
        </is>
      </c>
      <c r="I810" s="7" t="n">
        <v>5</v>
      </c>
      <c r="J810" s="10" t="n">
        <v>7.77</v>
      </c>
      <c r="K810" s="11" t="n">
        <v>0</v>
      </c>
      <c r="L810" s="10">
        <f>I810*J810*(1-K810)</f>
        <v/>
      </c>
      <c r="M810" s="10" t="n">
        <v>16</v>
      </c>
      <c r="N810" s="10">
        <f>L810-M810</f>
        <v/>
      </c>
    </row>
    <row r="811">
      <c r="A811" s="7" t="inlineStr">
        <is>
          <t>ORD-03812</t>
        </is>
      </c>
      <c r="B811" s="8" t="n">
        <v>45138</v>
      </c>
      <c r="C811" s="9" t="n">
        <v>45108</v>
      </c>
      <c r="D811" s="7" t="n">
        <v>2023</v>
      </c>
      <c r="E811" s="7" t="inlineStr">
        <is>
          <t>East</t>
        </is>
      </c>
      <c r="F811" s="7" t="inlineStr">
        <is>
          <t>Technology</t>
        </is>
      </c>
      <c r="G811" s="7" t="inlineStr">
        <is>
          <t>Smartphone</t>
        </is>
      </c>
      <c r="H811" s="7" t="inlineStr">
        <is>
          <t>Corporate</t>
        </is>
      </c>
      <c r="I811" s="7" t="n">
        <v>2</v>
      </c>
      <c r="J811" s="10" t="n">
        <v>594.79</v>
      </c>
      <c r="K811" s="11" t="n">
        <v>0.05</v>
      </c>
      <c r="L811" s="10">
        <f>I811*J811*(1-K811)</f>
        <v/>
      </c>
      <c r="M811" s="10" t="n">
        <v>900</v>
      </c>
      <c r="N811" s="10">
        <f>L811-M811</f>
        <v/>
      </c>
    </row>
    <row r="812">
      <c r="A812" s="7" t="inlineStr">
        <is>
          <t>ORD-00764</t>
        </is>
      </c>
      <c r="B812" s="8" t="n">
        <v>45139</v>
      </c>
      <c r="C812" s="9" t="n">
        <v>45139</v>
      </c>
      <c r="D812" s="7" t="n">
        <v>2023</v>
      </c>
      <c r="E812" s="7" t="inlineStr">
        <is>
          <t>South</t>
        </is>
      </c>
      <c r="F812" s="7" t="inlineStr">
        <is>
          <t>Furniture</t>
        </is>
      </c>
      <c r="G812" s="7" t="inlineStr">
        <is>
          <t>Office Chair</t>
        </is>
      </c>
      <c r="H812" s="7" t="inlineStr">
        <is>
          <t>Corporate</t>
        </is>
      </c>
      <c r="I812" s="7" t="n">
        <v>1</v>
      </c>
      <c r="J812" s="10" t="n">
        <v>223.82</v>
      </c>
      <c r="K812" s="11" t="n">
        <v>0.3</v>
      </c>
      <c r="L812" s="10">
        <f>I812*J812*(1-K812)</f>
        <v/>
      </c>
      <c r="M812" s="10" t="n">
        <v>180.4</v>
      </c>
      <c r="N812" s="10">
        <f>L812-M812</f>
        <v/>
      </c>
    </row>
    <row r="813">
      <c r="A813" s="7" t="inlineStr">
        <is>
          <t>ORD-05241</t>
        </is>
      </c>
      <c r="B813" s="8" t="n">
        <v>45139</v>
      </c>
      <c r="C813" s="9" t="n">
        <v>45139</v>
      </c>
      <c r="D813" s="7" t="n">
        <v>2023</v>
      </c>
      <c r="E813" s="7" t="inlineStr">
        <is>
          <t>South</t>
        </is>
      </c>
      <c r="F813" s="7" t="inlineStr">
        <is>
          <t>Office Supplies</t>
        </is>
      </c>
      <c r="G813" s="7" t="inlineStr">
        <is>
          <t>Stapler</t>
        </is>
      </c>
      <c r="H813" s="7" t="inlineStr">
        <is>
          <t>Consumer</t>
        </is>
      </c>
      <c r="I813" s="7" t="n">
        <v>11</v>
      </c>
      <c r="J813" s="10" t="n">
        <v>15.44</v>
      </c>
      <c r="K813" s="11" t="n">
        <v>0</v>
      </c>
      <c r="L813" s="10">
        <f>I813*J813*(1-K813)</f>
        <v/>
      </c>
      <c r="M813" s="10" t="n">
        <v>82.5</v>
      </c>
      <c r="N813" s="10">
        <f>L813-M813</f>
        <v/>
      </c>
    </row>
    <row r="814">
      <c r="A814" s="7" t="inlineStr">
        <is>
          <t>ORD-03929</t>
        </is>
      </c>
      <c r="B814" s="8" t="n">
        <v>45139</v>
      </c>
      <c r="C814" s="9" t="n">
        <v>45139</v>
      </c>
      <c r="D814" s="7" t="n">
        <v>2023</v>
      </c>
      <c r="E814" s="7" t="inlineStr">
        <is>
          <t>South</t>
        </is>
      </c>
      <c r="F814" s="7" t="inlineStr">
        <is>
          <t>Office Supplies</t>
        </is>
      </c>
      <c r="G814" s="7" t="inlineStr">
        <is>
          <t>Paper</t>
        </is>
      </c>
      <c r="H814" s="7" t="inlineStr">
        <is>
          <t>Consumer</t>
        </is>
      </c>
      <c r="I814" s="7" t="n">
        <v>4</v>
      </c>
      <c r="J814" s="10" t="n">
        <v>24.98</v>
      </c>
      <c r="K814" s="11" t="n">
        <v>0.05</v>
      </c>
      <c r="L814" s="10">
        <f>I814*J814*(1-K814)</f>
        <v/>
      </c>
      <c r="M814" s="10" t="n">
        <v>50</v>
      </c>
      <c r="N814" s="10">
        <f>L814-M814</f>
        <v/>
      </c>
    </row>
    <row r="815">
      <c r="A815" s="7" t="inlineStr">
        <is>
          <t>ORD-01054</t>
        </is>
      </c>
      <c r="B815" s="8" t="n">
        <v>45139</v>
      </c>
      <c r="C815" s="9" t="n">
        <v>45139</v>
      </c>
      <c r="D815" s="7" t="n">
        <v>2023</v>
      </c>
      <c r="E815" s="7" t="inlineStr">
        <is>
          <t>East</t>
        </is>
      </c>
      <c r="F815" s="7" t="inlineStr">
        <is>
          <t>Office Supplies</t>
        </is>
      </c>
      <c r="G815" s="7" t="inlineStr">
        <is>
          <t>Binder</t>
        </is>
      </c>
      <c r="H815" s="7" t="inlineStr">
        <is>
          <t>Consumer</t>
        </is>
      </c>
      <c r="I815" s="7" t="n">
        <v>5</v>
      </c>
      <c r="J815" s="10" t="n">
        <v>8.32</v>
      </c>
      <c r="K815" s="11" t="n">
        <v>0.1</v>
      </c>
      <c r="L815" s="10">
        <f>I815*J815*(1-K815)</f>
        <v/>
      </c>
      <c r="M815" s="10" t="n">
        <v>16</v>
      </c>
      <c r="N815" s="10">
        <f>L815-M815</f>
        <v/>
      </c>
    </row>
    <row r="816">
      <c r="A816" s="7" t="inlineStr">
        <is>
          <t>ORD-02334</t>
        </is>
      </c>
      <c r="B816" s="8" t="n">
        <v>45139</v>
      </c>
      <c r="C816" s="9" t="n">
        <v>45139</v>
      </c>
      <c r="D816" s="7" t="n">
        <v>2023</v>
      </c>
      <c r="E816" s="7" t="inlineStr">
        <is>
          <t>East</t>
        </is>
      </c>
      <c r="F816" s="7" t="inlineStr">
        <is>
          <t>Technology</t>
        </is>
      </c>
      <c r="G816" s="7" t="inlineStr">
        <is>
          <t>Keyboard</t>
        </is>
      </c>
      <c r="H816" s="7" t="inlineStr">
        <is>
          <t>Consumer</t>
        </is>
      </c>
      <c r="I816" s="7" t="n">
        <v>3</v>
      </c>
      <c r="J816" s="10" t="n">
        <v>47.19</v>
      </c>
      <c r="K816" s="11" t="n">
        <v>0.1</v>
      </c>
      <c r="L816" s="10">
        <f>I816*J816*(1-K816)</f>
        <v/>
      </c>
      <c r="M816" s="10" t="n">
        <v>74.25</v>
      </c>
      <c r="N816" s="10">
        <f>L816-M816</f>
        <v/>
      </c>
    </row>
    <row r="817">
      <c r="A817" s="7" t="inlineStr">
        <is>
          <t>ORD-05903</t>
        </is>
      </c>
      <c r="B817" s="8" t="n">
        <v>45139</v>
      </c>
      <c r="C817" s="9" t="n">
        <v>45139</v>
      </c>
      <c r="D817" s="7" t="n">
        <v>2023</v>
      </c>
      <c r="E817" s="7" t="inlineStr">
        <is>
          <t>East</t>
        </is>
      </c>
      <c r="F817" s="7" t="inlineStr">
        <is>
          <t>Technology</t>
        </is>
      </c>
      <c r="G817" s="7" t="inlineStr">
        <is>
          <t>Keyboard</t>
        </is>
      </c>
      <c r="H817" s="7" t="inlineStr">
        <is>
          <t>Home Office</t>
        </is>
      </c>
      <c r="I817" s="7" t="n">
        <v>3</v>
      </c>
      <c r="J817" s="10" t="n">
        <v>44.32</v>
      </c>
      <c r="K817" s="11" t="n">
        <v>0.05</v>
      </c>
      <c r="L817" s="10">
        <f>I817*J817*(1-K817)</f>
        <v/>
      </c>
      <c r="M817" s="10" t="n">
        <v>74.25</v>
      </c>
      <c r="N817" s="10">
        <f>L817-M817</f>
        <v/>
      </c>
    </row>
    <row r="818">
      <c r="A818" s="7" t="inlineStr">
        <is>
          <t>ORD-03391</t>
        </is>
      </c>
      <c r="B818" s="8" t="n">
        <v>45139</v>
      </c>
      <c r="C818" s="9" t="n">
        <v>45139</v>
      </c>
      <c r="D818" s="7" t="n">
        <v>2023</v>
      </c>
      <c r="E818" s="7" t="inlineStr">
        <is>
          <t>South</t>
        </is>
      </c>
      <c r="F818" s="7" t="inlineStr">
        <is>
          <t>Furniture</t>
        </is>
      </c>
      <c r="G818" s="7" t="inlineStr">
        <is>
          <t>Office Chair</t>
        </is>
      </c>
      <c r="H818" s="7" t="inlineStr">
        <is>
          <t>Consumer</t>
        </is>
      </c>
      <c r="I818" s="7" t="n">
        <v>2</v>
      </c>
      <c r="J818" s="10" t="n">
        <v>213.52</v>
      </c>
      <c r="K818" s="11" t="n">
        <v>0.05</v>
      </c>
      <c r="L818" s="10">
        <f>I818*J818*(1-K818)</f>
        <v/>
      </c>
      <c r="M818" s="10" t="n">
        <v>360.8</v>
      </c>
      <c r="N818" s="10">
        <f>L818-M818</f>
        <v/>
      </c>
    </row>
    <row r="819">
      <c r="A819" s="7" t="inlineStr">
        <is>
          <t>ORD-03225</t>
        </is>
      </c>
      <c r="B819" s="8" t="n">
        <v>45140</v>
      </c>
      <c r="C819" s="9" t="n">
        <v>45139</v>
      </c>
      <c r="D819" s="7" t="n">
        <v>2023</v>
      </c>
      <c r="E819" s="7" t="inlineStr">
        <is>
          <t>West</t>
        </is>
      </c>
      <c r="F819" s="7" t="inlineStr">
        <is>
          <t>Office Supplies</t>
        </is>
      </c>
      <c r="G819" s="7" t="inlineStr">
        <is>
          <t>Pens</t>
        </is>
      </c>
      <c r="H819" s="7" t="inlineStr">
        <is>
          <t>Corporate</t>
        </is>
      </c>
      <c r="I819" s="7" t="n">
        <v>3</v>
      </c>
      <c r="J819" s="10" t="n">
        <v>11.88</v>
      </c>
      <c r="K819" s="11" t="n">
        <v>0.1</v>
      </c>
      <c r="L819" s="10">
        <f>I819*J819*(1-K819)</f>
        <v/>
      </c>
      <c r="M819" s="10" t="n">
        <v>16.2</v>
      </c>
      <c r="N819" s="10">
        <f>L819-M819</f>
        <v/>
      </c>
    </row>
    <row r="820">
      <c r="A820" s="7" t="inlineStr">
        <is>
          <t>ORD-03978</t>
        </is>
      </c>
      <c r="B820" s="8" t="n">
        <v>45140</v>
      </c>
      <c r="C820" s="9" t="n">
        <v>45139</v>
      </c>
      <c r="D820" s="7" t="n">
        <v>2023</v>
      </c>
      <c r="E820" s="7" t="inlineStr">
        <is>
          <t>North</t>
        </is>
      </c>
      <c r="F820" s="7" t="inlineStr">
        <is>
          <t>Technology</t>
        </is>
      </c>
      <c r="G820" s="7" t="inlineStr">
        <is>
          <t>Smartphone</t>
        </is>
      </c>
      <c r="H820" s="7" t="inlineStr">
        <is>
          <t>Home Office</t>
        </is>
      </c>
      <c r="I820" s="7" t="n">
        <v>2</v>
      </c>
      <c r="J820" s="10" t="n">
        <v>571.05</v>
      </c>
      <c r="K820" s="11" t="n">
        <v>0</v>
      </c>
      <c r="L820" s="10">
        <f>I820*J820*(1-K820)</f>
        <v/>
      </c>
      <c r="M820" s="10" t="n">
        <v>900</v>
      </c>
      <c r="N820" s="10">
        <f>L820-M820</f>
        <v/>
      </c>
    </row>
    <row r="821">
      <c r="A821" s="7" t="inlineStr">
        <is>
          <t>ORD-02714</t>
        </is>
      </c>
      <c r="B821" s="8" t="n">
        <v>45140</v>
      </c>
      <c r="C821" s="9" t="n">
        <v>45139</v>
      </c>
      <c r="D821" s="7" t="n">
        <v>2023</v>
      </c>
      <c r="E821" s="7" t="inlineStr">
        <is>
          <t>South</t>
        </is>
      </c>
      <c r="F821" s="7" t="inlineStr">
        <is>
          <t>Office Supplies</t>
        </is>
      </c>
      <c r="G821" s="7" t="inlineStr">
        <is>
          <t>Binder</t>
        </is>
      </c>
      <c r="H821" s="7" t="inlineStr">
        <is>
          <t>Consumer</t>
        </is>
      </c>
      <c r="I821" s="7" t="n">
        <v>6</v>
      </c>
      <c r="J821" s="10" t="n">
        <v>7.82</v>
      </c>
      <c r="K821" s="11" t="n">
        <v>0.1</v>
      </c>
      <c r="L821" s="10">
        <f>I821*J821*(1-K821)</f>
        <v/>
      </c>
      <c r="M821" s="10" t="n">
        <v>19.2</v>
      </c>
      <c r="N821" s="10">
        <f>L821-M821</f>
        <v/>
      </c>
    </row>
    <row r="822">
      <c r="A822" s="7" t="inlineStr">
        <is>
          <t>ORD-00153</t>
        </is>
      </c>
      <c r="B822" s="8" t="n">
        <v>45141</v>
      </c>
      <c r="C822" s="9" t="n">
        <v>45139</v>
      </c>
      <c r="D822" s="7" t="n">
        <v>2023</v>
      </c>
      <c r="E822" s="7" t="inlineStr">
        <is>
          <t>East</t>
        </is>
      </c>
      <c r="F822" s="7" t="inlineStr">
        <is>
          <t>Technology</t>
        </is>
      </c>
      <c r="G822" s="7" t="inlineStr">
        <is>
          <t>Laptop</t>
        </is>
      </c>
      <c r="H822" s="7" t="inlineStr">
        <is>
          <t>Home Office</t>
        </is>
      </c>
      <c r="I822" s="7" t="n">
        <v>2</v>
      </c>
      <c r="J822" s="10" t="n">
        <v>874.5700000000001</v>
      </c>
      <c r="K822" s="11" t="n">
        <v>0.05</v>
      </c>
      <c r="L822" s="10">
        <f>I822*J822*(1-K822)</f>
        <v/>
      </c>
      <c r="M822" s="10" t="n">
        <v>1404</v>
      </c>
      <c r="N822" s="10">
        <f>L822-M822</f>
        <v/>
      </c>
    </row>
    <row r="823">
      <c r="A823" s="7" t="inlineStr">
        <is>
          <t>ORD-00059</t>
        </is>
      </c>
      <c r="B823" s="8" t="n">
        <v>45141</v>
      </c>
      <c r="C823" s="9" t="n">
        <v>45139</v>
      </c>
      <c r="D823" s="7" t="n">
        <v>2023</v>
      </c>
      <c r="E823" s="7" t="inlineStr">
        <is>
          <t>South</t>
        </is>
      </c>
      <c r="F823" s="7" t="inlineStr">
        <is>
          <t>Office Supplies</t>
        </is>
      </c>
      <c r="G823" s="7" t="inlineStr">
        <is>
          <t>Printer Ink</t>
        </is>
      </c>
      <c r="H823" s="7" t="inlineStr">
        <is>
          <t>Consumer</t>
        </is>
      </c>
      <c r="I823" s="7" t="n">
        <v>4</v>
      </c>
      <c r="J823" s="10" t="n">
        <v>57.01</v>
      </c>
      <c r="K823" s="11" t="n">
        <v>0.2</v>
      </c>
      <c r="L823" s="10">
        <f>I823*J823*(1-K823)</f>
        <v/>
      </c>
      <c r="M823" s="10" t="n">
        <v>144</v>
      </c>
      <c r="N823" s="10">
        <f>L823-M823</f>
        <v/>
      </c>
    </row>
    <row r="824">
      <c r="A824" s="7" t="inlineStr">
        <is>
          <t>ORD-00050</t>
        </is>
      </c>
      <c r="B824" s="8" t="n">
        <v>45141</v>
      </c>
      <c r="C824" s="9" t="n">
        <v>45139</v>
      </c>
      <c r="D824" s="7" t="n">
        <v>2023</v>
      </c>
      <c r="E824" s="7" t="inlineStr">
        <is>
          <t>East</t>
        </is>
      </c>
      <c r="F824" s="7" t="inlineStr">
        <is>
          <t>Office Supplies</t>
        </is>
      </c>
      <c r="G824" s="7" t="inlineStr">
        <is>
          <t>Paper</t>
        </is>
      </c>
      <c r="H824" s="7" t="inlineStr">
        <is>
          <t>Corporate</t>
        </is>
      </c>
      <c r="I824" s="7" t="n">
        <v>7</v>
      </c>
      <c r="J824" s="10" t="n">
        <v>25.39</v>
      </c>
      <c r="K824" s="11" t="n">
        <v>0</v>
      </c>
      <c r="L824" s="10">
        <f>I824*J824*(1-K824)</f>
        <v/>
      </c>
      <c r="M824" s="10" t="n">
        <v>87.5</v>
      </c>
      <c r="N824" s="10">
        <f>L824-M824</f>
        <v/>
      </c>
    </row>
    <row r="825">
      <c r="A825" s="7" t="inlineStr">
        <is>
          <t>ORD-00231</t>
        </is>
      </c>
      <c r="B825" s="8" t="n">
        <v>45141</v>
      </c>
      <c r="C825" s="9" t="n">
        <v>45139</v>
      </c>
      <c r="D825" s="7" t="n">
        <v>2023</v>
      </c>
      <c r="E825" s="7" t="inlineStr">
        <is>
          <t>North</t>
        </is>
      </c>
      <c r="F825" s="7" t="inlineStr">
        <is>
          <t>Technology</t>
        </is>
      </c>
      <c r="G825" s="7" t="inlineStr">
        <is>
          <t>Smartphone</t>
        </is>
      </c>
      <c r="H825" s="7" t="inlineStr">
        <is>
          <t>Corporate</t>
        </is>
      </c>
      <c r="I825" s="7" t="n">
        <v>3</v>
      </c>
      <c r="J825" s="10" t="n">
        <v>580.62</v>
      </c>
      <c r="K825" s="11" t="n">
        <v>0</v>
      </c>
      <c r="L825" s="10">
        <f>I825*J825*(1-K825)</f>
        <v/>
      </c>
      <c r="M825" s="10" t="n">
        <v>1350</v>
      </c>
      <c r="N825" s="10">
        <f>L825-M825</f>
        <v/>
      </c>
    </row>
    <row r="826">
      <c r="A826" s="7" t="inlineStr">
        <is>
          <t>ORD-01602</t>
        </is>
      </c>
      <c r="B826" s="8" t="n">
        <v>45141</v>
      </c>
      <c r="C826" s="9" t="n">
        <v>45139</v>
      </c>
      <c r="D826" s="7" t="n">
        <v>2023</v>
      </c>
      <c r="E826" s="7" t="inlineStr">
        <is>
          <t>North</t>
        </is>
      </c>
      <c r="F826" s="7" t="inlineStr">
        <is>
          <t>Office Supplies</t>
        </is>
      </c>
      <c r="G826" s="7" t="inlineStr">
        <is>
          <t>Stapler</t>
        </is>
      </c>
      <c r="H826" s="7" t="inlineStr">
        <is>
          <t>Consumer</t>
        </is>
      </c>
      <c r="I826" s="7" t="n">
        <v>6</v>
      </c>
      <c r="J826" s="10" t="n">
        <v>15.69</v>
      </c>
      <c r="K826" s="11" t="n">
        <v>0.1</v>
      </c>
      <c r="L826" s="10">
        <f>I826*J826*(1-K826)</f>
        <v/>
      </c>
      <c r="M826" s="10" t="n">
        <v>45</v>
      </c>
      <c r="N826" s="10">
        <f>L826-M826</f>
        <v/>
      </c>
    </row>
    <row r="827">
      <c r="A827" s="7" t="inlineStr">
        <is>
          <t>ORD-02013</t>
        </is>
      </c>
      <c r="B827" s="8" t="n">
        <v>45141</v>
      </c>
      <c r="C827" s="9" t="n">
        <v>45139</v>
      </c>
      <c r="D827" s="7" t="n">
        <v>2023</v>
      </c>
      <c r="E827" s="7" t="inlineStr">
        <is>
          <t>South</t>
        </is>
      </c>
      <c r="F827" s="7" t="inlineStr">
        <is>
          <t>Furniture</t>
        </is>
      </c>
      <c r="G827" s="7" t="inlineStr">
        <is>
          <t>Bookcase</t>
        </is>
      </c>
      <c r="H827" s="7" t="inlineStr">
        <is>
          <t>Corporate</t>
        </is>
      </c>
      <c r="I827" s="7" t="n">
        <v>4</v>
      </c>
      <c r="J827" s="10" t="n">
        <v>172.83</v>
      </c>
      <c r="K827" s="11" t="n">
        <v>0.3</v>
      </c>
      <c r="L827" s="10">
        <f>I827*J827*(1-K827)</f>
        <v/>
      </c>
      <c r="M827" s="10" t="n">
        <v>576</v>
      </c>
      <c r="N827" s="10">
        <f>L827-M827</f>
        <v/>
      </c>
    </row>
    <row r="828">
      <c r="A828" s="7" t="inlineStr">
        <is>
          <t>ORD-03270</t>
        </is>
      </c>
      <c r="B828" s="8" t="n">
        <v>45141</v>
      </c>
      <c r="C828" s="9" t="n">
        <v>45139</v>
      </c>
      <c r="D828" s="7" t="n">
        <v>2023</v>
      </c>
      <c r="E828" s="7" t="inlineStr">
        <is>
          <t>North</t>
        </is>
      </c>
      <c r="F828" s="7" t="inlineStr">
        <is>
          <t>Furniture</t>
        </is>
      </c>
      <c r="G828" s="7" t="inlineStr">
        <is>
          <t>Office Chair</t>
        </is>
      </c>
      <c r="H828" s="7" t="inlineStr">
        <is>
          <t>Consumer</t>
        </is>
      </c>
      <c r="I828" s="7" t="n">
        <v>3</v>
      </c>
      <c r="J828" s="10" t="n">
        <v>230.86</v>
      </c>
      <c r="K828" s="11" t="n">
        <v>0.2</v>
      </c>
      <c r="L828" s="10">
        <f>I828*J828*(1-K828)</f>
        <v/>
      </c>
      <c r="M828" s="10" t="n">
        <v>541.2</v>
      </c>
      <c r="N828" s="10">
        <f>L828-M828</f>
        <v/>
      </c>
    </row>
    <row r="829">
      <c r="A829" s="7" t="inlineStr">
        <is>
          <t>ORD-01368</t>
        </is>
      </c>
      <c r="B829" s="8" t="n">
        <v>45141</v>
      </c>
      <c r="C829" s="9" t="n">
        <v>45139</v>
      </c>
      <c r="D829" s="7" t="n">
        <v>2023</v>
      </c>
      <c r="E829" s="7" t="inlineStr">
        <is>
          <t>South</t>
        </is>
      </c>
      <c r="F829" s="7" t="inlineStr">
        <is>
          <t>Office Supplies</t>
        </is>
      </c>
      <c r="G829" s="7" t="inlineStr">
        <is>
          <t>Printer Ink</t>
        </is>
      </c>
      <c r="H829" s="7" t="inlineStr">
        <is>
          <t>Consumer</t>
        </is>
      </c>
      <c r="I829" s="7" t="n">
        <v>12</v>
      </c>
      <c r="J829" s="10" t="n">
        <v>57.78</v>
      </c>
      <c r="K829" s="11" t="n">
        <v>0.3</v>
      </c>
      <c r="L829" s="10">
        <f>I829*J829*(1-K829)</f>
        <v/>
      </c>
      <c r="M829" s="10" t="n">
        <v>432</v>
      </c>
      <c r="N829" s="10">
        <f>L829-M829</f>
        <v/>
      </c>
    </row>
    <row r="830">
      <c r="A830" s="7" t="inlineStr">
        <is>
          <t>ORD-00310</t>
        </is>
      </c>
      <c r="B830" s="8" t="n">
        <v>45141</v>
      </c>
      <c r="C830" s="9" t="n">
        <v>45139</v>
      </c>
      <c r="D830" s="7" t="n">
        <v>2023</v>
      </c>
      <c r="E830" s="7" t="inlineStr">
        <is>
          <t>South</t>
        </is>
      </c>
      <c r="F830" s="7" t="inlineStr">
        <is>
          <t>Technology</t>
        </is>
      </c>
      <c r="G830" s="7" t="inlineStr">
        <is>
          <t>Keyboard</t>
        </is>
      </c>
      <c r="H830" s="7" t="inlineStr">
        <is>
          <t>Consumer</t>
        </is>
      </c>
      <c r="I830" s="7" t="n">
        <v>1</v>
      </c>
      <c r="J830" s="10" t="n">
        <v>47.13</v>
      </c>
      <c r="K830" s="11" t="n">
        <v>0</v>
      </c>
      <c r="L830" s="10">
        <f>I830*J830*(1-K830)</f>
        <v/>
      </c>
      <c r="M830" s="10" t="n">
        <v>24.75</v>
      </c>
      <c r="N830" s="10">
        <f>L830-M830</f>
        <v/>
      </c>
    </row>
    <row r="831">
      <c r="A831" s="7" t="inlineStr">
        <is>
          <t>ORD-03572</t>
        </is>
      </c>
      <c r="B831" s="8" t="n">
        <v>45142</v>
      </c>
      <c r="C831" s="9" t="n">
        <v>45139</v>
      </c>
      <c r="D831" s="7" t="n">
        <v>2023</v>
      </c>
      <c r="E831" s="7" t="inlineStr">
        <is>
          <t>South</t>
        </is>
      </c>
      <c r="F831" s="7" t="inlineStr">
        <is>
          <t>Furniture</t>
        </is>
      </c>
      <c r="G831" s="7" t="inlineStr">
        <is>
          <t>Bookcase</t>
        </is>
      </c>
      <c r="H831" s="7" t="inlineStr">
        <is>
          <t>Home Office</t>
        </is>
      </c>
      <c r="I831" s="7" t="n">
        <v>3</v>
      </c>
      <c r="J831" s="10" t="n">
        <v>177.58</v>
      </c>
      <c r="K831" s="11" t="n">
        <v>0.3</v>
      </c>
      <c r="L831" s="10">
        <f>I831*J831*(1-K831)</f>
        <v/>
      </c>
      <c r="M831" s="10" t="n">
        <v>432</v>
      </c>
      <c r="N831" s="10">
        <f>L831-M831</f>
        <v/>
      </c>
    </row>
    <row r="832">
      <c r="A832" s="7" t="inlineStr">
        <is>
          <t>ORD-01757</t>
        </is>
      </c>
      <c r="B832" s="8" t="n">
        <v>45142</v>
      </c>
      <c r="C832" s="9" t="n">
        <v>45139</v>
      </c>
      <c r="D832" s="7" t="n">
        <v>2023</v>
      </c>
      <c r="E832" s="7" t="inlineStr">
        <is>
          <t>West</t>
        </is>
      </c>
      <c r="F832" s="7" t="inlineStr">
        <is>
          <t>Technology</t>
        </is>
      </c>
      <c r="G832" s="7" t="inlineStr">
        <is>
          <t>Monitor</t>
        </is>
      </c>
      <c r="H832" s="7" t="inlineStr">
        <is>
          <t>Home Office</t>
        </is>
      </c>
      <c r="I832" s="7" t="n">
        <v>1</v>
      </c>
      <c r="J832" s="10" t="n">
        <v>245.44</v>
      </c>
      <c r="K832" s="11" t="n">
        <v>0.2</v>
      </c>
      <c r="L832" s="10">
        <f>I832*J832*(1-K832)</f>
        <v/>
      </c>
      <c r="M832" s="10" t="n">
        <v>180</v>
      </c>
      <c r="N832" s="10">
        <f>L832-M832</f>
        <v/>
      </c>
    </row>
    <row r="833">
      <c r="A833" s="7" t="inlineStr">
        <is>
          <t>ORD-05468</t>
        </is>
      </c>
      <c r="B833" s="8" t="n">
        <v>45143</v>
      </c>
      <c r="C833" s="9" t="n">
        <v>45139</v>
      </c>
      <c r="D833" s="7" t="n">
        <v>2023</v>
      </c>
      <c r="E833" s="7" t="inlineStr">
        <is>
          <t>East</t>
        </is>
      </c>
      <c r="F833" s="7" t="inlineStr">
        <is>
          <t>Office Supplies</t>
        </is>
      </c>
      <c r="G833" s="7" t="inlineStr">
        <is>
          <t>Printer Ink</t>
        </is>
      </c>
      <c r="H833" s="7" t="inlineStr">
        <is>
          <t>Consumer</t>
        </is>
      </c>
      <c r="I833" s="7" t="n">
        <v>12</v>
      </c>
      <c r="J833" s="10" t="n">
        <v>62.2</v>
      </c>
      <c r="K833" s="11" t="n">
        <v>0</v>
      </c>
      <c r="L833" s="10">
        <f>I833*J833*(1-K833)</f>
        <v/>
      </c>
      <c r="M833" s="10" t="n">
        <v>432</v>
      </c>
      <c r="N833" s="10">
        <f>L833-M833</f>
        <v/>
      </c>
    </row>
    <row r="834">
      <c r="A834" s="7" t="inlineStr">
        <is>
          <t>ORD-04539</t>
        </is>
      </c>
      <c r="B834" s="8" t="n">
        <v>45143</v>
      </c>
      <c r="C834" s="9" t="n">
        <v>45139</v>
      </c>
      <c r="D834" s="7" t="n">
        <v>2023</v>
      </c>
      <c r="E834" s="7" t="inlineStr">
        <is>
          <t>East</t>
        </is>
      </c>
      <c r="F834" s="7" t="inlineStr">
        <is>
          <t>Office Supplies</t>
        </is>
      </c>
      <c r="G834" s="7" t="inlineStr">
        <is>
          <t>Pens</t>
        </is>
      </c>
      <c r="H834" s="7" t="inlineStr">
        <is>
          <t>Consumer</t>
        </is>
      </c>
      <c r="I834" s="7" t="n">
        <v>5</v>
      </c>
      <c r="J834" s="10" t="n">
        <v>11.43</v>
      </c>
      <c r="K834" s="11" t="n">
        <v>0</v>
      </c>
      <c r="L834" s="10">
        <f>I834*J834*(1-K834)</f>
        <v/>
      </c>
      <c r="M834" s="10" t="n">
        <v>27</v>
      </c>
      <c r="N834" s="10">
        <f>L834-M834</f>
        <v/>
      </c>
    </row>
    <row r="835">
      <c r="A835" s="7" t="inlineStr">
        <is>
          <t>ORD-03026</t>
        </is>
      </c>
      <c r="B835" s="8" t="n">
        <v>45143</v>
      </c>
      <c r="C835" s="9" t="n">
        <v>45139</v>
      </c>
      <c r="D835" s="7" t="n">
        <v>2023</v>
      </c>
      <c r="E835" s="7" t="inlineStr">
        <is>
          <t>East</t>
        </is>
      </c>
      <c r="F835" s="7" t="inlineStr">
        <is>
          <t>Furniture</t>
        </is>
      </c>
      <c r="G835" s="7" t="inlineStr">
        <is>
          <t>Sofa</t>
        </is>
      </c>
      <c r="H835" s="7" t="inlineStr">
        <is>
          <t>Corporate</t>
        </is>
      </c>
      <c r="I835" s="7" t="n">
        <v>3</v>
      </c>
      <c r="J835" s="10" t="n">
        <v>670.36</v>
      </c>
      <c r="K835" s="11" t="n">
        <v>0.3</v>
      </c>
      <c r="L835" s="10">
        <f>I835*J835*(1-K835)</f>
        <v/>
      </c>
      <c r="M835" s="10" t="n">
        <v>1848</v>
      </c>
      <c r="N835" s="10">
        <f>L835-M835</f>
        <v/>
      </c>
    </row>
    <row r="836">
      <c r="A836" s="7" t="inlineStr">
        <is>
          <t>ORD-02008</t>
        </is>
      </c>
      <c r="B836" s="8" t="n">
        <v>45143</v>
      </c>
      <c r="C836" s="9" t="n">
        <v>45139</v>
      </c>
      <c r="D836" s="7" t="n">
        <v>2023</v>
      </c>
      <c r="E836" s="7" t="inlineStr">
        <is>
          <t>South</t>
        </is>
      </c>
      <c r="F836" s="7" t="inlineStr">
        <is>
          <t>Office Supplies</t>
        </is>
      </c>
      <c r="G836" s="7" t="inlineStr">
        <is>
          <t>Paper</t>
        </is>
      </c>
      <c r="H836" s="7" t="inlineStr">
        <is>
          <t>Home Office</t>
        </is>
      </c>
      <c r="I836" s="7" t="n">
        <v>8</v>
      </c>
      <c r="J836" s="10" t="n">
        <v>23.94</v>
      </c>
      <c r="K836" s="11" t="n">
        <v>0.3</v>
      </c>
      <c r="L836" s="10">
        <f>I836*J836*(1-K836)</f>
        <v/>
      </c>
      <c r="M836" s="10" t="n">
        <v>100</v>
      </c>
      <c r="N836" s="10">
        <f>L836-M836</f>
        <v/>
      </c>
    </row>
    <row r="837">
      <c r="A837" s="7" t="inlineStr">
        <is>
          <t>ORD-00545</t>
        </is>
      </c>
      <c r="B837" s="8" t="n">
        <v>45143</v>
      </c>
      <c r="C837" s="9" t="n">
        <v>45139</v>
      </c>
      <c r="D837" s="7" t="n">
        <v>2023</v>
      </c>
      <c r="E837" s="7" t="inlineStr">
        <is>
          <t>West</t>
        </is>
      </c>
      <c r="F837" s="7" t="inlineStr">
        <is>
          <t>Office Supplies</t>
        </is>
      </c>
      <c r="G837" s="7" t="inlineStr">
        <is>
          <t>Pens</t>
        </is>
      </c>
      <c r="H837" s="7" t="inlineStr">
        <is>
          <t>Consumer</t>
        </is>
      </c>
      <c r="I837" s="7" t="n">
        <v>11</v>
      </c>
      <c r="J837" s="10" t="n">
        <v>12.03</v>
      </c>
      <c r="K837" s="11" t="n">
        <v>0</v>
      </c>
      <c r="L837" s="10">
        <f>I837*J837*(1-K837)</f>
        <v/>
      </c>
      <c r="M837" s="10" t="n">
        <v>59.4</v>
      </c>
      <c r="N837" s="10">
        <f>L837-M837</f>
        <v/>
      </c>
    </row>
    <row r="838">
      <c r="A838" s="7" t="inlineStr">
        <is>
          <t>ORD-03891</t>
        </is>
      </c>
      <c r="B838" s="8" t="n">
        <v>45144</v>
      </c>
      <c r="C838" s="9" t="n">
        <v>45139</v>
      </c>
      <c r="D838" s="7" t="n">
        <v>2023</v>
      </c>
      <c r="E838" s="7" t="inlineStr">
        <is>
          <t>East</t>
        </is>
      </c>
      <c r="F838" s="7" t="inlineStr">
        <is>
          <t>Technology</t>
        </is>
      </c>
      <c r="G838" s="7" t="inlineStr">
        <is>
          <t>Monitor</t>
        </is>
      </c>
      <c r="H838" s="7" t="inlineStr">
        <is>
          <t>Consumer</t>
        </is>
      </c>
      <c r="I838" s="7" t="n">
        <v>3</v>
      </c>
      <c r="J838" s="10" t="n">
        <v>256.79</v>
      </c>
      <c r="K838" s="11" t="n">
        <v>0.1</v>
      </c>
      <c r="L838" s="10">
        <f>I838*J838*(1-K838)</f>
        <v/>
      </c>
      <c r="M838" s="10" t="n">
        <v>540</v>
      </c>
      <c r="N838" s="10">
        <f>L838-M838</f>
        <v/>
      </c>
    </row>
    <row r="839">
      <c r="A839" s="7" t="inlineStr">
        <is>
          <t>ORD-05363</t>
        </is>
      </c>
      <c r="B839" s="8" t="n">
        <v>45144</v>
      </c>
      <c r="C839" s="9" t="n">
        <v>45139</v>
      </c>
      <c r="D839" s="7" t="n">
        <v>2023</v>
      </c>
      <c r="E839" s="7" t="inlineStr">
        <is>
          <t>North</t>
        </is>
      </c>
      <c r="F839" s="7" t="inlineStr">
        <is>
          <t>Office Supplies</t>
        </is>
      </c>
      <c r="G839" s="7" t="inlineStr">
        <is>
          <t>Pens</t>
        </is>
      </c>
      <c r="H839" s="7" t="inlineStr">
        <is>
          <t>Consumer</t>
        </is>
      </c>
      <c r="I839" s="7" t="n">
        <v>2</v>
      </c>
      <c r="J839" s="10" t="n">
        <v>12.31</v>
      </c>
      <c r="K839" s="11" t="n">
        <v>0.05</v>
      </c>
      <c r="L839" s="10">
        <f>I839*J839*(1-K839)</f>
        <v/>
      </c>
      <c r="M839" s="10" t="n">
        <v>10.8</v>
      </c>
      <c r="N839" s="10">
        <f>L839-M839</f>
        <v/>
      </c>
    </row>
    <row r="840">
      <c r="A840" s="7" t="inlineStr">
        <is>
          <t>ORD-04676</t>
        </is>
      </c>
      <c r="B840" s="8" t="n">
        <v>45144</v>
      </c>
      <c r="C840" s="9" t="n">
        <v>45139</v>
      </c>
      <c r="D840" s="7" t="n">
        <v>2023</v>
      </c>
      <c r="E840" s="7" t="inlineStr">
        <is>
          <t>East</t>
        </is>
      </c>
      <c r="F840" s="7" t="inlineStr">
        <is>
          <t>Furniture</t>
        </is>
      </c>
      <c r="G840" s="7" t="inlineStr">
        <is>
          <t>Office Chair</t>
        </is>
      </c>
      <c r="H840" s="7" t="inlineStr">
        <is>
          <t>Home Office</t>
        </is>
      </c>
      <c r="I840" s="7" t="n">
        <v>3</v>
      </c>
      <c r="J840" s="10" t="n">
        <v>224.82</v>
      </c>
      <c r="K840" s="11" t="n">
        <v>0.2</v>
      </c>
      <c r="L840" s="10">
        <f>I840*J840*(1-K840)</f>
        <v/>
      </c>
      <c r="M840" s="10" t="n">
        <v>541.2</v>
      </c>
      <c r="N840" s="10">
        <f>L840-M840</f>
        <v/>
      </c>
    </row>
    <row r="841">
      <c r="A841" s="7" t="inlineStr">
        <is>
          <t>ORD-02184</t>
        </is>
      </c>
      <c r="B841" s="8" t="n">
        <v>45144</v>
      </c>
      <c r="C841" s="9" t="n">
        <v>45139</v>
      </c>
      <c r="D841" s="7" t="n">
        <v>2023</v>
      </c>
      <c r="E841" s="7" t="inlineStr">
        <is>
          <t>West</t>
        </is>
      </c>
      <c r="F841" s="7" t="inlineStr">
        <is>
          <t>Office Supplies</t>
        </is>
      </c>
      <c r="G841" s="7" t="inlineStr">
        <is>
          <t>Printer Ink</t>
        </is>
      </c>
      <c r="H841" s="7" t="inlineStr">
        <is>
          <t>Consumer</t>
        </is>
      </c>
      <c r="I841" s="7" t="n">
        <v>2</v>
      </c>
      <c r="J841" s="10" t="n">
        <v>57.46</v>
      </c>
      <c r="K841" s="11" t="n">
        <v>0.05</v>
      </c>
      <c r="L841" s="10">
        <f>I841*J841*(1-K841)</f>
        <v/>
      </c>
      <c r="M841" s="10" t="n">
        <v>72</v>
      </c>
      <c r="N841" s="10">
        <f>L841-M841</f>
        <v/>
      </c>
    </row>
    <row r="842">
      <c r="A842" s="7" t="inlineStr">
        <is>
          <t>ORD-05757</t>
        </is>
      </c>
      <c r="B842" s="8" t="n">
        <v>45145</v>
      </c>
      <c r="C842" s="9" t="n">
        <v>45139</v>
      </c>
      <c r="D842" s="7" t="n">
        <v>2023</v>
      </c>
      <c r="E842" s="7" t="inlineStr">
        <is>
          <t>North</t>
        </is>
      </c>
      <c r="F842" s="7" t="inlineStr">
        <is>
          <t>Office Supplies</t>
        </is>
      </c>
      <c r="G842" s="7" t="inlineStr">
        <is>
          <t>Paper</t>
        </is>
      </c>
      <c r="H842" s="7" t="inlineStr">
        <is>
          <t>Consumer</t>
        </is>
      </c>
      <c r="I842" s="7" t="n">
        <v>13</v>
      </c>
      <c r="J842" s="10" t="n">
        <v>24.99</v>
      </c>
      <c r="K842" s="11" t="n">
        <v>0.05</v>
      </c>
      <c r="L842" s="10">
        <f>I842*J842*(1-K842)</f>
        <v/>
      </c>
      <c r="M842" s="10" t="n">
        <v>162.5</v>
      </c>
      <c r="N842" s="10">
        <f>L842-M842</f>
        <v/>
      </c>
    </row>
    <row r="843">
      <c r="A843" s="7" t="inlineStr">
        <is>
          <t>ORD-03163</t>
        </is>
      </c>
      <c r="B843" s="8" t="n">
        <v>45145</v>
      </c>
      <c r="C843" s="9" t="n">
        <v>45139</v>
      </c>
      <c r="D843" s="7" t="n">
        <v>2023</v>
      </c>
      <c r="E843" s="7" t="inlineStr">
        <is>
          <t>South</t>
        </is>
      </c>
      <c r="F843" s="7" t="inlineStr">
        <is>
          <t>Office Supplies</t>
        </is>
      </c>
      <c r="G843" s="7" t="inlineStr">
        <is>
          <t>Paper</t>
        </is>
      </c>
      <c r="H843" s="7" t="inlineStr">
        <is>
          <t>Corporate</t>
        </is>
      </c>
      <c r="I843" s="7" t="n">
        <v>2</v>
      </c>
      <c r="J843" s="10" t="n">
        <v>25.96</v>
      </c>
      <c r="K843" s="11" t="n">
        <v>0</v>
      </c>
      <c r="L843" s="10">
        <f>I843*J843*(1-K843)</f>
        <v/>
      </c>
      <c r="M843" s="10" t="n">
        <v>25</v>
      </c>
      <c r="N843" s="10">
        <f>L843-M843</f>
        <v/>
      </c>
    </row>
    <row r="844">
      <c r="A844" s="7" t="inlineStr">
        <is>
          <t>ORD-02477</t>
        </is>
      </c>
      <c r="B844" s="8" t="n">
        <v>45145</v>
      </c>
      <c r="C844" s="9" t="n">
        <v>45139</v>
      </c>
      <c r="D844" s="7" t="n">
        <v>2023</v>
      </c>
      <c r="E844" s="7" t="inlineStr">
        <is>
          <t>South</t>
        </is>
      </c>
      <c r="F844" s="7" t="inlineStr">
        <is>
          <t>Office Supplies</t>
        </is>
      </c>
      <c r="G844" s="7" t="inlineStr">
        <is>
          <t>Stapler</t>
        </is>
      </c>
      <c r="H844" s="7" t="inlineStr">
        <is>
          <t>Consumer</t>
        </is>
      </c>
      <c r="I844" s="7" t="n">
        <v>15</v>
      </c>
      <c r="J844" s="10" t="n">
        <v>14.31</v>
      </c>
      <c r="K844" s="11" t="n">
        <v>0.05</v>
      </c>
      <c r="L844" s="10">
        <f>I844*J844*(1-K844)</f>
        <v/>
      </c>
      <c r="M844" s="10" t="n">
        <v>112.5</v>
      </c>
      <c r="N844" s="10">
        <f>L844-M844</f>
        <v/>
      </c>
    </row>
    <row r="845">
      <c r="A845" s="7" t="inlineStr">
        <is>
          <t>ORD-00417</t>
        </is>
      </c>
      <c r="B845" s="8" t="n">
        <v>45145</v>
      </c>
      <c r="C845" s="9" t="n">
        <v>45139</v>
      </c>
      <c r="D845" s="7" t="n">
        <v>2023</v>
      </c>
      <c r="E845" s="7" t="inlineStr">
        <is>
          <t>East</t>
        </is>
      </c>
      <c r="F845" s="7" t="inlineStr">
        <is>
          <t>Technology</t>
        </is>
      </c>
      <c r="G845" s="7" t="inlineStr">
        <is>
          <t>Keyboard</t>
        </is>
      </c>
      <c r="H845" s="7" t="inlineStr">
        <is>
          <t>Home Office</t>
        </is>
      </c>
      <c r="I845" s="7" t="n">
        <v>2</v>
      </c>
      <c r="J845" s="10" t="n">
        <v>46.34</v>
      </c>
      <c r="K845" s="11" t="n">
        <v>0.05</v>
      </c>
      <c r="L845" s="10">
        <f>I845*J845*(1-K845)</f>
        <v/>
      </c>
      <c r="M845" s="10" t="n">
        <v>49.5</v>
      </c>
      <c r="N845" s="10">
        <f>L845-M845</f>
        <v/>
      </c>
    </row>
    <row r="846">
      <c r="A846" s="7" t="inlineStr">
        <is>
          <t>ORD-05488</t>
        </is>
      </c>
      <c r="B846" s="8" t="n">
        <v>45145</v>
      </c>
      <c r="C846" s="9" t="n">
        <v>45139</v>
      </c>
      <c r="D846" s="7" t="n">
        <v>2023</v>
      </c>
      <c r="E846" s="7" t="inlineStr">
        <is>
          <t>North</t>
        </is>
      </c>
      <c r="F846" s="7" t="inlineStr">
        <is>
          <t>Office Supplies</t>
        </is>
      </c>
      <c r="G846" s="7" t="inlineStr">
        <is>
          <t>Pens</t>
        </is>
      </c>
      <c r="H846" s="7" t="inlineStr">
        <is>
          <t>Consumer</t>
        </is>
      </c>
      <c r="I846" s="7" t="n">
        <v>9</v>
      </c>
      <c r="J846" s="10" t="n">
        <v>11.47</v>
      </c>
      <c r="K846" s="11" t="n">
        <v>0.3</v>
      </c>
      <c r="L846" s="10">
        <f>I846*J846*(1-K846)</f>
        <v/>
      </c>
      <c r="M846" s="10" t="n">
        <v>48.6</v>
      </c>
      <c r="N846" s="10">
        <f>L846-M846</f>
        <v/>
      </c>
    </row>
    <row r="847">
      <c r="A847" s="7" t="inlineStr">
        <is>
          <t>ORD-03607</t>
        </is>
      </c>
      <c r="B847" s="8" t="n">
        <v>45145</v>
      </c>
      <c r="C847" s="9" t="n">
        <v>45139</v>
      </c>
      <c r="D847" s="7" t="n">
        <v>2023</v>
      </c>
      <c r="E847" s="7" t="inlineStr">
        <is>
          <t>East</t>
        </is>
      </c>
      <c r="F847" s="7" t="inlineStr">
        <is>
          <t>Office Supplies</t>
        </is>
      </c>
      <c r="G847" s="7" t="inlineStr">
        <is>
          <t>Paper</t>
        </is>
      </c>
      <c r="H847" s="7" t="inlineStr">
        <is>
          <t>Consumer</t>
        </is>
      </c>
      <c r="I847" s="7" t="n">
        <v>3</v>
      </c>
      <c r="J847" s="10" t="n">
        <v>24.16</v>
      </c>
      <c r="K847" s="11" t="n">
        <v>0.05</v>
      </c>
      <c r="L847" s="10">
        <f>I847*J847*(1-K847)</f>
        <v/>
      </c>
      <c r="M847" s="10" t="n">
        <v>37.5</v>
      </c>
      <c r="N847" s="10">
        <f>L847-M847</f>
        <v/>
      </c>
    </row>
    <row r="848">
      <c r="A848" s="7" t="inlineStr">
        <is>
          <t>ORD-03901</t>
        </is>
      </c>
      <c r="B848" s="8" t="n">
        <v>45146</v>
      </c>
      <c r="C848" s="9" t="n">
        <v>45139</v>
      </c>
      <c r="D848" s="7" t="n">
        <v>2023</v>
      </c>
      <c r="E848" s="7" t="inlineStr">
        <is>
          <t>West</t>
        </is>
      </c>
      <c r="F848" s="7" t="inlineStr">
        <is>
          <t>Technology</t>
        </is>
      </c>
      <c r="G848" s="7" t="inlineStr">
        <is>
          <t>Monitor</t>
        </is>
      </c>
      <c r="H848" s="7" t="inlineStr">
        <is>
          <t>Consumer</t>
        </is>
      </c>
      <c r="I848" s="7" t="n">
        <v>1</v>
      </c>
      <c r="J848" s="10" t="n">
        <v>254.84</v>
      </c>
      <c r="K848" s="11" t="n">
        <v>0</v>
      </c>
      <c r="L848" s="10">
        <f>I848*J848*(1-K848)</f>
        <v/>
      </c>
      <c r="M848" s="10" t="n">
        <v>180</v>
      </c>
      <c r="N848" s="10">
        <f>L848-M848</f>
        <v/>
      </c>
    </row>
    <row r="849">
      <c r="A849" s="7" t="inlineStr">
        <is>
          <t>ORD-03970</t>
        </is>
      </c>
      <c r="B849" s="8" t="n">
        <v>45146</v>
      </c>
      <c r="C849" s="9" t="n">
        <v>45139</v>
      </c>
      <c r="D849" s="7" t="n">
        <v>2023</v>
      </c>
      <c r="E849" s="7" t="inlineStr">
        <is>
          <t>East</t>
        </is>
      </c>
      <c r="F849" s="7" t="inlineStr">
        <is>
          <t>Technology</t>
        </is>
      </c>
      <c r="G849" s="7" t="inlineStr">
        <is>
          <t>Headphones</t>
        </is>
      </c>
      <c r="H849" s="7" t="inlineStr">
        <is>
          <t>Corporate</t>
        </is>
      </c>
      <c r="I849" s="7" t="n">
        <v>1</v>
      </c>
      <c r="J849" s="10" t="n">
        <v>119.32</v>
      </c>
      <c r="K849" s="11" t="n">
        <v>0</v>
      </c>
      <c r="L849" s="10">
        <f>I849*J849*(1-K849)</f>
        <v/>
      </c>
      <c r="M849" s="10" t="n">
        <v>72</v>
      </c>
      <c r="N849" s="10">
        <f>L849-M849</f>
        <v/>
      </c>
    </row>
    <row r="850">
      <c r="A850" s="7" t="inlineStr">
        <is>
          <t>ORD-00204</t>
        </is>
      </c>
      <c r="B850" s="8" t="n">
        <v>45146</v>
      </c>
      <c r="C850" s="9" t="n">
        <v>45139</v>
      </c>
      <c r="D850" s="7" t="n">
        <v>2023</v>
      </c>
      <c r="E850" s="7" t="inlineStr">
        <is>
          <t>West</t>
        </is>
      </c>
      <c r="F850" s="7" t="inlineStr">
        <is>
          <t>Technology</t>
        </is>
      </c>
      <c r="G850" s="7" t="inlineStr">
        <is>
          <t>Smartphone</t>
        </is>
      </c>
      <c r="H850" s="7" t="inlineStr">
        <is>
          <t>Home Office</t>
        </is>
      </c>
      <c r="I850" s="7" t="n">
        <v>1</v>
      </c>
      <c r="J850" s="10" t="n">
        <v>615.22</v>
      </c>
      <c r="K850" s="11" t="n">
        <v>0</v>
      </c>
      <c r="L850" s="10">
        <f>I850*J850*(1-K850)</f>
        <v/>
      </c>
      <c r="M850" s="10" t="n">
        <v>450</v>
      </c>
      <c r="N850" s="10">
        <f>L850-M850</f>
        <v/>
      </c>
    </row>
    <row r="851">
      <c r="A851" s="7" t="inlineStr">
        <is>
          <t>ORD-00806</t>
        </is>
      </c>
      <c r="B851" s="8" t="n">
        <v>45146</v>
      </c>
      <c r="C851" s="9" t="n">
        <v>45139</v>
      </c>
      <c r="D851" s="7" t="n">
        <v>2023</v>
      </c>
      <c r="E851" s="7" t="inlineStr">
        <is>
          <t>South</t>
        </is>
      </c>
      <c r="F851" s="7" t="inlineStr">
        <is>
          <t>Office Supplies</t>
        </is>
      </c>
      <c r="G851" s="7" t="inlineStr">
        <is>
          <t>Paper</t>
        </is>
      </c>
      <c r="H851" s="7" t="inlineStr">
        <is>
          <t>Consumer</t>
        </is>
      </c>
      <c r="I851" s="7" t="n">
        <v>3</v>
      </c>
      <c r="J851" s="10" t="n">
        <v>24.3</v>
      </c>
      <c r="K851" s="11" t="n">
        <v>0.1</v>
      </c>
      <c r="L851" s="10">
        <f>I851*J851*(1-K851)</f>
        <v/>
      </c>
      <c r="M851" s="10" t="n">
        <v>37.5</v>
      </c>
      <c r="N851" s="10">
        <f>L851-M851</f>
        <v/>
      </c>
    </row>
    <row r="852">
      <c r="A852" s="7" t="inlineStr">
        <is>
          <t>ORD-00264</t>
        </is>
      </c>
      <c r="B852" s="8" t="n">
        <v>45146</v>
      </c>
      <c r="C852" s="9" t="n">
        <v>45139</v>
      </c>
      <c r="D852" s="7" t="n">
        <v>2023</v>
      </c>
      <c r="E852" s="7" t="inlineStr">
        <is>
          <t>South</t>
        </is>
      </c>
      <c r="F852" s="7" t="inlineStr">
        <is>
          <t>Office Supplies</t>
        </is>
      </c>
      <c r="G852" s="7" t="inlineStr">
        <is>
          <t>Paper</t>
        </is>
      </c>
      <c r="H852" s="7" t="inlineStr">
        <is>
          <t>Consumer</t>
        </is>
      </c>
      <c r="I852" s="7" t="n">
        <v>2</v>
      </c>
      <c r="J852" s="10" t="n">
        <v>23.88</v>
      </c>
      <c r="K852" s="11" t="n">
        <v>0</v>
      </c>
      <c r="L852" s="10">
        <f>I852*J852*(1-K852)</f>
        <v/>
      </c>
      <c r="M852" s="10" t="n">
        <v>25</v>
      </c>
      <c r="N852" s="10">
        <f>L852-M852</f>
        <v/>
      </c>
    </row>
    <row r="853">
      <c r="A853" s="7" t="inlineStr">
        <is>
          <t>ORD-03189</t>
        </is>
      </c>
      <c r="B853" s="8" t="n">
        <v>45146</v>
      </c>
      <c r="C853" s="9" t="n">
        <v>45139</v>
      </c>
      <c r="D853" s="7" t="n">
        <v>2023</v>
      </c>
      <c r="E853" s="7" t="inlineStr">
        <is>
          <t>South</t>
        </is>
      </c>
      <c r="F853" s="7" t="inlineStr">
        <is>
          <t>Office Supplies</t>
        </is>
      </c>
      <c r="G853" s="7" t="inlineStr">
        <is>
          <t>Paper</t>
        </is>
      </c>
      <c r="H853" s="7" t="inlineStr">
        <is>
          <t>Consumer</t>
        </is>
      </c>
      <c r="I853" s="7" t="n">
        <v>15</v>
      </c>
      <c r="J853" s="10" t="n">
        <v>25.85</v>
      </c>
      <c r="K853" s="11" t="n">
        <v>0.2</v>
      </c>
      <c r="L853" s="10">
        <f>I853*J853*(1-K853)</f>
        <v/>
      </c>
      <c r="M853" s="10" t="n">
        <v>187.5</v>
      </c>
      <c r="N853" s="10">
        <f>L853-M853</f>
        <v/>
      </c>
    </row>
    <row r="854">
      <c r="A854" s="7" t="inlineStr">
        <is>
          <t>ORD-01151</t>
        </is>
      </c>
      <c r="B854" s="8" t="n">
        <v>45146</v>
      </c>
      <c r="C854" s="9" t="n">
        <v>45139</v>
      </c>
      <c r="D854" s="7" t="n">
        <v>2023</v>
      </c>
      <c r="E854" s="7" t="inlineStr">
        <is>
          <t>East</t>
        </is>
      </c>
      <c r="F854" s="7" t="inlineStr">
        <is>
          <t>Furniture</t>
        </is>
      </c>
      <c r="G854" s="7" t="inlineStr">
        <is>
          <t>Bookcase</t>
        </is>
      </c>
      <c r="H854" s="7" t="inlineStr">
        <is>
          <t>Corporate</t>
        </is>
      </c>
      <c r="I854" s="7" t="n">
        <v>3</v>
      </c>
      <c r="J854" s="10" t="n">
        <v>176.9</v>
      </c>
      <c r="K854" s="11" t="n">
        <v>0.1</v>
      </c>
      <c r="L854" s="10">
        <f>I854*J854*(1-K854)</f>
        <v/>
      </c>
      <c r="M854" s="10" t="n">
        <v>432</v>
      </c>
      <c r="N854" s="10">
        <f>L854-M854</f>
        <v/>
      </c>
    </row>
    <row r="855">
      <c r="A855" s="7" t="inlineStr">
        <is>
          <t>ORD-00128</t>
        </is>
      </c>
      <c r="B855" s="8" t="n">
        <v>45147</v>
      </c>
      <c r="C855" s="9" t="n">
        <v>45139</v>
      </c>
      <c r="D855" s="7" t="n">
        <v>2023</v>
      </c>
      <c r="E855" s="7" t="inlineStr">
        <is>
          <t>West</t>
        </is>
      </c>
      <c r="F855" s="7" t="inlineStr">
        <is>
          <t>Technology</t>
        </is>
      </c>
      <c r="G855" s="7" t="inlineStr">
        <is>
          <t>Keyboard</t>
        </is>
      </c>
      <c r="H855" s="7" t="inlineStr">
        <is>
          <t>Corporate</t>
        </is>
      </c>
      <c r="I855" s="7" t="n">
        <v>1</v>
      </c>
      <c r="J855" s="10" t="n">
        <v>44.26</v>
      </c>
      <c r="K855" s="11" t="n">
        <v>0</v>
      </c>
      <c r="L855" s="10">
        <f>I855*J855*(1-K855)</f>
        <v/>
      </c>
      <c r="M855" s="10" t="n">
        <v>24.75</v>
      </c>
      <c r="N855" s="10">
        <f>L855-M855</f>
        <v/>
      </c>
    </row>
    <row r="856">
      <c r="A856" s="7" t="inlineStr">
        <is>
          <t>ORD-02606</t>
        </is>
      </c>
      <c r="B856" s="8" t="n">
        <v>45147</v>
      </c>
      <c r="C856" s="9" t="n">
        <v>45139</v>
      </c>
      <c r="D856" s="7" t="n">
        <v>2023</v>
      </c>
      <c r="E856" s="7" t="inlineStr">
        <is>
          <t>East</t>
        </is>
      </c>
      <c r="F856" s="7" t="inlineStr">
        <is>
          <t>Office Supplies</t>
        </is>
      </c>
      <c r="G856" s="7" t="inlineStr">
        <is>
          <t>Binder</t>
        </is>
      </c>
      <c r="H856" s="7" t="inlineStr">
        <is>
          <t>Home Office</t>
        </is>
      </c>
      <c r="I856" s="7" t="n">
        <v>11</v>
      </c>
      <c r="J856" s="10" t="n">
        <v>8.32</v>
      </c>
      <c r="K856" s="11" t="n">
        <v>0.1</v>
      </c>
      <c r="L856" s="10">
        <f>I856*J856*(1-K856)</f>
        <v/>
      </c>
      <c r="M856" s="10" t="n">
        <v>35.2</v>
      </c>
      <c r="N856" s="10">
        <f>L856-M856</f>
        <v/>
      </c>
    </row>
    <row r="857">
      <c r="A857" s="7" t="inlineStr">
        <is>
          <t>ORD-05325</t>
        </is>
      </c>
      <c r="B857" s="8" t="n">
        <v>45148</v>
      </c>
      <c r="C857" s="9" t="n">
        <v>45139</v>
      </c>
      <c r="D857" s="7" t="n">
        <v>2023</v>
      </c>
      <c r="E857" s="7" t="inlineStr">
        <is>
          <t>West</t>
        </is>
      </c>
      <c r="F857" s="7" t="inlineStr">
        <is>
          <t>Furniture</t>
        </is>
      </c>
      <c r="G857" s="7" t="inlineStr">
        <is>
          <t>Bookcase</t>
        </is>
      </c>
      <c r="H857" s="7" t="inlineStr">
        <is>
          <t>Consumer</t>
        </is>
      </c>
      <c r="I857" s="7" t="n">
        <v>4</v>
      </c>
      <c r="J857" s="10" t="n">
        <v>178.22</v>
      </c>
      <c r="K857" s="11" t="n">
        <v>0</v>
      </c>
      <c r="L857" s="10">
        <f>I857*J857*(1-K857)</f>
        <v/>
      </c>
      <c r="M857" s="10" t="n">
        <v>576</v>
      </c>
      <c r="N857" s="10">
        <f>L857-M857</f>
        <v/>
      </c>
    </row>
    <row r="858">
      <c r="A858" s="7" t="inlineStr">
        <is>
          <t>ORD-03972</t>
        </is>
      </c>
      <c r="B858" s="8" t="n">
        <v>45148</v>
      </c>
      <c r="C858" s="9" t="n">
        <v>45139</v>
      </c>
      <c r="D858" s="7" t="n">
        <v>2023</v>
      </c>
      <c r="E858" s="7" t="inlineStr">
        <is>
          <t>West</t>
        </is>
      </c>
      <c r="F858" s="7" t="inlineStr">
        <is>
          <t>Technology</t>
        </is>
      </c>
      <c r="G858" s="7" t="inlineStr">
        <is>
          <t>Monitor</t>
        </is>
      </c>
      <c r="H858" s="7" t="inlineStr">
        <is>
          <t>Corporate</t>
        </is>
      </c>
      <c r="I858" s="7" t="n">
        <v>3</v>
      </c>
      <c r="J858" s="10" t="n">
        <v>255.03</v>
      </c>
      <c r="K858" s="11" t="n">
        <v>0.1</v>
      </c>
      <c r="L858" s="10">
        <f>I858*J858*(1-K858)</f>
        <v/>
      </c>
      <c r="M858" s="10" t="n">
        <v>540</v>
      </c>
      <c r="N858" s="10">
        <f>L858-M858</f>
        <v/>
      </c>
    </row>
    <row r="859">
      <c r="A859" s="7" t="inlineStr">
        <is>
          <t>ORD-00462</t>
        </is>
      </c>
      <c r="B859" s="8" t="n">
        <v>45148</v>
      </c>
      <c r="C859" s="9" t="n">
        <v>45139</v>
      </c>
      <c r="D859" s="7" t="n">
        <v>2023</v>
      </c>
      <c r="E859" s="7" t="inlineStr">
        <is>
          <t>South</t>
        </is>
      </c>
      <c r="F859" s="7" t="inlineStr">
        <is>
          <t>Furniture</t>
        </is>
      </c>
      <c r="G859" s="7" t="inlineStr">
        <is>
          <t>Bookcase</t>
        </is>
      </c>
      <c r="H859" s="7" t="inlineStr">
        <is>
          <t>Consumer</t>
        </is>
      </c>
      <c r="I859" s="7" t="n">
        <v>1</v>
      </c>
      <c r="J859" s="10" t="n">
        <v>174.81</v>
      </c>
      <c r="K859" s="11" t="n">
        <v>0</v>
      </c>
      <c r="L859" s="10">
        <f>I859*J859*(1-K859)</f>
        <v/>
      </c>
      <c r="M859" s="10" t="n">
        <v>144</v>
      </c>
      <c r="N859" s="10">
        <f>L859-M859</f>
        <v/>
      </c>
    </row>
    <row r="860">
      <c r="A860" s="7" t="inlineStr">
        <is>
          <t>ORD-05371</t>
        </is>
      </c>
      <c r="B860" s="8" t="n">
        <v>45148</v>
      </c>
      <c r="C860" s="9" t="n">
        <v>45139</v>
      </c>
      <c r="D860" s="7" t="n">
        <v>2023</v>
      </c>
      <c r="E860" s="7" t="inlineStr">
        <is>
          <t>West</t>
        </is>
      </c>
      <c r="F860" s="7" t="inlineStr">
        <is>
          <t>Technology</t>
        </is>
      </c>
      <c r="G860" s="7" t="inlineStr">
        <is>
          <t>Smartphone</t>
        </is>
      </c>
      <c r="H860" s="7" t="inlineStr">
        <is>
          <t>Consumer</t>
        </is>
      </c>
      <c r="I860" s="7" t="n">
        <v>3</v>
      </c>
      <c r="J860" s="10" t="n">
        <v>577.17</v>
      </c>
      <c r="K860" s="11" t="n">
        <v>0</v>
      </c>
      <c r="L860" s="10">
        <f>I860*J860*(1-K860)</f>
        <v/>
      </c>
      <c r="M860" s="10" t="n">
        <v>1350</v>
      </c>
      <c r="N860" s="10">
        <f>L860-M860</f>
        <v/>
      </c>
    </row>
    <row r="861">
      <c r="A861" s="7" t="inlineStr">
        <is>
          <t>ORD-05064</t>
        </is>
      </c>
      <c r="B861" s="8" t="n">
        <v>45148</v>
      </c>
      <c r="C861" s="9" t="n">
        <v>45139</v>
      </c>
      <c r="D861" s="7" t="n">
        <v>2023</v>
      </c>
      <c r="E861" s="7" t="inlineStr">
        <is>
          <t>West</t>
        </is>
      </c>
      <c r="F861" s="7" t="inlineStr">
        <is>
          <t>Office Supplies</t>
        </is>
      </c>
      <c r="G861" s="7" t="inlineStr">
        <is>
          <t>Pens</t>
        </is>
      </c>
      <c r="H861" s="7" t="inlineStr">
        <is>
          <t>Corporate</t>
        </is>
      </c>
      <c r="I861" s="7" t="n">
        <v>6</v>
      </c>
      <c r="J861" s="10" t="n">
        <v>11.89</v>
      </c>
      <c r="K861" s="11" t="n">
        <v>0</v>
      </c>
      <c r="L861" s="10">
        <f>I861*J861*(1-K861)</f>
        <v/>
      </c>
      <c r="M861" s="10" t="n">
        <v>32.4</v>
      </c>
      <c r="N861" s="10">
        <f>L861-M861</f>
        <v/>
      </c>
    </row>
    <row r="862">
      <c r="A862" s="7" t="inlineStr">
        <is>
          <t>ORD-00261</t>
        </is>
      </c>
      <c r="B862" s="8" t="n">
        <v>45149</v>
      </c>
      <c r="C862" s="9" t="n">
        <v>45139</v>
      </c>
      <c r="D862" s="7" t="n">
        <v>2023</v>
      </c>
      <c r="E862" s="7" t="inlineStr">
        <is>
          <t>North</t>
        </is>
      </c>
      <c r="F862" s="7" t="inlineStr">
        <is>
          <t>Office Supplies</t>
        </is>
      </c>
      <c r="G862" s="7" t="inlineStr">
        <is>
          <t>Binder</t>
        </is>
      </c>
      <c r="H862" s="7" t="inlineStr">
        <is>
          <t>Consumer</t>
        </is>
      </c>
      <c r="I862" s="7" t="n">
        <v>14</v>
      </c>
      <c r="J862" s="10" t="n">
        <v>8.279999999999999</v>
      </c>
      <c r="K862" s="11" t="n">
        <v>0.1</v>
      </c>
      <c r="L862" s="10">
        <f>I862*J862*(1-K862)</f>
        <v/>
      </c>
      <c r="M862" s="10" t="n">
        <v>44.8</v>
      </c>
      <c r="N862" s="10">
        <f>L862-M862</f>
        <v/>
      </c>
    </row>
    <row r="863">
      <c r="A863" s="7" t="inlineStr">
        <is>
          <t>ORD-02517</t>
        </is>
      </c>
      <c r="B863" s="8" t="n">
        <v>45149</v>
      </c>
      <c r="C863" s="9" t="n">
        <v>45139</v>
      </c>
      <c r="D863" s="7" t="n">
        <v>2023</v>
      </c>
      <c r="E863" s="7" t="inlineStr">
        <is>
          <t>North</t>
        </is>
      </c>
      <c r="F863" s="7" t="inlineStr">
        <is>
          <t>Technology</t>
        </is>
      </c>
      <c r="G863" s="7" t="inlineStr">
        <is>
          <t>Monitor</t>
        </is>
      </c>
      <c r="H863" s="7" t="inlineStr">
        <is>
          <t>Corporate</t>
        </is>
      </c>
      <c r="I863" s="7" t="n">
        <v>1</v>
      </c>
      <c r="J863" s="10" t="n">
        <v>242.51</v>
      </c>
      <c r="K863" s="11" t="n">
        <v>0.05</v>
      </c>
      <c r="L863" s="10">
        <f>I863*J863*(1-K863)</f>
        <v/>
      </c>
      <c r="M863" s="10" t="n">
        <v>180</v>
      </c>
      <c r="N863" s="10">
        <f>L863-M863</f>
        <v/>
      </c>
    </row>
    <row r="864">
      <c r="A864" s="7" t="inlineStr">
        <is>
          <t>ORD-05404</t>
        </is>
      </c>
      <c r="B864" s="8" t="n">
        <v>45150</v>
      </c>
      <c r="C864" s="9" t="n">
        <v>45139</v>
      </c>
      <c r="D864" s="7" t="n">
        <v>2023</v>
      </c>
      <c r="E864" s="7" t="inlineStr">
        <is>
          <t>West</t>
        </is>
      </c>
      <c r="F864" s="7" t="inlineStr">
        <is>
          <t>Office Supplies</t>
        </is>
      </c>
      <c r="G864" s="7" t="inlineStr">
        <is>
          <t>Stapler</t>
        </is>
      </c>
      <c r="H864" s="7" t="inlineStr">
        <is>
          <t>Consumer</t>
        </is>
      </c>
      <c r="I864" s="7" t="n">
        <v>4</v>
      </c>
      <c r="J864" s="10" t="n">
        <v>14.81</v>
      </c>
      <c r="K864" s="11" t="n">
        <v>0</v>
      </c>
      <c r="L864" s="10">
        <f>I864*J864*(1-K864)</f>
        <v/>
      </c>
      <c r="M864" s="10" t="n">
        <v>30</v>
      </c>
      <c r="N864" s="10">
        <f>L864-M864</f>
        <v/>
      </c>
    </row>
    <row r="865">
      <c r="A865" s="7" t="inlineStr">
        <is>
          <t>ORD-03215</t>
        </is>
      </c>
      <c r="B865" s="8" t="n">
        <v>45150</v>
      </c>
      <c r="C865" s="9" t="n">
        <v>45139</v>
      </c>
      <c r="D865" s="7" t="n">
        <v>2023</v>
      </c>
      <c r="E865" s="7" t="inlineStr">
        <is>
          <t>West</t>
        </is>
      </c>
      <c r="F865" s="7" t="inlineStr">
        <is>
          <t>Office Supplies</t>
        </is>
      </c>
      <c r="G865" s="7" t="inlineStr">
        <is>
          <t>Binder</t>
        </is>
      </c>
      <c r="H865" s="7" t="inlineStr">
        <is>
          <t>Consumer</t>
        </is>
      </c>
      <c r="I865" s="7" t="n">
        <v>12</v>
      </c>
      <c r="J865" s="10" t="n">
        <v>8.19</v>
      </c>
      <c r="K865" s="11" t="n">
        <v>0.1</v>
      </c>
      <c r="L865" s="10">
        <f>I865*J865*(1-K865)</f>
        <v/>
      </c>
      <c r="M865" s="10" t="n">
        <v>38.4</v>
      </c>
      <c r="N865" s="10">
        <f>L865-M865</f>
        <v/>
      </c>
    </row>
    <row r="866">
      <c r="A866" s="7" t="inlineStr">
        <is>
          <t>ORD-02891</t>
        </is>
      </c>
      <c r="B866" s="8" t="n">
        <v>45150</v>
      </c>
      <c r="C866" s="9" t="n">
        <v>45139</v>
      </c>
      <c r="D866" s="7" t="n">
        <v>2023</v>
      </c>
      <c r="E866" s="7" t="inlineStr">
        <is>
          <t>South</t>
        </is>
      </c>
      <c r="F866" s="7" t="inlineStr">
        <is>
          <t>Office Supplies</t>
        </is>
      </c>
      <c r="G866" s="7" t="inlineStr">
        <is>
          <t>Binder</t>
        </is>
      </c>
      <c r="H866" s="7" t="inlineStr">
        <is>
          <t>Home Office</t>
        </is>
      </c>
      <c r="I866" s="7" t="n">
        <v>9</v>
      </c>
      <c r="J866" s="10" t="n">
        <v>8.32</v>
      </c>
      <c r="K866" s="11" t="n">
        <v>0.2</v>
      </c>
      <c r="L866" s="10">
        <f>I866*J866*(1-K866)</f>
        <v/>
      </c>
      <c r="M866" s="10" t="n">
        <v>28.8</v>
      </c>
      <c r="N866" s="10">
        <f>L866-M866</f>
        <v/>
      </c>
    </row>
    <row r="867">
      <c r="A867" s="7" t="inlineStr">
        <is>
          <t>ORD-01165</t>
        </is>
      </c>
      <c r="B867" s="8" t="n">
        <v>45150</v>
      </c>
      <c r="C867" s="9" t="n">
        <v>45139</v>
      </c>
      <c r="D867" s="7" t="n">
        <v>2023</v>
      </c>
      <c r="E867" s="7" t="inlineStr">
        <is>
          <t>North</t>
        </is>
      </c>
      <c r="F867" s="7" t="inlineStr">
        <is>
          <t>Office Supplies</t>
        </is>
      </c>
      <c r="G867" s="7" t="inlineStr">
        <is>
          <t>Binder</t>
        </is>
      </c>
      <c r="H867" s="7" t="inlineStr">
        <is>
          <t>Consumer</t>
        </is>
      </c>
      <c r="I867" s="7" t="n">
        <v>9</v>
      </c>
      <c r="J867" s="10" t="n">
        <v>8.4</v>
      </c>
      <c r="K867" s="11" t="n">
        <v>0.05</v>
      </c>
      <c r="L867" s="10">
        <f>I867*J867*(1-K867)</f>
        <v/>
      </c>
      <c r="M867" s="10" t="n">
        <v>28.8</v>
      </c>
      <c r="N867" s="10">
        <f>L867-M867</f>
        <v/>
      </c>
    </row>
    <row r="868">
      <c r="A868" s="7" t="inlineStr">
        <is>
          <t>ORD-04369</t>
        </is>
      </c>
      <c r="B868" s="8" t="n">
        <v>45150</v>
      </c>
      <c r="C868" s="9" t="n">
        <v>45139</v>
      </c>
      <c r="D868" s="7" t="n">
        <v>2023</v>
      </c>
      <c r="E868" s="7" t="inlineStr">
        <is>
          <t>East</t>
        </is>
      </c>
      <c r="F868" s="7" t="inlineStr">
        <is>
          <t>Office Supplies</t>
        </is>
      </c>
      <c r="G868" s="7" t="inlineStr">
        <is>
          <t>Binder</t>
        </is>
      </c>
      <c r="H868" s="7" t="inlineStr">
        <is>
          <t>Consumer</t>
        </is>
      </c>
      <c r="I868" s="7" t="n">
        <v>15</v>
      </c>
      <c r="J868" s="10" t="n">
        <v>8.02</v>
      </c>
      <c r="K868" s="11" t="n">
        <v>0</v>
      </c>
      <c r="L868" s="10">
        <f>I868*J868*(1-K868)</f>
        <v/>
      </c>
      <c r="M868" s="10" t="n">
        <v>48</v>
      </c>
      <c r="N868" s="10">
        <f>L868-M868</f>
        <v/>
      </c>
    </row>
    <row r="869">
      <c r="A869" s="7" t="inlineStr">
        <is>
          <t>ORD-05326</t>
        </is>
      </c>
      <c r="B869" s="8" t="n">
        <v>45150</v>
      </c>
      <c r="C869" s="9" t="n">
        <v>45139</v>
      </c>
      <c r="D869" s="7" t="n">
        <v>2023</v>
      </c>
      <c r="E869" s="7" t="inlineStr">
        <is>
          <t>East</t>
        </is>
      </c>
      <c r="F869" s="7" t="inlineStr">
        <is>
          <t>Furniture</t>
        </is>
      </c>
      <c r="G869" s="7" t="inlineStr">
        <is>
          <t>Bookcase</t>
        </is>
      </c>
      <c r="H869" s="7" t="inlineStr">
        <is>
          <t>Corporate</t>
        </is>
      </c>
      <c r="I869" s="7" t="n">
        <v>2</v>
      </c>
      <c r="J869" s="10" t="n">
        <v>176.12</v>
      </c>
      <c r="K869" s="11" t="n">
        <v>0.3</v>
      </c>
      <c r="L869" s="10">
        <f>I869*J869*(1-K869)</f>
        <v/>
      </c>
      <c r="M869" s="10" t="n">
        <v>288</v>
      </c>
      <c r="N869" s="10">
        <f>L869-M869</f>
        <v/>
      </c>
    </row>
    <row r="870">
      <c r="A870" s="7" t="inlineStr">
        <is>
          <t>ORD-02049</t>
        </is>
      </c>
      <c r="B870" s="8" t="n">
        <v>45150</v>
      </c>
      <c r="C870" s="9" t="n">
        <v>45139</v>
      </c>
      <c r="D870" s="7" t="n">
        <v>2023</v>
      </c>
      <c r="E870" s="7" t="inlineStr">
        <is>
          <t>East</t>
        </is>
      </c>
      <c r="F870" s="7" t="inlineStr">
        <is>
          <t>Technology</t>
        </is>
      </c>
      <c r="G870" s="7" t="inlineStr">
        <is>
          <t>Monitor</t>
        </is>
      </c>
      <c r="H870" s="7" t="inlineStr">
        <is>
          <t>Consumer</t>
        </is>
      </c>
      <c r="I870" s="7" t="n">
        <v>3</v>
      </c>
      <c r="J870" s="10" t="n">
        <v>260.73</v>
      </c>
      <c r="K870" s="11" t="n">
        <v>0.2</v>
      </c>
      <c r="L870" s="10">
        <f>I870*J870*(1-K870)</f>
        <v/>
      </c>
      <c r="M870" s="10" t="n">
        <v>540</v>
      </c>
      <c r="N870" s="10">
        <f>L870-M870</f>
        <v/>
      </c>
    </row>
    <row r="871">
      <c r="A871" s="7" t="inlineStr">
        <is>
          <t>ORD-01529</t>
        </is>
      </c>
      <c r="B871" s="8" t="n">
        <v>45151</v>
      </c>
      <c r="C871" s="9" t="n">
        <v>45139</v>
      </c>
      <c r="D871" s="7" t="n">
        <v>2023</v>
      </c>
      <c r="E871" s="7" t="inlineStr">
        <is>
          <t>East</t>
        </is>
      </c>
      <c r="F871" s="7" t="inlineStr">
        <is>
          <t>Office Supplies</t>
        </is>
      </c>
      <c r="G871" s="7" t="inlineStr">
        <is>
          <t>Binder</t>
        </is>
      </c>
      <c r="H871" s="7" t="inlineStr">
        <is>
          <t>Corporate</t>
        </is>
      </c>
      <c r="I871" s="7" t="n">
        <v>13</v>
      </c>
      <c r="J871" s="10" t="n">
        <v>8.289999999999999</v>
      </c>
      <c r="K871" s="11" t="n">
        <v>0</v>
      </c>
      <c r="L871" s="10">
        <f>I871*J871*(1-K871)</f>
        <v/>
      </c>
      <c r="M871" s="10" t="n">
        <v>41.6</v>
      </c>
      <c r="N871" s="10">
        <f>L871-M871</f>
        <v/>
      </c>
    </row>
    <row r="872">
      <c r="A872" s="7" t="inlineStr">
        <is>
          <t>ORD-05943</t>
        </is>
      </c>
      <c r="B872" s="8" t="n">
        <v>45152</v>
      </c>
      <c r="C872" s="9" t="n">
        <v>45139</v>
      </c>
      <c r="D872" s="7" t="n">
        <v>2023</v>
      </c>
      <c r="E872" s="7" t="inlineStr">
        <is>
          <t>West</t>
        </is>
      </c>
      <c r="F872" s="7" t="inlineStr">
        <is>
          <t>Technology</t>
        </is>
      </c>
      <c r="G872" s="7" t="inlineStr">
        <is>
          <t>Laptop</t>
        </is>
      </c>
      <c r="H872" s="7" t="inlineStr">
        <is>
          <t>Consumer</t>
        </is>
      </c>
      <c r="I872" s="7" t="n">
        <v>2</v>
      </c>
      <c r="J872" s="10" t="n">
        <v>894.15</v>
      </c>
      <c r="K872" s="11" t="n">
        <v>0</v>
      </c>
      <c r="L872" s="10">
        <f>I872*J872*(1-K872)</f>
        <v/>
      </c>
      <c r="M872" s="10" t="n">
        <v>1404</v>
      </c>
      <c r="N872" s="10">
        <f>L872-M872</f>
        <v/>
      </c>
    </row>
    <row r="873">
      <c r="A873" s="7" t="inlineStr">
        <is>
          <t>ORD-05419</t>
        </is>
      </c>
      <c r="B873" s="8" t="n">
        <v>45152</v>
      </c>
      <c r="C873" s="9" t="n">
        <v>45139</v>
      </c>
      <c r="D873" s="7" t="n">
        <v>2023</v>
      </c>
      <c r="E873" s="7" t="inlineStr">
        <is>
          <t>South</t>
        </is>
      </c>
      <c r="F873" s="7" t="inlineStr">
        <is>
          <t>Technology</t>
        </is>
      </c>
      <c r="G873" s="7" t="inlineStr">
        <is>
          <t>Keyboard</t>
        </is>
      </c>
      <c r="H873" s="7" t="inlineStr">
        <is>
          <t>Consumer</t>
        </is>
      </c>
      <c r="I873" s="7" t="n">
        <v>2</v>
      </c>
      <c r="J873" s="10" t="n">
        <v>45.31</v>
      </c>
      <c r="K873" s="11" t="n">
        <v>0.3</v>
      </c>
      <c r="L873" s="10">
        <f>I873*J873*(1-K873)</f>
        <v/>
      </c>
      <c r="M873" s="10" t="n">
        <v>49.5</v>
      </c>
      <c r="N873" s="10">
        <f>L873-M873</f>
        <v/>
      </c>
    </row>
    <row r="874">
      <c r="A874" s="7" t="inlineStr">
        <is>
          <t>ORD-02953</t>
        </is>
      </c>
      <c r="B874" s="8" t="n">
        <v>45152</v>
      </c>
      <c r="C874" s="9" t="n">
        <v>45139</v>
      </c>
      <c r="D874" s="7" t="n">
        <v>2023</v>
      </c>
      <c r="E874" s="7" t="inlineStr">
        <is>
          <t>East</t>
        </is>
      </c>
      <c r="F874" s="7" t="inlineStr">
        <is>
          <t>Office Supplies</t>
        </is>
      </c>
      <c r="G874" s="7" t="inlineStr">
        <is>
          <t>Stapler</t>
        </is>
      </c>
      <c r="H874" s="7" t="inlineStr">
        <is>
          <t>Consumer</t>
        </is>
      </c>
      <c r="I874" s="7" t="n">
        <v>3</v>
      </c>
      <c r="J874" s="10" t="n">
        <v>15.67</v>
      </c>
      <c r="K874" s="11" t="n">
        <v>0</v>
      </c>
      <c r="L874" s="10">
        <f>I874*J874*(1-K874)</f>
        <v/>
      </c>
      <c r="M874" s="10" t="n">
        <v>22.5</v>
      </c>
      <c r="N874" s="10">
        <f>L874-M874</f>
        <v/>
      </c>
    </row>
    <row r="875">
      <c r="A875" s="7" t="inlineStr">
        <is>
          <t>ORD-00376</t>
        </is>
      </c>
      <c r="B875" s="8" t="n">
        <v>45152</v>
      </c>
      <c r="C875" s="9" t="n">
        <v>45139</v>
      </c>
      <c r="D875" s="7" t="n">
        <v>2023</v>
      </c>
      <c r="E875" s="7" t="inlineStr">
        <is>
          <t>West</t>
        </is>
      </c>
      <c r="F875" s="7" t="inlineStr">
        <is>
          <t>Office Supplies</t>
        </is>
      </c>
      <c r="G875" s="7" t="inlineStr">
        <is>
          <t>Paper</t>
        </is>
      </c>
      <c r="H875" s="7" t="inlineStr">
        <is>
          <t>Consumer</t>
        </is>
      </c>
      <c r="I875" s="7" t="n">
        <v>11</v>
      </c>
      <c r="J875" s="10" t="n">
        <v>25.56</v>
      </c>
      <c r="K875" s="11" t="n">
        <v>0</v>
      </c>
      <c r="L875" s="10">
        <f>I875*J875*(1-K875)</f>
        <v/>
      </c>
      <c r="M875" s="10" t="n">
        <v>137.5</v>
      </c>
      <c r="N875" s="10">
        <f>L875-M875</f>
        <v/>
      </c>
    </row>
    <row r="876">
      <c r="A876" s="7" t="inlineStr">
        <is>
          <t>ORD-05571</t>
        </is>
      </c>
      <c r="B876" s="8" t="n">
        <v>45152</v>
      </c>
      <c r="C876" s="9" t="n">
        <v>45139</v>
      </c>
      <c r="D876" s="7" t="n">
        <v>2023</v>
      </c>
      <c r="E876" s="7" t="inlineStr">
        <is>
          <t>North</t>
        </is>
      </c>
      <c r="F876" s="7" t="inlineStr">
        <is>
          <t>Office Supplies</t>
        </is>
      </c>
      <c r="G876" s="7" t="inlineStr">
        <is>
          <t>Stapler</t>
        </is>
      </c>
      <c r="H876" s="7" t="inlineStr">
        <is>
          <t>Consumer</t>
        </is>
      </c>
      <c r="I876" s="7" t="n">
        <v>10</v>
      </c>
      <c r="J876" s="10" t="n">
        <v>14.61</v>
      </c>
      <c r="K876" s="11" t="n">
        <v>0</v>
      </c>
      <c r="L876" s="10">
        <f>I876*J876*(1-K876)</f>
        <v/>
      </c>
      <c r="M876" s="10" t="n">
        <v>75</v>
      </c>
      <c r="N876" s="10">
        <f>L876-M876</f>
        <v/>
      </c>
    </row>
    <row r="877">
      <c r="A877" s="7" t="inlineStr">
        <is>
          <t>ORD-00469</t>
        </is>
      </c>
      <c r="B877" s="8" t="n">
        <v>45153</v>
      </c>
      <c r="C877" s="9" t="n">
        <v>45139</v>
      </c>
      <c r="D877" s="7" t="n">
        <v>2023</v>
      </c>
      <c r="E877" s="7" t="inlineStr">
        <is>
          <t>North</t>
        </is>
      </c>
      <c r="F877" s="7" t="inlineStr">
        <is>
          <t>Office Supplies</t>
        </is>
      </c>
      <c r="G877" s="7" t="inlineStr">
        <is>
          <t>Pens</t>
        </is>
      </c>
      <c r="H877" s="7" t="inlineStr">
        <is>
          <t>Consumer</t>
        </is>
      </c>
      <c r="I877" s="7" t="n">
        <v>10</v>
      </c>
      <c r="J877" s="10" t="n">
        <v>12.42</v>
      </c>
      <c r="K877" s="11" t="n">
        <v>0.05</v>
      </c>
      <c r="L877" s="10">
        <f>I877*J877*(1-K877)</f>
        <v/>
      </c>
      <c r="M877" s="10" t="n">
        <v>54</v>
      </c>
      <c r="N877" s="10">
        <f>L877-M877</f>
        <v/>
      </c>
    </row>
    <row r="878">
      <c r="A878" s="7" t="inlineStr">
        <is>
          <t>ORD-04457</t>
        </is>
      </c>
      <c r="B878" s="8" t="n">
        <v>45153</v>
      </c>
      <c r="C878" s="9" t="n">
        <v>45139</v>
      </c>
      <c r="D878" s="7" t="n">
        <v>2023</v>
      </c>
      <c r="E878" s="7" t="inlineStr">
        <is>
          <t>East</t>
        </is>
      </c>
      <c r="F878" s="7" t="inlineStr">
        <is>
          <t>Technology</t>
        </is>
      </c>
      <c r="G878" s="7" t="inlineStr">
        <is>
          <t>Smartphone</t>
        </is>
      </c>
      <c r="H878" s="7" t="inlineStr">
        <is>
          <t>Corporate</t>
        </is>
      </c>
      <c r="I878" s="7" t="n">
        <v>2</v>
      </c>
      <c r="J878" s="10" t="n">
        <v>622.85</v>
      </c>
      <c r="K878" s="11" t="n">
        <v>0.3</v>
      </c>
      <c r="L878" s="10">
        <f>I878*J878*(1-K878)</f>
        <v/>
      </c>
      <c r="M878" s="10" t="n">
        <v>900</v>
      </c>
      <c r="N878" s="10">
        <f>L878-M878</f>
        <v/>
      </c>
    </row>
    <row r="879">
      <c r="A879" s="7" t="inlineStr">
        <is>
          <t>ORD-04720</t>
        </is>
      </c>
      <c r="B879" s="8" t="n">
        <v>45153</v>
      </c>
      <c r="C879" s="9" t="n">
        <v>45139</v>
      </c>
      <c r="D879" s="7" t="n">
        <v>2023</v>
      </c>
      <c r="E879" s="7" t="inlineStr">
        <is>
          <t>East</t>
        </is>
      </c>
      <c r="F879" s="7" t="inlineStr">
        <is>
          <t>Office Supplies</t>
        </is>
      </c>
      <c r="G879" s="7" t="inlineStr">
        <is>
          <t>Paper</t>
        </is>
      </c>
      <c r="H879" s="7" t="inlineStr">
        <is>
          <t>Consumer</t>
        </is>
      </c>
      <c r="I879" s="7" t="n">
        <v>13</v>
      </c>
      <c r="J879" s="10" t="n">
        <v>25.71</v>
      </c>
      <c r="K879" s="11" t="n">
        <v>0.1</v>
      </c>
      <c r="L879" s="10">
        <f>I879*J879*(1-K879)</f>
        <v/>
      </c>
      <c r="M879" s="10" t="n">
        <v>162.5</v>
      </c>
      <c r="N879" s="10">
        <f>L879-M879</f>
        <v/>
      </c>
    </row>
    <row r="880">
      <c r="A880" s="7" t="inlineStr">
        <is>
          <t>ORD-05560</t>
        </is>
      </c>
      <c r="B880" s="8" t="n">
        <v>45154</v>
      </c>
      <c r="C880" s="9" t="n">
        <v>45139</v>
      </c>
      <c r="D880" s="7" t="n">
        <v>2023</v>
      </c>
      <c r="E880" s="7" t="inlineStr">
        <is>
          <t>East</t>
        </is>
      </c>
      <c r="F880" s="7" t="inlineStr">
        <is>
          <t>Furniture</t>
        </is>
      </c>
      <c r="G880" s="7" t="inlineStr">
        <is>
          <t>Office Chair</t>
        </is>
      </c>
      <c r="H880" s="7" t="inlineStr">
        <is>
          <t>Corporate</t>
        </is>
      </c>
      <c r="I880" s="7" t="n">
        <v>1</v>
      </c>
      <c r="J880" s="10" t="n">
        <v>215.17</v>
      </c>
      <c r="K880" s="11" t="n">
        <v>0.2</v>
      </c>
      <c r="L880" s="10">
        <f>I880*J880*(1-K880)</f>
        <v/>
      </c>
      <c r="M880" s="10" t="n">
        <v>180.4</v>
      </c>
      <c r="N880" s="10">
        <f>L880-M880</f>
        <v/>
      </c>
    </row>
    <row r="881">
      <c r="A881" s="7" t="inlineStr">
        <is>
          <t>ORD-04881</t>
        </is>
      </c>
      <c r="B881" s="8" t="n">
        <v>45154</v>
      </c>
      <c r="C881" s="9" t="n">
        <v>45139</v>
      </c>
      <c r="D881" s="7" t="n">
        <v>2023</v>
      </c>
      <c r="E881" s="7" t="inlineStr">
        <is>
          <t>West</t>
        </is>
      </c>
      <c r="F881" s="7" t="inlineStr">
        <is>
          <t>Office Supplies</t>
        </is>
      </c>
      <c r="G881" s="7" t="inlineStr">
        <is>
          <t>Paper</t>
        </is>
      </c>
      <c r="H881" s="7" t="inlineStr">
        <is>
          <t>Consumer</t>
        </is>
      </c>
      <c r="I881" s="7" t="n">
        <v>13</v>
      </c>
      <c r="J881" s="10" t="n">
        <v>24.53</v>
      </c>
      <c r="K881" s="11" t="n">
        <v>0.1</v>
      </c>
      <c r="L881" s="10">
        <f>I881*J881*(1-K881)</f>
        <v/>
      </c>
      <c r="M881" s="10" t="n">
        <v>162.5</v>
      </c>
      <c r="N881" s="10">
        <f>L881-M881</f>
        <v/>
      </c>
    </row>
    <row r="882">
      <c r="A882" s="7" t="inlineStr">
        <is>
          <t>ORD-00849</t>
        </is>
      </c>
      <c r="B882" s="8" t="n">
        <v>45154</v>
      </c>
      <c r="C882" s="9" t="n">
        <v>45139</v>
      </c>
      <c r="D882" s="7" t="n">
        <v>2023</v>
      </c>
      <c r="E882" s="7" t="inlineStr">
        <is>
          <t>West</t>
        </is>
      </c>
      <c r="F882" s="7" t="inlineStr">
        <is>
          <t>Office Supplies</t>
        </is>
      </c>
      <c r="G882" s="7" t="inlineStr">
        <is>
          <t>Stapler</t>
        </is>
      </c>
      <c r="H882" s="7" t="inlineStr">
        <is>
          <t>Consumer</t>
        </is>
      </c>
      <c r="I882" s="7" t="n">
        <v>6</v>
      </c>
      <c r="J882" s="10" t="n">
        <v>14.46</v>
      </c>
      <c r="K882" s="11" t="n">
        <v>0.2</v>
      </c>
      <c r="L882" s="10">
        <f>I882*J882*(1-K882)</f>
        <v/>
      </c>
      <c r="M882" s="10" t="n">
        <v>45</v>
      </c>
      <c r="N882" s="10">
        <f>L882-M882</f>
        <v/>
      </c>
    </row>
    <row r="883">
      <c r="A883" s="7" t="inlineStr">
        <is>
          <t>ORD-02912</t>
        </is>
      </c>
      <c r="B883" s="8" t="n">
        <v>45154</v>
      </c>
      <c r="C883" s="9" t="n">
        <v>45139</v>
      </c>
      <c r="D883" s="7" t="n">
        <v>2023</v>
      </c>
      <c r="E883" s="7" t="inlineStr">
        <is>
          <t>East</t>
        </is>
      </c>
      <c r="F883" s="7" t="inlineStr">
        <is>
          <t>Office Supplies</t>
        </is>
      </c>
      <c r="G883" s="7" t="inlineStr">
        <is>
          <t>Binder</t>
        </is>
      </c>
      <c r="H883" s="7" t="inlineStr">
        <is>
          <t>Consumer</t>
        </is>
      </c>
      <c r="I883" s="7" t="n">
        <v>11</v>
      </c>
      <c r="J883" s="10" t="n">
        <v>8.4</v>
      </c>
      <c r="K883" s="11" t="n">
        <v>0.05</v>
      </c>
      <c r="L883" s="10">
        <f>I883*J883*(1-K883)</f>
        <v/>
      </c>
      <c r="M883" s="10" t="n">
        <v>35.2</v>
      </c>
      <c r="N883" s="10">
        <f>L883-M883</f>
        <v/>
      </c>
    </row>
    <row r="884">
      <c r="A884" s="7" t="inlineStr">
        <is>
          <t>ORD-05078</t>
        </is>
      </c>
      <c r="B884" s="8" t="n">
        <v>45154</v>
      </c>
      <c r="C884" s="9" t="n">
        <v>45139</v>
      </c>
      <c r="D884" s="7" t="n">
        <v>2023</v>
      </c>
      <c r="E884" s="7" t="inlineStr">
        <is>
          <t>East</t>
        </is>
      </c>
      <c r="F884" s="7" t="inlineStr">
        <is>
          <t>Office Supplies</t>
        </is>
      </c>
      <c r="G884" s="7" t="inlineStr">
        <is>
          <t>Stapler</t>
        </is>
      </c>
      <c r="H884" s="7" t="inlineStr">
        <is>
          <t>Corporate</t>
        </is>
      </c>
      <c r="I884" s="7" t="n">
        <v>10</v>
      </c>
      <c r="J884" s="10" t="n">
        <v>14.66</v>
      </c>
      <c r="K884" s="11" t="n">
        <v>0</v>
      </c>
      <c r="L884" s="10">
        <f>I884*J884*(1-K884)</f>
        <v/>
      </c>
      <c r="M884" s="10" t="n">
        <v>75</v>
      </c>
      <c r="N884" s="10">
        <f>L884-M884</f>
        <v/>
      </c>
    </row>
    <row r="885">
      <c r="A885" s="7" t="inlineStr">
        <is>
          <t>ORD-02903</t>
        </is>
      </c>
      <c r="B885" s="8" t="n">
        <v>45154</v>
      </c>
      <c r="C885" s="9" t="n">
        <v>45139</v>
      </c>
      <c r="D885" s="7" t="n">
        <v>2023</v>
      </c>
      <c r="E885" s="7" t="inlineStr">
        <is>
          <t>South</t>
        </is>
      </c>
      <c r="F885" s="7" t="inlineStr">
        <is>
          <t>Technology</t>
        </is>
      </c>
      <c r="G885" s="7" t="inlineStr">
        <is>
          <t>Smartphone</t>
        </is>
      </c>
      <c r="H885" s="7" t="inlineStr">
        <is>
          <t>Consumer</t>
        </is>
      </c>
      <c r="I885" s="7" t="n">
        <v>3</v>
      </c>
      <c r="J885" s="10" t="n">
        <v>578.6</v>
      </c>
      <c r="K885" s="11" t="n">
        <v>0</v>
      </c>
      <c r="L885" s="10">
        <f>I885*J885*(1-K885)</f>
        <v/>
      </c>
      <c r="M885" s="10" t="n">
        <v>1350</v>
      </c>
      <c r="N885" s="10">
        <f>L885-M885</f>
        <v/>
      </c>
    </row>
    <row r="886">
      <c r="A886" s="7" t="inlineStr">
        <is>
          <t>ORD-02360</t>
        </is>
      </c>
      <c r="B886" s="8" t="n">
        <v>45155</v>
      </c>
      <c r="C886" s="9" t="n">
        <v>45139</v>
      </c>
      <c r="D886" s="7" t="n">
        <v>2023</v>
      </c>
      <c r="E886" s="7" t="inlineStr">
        <is>
          <t>West</t>
        </is>
      </c>
      <c r="F886" s="7" t="inlineStr">
        <is>
          <t>Office Supplies</t>
        </is>
      </c>
      <c r="G886" s="7" t="inlineStr">
        <is>
          <t>Pens</t>
        </is>
      </c>
      <c r="H886" s="7" t="inlineStr">
        <is>
          <t>Consumer</t>
        </is>
      </c>
      <c r="I886" s="7" t="n">
        <v>7</v>
      </c>
      <c r="J886" s="10" t="n">
        <v>11.63</v>
      </c>
      <c r="K886" s="11" t="n">
        <v>0.2</v>
      </c>
      <c r="L886" s="10">
        <f>I886*J886*(1-K886)</f>
        <v/>
      </c>
      <c r="M886" s="10" t="n">
        <v>37.8</v>
      </c>
      <c r="N886" s="10">
        <f>L886-M886</f>
        <v/>
      </c>
    </row>
    <row r="887">
      <c r="A887" s="7" t="inlineStr">
        <is>
          <t>ORD-00762</t>
        </is>
      </c>
      <c r="B887" s="8" t="n">
        <v>45155</v>
      </c>
      <c r="C887" s="9" t="n">
        <v>45139</v>
      </c>
      <c r="D887" s="7" t="n">
        <v>2023</v>
      </c>
      <c r="E887" s="7" t="inlineStr">
        <is>
          <t>East</t>
        </is>
      </c>
      <c r="F887" s="7" t="inlineStr">
        <is>
          <t>Technology</t>
        </is>
      </c>
      <c r="G887" s="7" t="inlineStr">
        <is>
          <t>Laptop</t>
        </is>
      </c>
      <c r="H887" s="7" t="inlineStr">
        <is>
          <t>Corporate</t>
        </is>
      </c>
      <c r="I887" s="7" t="n">
        <v>2</v>
      </c>
      <c r="J887" s="10" t="n">
        <v>929.46</v>
      </c>
      <c r="K887" s="11" t="n">
        <v>0</v>
      </c>
      <c r="L887" s="10">
        <f>I887*J887*(1-K887)</f>
        <v/>
      </c>
      <c r="M887" s="10" t="n">
        <v>1404</v>
      </c>
      <c r="N887" s="10">
        <f>L887-M887</f>
        <v/>
      </c>
    </row>
    <row r="888">
      <c r="A888" s="7" t="inlineStr">
        <is>
          <t>ORD-01915</t>
        </is>
      </c>
      <c r="B888" s="8" t="n">
        <v>45155</v>
      </c>
      <c r="C888" s="9" t="n">
        <v>45139</v>
      </c>
      <c r="D888" s="7" t="n">
        <v>2023</v>
      </c>
      <c r="E888" s="7" t="inlineStr">
        <is>
          <t>North</t>
        </is>
      </c>
      <c r="F888" s="7" t="inlineStr">
        <is>
          <t>Technology</t>
        </is>
      </c>
      <c r="G888" s="7" t="inlineStr">
        <is>
          <t>Keyboard</t>
        </is>
      </c>
      <c r="H888" s="7" t="inlineStr">
        <is>
          <t>Home Office</t>
        </is>
      </c>
      <c r="I888" s="7" t="n">
        <v>1</v>
      </c>
      <c r="J888" s="10" t="n">
        <v>43.27</v>
      </c>
      <c r="K888" s="11" t="n">
        <v>0</v>
      </c>
      <c r="L888" s="10">
        <f>I888*J888*(1-K888)</f>
        <v/>
      </c>
      <c r="M888" s="10" t="n">
        <v>24.75</v>
      </c>
      <c r="N888" s="10">
        <f>L888-M888</f>
        <v/>
      </c>
    </row>
    <row r="889">
      <c r="A889" s="7" t="inlineStr">
        <is>
          <t>ORD-04252</t>
        </is>
      </c>
      <c r="B889" s="8" t="n">
        <v>45155</v>
      </c>
      <c r="C889" s="9" t="n">
        <v>45139</v>
      </c>
      <c r="D889" s="7" t="n">
        <v>2023</v>
      </c>
      <c r="E889" s="7" t="inlineStr">
        <is>
          <t>North</t>
        </is>
      </c>
      <c r="F889" s="7" t="inlineStr">
        <is>
          <t>Office Supplies</t>
        </is>
      </c>
      <c r="G889" s="7" t="inlineStr">
        <is>
          <t>Pens</t>
        </is>
      </c>
      <c r="H889" s="7" t="inlineStr">
        <is>
          <t>Corporate</t>
        </is>
      </c>
      <c r="I889" s="7" t="n">
        <v>4</v>
      </c>
      <c r="J889" s="10" t="n">
        <v>11.54</v>
      </c>
      <c r="K889" s="11" t="n">
        <v>0</v>
      </c>
      <c r="L889" s="10">
        <f>I889*J889*(1-K889)</f>
        <v/>
      </c>
      <c r="M889" s="10" t="n">
        <v>21.6</v>
      </c>
      <c r="N889" s="10">
        <f>L889-M889</f>
        <v/>
      </c>
    </row>
    <row r="890">
      <c r="A890" s="7" t="inlineStr">
        <is>
          <t>ORD-02376</t>
        </is>
      </c>
      <c r="B890" s="8" t="n">
        <v>45155</v>
      </c>
      <c r="C890" s="9" t="n">
        <v>45139</v>
      </c>
      <c r="D890" s="7" t="n">
        <v>2023</v>
      </c>
      <c r="E890" s="7" t="inlineStr">
        <is>
          <t>East</t>
        </is>
      </c>
      <c r="F890" s="7" t="inlineStr">
        <is>
          <t>Furniture</t>
        </is>
      </c>
      <c r="G890" s="7" t="inlineStr">
        <is>
          <t>Office Chair</t>
        </is>
      </c>
      <c r="H890" s="7" t="inlineStr">
        <is>
          <t>Consumer</t>
        </is>
      </c>
      <c r="I890" s="7" t="n">
        <v>3</v>
      </c>
      <c r="J890" s="10" t="n">
        <v>220.3</v>
      </c>
      <c r="K890" s="11" t="n">
        <v>0.05</v>
      </c>
      <c r="L890" s="10">
        <f>I890*J890*(1-K890)</f>
        <v/>
      </c>
      <c r="M890" s="10" t="n">
        <v>541.2</v>
      </c>
      <c r="N890" s="10">
        <f>L890-M890</f>
        <v/>
      </c>
    </row>
    <row r="891">
      <c r="A891" s="7" t="inlineStr">
        <is>
          <t>ORD-00552</t>
        </is>
      </c>
      <c r="B891" s="8" t="n">
        <v>45156</v>
      </c>
      <c r="C891" s="9" t="n">
        <v>45139</v>
      </c>
      <c r="D891" s="7" t="n">
        <v>2023</v>
      </c>
      <c r="E891" s="7" t="inlineStr">
        <is>
          <t>West</t>
        </is>
      </c>
      <c r="F891" s="7" t="inlineStr">
        <is>
          <t>Furniture</t>
        </is>
      </c>
      <c r="G891" s="7" t="inlineStr">
        <is>
          <t>Desk</t>
        </is>
      </c>
      <c r="H891" s="7" t="inlineStr">
        <is>
          <t>Consumer</t>
        </is>
      </c>
      <c r="I891" s="7" t="n">
        <v>3</v>
      </c>
      <c r="J891" s="10" t="n">
        <v>454.57</v>
      </c>
      <c r="K891" s="11" t="n">
        <v>0.05</v>
      </c>
      <c r="L891" s="10">
        <f>I891*J891*(1-K891)</f>
        <v/>
      </c>
      <c r="M891" s="10" t="n">
        <v>1147.5</v>
      </c>
      <c r="N891" s="10">
        <f>L891-M891</f>
        <v/>
      </c>
    </row>
    <row r="892">
      <c r="A892" s="7" t="inlineStr">
        <is>
          <t>ORD-05042</t>
        </is>
      </c>
      <c r="B892" s="8" t="n">
        <v>45156</v>
      </c>
      <c r="C892" s="9" t="n">
        <v>45139</v>
      </c>
      <c r="D892" s="7" t="n">
        <v>2023</v>
      </c>
      <c r="E892" s="7" t="inlineStr">
        <is>
          <t>East</t>
        </is>
      </c>
      <c r="F892" s="7" t="inlineStr">
        <is>
          <t>Office Supplies</t>
        </is>
      </c>
      <c r="G892" s="7" t="inlineStr">
        <is>
          <t>Paper</t>
        </is>
      </c>
      <c r="H892" s="7" t="inlineStr">
        <is>
          <t>Corporate</t>
        </is>
      </c>
      <c r="I892" s="7" t="n">
        <v>12</v>
      </c>
      <c r="J892" s="10" t="n">
        <v>23.79</v>
      </c>
      <c r="K892" s="11" t="n">
        <v>0.2</v>
      </c>
      <c r="L892" s="10">
        <f>I892*J892*(1-K892)</f>
        <v/>
      </c>
      <c r="M892" s="10" t="n">
        <v>150</v>
      </c>
      <c r="N892" s="10">
        <f>L892-M892</f>
        <v/>
      </c>
    </row>
    <row r="893">
      <c r="A893" s="7" t="inlineStr">
        <is>
          <t>ORD-02526</t>
        </is>
      </c>
      <c r="B893" s="8" t="n">
        <v>45156</v>
      </c>
      <c r="C893" s="9" t="n">
        <v>45139</v>
      </c>
      <c r="D893" s="7" t="n">
        <v>2023</v>
      </c>
      <c r="E893" s="7" t="inlineStr">
        <is>
          <t>North</t>
        </is>
      </c>
      <c r="F893" s="7" t="inlineStr">
        <is>
          <t>Office Supplies</t>
        </is>
      </c>
      <c r="G893" s="7" t="inlineStr">
        <is>
          <t>Pens</t>
        </is>
      </c>
      <c r="H893" s="7" t="inlineStr">
        <is>
          <t>Corporate</t>
        </is>
      </c>
      <c r="I893" s="7" t="n">
        <v>11</v>
      </c>
      <c r="J893" s="10" t="n">
        <v>11.8</v>
      </c>
      <c r="K893" s="11" t="n">
        <v>0.1</v>
      </c>
      <c r="L893" s="10">
        <f>I893*J893*(1-K893)</f>
        <v/>
      </c>
      <c r="M893" s="10" t="n">
        <v>59.4</v>
      </c>
      <c r="N893" s="10">
        <f>L893-M893</f>
        <v/>
      </c>
    </row>
    <row r="894">
      <c r="A894" s="7" t="inlineStr">
        <is>
          <t>ORD-02383</t>
        </is>
      </c>
      <c r="B894" s="8" t="n">
        <v>45156</v>
      </c>
      <c r="C894" s="9" t="n">
        <v>45139</v>
      </c>
      <c r="D894" s="7" t="n">
        <v>2023</v>
      </c>
      <c r="E894" s="7" t="inlineStr">
        <is>
          <t>West</t>
        </is>
      </c>
      <c r="F894" s="7" t="inlineStr">
        <is>
          <t>Technology</t>
        </is>
      </c>
      <c r="G894" s="7" t="inlineStr">
        <is>
          <t>Monitor</t>
        </is>
      </c>
      <c r="H894" s="7" t="inlineStr">
        <is>
          <t>Corporate</t>
        </is>
      </c>
      <c r="I894" s="7" t="n">
        <v>2</v>
      </c>
      <c r="J894" s="10" t="n">
        <v>258.37</v>
      </c>
      <c r="K894" s="11" t="n">
        <v>0.1</v>
      </c>
      <c r="L894" s="10">
        <f>I894*J894*(1-K894)</f>
        <v/>
      </c>
      <c r="M894" s="10" t="n">
        <v>360</v>
      </c>
      <c r="N894" s="10">
        <f>L894-M894</f>
        <v/>
      </c>
    </row>
    <row r="895">
      <c r="A895" s="7" t="inlineStr">
        <is>
          <t>ORD-01990</t>
        </is>
      </c>
      <c r="B895" s="8" t="n">
        <v>45156</v>
      </c>
      <c r="C895" s="9" t="n">
        <v>45139</v>
      </c>
      <c r="D895" s="7" t="n">
        <v>2023</v>
      </c>
      <c r="E895" s="7" t="inlineStr">
        <is>
          <t>North</t>
        </is>
      </c>
      <c r="F895" s="7" t="inlineStr">
        <is>
          <t>Office Supplies</t>
        </is>
      </c>
      <c r="G895" s="7" t="inlineStr">
        <is>
          <t>Paper</t>
        </is>
      </c>
      <c r="H895" s="7" t="inlineStr">
        <is>
          <t>Consumer</t>
        </is>
      </c>
      <c r="I895" s="7" t="n">
        <v>4</v>
      </c>
      <c r="J895" s="10" t="n">
        <v>26.24</v>
      </c>
      <c r="K895" s="11" t="n">
        <v>0.2</v>
      </c>
      <c r="L895" s="10">
        <f>I895*J895*(1-K895)</f>
        <v/>
      </c>
      <c r="M895" s="10" t="n">
        <v>50</v>
      </c>
      <c r="N895" s="10">
        <f>L895-M895</f>
        <v/>
      </c>
    </row>
    <row r="896">
      <c r="A896" s="7" t="inlineStr">
        <is>
          <t>ORD-04414</t>
        </is>
      </c>
      <c r="B896" s="8" t="n">
        <v>45156</v>
      </c>
      <c r="C896" s="9" t="n">
        <v>45139</v>
      </c>
      <c r="D896" s="7" t="n">
        <v>2023</v>
      </c>
      <c r="E896" s="7" t="inlineStr">
        <is>
          <t>East</t>
        </is>
      </c>
      <c r="F896" s="7" t="inlineStr">
        <is>
          <t>Office Supplies</t>
        </is>
      </c>
      <c r="G896" s="7" t="inlineStr">
        <is>
          <t>Printer Ink</t>
        </is>
      </c>
      <c r="H896" s="7" t="inlineStr">
        <is>
          <t>Home Office</t>
        </is>
      </c>
      <c r="I896" s="7" t="n">
        <v>7</v>
      </c>
      <c r="J896" s="10" t="n">
        <v>60.97</v>
      </c>
      <c r="K896" s="11" t="n">
        <v>0</v>
      </c>
      <c r="L896" s="10">
        <f>I896*J896*(1-K896)</f>
        <v/>
      </c>
      <c r="M896" s="10" t="n">
        <v>252</v>
      </c>
      <c r="N896" s="10">
        <f>L896-M896</f>
        <v/>
      </c>
    </row>
    <row r="897">
      <c r="A897" s="7" t="inlineStr">
        <is>
          <t>ORD-03058</t>
        </is>
      </c>
      <c r="B897" s="8" t="n">
        <v>45157</v>
      </c>
      <c r="C897" s="9" t="n">
        <v>45139</v>
      </c>
      <c r="D897" s="7" t="n">
        <v>2023</v>
      </c>
      <c r="E897" s="7" t="inlineStr">
        <is>
          <t>North</t>
        </is>
      </c>
      <c r="F897" s="7" t="inlineStr">
        <is>
          <t>Furniture</t>
        </is>
      </c>
      <c r="G897" s="7" t="inlineStr">
        <is>
          <t>Office Chair</t>
        </is>
      </c>
      <c r="H897" s="7" t="inlineStr">
        <is>
          <t>Home Office</t>
        </is>
      </c>
      <c r="I897" s="7" t="n">
        <v>1</v>
      </c>
      <c r="J897" s="10" t="n">
        <v>214.49</v>
      </c>
      <c r="K897" s="11" t="n">
        <v>0.2</v>
      </c>
      <c r="L897" s="10">
        <f>I897*J897*(1-K897)</f>
        <v/>
      </c>
      <c r="M897" s="10" t="n">
        <v>180.4</v>
      </c>
      <c r="N897" s="10">
        <f>L897-M897</f>
        <v/>
      </c>
    </row>
    <row r="898">
      <c r="A898" s="7" t="inlineStr">
        <is>
          <t>ORD-02174</t>
        </is>
      </c>
      <c r="B898" s="8" t="n">
        <v>45157</v>
      </c>
      <c r="C898" s="9" t="n">
        <v>45139</v>
      </c>
      <c r="D898" s="7" t="n">
        <v>2023</v>
      </c>
      <c r="E898" s="7" t="inlineStr">
        <is>
          <t>East</t>
        </is>
      </c>
      <c r="F898" s="7" t="inlineStr">
        <is>
          <t>Furniture</t>
        </is>
      </c>
      <c r="G898" s="7" t="inlineStr">
        <is>
          <t>Sofa</t>
        </is>
      </c>
      <c r="H898" s="7" t="inlineStr">
        <is>
          <t>Corporate</t>
        </is>
      </c>
      <c r="I898" s="7" t="n">
        <v>1</v>
      </c>
      <c r="J898" s="10" t="n">
        <v>722.54</v>
      </c>
      <c r="K898" s="11" t="n">
        <v>0</v>
      </c>
      <c r="L898" s="10">
        <f>I898*J898*(1-K898)</f>
        <v/>
      </c>
      <c r="M898" s="10" t="n">
        <v>616</v>
      </c>
      <c r="N898" s="10">
        <f>L898-M898</f>
        <v/>
      </c>
    </row>
    <row r="899">
      <c r="A899" s="7" t="inlineStr">
        <is>
          <t>ORD-04466</t>
        </is>
      </c>
      <c r="B899" s="8" t="n">
        <v>45157</v>
      </c>
      <c r="C899" s="9" t="n">
        <v>45139</v>
      </c>
      <c r="D899" s="7" t="n">
        <v>2023</v>
      </c>
      <c r="E899" s="7" t="inlineStr">
        <is>
          <t>North</t>
        </is>
      </c>
      <c r="F899" s="7" t="inlineStr">
        <is>
          <t>Office Supplies</t>
        </is>
      </c>
      <c r="G899" s="7" t="inlineStr">
        <is>
          <t>Pens</t>
        </is>
      </c>
      <c r="H899" s="7" t="inlineStr">
        <is>
          <t>Corporate</t>
        </is>
      </c>
      <c r="I899" s="7" t="n">
        <v>9</v>
      </c>
      <c r="J899" s="10" t="n">
        <v>11.4</v>
      </c>
      <c r="K899" s="11" t="n">
        <v>0.2</v>
      </c>
      <c r="L899" s="10">
        <f>I899*J899*(1-K899)</f>
        <v/>
      </c>
      <c r="M899" s="10" t="n">
        <v>48.6</v>
      </c>
      <c r="N899" s="10">
        <f>L899-M899</f>
        <v/>
      </c>
    </row>
    <row r="900">
      <c r="A900" s="7" t="inlineStr">
        <is>
          <t>ORD-02009</t>
        </is>
      </c>
      <c r="B900" s="8" t="n">
        <v>45158</v>
      </c>
      <c r="C900" s="9" t="n">
        <v>45139</v>
      </c>
      <c r="D900" s="7" t="n">
        <v>2023</v>
      </c>
      <c r="E900" s="7" t="inlineStr">
        <is>
          <t>North</t>
        </is>
      </c>
      <c r="F900" s="7" t="inlineStr">
        <is>
          <t>Office Supplies</t>
        </is>
      </c>
      <c r="G900" s="7" t="inlineStr">
        <is>
          <t>Pens</t>
        </is>
      </c>
      <c r="H900" s="7" t="inlineStr">
        <is>
          <t>Home Office</t>
        </is>
      </c>
      <c r="I900" s="7" t="n">
        <v>6</v>
      </c>
      <c r="J900" s="10" t="n">
        <v>12.25</v>
      </c>
      <c r="K900" s="11" t="n">
        <v>0.05</v>
      </c>
      <c r="L900" s="10">
        <f>I900*J900*(1-K900)</f>
        <v/>
      </c>
      <c r="M900" s="10" t="n">
        <v>32.4</v>
      </c>
      <c r="N900" s="10">
        <f>L900-M900</f>
        <v/>
      </c>
    </row>
    <row r="901">
      <c r="A901" s="7" t="inlineStr">
        <is>
          <t>ORD-00091</t>
        </is>
      </c>
      <c r="B901" s="8" t="n">
        <v>45158</v>
      </c>
      <c r="C901" s="9" t="n">
        <v>45139</v>
      </c>
      <c r="D901" s="7" t="n">
        <v>2023</v>
      </c>
      <c r="E901" s="7" t="inlineStr">
        <is>
          <t>West</t>
        </is>
      </c>
      <c r="F901" s="7" t="inlineStr">
        <is>
          <t>Office Supplies</t>
        </is>
      </c>
      <c r="G901" s="7" t="inlineStr">
        <is>
          <t>Pens</t>
        </is>
      </c>
      <c r="H901" s="7" t="inlineStr">
        <is>
          <t>Corporate</t>
        </is>
      </c>
      <c r="I901" s="7" t="n">
        <v>15</v>
      </c>
      <c r="J901" s="10" t="n">
        <v>12.25</v>
      </c>
      <c r="K901" s="11" t="n">
        <v>0.1</v>
      </c>
      <c r="L901" s="10">
        <f>I901*J901*(1-K901)</f>
        <v/>
      </c>
      <c r="M901" s="10" t="n">
        <v>81</v>
      </c>
      <c r="N901" s="10">
        <f>L901-M901</f>
        <v/>
      </c>
    </row>
    <row r="902">
      <c r="A902" s="7" t="inlineStr">
        <is>
          <t>ORD-04126</t>
        </is>
      </c>
      <c r="B902" s="8" t="n">
        <v>45158</v>
      </c>
      <c r="C902" s="9" t="n">
        <v>45139</v>
      </c>
      <c r="D902" s="7" t="n">
        <v>2023</v>
      </c>
      <c r="E902" s="7" t="inlineStr">
        <is>
          <t>West</t>
        </is>
      </c>
      <c r="F902" s="7" t="inlineStr">
        <is>
          <t>Technology</t>
        </is>
      </c>
      <c r="G902" s="7" t="inlineStr">
        <is>
          <t>Headphones</t>
        </is>
      </c>
      <c r="H902" s="7" t="inlineStr">
        <is>
          <t>Corporate</t>
        </is>
      </c>
      <c r="I902" s="7" t="n">
        <v>2</v>
      </c>
      <c r="J902" s="10" t="n">
        <v>124.95</v>
      </c>
      <c r="K902" s="11" t="n">
        <v>0.05</v>
      </c>
      <c r="L902" s="10">
        <f>I902*J902*(1-K902)</f>
        <v/>
      </c>
      <c r="M902" s="10" t="n">
        <v>144</v>
      </c>
      <c r="N902" s="10">
        <f>L902-M902</f>
        <v/>
      </c>
    </row>
    <row r="903">
      <c r="A903" s="7" t="inlineStr">
        <is>
          <t>ORD-04008</t>
        </is>
      </c>
      <c r="B903" s="8" t="n">
        <v>45158</v>
      </c>
      <c r="C903" s="9" t="n">
        <v>45139</v>
      </c>
      <c r="D903" s="7" t="n">
        <v>2023</v>
      </c>
      <c r="E903" s="7" t="inlineStr">
        <is>
          <t>North</t>
        </is>
      </c>
      <c r="F903" s="7" t="inlineStr">
        <is>
          <t>Office Supplies</t>
        </is>
      </c>
      <c r="G903" s="7" t="inlineStr">
        <is>
          <t>Stapler</t>
        </is>
      </c>
      <c r="H903" s="7" t="inlineStr">
        <is>
          <t>Consumer</t>
        </is>
      </c>
      <c r="I903" s="7" t="n">
        <v>12</v>
      </c>
      <c r="J903" s="10" t="n">
        <v>15.05</v>
      </c>
      <c r="K903" s="11" t="n">
        <v>0.1</v>
      </c>
      <c r="L903" s="10">
        <f>I903*J903*(1-K903)</f>
        <v/>
      </c>
      <c r="M903" s="10" t="n">
        <v>90</v>
      </c>
      <c r="N903" s="10">
        <f>L903-M903</f>
        <v/>
      </c>
    </row>
    <row r="904">
      <c r="A904" s="7" t="inlineStr">
        <is>
          <t>ORD-00195</t>
        </is>
      </c>
      <c r="B904" s="8" t="n">
        <v>45159</v>
      </c>
      <c r="C904" s="9" t="n">
        <v>45139</v>
      </c>
      <c r="D904" s="7" t="n">
        <v>2023</v>
      </c>
      <c r="E904" s="7" t="inlineStr">
        <is>
          <t>West</t>
        </is>
      </c>
      <c r="F904" s="7" t="inlineStr">
        <is>
          <t>Furniture</t>
        </is>
      </c>
      <c r="G904" s="7" t="inlineStr">
        <is>
          <t>Office Chair</t>
        </is>
      </c>
      <c r="H904" s="7" t="inlineStr">
        <is>
          <t>Consumer</t>
        </is>
      </c>
      <c r="I904" s="7" t="n">
        <v>4</v>
      </c>
      <c r="J904" s="10" t="n">
        <v>230.58</v>
      </c>
      <c r="K904" s="11" t="n">
        <v>0.05</v>
      </c>
      <c r="L904" s="10">
        <f>I904*J904*(1-K904)</f>
        <v/>
      </c>
      <c r="M904" s="10" t="n">
        <v>721.6</v>
      </c>
      <c r="N904" s="10">
        <f>L904-M904</f>
        <v/>
      </c>
    </row>
    <row r="905">
      <c r="A905" s="7" t="inlineStr">
        <is>
          <t>ORD-04224</t>
        </is>
      </c>
      <c r="B905" s="8" t="n">
        <v>45159</v>
      </c>
      <c r="C905" s="9" t="n">
        <v>45139</v>
      </c>
      <c r="D905" s="7" t="n">
        <v>2023</v>
      </c>
      <c r="E905" s="7" t="inlineStr">
        <is>
          <t>South</t>
        </is>
      </c>
      <c r="F905" s="7" t="inlineStr">
        <is>
          <t>Technology</t>
        </is>
      </c>
      <c r="G905" s="7" t="inlineStr">
        <is>
          <t>Laptop</t>
        </is>
      </c>
      <c r="H905" s="7" t="inlineStr">
        <is>
          <t>Home Office</t>
        </is>
      </c>
      <c r="I905" s="7" t="n">
        <v>3</v>
      </c>
      <c r="J905" s="10" t="n">
        <v>904.25</v>
      </c>
      <c r="K905" s="11" t="n">
        <v>0</v>
      </c>
      <c r="L905" s="10">
        <f>I905*J905*(1-K905)</f>
        <v/>
      </c>
      <c r="M905" s="10" t="n">
        <v>2106</v>
      </c>
      <c r="N905" s="10">
        <f>L905-M905</f>
        <v/>
      </c>
    </row>
    <row r="906">
      <c r="A906" s="7" t="inlineStr">
        <is>
          <t>ORD-00985</t>
        </is>
      </c>
      <c r="B906" s="8" t="n">
        <v>45159</v>
      </c>
      <c r="C906" s="9" t="n">
        <v>45139</v>
      </c>
      <c r="D906" s="7" t="n">
        <v>2023</v>
      </c>
      <c r="E906" s="7" t="inlineStr">
        <is>
          <t>West</t>
        </is>
      </c>
      <c r="F906" s="7" t="inlineStr">
        <is>
          <t>Office Supplies</t>
        </is>
      </c>
      <c r="G906" s="7" t="inlineStr">
        <is>
          <t>Pens</t>
        </is>
      </c>
      <c r="H906" s="7" t="inlineStr">
        <is>
          <t>Consumer</t>
        </is>
      </c>
      <c r="I906" s="7" t="n">
        <v>8</v>
      </c>
      <c r="J906" s="10" t="n">
        <v>12.25</v>
      </c>
      <c r="K906" s="11" t="n">
        <v>0.05</v>
      </c>
      <c r="L906" s="10">
        <f>I906*J906*(1-K906)</f>
        <v/>
      </c>
      <c r="M906" s="10" t="n">
        <v>43.2</v>
      </c>
      <c r="N906" s="10">
        <f>L906-M906</f>
        <v/>
      </c>
    </row>
    <row r="907">
      <c r="A907" s="7" t="inlineStr">
        <is>
          <t>ORD-03706</t>
        </is>
      </c>
      <c r="B907" s="8" t="n">
        <v>45159</v>
      </c>
      <c r="C907" s="9" t="n">
        <v>45139</v>
      </c>
      <c r="D907" s="7" t="n">
        <v>2023</v>
      </c>
      <c r="E907" s="7" t="inlineStr">
        <is>
          <t>West</t>
        </is>
      </c>
      <c r="F907" s="7" t="inlineStr">
        <is>
          <t>Technology</t>
        </is>
      </c>
      <c r="G907" s="7" t="inlineStr">
        <is>
          <t>Keyboard</t>
        </is>
      </c>
      <c r="H907" s="7" t="inlineStr">
        <is>
          <t>Consumer</t>
        </is>
      </c>
      <c r="I907" s="7" t="n">
        <v>3</v>
      </c>
      <c r="J907" s="10" t="n">
        <v>44.61</v>
      </c>
      <c r="K907" s="11" t="n">
        <v>0.2</v>
      </c>
      <c r="L907" s="10">
        <f>I907*J907*(1-K907)</f>
        <v/>
      </c>
      <c r="M907" s="10" t="n">
        <v>74.25</v>
      </c>
      <c r="N907" s="10">
        <f>L907-M907</f>
        <v/>
      </c>
    </row>
    <row r="908">
      <c r="A908" s="7" t="inlineStr">
        <is>
          <t>ORD-01443</t>
        </is>
      </c>
      <c r="B908" s="8" t="n">
        <v>45160</v>
      </c>
      <c r="C908" s="9" t="n">
        <v>45139</v>
      </c>
      <c r="D908" s="7" t="n">
        <v>2023</v>
      </c>
      <c r="E908" s="7" t="inlineStr">
        <is>
          <t>South</t>
        </is>
      </c>
      <c r="F908" s="7" t="inlineStr">
        <is>
          <t>Furniture</t>
        </is>
      </c>
      <c r="G908" s="7" t="inlineStr">
        <is>
          <t>Desk</t>
        </is>
      </c>
      <c r="H908" s="7" t="inlineStr">
        <is>
          <t>Consumer</t>
        </is>
      </c>
      <c r="I908" s="7" t="n">
        <v>3</v>
      </c>
      <c r="J908" s="10" t="n">
        <v>434.09</v>
      </c>
      <c r="K908" s="11" t="n">
        <v>0.3</v>
      </c>
      <c r="L908" s="10">
        <f>I908*J908*(1-K908)</f>
        <v/>
      </c>
      <c r="M908" s="10" t="n">
        <v>1147.5</v>
      </c>
      <c r="N908" s="10">
        <f>L908-M908</f>
        <v/>
      </c>
    </row>
    <row r="909">
      <c r="A909" s="7" t="inlineStr">
        <is>
          <t>ORD-03425</t>
        </is>
      </c>
      <c r="B909" s="8" t="n">
        <v>45160</v>
      </c>
      <c r="C909" s="9" t="n">
        <v>45139</v>
      </c>
      <c r="D909" s="7" t="n">
        <v>2023</v>
      </c>
      <c r="E909" s="7" t="inlineStr">
        <is>
          <t>South</t>
        </is>
      </c>
      <c r="F909" s="7" t="inlineStr">
        <is>
          <t>Furniture</t>
        </is>
      </c>
      <c r="G909" s="7" t="inlineStr">
        <is>
          <t>Office Chair</t>
        </is>
      </c>
      <c r="H909" s="7" t="inlineStr">
        <is>
          <t>Corporate</t>
        </is>
      </c>
      <c r="I909" s="7" t="n">
        <v>4</v>
      </c>
      <c r="J909" s="10" t="n">
        <v>214.71</v>
      </c>
      <c r="K909" s="11" t="n">
        <v>0</v>
      </c>
      <c r="L909" s="10">
        <f>I909*J909*(1-K909)</f>
        <v/>
      </c>
      <c r="M909" s="10" t="n">
        <v>721.6</v>
      </c>
      <c r="N909" s="10">
        <f>L909-M909</f>
        <v/>
      </c>
    </row>
    <row r="910">
      <c r="A910" s="7" t="inlineStr">
        <is>
          <t>ORD-02951</t>
        </is>
      </c>
      <c r="B910" s="8" t="n">
        <v>45160</v>
      </c>
      <c r="C910" s="9" t="n">
        <v>45139</v>
      </c>
      <c r="D910" s="7" t="n">
        <v>2023</v>
      </c>
      <c r="E910" s="7" t="inlineStr">
        <is>
          <t>West</t>
        </is>
      </c>
      <c r="F910" s="7" t="inlineStr">
        <is>
          <t>Office Supplies</t>
        </is>
      </c>
      <c r="G910" s="7" t="inlineStr">
        <is>
          <t>Stapler</t>
        </is>
      </c>
      <c r="H910" s="7" t="inlineStr">
        <is>
          <t>Corporate</t>
        </is>
      </c>
      <c r="I910" s="7" t="n">
        <v>10</v>
      </c>
      <c r="J910" s="10" t="n">
        <v>14.67</v>
      </c>
      <c r="K910" s="11" t="n">
        <v>0.05</v>
      </c>
      <c r="L910" s="10">
        <f>I910*J910*(1-K910)</f>
        <v/>
      </c>
      <c r="M910" s="10" t="n">
        <v>75</v>
      </c>
      <c r="N910" s="10">
        <f>L910-M910</f>
        <v/>
      </c>
    </row>
    <row r="911">
      <c r="A911" s="7" t="inlineStr">
        <is>
          <t>ORD-00268</t>
        </is>
      </c>
      <c r="B911" s="8" t="n">
        <v>45160</v>
      </c>
      <c r="C911" s="9" t="n">
        <v>45139</v>
      </c>
      <c r="D911" s="7" t="n">
        <v>2023</v>
      </c>
      <c r="E911" s="7" t="inlineStr">
        <is>
          <t>South</t>
        </is>
      </c>
      <c r="F911" s="7" t="inlineStr">
        <is>
          <t>Office Supplies</t>
        </is>
      </c>
      <c r="G911" s="7" t="inlineStr">
        <is>
          <t>Paper</t>
        </is>
      </c>
      <c r="H911" s="7" t="inlineStr">
        <is>
          <t>Consumer</t>
        </is>
      </c>
      <c r="I911" s="7" t="n">
        <v>2</v>
      </c>
      <c r="J911" s="10" t="n">
        <v>24.37</v>
      </c>
      <c r="K911" s="11" t="n">
        <v>0</v>
      </c>
      <c r="L911" s="10">
        <f>I911*J911*(1-K911)</f>
        <v/>
      </c>
      <c r="M911" s="10" t="n">
        <v>25</v>
      </c>
      <c r="N911" s="10">
        <f>L911-M911</f>
        <v/>
      </c>
    </row>
    <row r="912">
      <c r="A912" s="7" t="inlineStr">
        <is>
          <t>ORD-01111</t>
        </is>
      </c>
      <c r="B912" s="8" t="n">
        <v>45160</v>
      </c>
      <c r="C912" s="9" t="n">
        <v>45139</v>
      </c>
      <c r="D912" s="7" t="n">
        <v>2023</v>
      </c>
      <c r="E912" s="7" t="inlineStr">
        <is>
          <t>North</t>
        </is>
      </c>
      <c r="F912" s="7" t="inlineStr">
        <is>
          <t>Technology</t>
        </is>
      </c>
      <c r="G912" s="7" t="inlineStr">
        <is>
          <t>Monitor</t>
        </is>
      </c>
      <c r="H912" s="7" t="inlineStr">
        <is>
          <t>Consumer</t>
        </is>
      </c>
      <c r="I912" s="7" t="n">
        <v>3</v>
      </c>
      <c r="J912" s="10" t="n">
        <v>242.07</v>
      </c>
      <c r="K912" s="11" t="n">
        <v>0</v>
      </c>
      <c r="L912" s="10">
        <f>I912*J912*(1-K912)</f>
        <v/>
      </c>
      <c r="M912" s="10" t="n">
        <v>540</v>
      </c>
      <c r="N912" s="10">
        <f>L912-M912</f>
        <v/>
      </c>
    </row>
    <row r="913">
      <c r="A913" s="7" t="inlineStr">
        <is>
          <t>ORD-03794</t>
        </is>
      </c>
      <c r="B913" s="8" t="n">
        <v>45160</v>
      </c>
      <c r="C913" s="9" t="n">
        <v>45139</v>
      </c>
      <c r="D913" s="7" t="n">
        <v>2023</v>
      </c>
      <c r="E913" s="7" t="inlineStr">
        <is>
          <t>West</t>
        </is>
      </c>
      <c r="F913" s="7" t="inlineStr">
        <is>
          <t>Office Supplies</t>
        </is>
      </c>
      <c r="G913" s="7" t="inlineStr">
        <is>
          <t>Stapler</t>
        </is>
      </c>
      <c r="H913" s="7" t="inlineStr">
        <is>
          <t>Consumer</t>
        </is>
      </c>
      <c r="I913" s="7" t="n">
        <v>6</v>
      </c>
      <c r="J913" s="10" t="n">
        <v>15.37</v>
      </c>
      <c r="K913" s="11" t="n">
        <v>0</v>
      </c>
      <c r="L913" s="10">
        <f>I913*J913*(1-K913)</f>
        <v/>
      </c>
      <c r="M913" s="10" t="n">
        <v>45</v>
      </c>
      <c r="N913" s="10">
        <f>L913-M913</f>
        <v/>
      </c>
    </row>
    <row r="914">
      <c r="A914" s="7" t="inlineStr">
        <is>
          <t>ORD-04936</t>
        </is>
      </c>
      <c r="B914" s="8" t="n">
        <v>45160</v>
      </c>
      <c r="C914" s="9" t="n">
        <v>45139</v>
      </c>
      <c r="D914" s="7" t="n">
        <v>2023</v>
      </c>
      <c r="E914" s="7" t="inlineStr">
        <is>
          <t>West</t>
        </is>
      </c>
      <c r="F914" s="7" t="inlineStr">
        <is>
          <t>Furniture</t>
        </is>
      </c>
      <c r="G914" s="7" t="inlineStr">
        <is>
          <t>Desk</t>
        </is>
      </c>
      <c r="H914" s="7" t="inlineStr">
        <is>
          <t>Corporate</t>
        </is>
      </c>
      <c r="I914" s="7" t="n">
        <v>3</v>
      </c>
      <c r="J914" s="10" t="n">
        <v>455.15</v>
      </c>
      <c r="K914" s="11" t="n">
        <v>0.1</v>
      </c>
      <c r="L914" s="10">
        <f>I914*J914*(1-K914)</f>
        <v/>
      </c>
      <c r="M914" s="10" t="n">
        <v>1147.5</v>
      </c>
      <c r="N914" s="10">
        <f>L914-M914</f>
        <v/>
      </c>
    </row>
    <row r="915">
      <c r="A915" s="7" t="inlineStr">
        <is>
          <t>ORD-01784</t>
        </is>
      </c>
      <c r="B915" s="8" t="n">
        <v>45160</v>
      </c>
      <c r="C915" s="9" t="n">
        <v>45139</v>
      </c>
      <c r="D915" s="7" t="n">
        <v>2023</v>
      </c>
      <c r="E915" s="7" t="inlineStr">
        <is>
          <t>West</t>
        </is>
      </c>
      <c r="F915" s="7" t="inlineStr">
        <is>
          <t>Technology</t>
        </is>
      </c>
      <c r="G915" s="7" t="inlineStr">
        <is>
          <t>Keyboard</t>
        </is>
      </c>
      <c r="H915" s="7" t="inlineStr">
        <is>
          <t>Consumer</t>
        </is>
      </c>
      <c r="I915" s="7" t="n">
        <v>3</v>
      </c>
      <c r="J915" s="10" t="n">
        <v>46.7</v>
      </c>
      <c r="K915" s="11" t="n">
        <v>0</v>
      </c>
      <c r="L915" s="10">
        <f>I915*J915*(1-K915)</f>
        <v/>
      </c>
      <c r="M915" s="10" t="n">
        <v>74.25</v>
      </c>
      <c r="N915" s="10">
        <f>L915-M915</f>
        <v/>
      </c>
    </row>
    <row r="916">
      <c r="A916" s="7" t="inlineStr">
        <is>
          <t>ORD-00523</t>
        </is>
      </c>
      <c r="B916" s="8" t="n">
        <v>45160</v>
      </c>
      <c r="C916" s="9" t="n">
        <v>45139</v>
      </c>
      <c r="D916" s="7" t="n">
        <v>2023</v>
      </c>
      <c r="E916" s="7" t="inlineStr">
        <is>
          <t>West</t>
        </is>
      </c>
      <c r="F916" s="7" t="inlineStr">
        <is>
          <t>Office Supplies</t>
        </is>
      </c>
      <c r="G916" s="7" t="inlineStr">
        <is>
          <t>Printer Ink</t>
        </is>
      </c>
      <c r="H916" s="7" t="inlineStr">
        <is>
          <t>Home Office</t>
        </is>
      </c>
      <c r="I916" s="7" t="n">
        <v>7</v>
      </c>
      <c r="J916" s="10" t="n">
        <v>58.29</v>
      </c>
      <c r="K916" s="11" t="n">
        <v>0</v>
      </c>
      <c r="L916" s="10">
        <f>I916*J916*(1-K916)</f>
        <v/>
      </c>
      <c r="M916" s="10" t="n">
        <v>252</v>
      </c>
      <c r="N916" s="10">
        <f>L916-M916</f>
        <v/>
      </c>
    </row>
    <row r="917">
      <c r="A917" s="7" t="inlineStr">
        <is>
          <t>ORD-03528</t>
        </is>
      </c>
      <c r="B917" s="8" t="n">
        <v>45160</v>
      </c>
      <c r="C917" s="9" t="n">
        <v>45139</v>
      </c>
      <c r="D917" s="7" t="n">
        <v>2023</v>
      </c>
      <c r="E917" s="7" t="inlineStr">
        <is>
          <t>West</t>
        </is>
      </c>
      <c r="F917" s="7" t="inlineStr">
        <is>
          <t>Office Supplies</t>
        </is>
      </c>
      <c r="G917" s="7" t="inlineStr">
        <is>
          <t>Pens</t>
        </is>
      </c>
      <c r="H917" s="7" t="inlineStr">
        <is>
          <t>Corporate</t>
        </is>
      </c>
      <c r="I917" s="7" t="n">
        <v>5</v>
      </c>
      <c r="J917" s="10" t="n">
        <v>11.66</v>
      </c>
      <c r="K917" s="11" t="n">
        <v>0.2</v>
      </c>
      <c r="L917" s="10">
        <f>I917*J917*(1-K917)</f>
        <v/>
      </c>
      <c r="M917" s="10" t="n">
        <v>27</v>
      </c>
      <c r="N917" s="10">
        <f>L917-M917</f>
        <v/>
      </c>
    </row>
    <row r="918">
      <c r="A918" s="7" t="inlineStr">
        <is>
          <t>ORD-01154</t>
        </is>
      </c>
      <c r="B918" s="8" t="n">
        <v>45160</v>
      </c>
      <c r="C918" s="9" t="n">
        <v>45139</v>
      </c>
      <c r="D918" s="7" t="n">
        <v>2023</v>
      </c>
      <c r="E918" s="7" t="inlineStr">
        <is>
          <t>East</t>
        </is>
      </c>
      <c r="F918" s="7" t="inlineStr">
        <is>
          <t>Office Supplies</t>
        </is>
      </c>
      <c r="G918" s="7" t="inlineStr">
        <is>
          <t>Binder</t>
        </is>
      </c>
      <c r="H918" s="7" t="inlineStr">
        <is>
          <t>Corporate</t>
        </is>
      </c>
      <c r="I918" s="7" t="n">
        <v>7</v>
      </c>
      <c r="J918" s="10" t="n">
        <v>7.77</v>
      </c>
      <c r="K918" s="11" t="n">
        <v>0</v>
      </c>
      <c r="L918" s="10">
        <f>I918*J918*(1-K918)</f>
        <v/>
      </c>
      <c r="M918" s="10" t="n">
        <v>22.4</v>
      </c>
      <c r="N918" s="10">
        <f>L918-M918</f>
        <v/>
      </c>
    </row>
    <row r="919">
      <c r="A919" s="7" t="inlineStr">
        <is>
          <t>ORD-01964</t>
        </is>
      </c>
      <c r="B919" s="8" t="n">
        <v>45160</v>
      </c>
      <c r="C919" s="9" t="n">
        <v>45139</v>
      </c>
      <c r="D919" s="7" t="n">
        <v>2023</v>
      </c>
      <c r="E919" s="7" t="inlineStr">
        <is>
          <t>South</t>
        </is>
      </c>
      <c r="F919" s="7" t="inlineStr">
        <is>
          <t>Office Supplies</t>
        </is>
      </c>
      <c r="G919" s="7" t="inlineStr">
        <is>
          <t>Stapler</t>
        </is>
      </c>
      <c r="H919" s="7" t="inlineStr">
        <is>
          <t>Consumer</t>
        </is>
      </c>
      <c r="I919" s="7" t="n">
        <v>9</v>
      </c>
      <c r="J919" s="10" t="n">
        <v>14.53</v>
      </c>
      <c r="K919" s="11" t="n">
        <v>0.2</v>
      </c>
      <c r="L919" s="10">
        <f>I919*J919*(1-K919)</f>
        <v/>
      </c>
      <c r="M919" s="10" t="n">
        <v>67.5</v>
      </c>
      <c r="N919" s="10">
        <f>L919-M919</f>
        <v/>
      </c>
    </row>
    <row r="920">
      <c r="A920" s="7" t="inlineStr">
        <is>
          <t>ORD-02683</t>
        </is>
      </c>
      <c r="B920" s="8" t="n">
        <v>45160</v>
      </c>
      <c r="C920" s="9" t="n">
        <v>45139</v>
      </c>
      <c r="D920" s="7" t="n">
        <v>2023</v>
      </c>
      <c r="E920" s="7" t="inlineStr">
        <is>
          <t>South</t>
        </is>
      </c>
      <c r="F920" s="7" t="inlineStr">
        <is>
          <t>Office Supplies</t>
        </is>
      </c>
      <c r="G920" s="7" t="inlineStr">
        <is>
          <t>Paper</t>
        </is>
      </c>
      <c r="H920" s="7" t="inlineStr">
        <is>
          <t>Home Office</t>
        </is>
      </c>
      <c r="I920" s="7" t="n">
        <v>11</v>
      </c>
      <c r="J920" s="10" t="n">
        <v>24.16</v>
      </c>
      <c r="K920" s="11" t="n">
        <v>0.05</v>
      </c>
      <c r="L920" s="10">
        <f>I920*J920*(1-K920)</f>
        <v/>
      </c>
      <c r="M920" s="10" t="n">
        <v>137.5</v>
      </c>
      <c r="N920" s="10">
        <f>L920-M920</f>
        <v/>
      </c>
    </row>
    <row r="921">
      <c r="A921" s="7" t="inlineStr">
        <is>
          <t>ORD-01519</t>
        </is>
      </c>
      <c r="B921" s="8" t="n">
        <v>45161</v>
      </c>
      <c r="C921" s="9" t="n">
        <v>45139</v>
      </c>
      <c r="D921" s="7" t="n">
        <v>2023</v>
      </c>
      <c r="E921" s="7" t="inlineStr">
        <is>
          <t>East</t>
        </is>
      </c>
      <c r="F921" s="7" t="inlineStr">
        <is>
          <t>Office Supplies</t>
        </is>
      </c>
      <c r="G921" s="7" t="inlineStr">
        <is>
          <t>Stapler</t>
        </is>
      </c>
      <c r="H921" s="7" t="inlineStr">
        <is>
          <t>Consumer</t>
        </is>
      </c>
      <c r="I921" s="7" t="n">
        <v>7</v>
      </c>
      <c r="J921" s="10" t="n">
        <v>15.38</v>
      </c>
      <c r="K921" s="11" t="n">
        <v>0.3</v>
      </c>
      <c r="L921" s="10">
        <f>I921*J921*(1-K921)</f>
        <v/>
      </c>
      <c r="M921" s="10" t="n">
        <v>52.5</v>
      </c>
      <c r="N921" s="10">
        <f>L921-M921</f>
        <v/>
      </c>
    </row>
    <row r="922">
      <c r="A922" s="7" t="inlineStr">
        <is>
          <t>ORD-05263</t>
        </is>
      </c>
      <c r="B922" s="8" t="n">
        <v>45161</v>
      </c>
      <c r="C922" s="9" t="n">
        <v>45139</v>
      </c>
      <c r="D922" s="7" t="n">
        <v>2023</v>
      </c>
      <c r="E922" s="7" t="inlineStr">
        <is>
          <t>East</t>
        </is>
      </c>
      <c r="F922" s="7" t="inlineStr">
        <is>
          <t>Furniture</t>
        </is>
      </c>
      <c r="G922" s="7" t="inlineStr">
        <is>
          <t>Sofa</t>
        </is>
      </c>
      <c r="H922" s="7" t="inlineStr">
        <is>
          <t>Consumer</t>
        </is>
      </c>
      <c r="I922" s="7" t="n">
        <v>2</v>
      </c>
      <c r="J922" s="10" t="n">
        <v>708.35</v>
      </c>
      <c r="K922" s="11" t="n">
        <v>0.2</v>
      </c>
      <c r="L922" s="10">
        <f>I922*J922*(1-K922)</f>
        <v/>
      </c>
      <c r="M922" s="10" t="n">
        <v>1232</v>
      </c>
      <c r="N922" s="10">
        <f>L922-M922</f>
        <v/>
      </c>
    </row>
    <row r="923">
      <c r="A923" s="7" t="inlineStr">
        <is>
          <t>ORD-03539</t>
        </is>
      </c>
      <c r="B923" s="8" t="n">
        <v>45161</v>
      </c>
      <c r="C923" s="9" t="n">
        <v>45139</v>
      </c>
      <c r="D923" s="7" t="n">
        <v>2023</v>
      </c>
      <c r="E923" s="7" t="inlineStr">
        <is>
          <t>South</t>
        </is>
      </c>
      <c r="F923" s="7" t="inlineStr">
        <is>
          <t>Technology</t>
        </is>
      </c>
      <c r="G923" s="7" t="inlineStr">
        <is>
          <t>Smartphone</t>
        </is>
      </c>
      <c r="H923" s="7" t="inlineStr">
        <is>
          <t>Corporate</t>
        </is>
      </c>
      <c r="I923" s="7" t="n">
        <v>2</v>
      </c>
      <c r="J923" s="10" t="n">
        <v>595.3200000000001</v>
      </c>
      <c r="K923" s="11" t="n">
        <v>0.1</v>
      </c>
      <c r="L923" s="10">
        <f>I923*J923*(1-K923)</f>
        <v/>
      </c>
      <c r="M923" s="10" t="n">
        <v>900</v>
      </c>
      <c r="N923" s="10">
        <f>L923-M923</f>
        <v/>
      </c>
    </row>
    <row r="924">
      <c r="A924" s="7" t="inlineStr">
        <is>
          <t>ORD-03199</t>
        </is>
      </c>
      <c r="B924" s="8" t="n">
        <v>45161</v>
      </c>
      <c r="C924" s="9" t="n">
        <v>45139</v>
      </c>
      <c r="D924" s="7" t="n">
        <v>2023</v>
      </c>
      <c r="E924" s="7" t="inlineStr">
        <is>
          <t>West</t>
        </is>
      </c>
      <c r="F924" s="7" t="inlineStr">
        <is>
          <t>Office Supplies</t>
        </is>
      </c>
      <c r="G924" s="7" t="inlineStr">
        <is>
          <t>Binder</t>
        </is>
      </c>
      <c r="H924" s="7" t="inlineStr">
        <is>
          <t>Consumer</t>
        </is>
      </c>
      <c r="I924" s="7" t="n">
        <v>12</v>
      </c>
      <c r="J924" s="10" t="n">
        <v>7.96</v>
      </c>
      <c r="K924" s="11" t="n">
        <v>0.05</v>
      </c>
      <c r="L924" s="10">
        <f>I924*J924*(1-K924)</f>
        <v/>
      </c>
      <c r="M924" s="10" t="n">
        <v>38.4</v>
      </c>
      <c r="N924" s="10">
        <f>L924-M924</f>
        <v/>
      </c>
    </row>
    <row r="925">
      <c r="A925" s="7" t="inlineStr">
        <is>
          <t>ORD-04388</t>
        </is>
      </c>
      <c r="B925" s="8" t="n">
        <v>45161</v>
      </c>
      <c r="C925" s="9" t="n">
        <v>45139</v>
      </c>
      <c r="D925" s="7" t="n">
        <v>2023</v>
      </c>
      <c r="E925" s="7" t="inlineStr">
        <is>
          <t>South</t>
        </is>
      </c>
      <c r="F925" s="7" t="inlineStr">
        <is>
          <t>Office Supplies</t>
        </is>
      </c>
      <c r="G925" s="7" t="inlineStr">
        <is>
          <t>Binder</t>
        </is>
      </c>
      <c r="H925" s="7" t="inlineStr">
        <is>
          <t>Consumer</t>
        </is>
      </c>
      <c r="I925" s="7" t="n">
        <v>4</v>
      </c>
      <c r="J925" s="10" t="n">
        <v>7.96</v>
      </c>
      <c r="K925" s="11" t="n">
        <v>0.2</v>
      </c>
      <c r="L925" s="10">
        <f>I925*J925*(1-K925)</f>
        <v/>
      </c>
      <c r="M925" s="10" t="n">
        <v>12.8</v>
      </c>
      <c r="N925" s="10">
        <f>L925-M925</f>
        <v/>
      </c>
    </row>
    <row r="926">
      <c r="A926" s="7" t="inlineStr">
        <is>
          <t>ORD-01843</t>
        </is>
      </c>
      <c r="B926" s="8" t="n">
        <v>45161</v>
      </c>
      <c r="C926" s="9" t="n">
        <v>45139</v>
      </c>
      <c r="D926" s="7" t="n">
        <v>2023</v>
      </c>
      <c r="E926" s="7" t="inlineStr">
        <is>
          <t>West</t>
        </is>
      </c>
      <c r="F926" s="7" t="inlineStr">
        <is>
          <t>Office Supplies</t>
        </is>
      </c>
      <c r="G926" s="7" t="inlineStr">
        <is>
          <t>Stapler</t>
        </is>
      </c>
      <c r="H926" s="7" t="inlineStr">
        <is>
          <t>Corporate</t>
        </is>
      </c>
      <c r="I926" s="7" t="n">
        <v>8</v>
      </c>
      <c r="J926" s="10" t="n">
        <v>15.25</v>
      </c>
      <c r="K926" s="11" t="n">
        <v>0</v>
      </c>
      <c r="L926" s="10">
        <f>I926*J926*(1-K926)</f>
        <v/>
      </c>
      <c r="M926" s="10" t="n">
        <v>60</v>
      </c>
      <c r="N926" s="10">
        <f>L926-M926</f>
        <v/>
      </c>
    </row>
    <row r="927">
      <c r="A927" s="7" t="inlineStr">
        <is>
          <t>ORD-00029</t>
        </is>
      </c>
      <c r="B927" s="8" t="n">
        <v>45161</v>
      </c>
      <c r="C927" s="9" t="n">
        <v>45139</v>
      </c>
      <c r="D927" s="7" t="n">
        <v>2023</v>
      </c>
      <c r="E927" s="7" t="inlineStr">
        <is>
          <t>North</t>
        </is>
      </c>
      <c r="F927" s="7" t="inlineStr">
        <is>
          <t>Office Supplies</t>
        </is>
      </c>
      <c r="G927" s="7" t="inlineStr">
        <is>
          <t>Paper</t>
        </is>
      </c>
      <c r="H927" s="7" t="inlineStr">
        <is>
          <t>Consumer</t>
        </is>
      </c>
      <c r="I927" s="7" t="n">
        <v>5</v>
      </c>
      <c r="J927" s="10" t="n">
        <v>26.07</v>
      </c>
      <c r="K927" s="11" t="n">
        <v>0.05</v>
      </c>
      <c r="L927" s="10">
        <f>I927*J927*(1-K927)</f>
        <v/>
      </c>
      <c r="M927" s="10" t="n">
        <v>62.5</v>
      </c>
      <c r="N927" s="10">
        <f>L927-M927</f>
        <v/>
      </c>
    </row>
    <row r="928">
      <c r="A928" s="7" t="inlineStr">
        <is>
          <t>ORD-05440</t>
        </is>
      </c>
      <c r="B928" s="8" t="n">
        <v>45162</v>
      </c>
      <c r="C928" s="9" t="n">
        <v>45139</v>
      </c>
      <c r="D928" s="7" t="n">
        <v>2023</v>
      </c>
      <c r="E928" s="7" t="inlineStr">
        <is>
          <t>North</t>
        </is>
      </c>
      <c r="F928" s="7" t="inlineStr">
        <is>
          <t>Office Supplies</t>
        </is>
      </c>
      <c r="G928" s="7" t="inlineStr">
        <is>
          <t>Paper</t>
        </is>
      </c>
      <c r="H928" s="7" t="inlineStr">
        <is>
          <t>Home Office</t>
        </is>
      </c>
      <c r="I928" s="7" t="n">
        <v>13</v>
      </c>
      <c r="J928" s="10" t="n">
        <v>24.22</v>
      </c>
      <c r="K928" s="11" t="n">
        <v>0.1</v>
      </c>
      <c r="L928" s="10">
        <f>I928*J928*(1-K928)</f>
        <v/>
      </c>
      <c r="M928" s="10" t="n">
        <v>162.5</v>
      </c>
      <c r="N928" s="10">
        <f>L928-M928</f>
        <v/>
      </c>
    </row>
    <row r="929">
      <c r="A929" s="7" t="inlineStr">
        <is>
          <t>ORD-00442</t>
        </is>
      </c>
      <c r="B929" s="8" t="n">
        <v>45162</v>
      </c>
      <c r="C929" s="9" t="n">
        <v>45139</v>
      </c>
      <c r="D929" s="7" t="n">
        <v>2023</v>
      </c>
      <c r="E929" s="7" t="inlineStr">
        <is>
          <t>North</t>
        </is>
      </c>
      <c r="F929" s="7" t="inlineStr">
        <is>
          <t>Technology</t>
        </is>
      </c>
      <c r="G929" s="7" t="inlineStr">
        <is>
          <t>Keyboard</t>
        </is>
      </c>
      <c r="H929" s="7" t="inlineStr">
        <is>
          <t>Corporate</t>
        </is>
      </c>
      <c r="I929" s="7" t="n">
        <v>1</v>
      </c>
      <c r="J929" s="10" t="n">
        <v>47.09</v>
      </c>
      <c r="K929" s="11" t="n">
        <v>0.05</v>
      </c>
      <c r="L929" s="10">
        <f>I929*J929*(1-K929)</f>
        <v/>
      </c>
      <c r="M929" s="10" t="n">
        <v>24.75</v>
      </c>
      <c r="N929" s="10">
        <f>L929-M929</f>
        <v/>
      </c>
    </row>
    <row r="930">
      <c r="A930" s="7" t="inlineStr">
        <is>
          <t>ORD-05874</t>
        </is>
      </c>
      <c r="B930" s="8" t="n">
        <v>45162</v>
      </c>
      <c r="C930" s="9" t="n">
        <v>45139</v>
      </c>
      <c r="D930" s="7" t="n">
        <v>2023</v>
      </c>
      <c r="E930" s="7" t="inlineStr">
        <is>
          <t>West</t>
        </is>
      </c>
      <c r="F930" s="7" t="inlineStr">
        <is>
          <t>Technology</t>
        </is>
      </c>
      <c r="G930" s="7" t="inlineStr">
        <is>
          <t>Headphones</t>
        </is>
      </c>
      <c r="H930" s="7" t="inlineStr">
        <is>
          <t>Corporate</t>
        </is>
      </c>
      <c r="I930" s="7" t="n">
        <v>2</v>
      </c>
      <c r="J930" s="10" t="n">
        <v>120.92</v>
      </c>
      <c r="K930" s="11" t="n">
        <v>0</v>
      </c>
      <c r="L930" s="10">
        <f>I930*J930*(1-K930)</f>
        <v/>
      </c>
      <c r="M930" s="10" t="n">
        <v>144</v>
      </c>
      <c r="N930" s="10">
        <f>L930-M930</f>
        <v/>
      </c>
    </row>
    <row r="931">
      <c r="A931" s="7" t="inlineStr">
        <is>
          <t>ORD-05962</t>
        </is>
      </c>
      <c r="B931" s="8" t="n">
        <v>45162</v>
      </c>
      <c r="C931" s="9" t="n">
        <v>45139</v>
      </c>
      <c r="D931" s="7" t="n">
        <v>2023</v>
      </c>
      <c r="E931" s="7" t="inlineStr">
        <is>
          <t>West</t>
        </is>
      </c>
      <c r="F931" s="7" t="inlineStr">
        <is>
          <t>Office Supplies</t>
        </is>
      </c>
      <c r="G931" s="7" t="inlineStr">
        <is>
          <t>Paper</t>
        </is>
      </c>
      <c r="H931" s="7" t="inlineStr">
        <is>
          <t>Home Office</t>
        </is>
      </c>
      <c r="I931" s="7" t="n">
        <v>2</v>
      </c>
      <c r="J931" s="10" t="n">
        <v>25.19</v>
      </c>
      <c r="K931" s="11" t="n">
        <v>0</v>
      </c>
      <c r="L931" s="10">
        <f>I931*J931*(1-K931)</f>
        <v/>
      </c>
      <c r="M931" s="10" t="n">
        <v>25</v>
      </c>
      <c r="N931" s="10">
        <f>L931-M931</f>
        <v/>
      </c>
    </row>
    <row r="932">
      <c r="A932" s="7" t="inlineStr">
        <is>
          <t>ORD-01904</t>
        </is>
      </c>
      <c r="B932" s="8" t="n">
        <v>45162</v>
      </c>
      <c r="C932" s="9" t="n">
        <v>45139</v>
      </c>
      <c r="D932" s="7" t="n">
        <v>2023</v>
      </c>
      <c r="E932" s="7" t="inlineStr">
        <is>
          <t>South</t>
        </is>
      </c>
      <c r="F932" s="7" t="inlineStr">
        <is>
          <t>Technology</t>
        </is>
      </c>
      <c r="G932" s="7" t="inlineStr">
        <is>
          <t>Keyboard</t>
        </is>
      </c>
      <c r="H932" s="7" t="inlineStr">
        <is>
          <t>Corporate</t>
        </is>
      </c>
      <c r="I932" s="7" t="n">
        <v>3</v>
      </c>
      <c r="J932" s="10" t="n">
        <v>44.46</v>
      </c>
      <c r="K932" s="11" t="n">
        <v>0.05</v>
      </c>
      <c r="L932" s="10">
        <f>I932*J932*(1-K932)</f>
        <v/>
      </c>
      <c r="M932" s="10" t="n">
        <v>74.25</v>
      </c>
      <c r="N932" s="10">
        <f>L932-M932</f>
        <v/>
      </c>
    </row>
    <row r="933">
      <c r="A933" s="7" t="inlineStr">
        <is>
          <t>ORD-00703</t>
        </is>
      </c>
      <c r="B933" s="8" t="n">
        <v>45162</v>
      </c>
      <c r="C933" s="9" t="n">
        <v>45139</v>
      </c>
      <c r="D933" s="7" t="n">
        <v>2023</v>
      </c>
      <c r="E933" s="7" t="inlineStr">
        <is>
          <t>North</t>
        </is>
      </c>
      <c r="F933" s="7" t="inlineStr">
        <is>
          <t>Office Supplies</t>
        </is>
      </c>
      <c r="G933" s="7" t="inlineStr">
        <is>
          <t>Stapler</t>
        </is>
      </c>
      <c r="H933" s="7" t="inlineStr">
        <is>
          <t>Corporate</t>
        </is>
      </c>
      <c r="I933" s="7" t="n">
        <v>2</v>
      </c>
      <c r="J933" s="10" t="n">
        <v>14.9</v>
      </c>
      <c r="K933" s="11" t="n">
        <v>0.05</v>
      </c>
      <c r="L933" s="10">
        <f>I933*J933*(1-K933)</f>
        <v/>
      </c>
      <c r="M933" s="10" t="n">
        <v>15</v>
      </c>
      <c r="N933" s="10">
        <f>L933-M933</f>
        <v/>
      </c>
    </row>
    <row r="934">
      <c r="A934" s="7" t="inlineStr">
        <is>
          <t>ORD-02916</t>
        </is>
      </c>
      <c r="B934" s="8" t="n">
        <v>45162</v>
      </c>
      <c r="C934" s="9" t="n">
        <v>45139</v>
      </c>
      <c r="D934" s="7" t="n">
        <v>2023</v>
      </c>
      <c r="E934" s="7" t="inlineStr">
        <is>
          <t>West</t>
        </is>
      </c>
      <c r="F934" s="7" t="inlineStr">
        <is>
          <t>Furniture</t>
        </is>
      </c>
      <c r="G934" s="7" t="inlineStr">
        <is>
          <t>Desk</t>
        </is>
      </c>
      <c r="H934" s="7" t="inlineStr">
        <is>
          <t>Consumer</t>
        </is>
      </c>
      <c r="I934" s="7" t="n">
        <v>1</v>
      </c>
      <c r="J934" s="10" t="n">
        <v>443.16</v>
      </c>
      <c r="K934" s="11" t="n">
        <v>0.05</v>
      </c>
      <c r="L934" s="10">
        <f>I934*J934*(1-K934)</f>
        <v/>
      </c>
      <c r="M934" s="10" t="n">
        <v>382.5</v>
      </c>
      <c r="N934" s="10">
        <f>L934-M934</f>
        <v/>
      </c>
    </row>
    <row r="935">
      <c r="A935" s="7" t="inlineStr">
        <is>
          <t>ORD-04079</t>
        </is>
      </c>
      <c r="B935" s="8" t="n">
        <v>45163</v>
      </c>
      <c r="C935" s="9" t="n">
        <v>45139</v>
      </c>
      <c r="D935" s="7" t="n">
        <v>2023</v>
      </c>
      <c r="E935" s="7" t="inlineStr">
        <is>
          <t>South</t>
        </is>
      </c>
      <c r="F935" s="7" t="inlineStr">
        <is>
          <t>Office Supplies</t>
        </is>
      </c>
      <c r="G935" s="7" t="inlineStr">
        <is>
          <t>Stapler</t>
        </is>
      </c>
      <c r="H935" s="7" t="inlineStr">
        <is>
          <t>Consumer</t>
        </is>
      </c>
      <c r="I935" s="7" t="n">
        <v>10</v>
      </c>
      <c r="J935" s="10" t="n">
        <v>15.51</v>
      </c>
      <c r="K935" s="11" t="n">
        <v>0.2</v>
      </c>
      <c r="L935" s="10">
        <f>I935*J935*(1-K935)</f>
        <v/>
      </c>
      <c r="M935" s="10" t="n">
        <v>75</v>
      </c>
      <c r="N935" s="10">
        <f>L935-M935</f>
        <v/>
      </c>
    </row>
    <row r="936">
      <c r="A936" s="7" t="inlineStr">
        <is>
          <t>ORD-05735</t>
        </is>
      </c>
      <c r="B936" s="8" t="n">
        <v>45163</v>
      </c>
      <c r="C936" s="9" t="n">
        <v>45139</v>
      </c>
      <c r="D936" s="7" t="n">
        <v>2023</v>
      </c>
      <c r="E936" s="7" t="inlineStr">
        <is>
          <t>North</t>
        </is>
      </c>
      <c r="F936" s="7" t="inlineStr">
        <is>
          <t>Furniture</t>
        </is>
      </c>
      <c r="G936" s="7" t="inlineStr">
        <is>
          <t>Bookcase</t>
        </is>
      </c>
      <c r="H936" s="7" t="inlineStr">
        <is>
          <t>Home Office</t>
        </is>
      </c>
      <c r="I936" s="7" t="n">
        <v>3</v>
      </c>
      <c r="J936" s="10" t="n">
        <v>171.86</v>
      </c>
      <c r="K936" s="11" t="n">
        <v>0.1</v>
      </c>
      <c r="L936" s="10">
        <f>I936*J936*(1-K936)</f>
        <v/>
      </c>
      <c r="M936" s="10" t="n">
        <v>432</v>
      </c>
      <c r="N936" s="10">
        <f>L936-M936</f>
        <v/>
      </c>
    </row>
    <row r="937">
      <c r="A937" s="7" t="inlineStr">
        <is>
          <t>ORD-04286</t>
        </is>
      </c>
      <c r="B937" s="8" t="n">
        <v>45163</v>
      </c>
      <c r="C937" s="9" t="n">
        <v>45139</v>
      </c>
      <c r="D937" s="7" t="n">
        <v>2023</v>
      </c>
      <c r="E937" s="7" t="inlineStr">
        <is>
          <t>West</t>
        </is>
      </c>
      <c r="F937" s="7" t="inlineStr">
        <is>
          <t>Office Supplies</t>
        </is>
      </c>
      <c r="G937" s="7" t="inlineStr">
        <is>
          <t>Paper</t>
        </is>
      </c>
      <c r="H937" s="7" t="inlineStr">
        <is>
          <t>Corporate</t>
        </is>
      </c>
      <c r="I937" s="7" t="n">
        <v>3</v>
      </c>
      <c r="J937" s="10" t="n">
        <v>25.86</v>
      </c>
      <c r="K937" s="11" t="n">
        <v>0.1</v>
      </c>
      <c r="L937" s="10">
        <f>I937*J937*(1-K937)</f>
        <v/>
      </c>
      <c r="M937" s="10" t="n">
        <v>37.5</v>
      </c>
      <c r="N937" s="10">
        <f>L937-M937</f>
        <v/>
      </c>
    </row>
    <row r="938">
      <c r="A938" s="7" t="inlineStr">
        <is>
          <t>ORD-02209</t>
        </is>
      </c>
      <c r="B938" s="8" t="n">
        <v>45163</v>
      </c>
      <c r="C938" s="9" t="n">
        <v>45139</v>
      </c>
      <c r="D938" s="7" t="n">
        <v>2023</v>
      </c>
      <c r="E938" s="7" t="inlineStr">
        <is>
          <t>South</t>
        </is>
      </c>
      <c r="F938" s="7" t="inlineStr">
        <is>
          <t>Technology</t>
        </is>
      </c>
      <c r="G938" s="7" t="inlineStr">
        <is>
          <t>Keyboard</t>
        </is>
      </c>
      <c r="H938" s="7" t="inlineStr">
        <is>
          <t>Consumer</t>
        </is>
      </c>
      <c r="I938" s="7" t="n">
        <v>2</v>
      </c>
      <c r="J938" s="10" t="n">
        <v>45.97</v>
      </c>
      <c r="K938" s="11" t="n">
        <v>0.2</v>
      </c>
      <c r="L938" s="10">
        <f>I938*J938*(1-K938)</f>
        <v/>
      </c>
      <c r="M938" s="10" t="n">
        <v>49.5</v>
      </c>
      <c r="N938" s="10">
        <f>L938-M938</f>
        <v/>
      </c>
    </row>
    <row r="939">
      <c r="A939" s="7" t="inlineStr">
        <is>
          <t>ORD-05568</t>
        </is>
      </c>
      <c r="B939" s="8" t="n">
        <v>45163</v>
      </c>
      <c r="C939" s="9" t="n">
        <v>45139</v>
      </c>
      <c r="D939" s="7" t="n">
        <v>2023</v>
      </c>
      <c r="E939" s="7" t="inlineStr">
        <is>
          <t>South</t>
        </is>
      </c>
      <c r="F939" s="7" t="inlineStr">
        <is>
          <t>Office Supplies</t>
        </is>
      </c>
      <c r="G939" s="7" t="inlineStr">
        <is>
          <t>Paper</t>
        </is>
      </c>
      <c r="H939" s="7" t="inlineStr">
        <is>
          <t>Consumer</t>
        </is>
      </c>
      <c r="I939" s="7" t="n">
        <v>12</v>
      </c>
      <c r="J939" s="10" t="n">
        <v>24.63</v>
      </c>
      <c r="K939" s="11" t="n">
        <v>0.2</v>
      </c>
      <c r="L939" s="10">
        <f>I939*J939*(1-K939)</f>
        <v/>
      </c>
      <c r="M939" s="10" t="n">
        <v>150</v>
      </c>
      <c r="N939" s="10">
        <f>L939-M939</f>
        <v/>
      </c>
    </row>
    <row r="940">
      <c r="A940" s="7" t="inlineStr">
        <is>
          <t>ORD-01396</t>
        </is>
      </c>
      <c r="B940" s="8" t="n">
        <v>45163</v>
      </c>
      <c r="C940" s="9" t="n">
        <v>45139</v>
      </c>
      <c r="D940" s="7" t="n">
        <v>2023</v>
      </c>
      <c r="E940" s="7" t="inlineStr">
        <is>
          <t>North</t>
        </is>
      </c>
      <c r="F940" s="7" t="inlineStr">
        <is>
          <t>Office Supplies</t>
        </is>
      </c>
      <c r="G940" s="7" t="inlineStr">
        <is>
          <t>Binder</t>
        </is>
      </c>
      <c r="H940" s="7" t="inlineStr">
        <is>
          <t>Home Office</t>
        </is>
      </c>
      <c r="I940" s="7" t="n">
        <v>15</v>
      </c>
      <c r="J940" s="10" t="n">
        <v>8.369999999999999</v>
      </c>
      <c r="K940" s="11" t="n">
        <v>0.05</v>
      </c>
      <c r="L940" s="10">
        <f>I940*J940*(1-K940)</f>
        <v/>
      </c>
      <c r="M940" s="10" t="n">
        <v>48</v>
      </c>
      <c r="N940" s="10">
        <f>L940-M940</f>
        <v/>
      </c>
    </row>
    <row r="941">
      <c r="A941" s="7" t="inlineStr">
        <is>
          <t>ORD-04660</t>
        </is>
      </c>
      <c r="B941" s="8" t="n">
        <v>45163</v>
      </c>
      <c r="C941" s="9" t="n">
        <v>45139</v>
      </c>
      <c r="D941" s="7" t="n">
        <v>2023</v>
      </c>
      <c r="E941" s="7" t="inlineStr">
        <is>
          <t>East</t>
        </is>
      </c>
      <c r="F941" s="7" t="inlineStr">
        <is>
          <t>Office Supplies</t>
        </is>
      </c>
      <c r="G941" s="7" t="inlineStr">
        <is>
          <t>Pens</t>
        </is>
      </c>
      <c r="H941" s="7" t="inlineStr">
        <is>
          <t>Consumer</t>
        </is>
      </c>
      <c r="I941" s="7" t="n">
        <v>8</v>
      </c>
      <c r="J941" s="10" t="n">
        <v>12.03</v>
      </c>
      <c r="K941" s="11" t="n">
        <v>0</v>
      </c>
      <c r="L941" s="10">
        <f>I941*J941*(1-K941)</f>
        <v/>
      </c>
      <c r="M941" s="10" t="n">
        <v>43.2</v>
      </c>
      <c r="N941" s="10">
        <f>L941-M941</f>
        <v/>
      </c>
    </row>
    <row r="942">
      <c r="A942" s="7" t="inlineStr">
        <is>
          <t>ORD-04840</t>
        </is>
      </c>
      <c r="B942" s="8" t="n">
        <v>45163</v>
      </c>
      <c r="C942" s="9" t="n">
        <v>45139</v>
      </c>
      <c r="D942" s="7" t="n">
        <v>2023</v>
      </c>
      <c r="E942" s="7" t="inlineStr">
        <is>
          <t>South</t>
        </is>
      </c>
      <c r="F942" s="7" t="inlineStr">
        <is>
          <t>Office Supplies</t>
        </is>
      </c>
      <c r="G942" s="7" t="inlineStr">
        <is>
          <t>Paper</t>
        </is>
      </c>
      <c r="H942" s="7" t="inlineStr">
        <is>
          <t>Home Office</t>
        </is>
      </c>
      <c r="I942" s="7" t="n">
        <v>2</v>
      </c>
      <c r="J942" s="10" t="n">
        <v>24.38</v>
      </c>
      <c r="K942" s="11" t="n">
        <v>0</v>
      </c>
      <c r="L942" s="10">
        <f>I942*J942*(1-K942)</f>
        <v/>
      </c>
      <c r="M942" s="10" t="n">
        <v>25</v>
      </c>
      <c r="N942" s="10">
        <f>L942-M942</f>
        <v/>
      </c>
    </row>
    <row r="943">
      <c r="A943" s="7" t="inlineStr">
        <is>
          <t>ORD-02957</t>
        </is>
      </c>
      <c r="B943" s="8" t="n">
        <v>45164</v>
      </c>
      <c r="C943" s="9" t="n">
        <v>45139</v>
      </c>
      <c r="D943" s="7" t="n">
        <v>2023</v>
      </c>
      <c r="E943" s="7" t="inlineStr">
        <is>
          <t>South</t>
        </is>
      </c>
      <c r="F943" s="7" t="inlineStr">
        <is>
          <t>Technology</t>
        </is>
      </c>
      <c r="G943" s="7" t="inlineStr">
        <is>
          <t>Smartphone</t>
        </is>
      </c>
      <c r="H943" s="7" t="inlineStr">
        <is>
          <t>Consumer</t>
        </is>
      </c>
      <c r="I943" s="7" t="n">
        <v>3</v>
      </c>
      <c r="J943" s="10" t="n">
        <v>616.27</v>
      </c>
      <c r="K943" s="11" t="n">
        <v>0.05</v>
      </c>
      <c r="L943" s="10">
        <f>I943*J943*(1-K943)</f>
        <v/>
      </c>
      <c r="M943" s="10" t="n">
        <v>1350</v>
      </c>
      <c r="N943" s="10">
        <f>L943-M943</f>
        <v/>
      </c>
    </row>
    <row r="944">
      <c r="A944" s="7" t="inlineStr">
        <is>
          <t>ORD-04399</t>
        </is>
      </c>
      <c r="B944" s="8" t="n">
        <v>45164</v>
      </c>
      <c r="C944" s="9" t="n">
        <v>45139</v>
      </c>
      <c r="D944" s="7" t="n">
        <v>2023</v>
      </c>
      <c r="E944" s="7" t="inlineStr">
        <is>
          <t>North</t>
        </is>
      </c>
      <c r="F944" s="7" t="inlineStr">
        <is>
          <t>Office Supplies</t>
        </is>
      </c>
      <c r="G944" s="7" t="inlineStr">
        <is>
          <t>Paper</t>
        </is>
      </c>
      <c r="H944" s="7" t="inlineStr">
        <is>
          <t>Corporate</t>
        </is>
      </c>
      <c r="I944" s="7" t="n">
        <v>9</v>
      </c>
      <c r="J944" s="10" t="n">
        <v>25.78</v>
      </c>
      <c r="K944" s="11" t="n">
        <v>0.1</v>
      </c>
      <c r="L944" s="10">
        <f>I944*J944*(1-K944)</f>
        <v/>
      </c>
      <c r="M944" s="10" t="n">
        <v>112.5</v>
      </c>
      <c r="N944" s="10">
        <f>L944-M944</f>
        <v/>
      </c>
    </row>
    <row r="945">
      <c r="A945" s="7" t="inlineStr">
        <is>
          <t>ORD-00375</t>
        </is>
      </c>
      <c r="B945" s="8" t="n">
        <v>45165</v>
      </c>
      <c r="C945" s="9" t="n">
        <v>45139</v>
      </c>
      <c r="D945" s="7" t="n">
        <v>2023</v>
      </c>
      <c r="E945" s="7" t="inlineStr">
        <is>
          <t>West</t>
        </is>
      </c>
      <c r="F945" s="7" t="inlineStr">
        <is>
          <t>Technology</t>
        </is>
      </c>
      <c r="G945" s="7" t="inlineStr">
        <is>
          <t>Laptop</t>
        </is>
      </c>
      <c r="H945" s="7" t="inlineStr">
        <is>
          <t>Consumer</t>
        </is>
      </c>
      <c r="I945" s="7" t="n">
        <v>2</v>
      </c>
      <c r="J945" s="10" t="n">
        <v>883.96</v>
      </c>
      <c r="K945" s="11" t="n">
        <v>0.3</v>
      </c>
      <c r="L945" s="10">
        <f>I945*J945*(1-K945)</f>
        <v/>
      </c>
      <c r="M945" s="10" t="n">
        <v>1404</v>
      </c>
      <c r="N945" s="10">
        <f>L945-M945</f>
        <v/>
      </c>
    </row>
    <row r="946">
      <c r="A946" s="7" t="inlineStr">
        <is>
          <t>ORD-04671</t>
        </is>
      </c>
      <c r="B946" s="8" t="n">
        <v>45165</v>
      </c>
      <c r="C946" s="9" t="n">
        <v>45139</v>
      </c>
      <c r="D946" s="7" t="n">
        <v>2023</v>
      </c>
      <c r="E946" s="7" t="inlineStr">
        <is>
          <t>West</t>
        </is>
      </c>
      <c r="F946" s="7" t="inlineStr">
        <is>
          <t>Furniture</t>
        </is>
      </c>
      <c r="G946" s="7" t="inlineStr">
        <is>
          <t>Desk</t>
        </is>
      </c>
      <c r="H946" s="7" t="inlineStr">
        <is>
          <t>Home Office</t>
        </is>
      </c>
      <c r="I946" s="7" t="n">
        <v>3</v>
      </c>
      <c r="J946" s="10" t="n">
        <v>428.17</v>
      </c>
      <c r="K946" s="11" t="n">
        <v>0.2</v>
      </c>
      <c r="L946" s="10">
        <f>I946*J946*(1-K946)</f>
        <v/>
      </c>
      <c r="M946" s="10" t="n">
        <v>1147.5</v>
      </c>
      <c r="N946" s="10">
        <f>L946-M946</f>
        <v/>
      </c>
    </row>
    <row r="947">
      <c r="A947" s="7" t="inlineStr">
        <is>
          <t>ORD-03806</t>
        </is>
      </c>
      <c r="B947" s="8" t="n">
        <v>45165</v>
      </c>
      <c r="C947" s="9" t="n">
        <v>45139</v>
      </c>
      <c r="D947" s="7" t="n">
        <v>2023</v>
      </c>
      <c r="E947" s="7" t="inlineStr">
        <is>
          <t>North</t>
        </is>
      </c>
      <c r="F947" s="7" t="inlineStr">
        <is>
          <t>Office Supplies</t>
        </is>
      </c>
      <c r="G947" s="7" t="inlineStr">
        <is>
          <t>Pens</t>
        </is>
      </c>
      <c r="H947" s="7" t="inlineStr">
        <is>
          <t>Home Office</t>
        </is>
      </c>
      <c r="I947" s="7" t="n">
        <v>12</v>
      </c>
      <c r="J947" s="10" t="n">
        <v>11.55</v>
      </c>
      <c r="K947" s="11" t="n">
        <v>0.1</v>
      </c>
      <c r="L947" s="10">
        <f>I947*J947*(1-K947)</f>
        <v/>
      </c>
      <c r="M947" s="10" t="n">
        <v>64.8</v>
      </c>
      <c r="N947" s="10">
        <f>L947-M947</f>
        <v/>
      </c>
    </row>
    <row r="948">
      <c r="A948" s="7" t="inlineStr">
        <is>
          <t>ORD-03343</t>
        </is>
      </c>
      <c r="B948" s="8" t="n">
        <v>45165</v>
      </c>
      <c r="C948" s="9" t="n">
        <v>45139</v>
      </c>
      <c r="D948" s="7" t="n">
        <v>2023</v>
      </c>
      <c r="E948" s="7" t="inlineStr">
        <is>
          <t>North</t>
        </is>
      </c>
      <c r="F948" s="7" t="inlineStr">
        <is>
          <t>Office Supplies</t>
        </is>
      </c>
      <c r="G948" s="7" t="inlineStr">
        <is>
          <t>Printer Ink</t>
        </is>
      </c>
      <c r="H948" s="7" t="inlineStr">
        <is>
          <t>Corporate</t>
        </is>
      </c>
      <c r="I948" s="7" t="n">
        <v>2</v>
      </c>
      <c r="J948" s="10" t="n">
        <v>60.89</v>
      </c>
      <c r="K948" s="11" t="n">
        <v>0</v>
      </c>
      <c r="L948" s="10">
        <f>I948*J948*(1-K948)</f>
        <v/>
      </c>
      <c r="M948" s="10" t="n">
        <v>72</v>
      </c>
      <c r="N948" s="10">
        <f>L948-M948</f>
        <v/>
      </c>
    </row>
    <row r="949">
      <c r="A949" s="7" t="inlineStr">
        <is>
          <t>ORD-01434</t>
        </is>
      </c>
      <c r="B949" s="8" t="n">
        <v>45165</v>
      </c>
      <c r="C949" s="9" t="n">
        <v>45139</v>
      </c>
      <c r="D949" s="7" t="n">
        <v>2023</v>
      </c>
      <c r="E949" s="7" t="inlineStr">
        <is>
          <t>West</t>
        </is>
      </c>
      <c r="F949" s="7" t="inlineStr">
        <is>
          <t>Technology</t>
        </is>
      </c>
      <c r="G949" s="7" t="inlineStr">
        <is>
          <t>Laptop</t>
        </is>
      </c>
      <c r="H949" s="7" t="inlineStr">
        <is>
          <t>Corporate</t>
        </is>
      </c>
      <c r="I949" s="7" t="n">
        <v>3</v>
      </c>
      <c r="J949" s="10" t="n">
        <v>935.55</v>
      </c>
      <c r="K949" s="11" t="n">
        <v>0.3</v>
      </c>
      <c r="L949" s="10">
        <f>I949*J949*(1-K949)</f>
        <v/>
      </c>
      <c r="M949" s="10" t="n">
        <v>2106</v>
      </c>
      <c r="N949" s="10">
        <f>L949-M949</f>
        <v/>
      </c>
    </row>
    <row r="950">
      <c r="A950" s="7" t="inlineStr">
        <is>
          <t>ORD-03968</t>
        </is>
      </c>
      <c r="B950" s="8" t="n">
        <v>45166</v>
      </c>
      <c r="C950" s="9" t="n">
        <v>45139</v>
      </c>
      <c r="D950" s="7" t="n">
        <v>2023</v>
      </c>
      <c r="E950" s="7" t="inlineStr">
        <is>
          <t>South</t>
        </is>
      </c>
      <c r="F950" s="7" t="inlineStr">
        <is>
          <t>Technology</t>
        </is>
      </c>
      <c r="G950" s="7" t="inlineStr">
        <is>
          <t>Keyboard</t>
        </is>
      </c>
      <c r="H950" s="7" t="inlineStr">
        <is>
          <t>Consumer</t>
        </is>
      </c>
      <c r="I950" s="7" t="n">
        <v>2</v>
      </c>
      <c r="J950" s="10" t="n">
        <v>44.9</v>
      </c>
      <c r="K950" s="11" t="n">
        <v>0</v>
      </c>
      <c r="L950" s="10">
        <f>I950*J950*(1-K950)</f>
        <v/>
      </c>
      <c r="M950" s="10" t="n">
        <v>49.5</v>
      </c>
      <c r="N950" s="10">
        <f>L950-M950</f>
        <v/>
      </c>
    </row>
    <row r="951">
      <c r="A951" s="7" t="inlineStr">
        <is>
          <t>ORD-05888</t>
        </is>
      </c>
      <c r="B951" s="8" t="n">
        <v>45166</v>
      </c>
      <c r="C951" s="9" t="n">
        <v>45139</v>
      </c>
      <c r="D951" s="7" t="n">
        <v>2023</v>
      </c>
      <c r="E951" s="7" t="inlineStr">
        <is>
          <t>West</t>
        </is>
      </c>
      <c r="F951" s="7" t="inlineStr">
        <is>
          <t>Furniture</t>
        </is>
      </c>
      <c r="G951" s="7" t="inlineStr">
        <is>
          <t>Desk</t>
        </is>
      </c>
      <c r="H951" s="7" t="inlineStr">
        <is>
          <t>Corporate</t>
        </is>
      </c>
      <c r="I951" s="7" t="n">
        <v>2</v>
      </c>
      <c r="J951" s="10" t="n">
        <v>427.74</v>
      </c>
      <c r="K951" s="11" t="n">
        <v>0.1</v>
      </c>
      <c r="L951" s="10">
        <f>I951*J951*(1-K951)</f>
        <v/>
      </c>
      <c r="M951" s="10" t="n">
        <v>765</v>
      </c>
      <c r="N951" s="10">
        <f>L951-M951</f>
        <v/>
      </c>
    </row>
    <row r="952">
      <c r="A952" s="7" t="inlineStr">
        <is>
          <t>ORD-05826</t>
        </is>
      </c>
      <c r="B952" s="8" t="n">
        <v>45166</v>
      </c>
      <c r="C952" s="9" t="n">
        <v>45139</v>
      </c>
      <c r="D952" s="7" t="n">
        <v>2023</v>
      </c>
      <c r="E952" s="7" t="inlineStr">
        <is>
          <t>West</t>
        </is>
      </c>
      <c r="F952" s="7" t="inlineStr">
        <is>
          <t>Office Supplies</t>
        </is>
      </c>
      <c r="G952" s="7" t="inlineStr">
        <is>
          <t>Paper</t>
        </is>
      </c>
      <c r="H952" s="7" t="inlineStr">
        <is>
          <t>Home Office</t>
        </is>
      </c>
      <c r="I952" s="7" t="n">
        <v>14</v>
      </c>
      <c r="J952" s="10" t="n">
        <v>23.76</v>
      </c>
      <c r="K952" s="11" t="n">
        <v>0.1</v>
      </c>
      <c r="L952" s="10">
        <f>I952*J952*(1-K952)</f>
        <v/>
      </c>
      <c r="M952" s="10" t="n">
        <v>175</v>
      </c>
      <c r="N952" s="10">
        <f>L952-M952</f>
        <v/>
      </c>
    </row>
    <row r="953">
      <c r="A953" s="7" t="inlineStr">
        <is>
          <t>ORD-03657</t>
        </is>
      </c>
      <c r="B953" s="8" t="n">
        <v>45166</v>
      </c>
      <c r="C953" s="9" t="n">
        <v>45139</v>
      </c>
      <c r="D953" s="7" t="n">
        <v>2023</v>
      </c>
      <c r="E953" s="7" t="inlineStr">
        <is>
          <t>East</t>
        </is>
      </c>
      <c r="F953" s="7" t="inlineStr">
        <is>
          <t>Technology</t>
        </is>
      </c>
      <c r="G953" s="7" t="inlineStr">
        <is>
          <t>Monitor</t>
        </is>
      </c>
      <c r="H953" s="7" t="inlineStr">
        <is>
          <t>Consumer</t>
        </is>
      </c>
      <c r="I953" s="7" t="n">
        <v>2</v>
      </c>
      <c r="J953" s="10" t="n">
        <v>248.66</v>
      </c>
      <c r="K953" s="11" t="n">
        <v>0.2</v>
      </c>
      <c r="L953" s="10">
        <f>I953*J953*(1-K953)</f>
        <v/>
      </c>
      <c r="M953" s="10" t="n">
        <v>360</v>
      </c>
      <c r="N953" s="10">
        <f>L953-M953</f>
        <v/>
      </c>
    </row>
    <row r="954">
      <c r="A954" s="7" t="inlineStr">
        <is>
          <t>ORD-04961</t>
        </is>
      </c>
      <c r="B954" s="8" t="n">
        <v>45167</v>
      </c>
      <c r="C954" s="9" t="n">
        <v>45139</v>
      </c>
      <c r="D954" s="7" t="n">
        <v>2023</v>
      </c>
      <c r="E954" s="7" t="inlineStr">
        <is>
          <t>West</t>
        </is>
      </c>
      <c r="F954" s="7" t="inlineStr">
        <is>
          <t>Office Supplies</t>
        </is>
      </c>
      <c r="G954" s="7" t="inlineStr">
        <is>
          <t>Paper</t>
        </is>
      </c>
      <c r="H954" s="7" t="inlineStr">
        <is>
          <t>Home Office</t>
        </is>
      </c>
      <c r="I954" s="7" t="n">
        <v>9</v>
      </c>
      <c r="J954" s="10" t="n">
        <v>24.23</v>
      </c>
      <c r="K954" s="11" t="n">
        <v>0.3</v>
      </c>
      <c r="L954" s="10">
        <f>I954*J954*(1-K954)</f>
        <v/>
      </c>
      <c r="M954" s="10" t="n">
        <v>112.5</v>
      </c>
      <c r="N954" s="10">
        <f>L954-M954</f>
        <v/>
      </c>
    </row>
    <row r="955">
      <c r="A955" s="7" t="inlineStr">
        <is>
          <t>ORD-04962</t>
        </is>
      </c>
      <c r="B955" s="8" t="n">
        <v>45167</v>
      </c>
      <c r="C955" s="9" t="n">
        <v>45139</v>
      </c>
      <c r="D955" s="7" t="n">
        <v>2023</v>
      </c>
      <c r="E955" s="7" t="inlineStr">
        <is>
          <t>West</t>
        </is>
      </c>
      <c r="F955" s="7" t="inlineStr">
        <is>
          <t>Technology</t>
        </is>
      </c>
      <c r="G955" s="7" t="inlineStr">
        <is>
          <t>Laptop</t>
        </is>
      </c>
      <c r="H955" s="7" t="inlineStr">
        <is>
          <t>Corporate</t>
        </is>
      </c>
      <c r="I955" s="7" t="n">
        <v>2</v>
      </c>
      <c r="J955" s="10" t="n">
        <v>881</v>
      </c>
      <c r="K955" s="11" t="n">
        <v>0.1</v>
      </c>
      <c r="L955" s="10">
        <f>I955*J955*(1-K955)</f>
        <v/>
      </c>
      <c r="M955" s="10" t="n">
        <v>1404</v>
      </c>
      <c r="N955" s="10">
        <f>L955-M955</f>
        <v/>
      </c>
    </row>
    <row r="956">
      <c r="A956" s="7" t="inlineStr">
        <is>
          <t>ORD-05049</t>
        </is>
      </c>
      <c r="B956" s="8" t="n">
        <v>45167</v>
      </c>
      <c r="C956" s="9" t="n">
        <v>45139</v>
      </c>
      <c r="D956" s="7" t="n">
        <v>2023</v>
      </c>
      <c r="E956" s="7" t="inlineStr">
        <is>
          <t>East</t>
        </is>
      </c>
      <c r="F956" s="7" t="inlineStr">
        <is>
          <t>Office Supplies</t>
        </is>
      </c>
      <c r="G956" s="7" t="inlineStr">
        <is>
          <t>Pens</t>
        </is>
      </c>
      <c r="H956" s="7" t="inlineStr">
        <is>
          <t>Consumer</t>
        </is>
      </c>
      <c r="I956" s="7" t="n">
        <v>13</v>
      </c>
      <c r="J956" s="10" t="n">
        <v>11.53</v>
      </c>
      <c r="K956" s="11" t="n">
        <v>0</v>
      </c>
      <c r="L956" s="10">
        <f>I956*J956*(1-K956)</f>
        <v/>
      </c>
      <c r="M956" s="10" t="n">
        <v>70.2</v>
      </c>
      <c r="N956" s="10">
        <f>L956-M956</f>
        <v/>
      </c>
    </row>
    <row r="957">
      <c r="A957" s="7" t="inlineStr">
        <is>
          <t>ORD-03117</t>
        </is>
      </c>
      <c r="B957" s="8" t="n">
        <v>45168</v>
      </c>
      <c r="C957" s="9" t="n">
        <v>45139</v>
      </c>
      <c r="D957" s="7" t="n">
        <v>2023</v>
      </c>
      <c r="E957" s="7" t="inlineStr">
        <is>
          <t>West</t>
        </is>
      </c>
      <c r="F957" s="7" t="inlineStr">
        <is>
          <t>Office Supplies</t>
        </is>
      </c>
      <c r="G957" s="7" t="inlineStr">
        <is>
          <t>Paper</t>
        </is>
      </c>
      <c r="H957" s="7" t="inlineStr">
        <is>
          <t>Consumer</t>
        </is>
      </c>
      <c r="I957" s="7" t="n">
        <v>9</v>
      </c>
      <c r="J957" s="10" t="n">
        <v>25.41</v>
      </c>
      <c r="K957" s="11" t="n">
        <v>0</v>
      </c>
      <c r="L957" s="10">
        <f>I957*J957*(1-K957)</f>
        <v/>
      </c>
      <c r="M957" s="10" t="n">
        <v>112.5</v>
      </c>
      <c r="N957" s="10">
        <f>L957-M957</f>
        <v/>
      </c>
    </row>
    <row r="958">
      <c r="A958" s="7" t="inlineStr">
        <is>
          <t>ORD-03618</t>
        </is>
      </c>
      <c r="B958" s="8" t="n">
        <v>45168</v>
      </c>
      <c r="C958" s="9" t="n">
        <v>45139</v>
      </c>
      <c r="D958" s="7" t="n">
        <v>2023</v>
      </c>
      <c r="E958" s="7" t="inlineStr">
        <is>
          <t>West</t>
        </is>
      </c>
      <c r="F958" s="7" t="inlineStr">
        <is>
          <t>Office Supplies</t>
        </is>
      </c>
      <c r="G958" s="7" t="inlineStr">
        <is>
          <t>Paper</t>
        </is>
      </c>
      <c r="H958" s="7" t="inlineStr">
        <is>
          <t>Consumer</t>
        </is>
      </c>
      <c r="I958" s="7" t="n">
        <v>9</v>
      </c>
      <c r="J958" s="10" t="n">
        <v>24.45</v>
      </c>
      <c r="K958" s="11" t="n">
        <v>0</v>
      </c>
      <c r="L958" s="10">
        <f>I958*J958*(1-K958)</f>
        <v/>
      </c>
      <c r="M958" s="10" t="n">
        <v>112.5</v>
      </c>
      <c r="N958" s="10">
        <f>L958-M958</f>
        <v/>
      </c>
    </row>
    <row r="959">
      <c r="A959" s="7" t="inlineStr">
        <is>
          <t>ORD-01330</t>
        </is>
      </c>
      <c r="B959" s="8" t="n">
        <v>45169</v>
      </c>
      <c r="C959" s="9" t="n">
        <v>45139</v>
      </c>
      <c r="D959" s="7" t="n">
        <v>2023</v>
      </c>
      <c r="E959" s="7" t="inlineStr">
        <is>
          <t>East</t>
        </is>
      </c>
      <c r="F959" s="7" t="inlineStr">
        <is>
          <t>Office Supplies</t>
        </is>
      </c>
      <c r="G959" s="7" t="inlineStr">
        <is>
          <t>Stapler</t>
        </is>
      </c>
      <c r="H959" s="7" t="inlineStr">
        <is>
          <t>Corporate</t>
        </is>
      </c>
      <c r="I959" s="7" t="n">
        <v>12</v>
      </c>
      <c r="J959" s="10" t="n">
        <v>15.44</v>
      </c>
      <c r="K959" s="11" t="n">
        <v>0.05</v>
      </c>
      <c r="L959" s="10">
        <f>I959*J959*(1-K959)</f>
        <v/>
      </c>
      <c r="M959" s="10" t="n">
        <v>90</v>
      </c>
      <c r="N959" s="10">
        <f>L959-M959</f>
        <v/>
      </c>
    </row>
    <row r="960">
      <c r="A960" s="7" t="inlineStr">
        <is>
          <t>ORD-04984</t>
        </is>
      </c>
      <c r="B960" s="8" t="n">
        <v>45169</v>
      </c>
      <c r="C960" s="9" t="n">
        <v>45139</v>
      </c>
      <c r="D960" s="7" t="n">
        <v>2023</v>
      </c>
      <c r="E960" s="7" t="inlineStr">
        <is>
          <t>West</t>
        </is>
      </c>
      <c r="F960" s="7" t="inlineStr">
        <is>
          <t>Office Supplies</t>
        </is>
      </c>
      <c r="G960" s="7" t="inlineStr">
        <is>
          <t>Binder</t>
        </is>
      </c>
      <c r="H960" s="7" t="inlineStr">
        <is>
          <t>Consumer</t>
        </is>
      </c>
      <c r="I960" s="7" t="n">
        <v>8</v>
      </c>
      <c r="J960" s="10" t="n">
        <v>7.75</v>
      </c>
      <c r="K960" s="11" t="n">
        <v>0.1</v>
      </c>
      <c r="L960" s="10">
        <f>I960*J960*(1-K960)</f>
        <v/>
      </c>
      <c r="M960" s="10" t="n">
        <v>25.6</v>
      </c>
      <c r="N960" s="10">
        <f>L960-M960</f>
        <v/>
      </c>
    </row>
    <row r="961">
      <c r="A961" s="7" t="inlineStr">
        <is>
          <t>ORD-02442</t>
        </is>
      </c>
      <c r="B961" s="8" t="n">
        <v>45169</v>
      </c>
      <c r="C961" s="9" t="n">
        <v>45139</v>
      </c>
      <c r="D961" s="7" t="n">
        <v>2023</v>
      </c>
      <c r="E961" s="7" t="inlineStr">
        <is>
          <t>West</t>
        </is>
      </c>
      <c r="F961" s="7" t="inlineStr">
        <is>
          <t>Office Supplies</t>
        </is>
      </c>
      <c r="G961" s="7" t="inlineStr">
        <is>
          <t>Pens</t>
        </is>
      </c>
      <c r="H961" s="7" t="inlineStr">
        <is>
          <t>Corporate</t>
        </is>
      </c>
      <c r="I961" s="7" t="n">
        <v>9</v>
      </c>
      <c r="J961" s="10" t="n">
        <v>11.59</v>
      </c>
      <c r="K961" s="11" t="n">
        <v>0</v>
      </c>
      <c r="L961" s="10">
        <f>I961*J961*(1-K961)</f>
        <v/>
      </c>
      <c r="M961" s="10" t="n">
        <v>48.6</v>
      </c>
      <c r="N961" s="10">
        <f>L961-M961</f>
        <v/>
      </c>
    </row>
    <row r="962">
      <c r="A962" s="7" t="inlineStr">
        <is>
          <t>ORD-00927</t>
        </is>
      </c>
      <c r="B962" s="8" t="n">
        <v>45169</v>
      </c>
      <c r="C962" s="9" t="n">
        <v>45139</v>
      </c>
      <c r="D962" s="7" t="n">
        <v>2023</v>
      </c>
      <c r="E962" s="7" t="inlineStr">
        <is>
          <t>West</t>
        </is>
      </c>
      <c r="F962" s="7" t="inlineStr">
        <is>
          <t>Office Supplies</t>
        </is>
      </c>
      <c r="G962" s="7" t="inlineStr">
        <is>
          <t>Printer Ink</t>
        </is>
      </c>
      <c r="H962" s="7" t="inlineStr">
        <is>
          <t>Corporate</t>
        </is>
      </c>
      <c r="I962" s="7" t="n">
        <v>15</v>
      </c>
      <c r="J962" s="10" t="n">
        <v>59.92</v>
      </c>
      <c r="K962" s="11" t="n">
        <v>0</v>
      </c>
      <c r="L962" s="10">
        <f>I962*J962*(1-K962)</f>
        <v/>
      </c>
      <c r="M962" s="10" t="n">
        <v>540</v>
      </c>
      <c r="N962" s="10">
        <f>L962-M962</f>
        <v/>
      </c>
    </row>
    <row r="963">
      <c r="A963" s="7" t="inlineStr">
        <is>
          <t>ORD-02989</t>
        </is>
      </c>
      <c r="B963" s="8" t="n">
        <v>45169</v>
      </c>
      <c r="C963" s="9" t="n">
        <v>45139</v>
      </c>
      <c r="D963" s="7" t="n">
        <v>2023</v>
      </c>
      <c r="E963" s="7" t="inlineStr">
        <is>
          <t>West</t>
        </is>
      </c>
      <c r="F963" s="7" t="inlineStr">
        <is>
          <t>Office Supplies</t>
        </is>
      </c>
      <c r="G963" s="7" t="inlineStr">
        <is>
          <t>Paper</t>
        </is>
      </c>
      <c r="H963" s="7" t="inlineStr">
        <is>
          <t>Consumer</t>
        </is>
      </c>
      <c r="I963" s="7" t="n">
        <v>5</v>
      </c>
      <c r="J963" s="10" t="n">
        <v>24.67</v>
      </c>
      <c r="K963" s="11" t="n">
        <v>0.3</v>
      </c>
      <c r="L963" s="10">
        <f>I963*J963*(1-K963)</f>
        <v/>
      </c>
      <c r="M963" s="10" t="n">
        <v>62.5</v>
      </c>
      <c r="N963" s="10">
        <f>L963-M963</f>
        <v/>
      </c>
    </row>
    <row r="964">
      <c r="A964" s="7" t="inlineStr">
        <is>
          <t>ORD-04565</t>
        </is>
      </c>
      <c r="B964" s="8" t="n">
        <v>45169</v>
      </c>
      <c r="C964" s="9" t="n">
        <v>45139</v>
      </c>
      <c r="D964" s="7" t="n">
        <v>2023</v>
      </c>
      <c r="E964" s="7" t="inlineStr">
        <is>
          <t>South</t>
        </is>
      </c>
      <c r="F964" s="7" t="inlineStr">
        <is>
          <t>Office Supplies</t>
        </is>
      </c>
      <c r="G964" s="7" t="inlineStr">
        <is>
          <t>Binder</t>
        </is>
      </c>
      <c r="H964" s="7" t="inlineStr">
        <is>
          <t>Home Office</t>
        </is>
      </c>
      <c r="I964" s="7" t="n">
        <v>3</v>
      </c>
      <c r="J964" s="10" t="n">
        <v>8</v>
      </c>
      <c r="K964" s="11" t="n">
        <v>0.1</v>
      </c>
      <c r="L964" s="10">
        <f>I964*J964*(1-K964)</f>
        <v/>
      </c>
      <c r="M964" s="10" t="n">
        <v>9.6</v>
      </c>
      <c r="N964" s="10">
        <f>L964-M964</f>
        <v/>
      </c>
    </row>
    <row r="965">
      <c r="A965" s="7" t="inlineStr">
        <is>
          <t>ORD-05979</t>
        </is>
      </c>
      <c r="B965" s="8" t="n">
        <v>45169</v>
      </c>
      <c r="C965" s="9" t="n">
        <v>45139</v>
      </c>
      <c r="D965" s="7" t="n">
        <v>2023</v>
      </c>
      <c r="E965" s="7" t="inlineStr">
        <is>
          <t>West</t>
        </is>
      </c>
      <c r="F965" s="7" t="inlineStr">
        <is>
          <t>Technology</t>
        </is>
      </c>
      <c r="G965" s="7" t="inlineStr">
        <is>
          <t>Monitor</t>
        </is>
      </c>
      <c r="H965" s="7" t="inlineStr">
        <is>
          <t>Home Office</t>
        </is>
      </c>
      <c r="I965" s="7" t="n">
        <v>1</v>
      </c>
      <c r="J965" s="10" t="n">
        <v>241.31</v>
      </c>
      <c r="K965" s="11" t="n">
        <v>0</v>
      </c>
      <c r="L965" s="10">
        <f>I965*J965*(1-K965)</f>
        <v/>
      </c>
      <c r="M965" s="10" t="n">
        <v>180</v>
      </c>
      <c r="N965" s="10">
        <f>L965-M965</f>
        <v/>
      </c>
    </row>
    <row r="966">
      <c r="A966" s="7" t="inlineStr">
        <is>
          <t>ORD-05334</t>
        </is>
      </c>
      <c r="B966" s="8" t="n">
        <v>45170</v>
      </c>
      <c r="C966" s="9" t="n">
        <v>45170</v>
      </c>
      <c r="D966" s="7" t="n">
        <v>2023</v>
      </c>
      <c r="E966" s="7" t="inlineStr">
        <is>
          <t>East</t>
        </is>
      </c>
      <c r="F966" s="7" t="inlineStr">
        <is>
          <t>Office Supplies</t>
        </is>
      </c>
      <c r="G966" s="7" t="inlineStr">
        <is>
          <t>Paper</t>
        </is>
      </c>
      <c r="H966" s="7" t="inlineStr">
        <is>
          <t>Home Office</t>
        </is>
      </c>
      <c r="I966" s="7" t="n">
        <v>3</v>
      </c>
      <c r="J966" s="10" t="n">
        <v>25.28</v>
      </c>
      <c r="K966" s="11" t="n">
        <v>0</v>
      </c>
      <c r="L966" s="10">
        <f>I966*J966*(1-K966)</f>
        <v/>
      </c>
      <c r="M966" s="10" t="n">
        <v>37.5</v>
      </c>
      <c r="N966" s="10">
        <f>L966-M966</f>
        <v/>
      </c>
    </row>
    <row r="967">
      <c r="A967" s="7" t="inlineStr">
        <is>
          <t>ORD-05062</t>
        </is>
      </c>
      <c r="B967" s="8" t="n">
        <v>45170</v>
      </c>
      <c r="C967" s="9" t="n">
        <v>45170</v>
      </c>
      <c r="D967" s="7" t="n">
        <v>2023</v>
      </c>
      <c r="E967" s="7" t="inlineStr">
        <is>
          <t>East</t>
        </is>
      </c>
      <c r="F967" s="7" t="inlineStr">
        <is>
          <t>Office Supplies</t>
        </is>
      </c>
      <c r="G967" s="7" t="inlineStr">
        <is>
          <t>Paper</t>
        </is>
      </c>
      <c r="H967" s="7" t="inlineStr">
        <is>
          <t>Consumer</t>
        </is>
      </c>
      <c r="I967" s="7" t="n">
        <v>13</v>
      </c>
      <c r="J967" s="10" t="n">
        <v>25.38</v>
      </c>
      <c r="K967" s="11" t="n">
        <v>0</v>
      </c>
      <c r="L967" s="10">
        <f>I967*J967*(1-K967)</f>
        <v/>
      </c>
      <c r="M967" s="10" t="n">
        <v>162.5</v>
      </c>
      <c r="N967" s="10">
        <f>L967-M967</f>
        <v/>
      </c>
    </row>
    <row r="968">
      <c r="A968" s="7" t="inlineStr">
        <is>
          <t>ORD-04922</t>
        </is>
      </c>
      <c r="B968" s="8" t="n">
        <v>45170</v>
      </c>
      <c r="C968" s="9" t="n">
        <v>45170</v>
      </c>
      <c r="D968" s="7" t="n">
        <v>2023</v>
      </c>
      <c r="E968" s="7" t="inlineStr">
        <is>
          <t>South</t>
        </is>
      </c>
      <c r="F968" s="7" t="inlineStr">
        <is>
          <t>Technology</t>
        </is>
      </c>
      <c r="G968" s="7" t="inlineStr">
        <is>
          <t>Keyboard</t>
        </is>
      </c>
      <c r="H968" s="7" t="inlineStr">
        <is>
          <t>Corporate</t>
        </is>
      </c>
      <c r="I968" s="7" t="n">
        <v>2</v>
      </c>
      <c r="J968" s="10" t="n">
        <v>45.57</v>
      </c>
      <c r="K968" s="11" t="n">
        <v>0</v>
      </c>
      <c r="L968" s="10">
        <f>I968*J968*(1-K968)</f>
        <v/>
      </c>
      <c r="M968" s="10" t="n">
        <v>49.5</v>
      </c>
      <c r="N968" s="10">
        <f>L968-M968</f>
        <v/>
      </c>
    </row>
    <row r="969">
      <c r="A969" s="7" t="inlineStr">
        <is>
          <t>ORD-02923</t>
        </is>
      </c>
      <c r="B969" s="8" t="n">
        <v>45170</v>
      </c>
      <c r="C969" s="9" t="n">
        <v>45170</v>
      </c>
      <c r="D969" s="7" t="n">
        <v>2023</v>
      </c>
      <c r="E969" s="7" t="inlineStr">
        <is>
          <t>West</t>
        </is>
      </c>
      <c r="F969" s="7" t="inlineStr">
        <is>
          <t>Office Supplies</t>
        </is>
      </c>
      <c r="G969" s="7" t="inlineStr">
        <is>
          <t>Paper</t>
        </is>
      </c>
      <c r="H969" s="7" t="inlineStr">
        <is>
          <t>Consumer</t>
        </is>
      </c>
      <c r="I969" s="7" t="n">
        <v>14</v>
      </c>
      <c r="J969" s="10" t="n">
        <v>25.19</v>
      </c>
      <c r="K969" s="11" t="n">
        <v>0.05</v>
      </c>
      <c r="L969" s="10">
        <f>I969*J969*(1-K969)</f>
        <v/>
      </c>
      <c r="M969" s="10" t="n">
        <v>175</v>
      </c>
      <c r="N969" s="10">
        <f>L969-M969</f>
        <v/>
      </c>
    </row>
    <row r="970">
      <c r="A970" s="7" t="inlineStr">
        <is>
          <t>ORD-04063</t>
        </is>
      </c>
      <c r="B970" s="8" t="n">
        <v>45170</v>
      </c>
      <c r="C970" s="9" t="n">
        <v>45170</v>
      </c>
      <c r="D970" s="7" t="n">
        <v>2023</v>
      </c>
      <c r="E970" s="7" t="inlineStr">
        <is>
          <t>South</t>
        </is>
      </c>
      <c r="F970" s="7" t="inlineStr">
        <is>
          <t>Furniture</t>
        </is>
      </c>
      <c r="G970" s="7" t="inlineStr">
        <is>
          <t>Bookcase</t>
        </is>
      </c>
      <c r="H970" s="7" t="inlineStr">
        <is>
          <t>Corporate</t>
        </is>
      </c>
      <c r="I970" s="7" t="n">
        <v>1</v>
      </c>
      <c r="J970" s="10" t="n">
        <v>186.47</v>
      </c>
      <c r="K970" s="11" t="n">
        <v>0.3</v>
      </c>
      <c r="L970" s="10">
        <f>I970*J970*(1-K970)</f>
        <v/>
      </c>
      <c r="M970" s="10" t="n">
        <v>144</v>
      </c>
      <c r="N970" s="10">
        <f>L970-M970</f>
        <v/>
      </c>
    </row>
    <row r="971">
      <c r="A971" s="7" t="inlineStr">
        <is>
          <t>ORD-00954</t>
        </is>
      </c>
      <c r="B971" s="8" t="n">
        <v>45170</v>
      </c>
      <c r="C971" s="9" t="n">
        <v>45170</v>
      </c>
      <c r="D971" s="7" t="n">
        <v>2023</v>
      </c>
      <c r="E971" s="7" t="inlineStr">
        <is>
          <t>South</t>
        </is>
      </c>
      <c r="F971" s="7" t="inlineStr">
        <is>
          <t>Technology</t>
        </is>
      </c>
      <c r="G971" s="7" t="inlineStr">
        <is>
          <t>Laptop</t>
        </is>
      </c>
      <c r="H971" s="7" t="inlineStr">
        <is>
          <t>Corporate</t>
        </is>
      </c>
      <c r="I971" s="7" t="n">
        <v>2</v>
      </c>
      <c r="J971" s="10" t="n">
        <v>924.86</v>
      </c>
      <c r="K971" s="11" t="n">
        <v>0.2</v>
      </c>
      <c r="L971" s="10">
        <f>I971*J971*(1-K971)</f>
        <v/>
      </c>
      <c r="M971" s="10" t="n">
        <v>1404</v>
      </c>
      <c r="N971" s="10">
        <f>L971-M971</f>
        <v/>
      </c>
    </row>
    <row r="972">
      <c r="A972" s="7" t="inlineStr">
        <is>
          <t>ORD-00089</t>
        </is>
      </c>
      <c r="B972" s="8" t="n">
        <v>45170</v>
      </c>
      <c r="C972" s="9" t="n">
        <v>45170</v>
      </c>
      <c r="D972" s="7" t="n">
        <v>2023</v>
      </c>
      <c r="E972" s="7" t="inlineStr">
        <is>
          <t>East</t>
        </is>
      </c>
      <c r="F972" s="7" t="inlineStr">
        <is>
          <t>Furniture</t>
        </is>
      </c>
      <c r="G972" s="7" t="inlineStr">
        <is>
          <t>Sofa</t>
        </is>
      </c>
      <c r="H972" s="7" t="inlineStr">
        <is>
          <t>Consumer</t>
        </is>
      </c>
      <c r="I972" s="7" t="n">
        <v>2</v>
      </c>
      <c r="J972" s="10" t="n">
        <v>731.53</v>
      </c>
      <c r="K972" s="11" t="n">
        <v>0</v>
      </c>
      <c r="L972" s="10">
        <f>I972*J972*(1-K972)</f>
        <v/>
      </c>
      <c r="M972" s="10" t="n">
        <v>1232</v>
      </c>
      <c r="N972" s="10">
        <f>L972-M972</f>
        <v/>
      </c>
    </row>
    <row r="973">
      <c r="A973" s="7" t="inlineStr">
        <is>
          <t>ORD-02771</t>
        </is>
      </c>
      <c r="B973" s="8" t="n">
        <v>45171</v>
      </c>
      <c r="C973" s="9" t="n">
        <v>45170</v>
      </c>
      <c r="D973" s="7" t="n">
        <v>2023</v>
      </c>
      <c r="E973" s="7" t="inlineStr">
        <is>
          <t>West</t>
        </is>
      </c>
      <c r="F973" s="7" t="inlineStr">
        <is>
          <t>Technology</t>
        </is>
      </c>
      <c r="G973" s="7" t="inlineStr">
        <is>
          <t>Smartphone</t>
        </is>
      </c>
      <c r="H973" s="7" t="inlineStr">
        <is>
          <t>Consumer</t>
        </is>
      </c>
      <c r="I973" s="7" t="n">
        <v>2</v>
      </c>
      <c r="J973" s="10" t="n">
        <v>606.0700000000001</v>
      </c>
      <c r="K973" s="11" t="n">
        <v>0.2</v>
      </c>
      <c r="L973" s="10">
        <f>I973*J973*(1-K973)</f>
        <v/>
      </c>
      <c r="M973" s="10" t="n">
        <v>900</v>
      </c>
      <c r="N973" s="10">
        <f>L973-M973</f>
        <v/>
      </c>
    </row>
    <row r="974">
      <c r="A974" s="7" t="inlineStr">
        <is>
          <t>ORD-01661</t>
        </is>
      </c>
      <c r="B974" s="8" t="n">
        <v>45171</v>
      </c>
      <c r="C974" s="9" t="n">
        <v>45170</v>
      </c>
      <c r="D974" s="7" t="n">
        <v>2023</v>
      </c>
      <c r="E974" s="7" t="inlineStr">
        <is>
          <t>East</t>
        </is>
      </c>
      <c r="F974" s="7" t="inlineStr">
        <is>
          <t>Office Supplies</t>
        </is>
      </c>
      <c r="G974" s="7" t="inlineStr">
        <is>
          <t>Paper</t>
        </is>
      </c>
      <c r="H974" s="7" t="inlineStr">
        <is>
          <t>Corporate</t>
        </is>
      </c>
      <c r="I974" s="7" t="n">
        <v>14</v>
      </c>
      <c r="J974" s="10" t="n">
        <v>24.76</v>
      </c>
      <c r="K974" s="11" t="n">
        <v>0.2</v>
      </c>
      <c r="L974" s="10">
        <f>I974*J974*(1-K974)</f>
        <v/>
      </c>
      <c r="M974" s="10" t="n">
        <v>175</v>
      </c>
      <c r="N974" s="10">
        <f>L974-M974</f>
        <v/>
      </c>
    </row>
    <row r="975">
      <c r="A975" s="7" t="inlineStr">
        <is>
          <t>ORD-03121</t>
        </is>
      </c>
      <c r="B975" s="8" t="n">
        <v>45171</v>
      </c>
      <c r="C975" s="9" t="n">
        <v>45170</v>
      </c>
      <c r="D975" s="7" t="n">
        <v>2023</v>
      </c>
      <c r="E975" s="7" t="inlineStr">
        <is>
          <t>South</t>
        </is>
      </c>
      <c r="F975" s="7" t="inlineStr">
        <is>
          <t>Technology</t>
        </is>
      </c>
      <c r="G975" s="7" t="inlineStr">
        <is>
          <t>Laptop</t>
        </is>
      </c>
      <c r="H975" s="7" t="inlineStr">
        <is>
          <t>Consumer</t>
        </is>
      </c>
      <c r="I975" s="7" t="n">
        <v>3</v>
      </c>
      <c r="J975" s="10" t="n">
        <v>895.63</v>
      </c>
      <c r="K975" s="11" t="n">
        <v>0.3</v>
      </c>
      <c r="L975" s="10">
        <f>I975*J975*(1-K975)</f>
        <v/>
      </c>
      <c r="M975" s="10" t="n">
        <v>2106</v>
      </c>
      <c r="N975" s="10">
        <f>L975-M975</f>
        <v/>
      </c>
    </row>
    <row r="976">
      <c r="A976" s="7" t="inlineStr">
        <is>
          <t>ORD-02881</t>
        </is>
      </c>
      <c r="B976" s="8" t="n">
        <v>45171</v>
      </c>
      <c r="C976" s="9" t="n">
        <v>45170</v>
      </c>
      <c r="D976" s="7" t="n">
        <v>2023</v>
      </c>
      <c r="E976" s="7" t="inlineStr">
        <is>
          <t>South</t>
        </is>
      </c>
      <c r="F976" s="7" t="inlineStr">
        <is>
          <t>Office Supplies</t>
        </is>
      </c>
      <c r="G976" s="7" t="inlineStr">
        <is>
          <t>Paper</t>
        </is>
      </c>
      <c r="H976" s="7" t="inlineStr">
        <is>
          <t>Consumer</t>
        </is>
      </c>
      <c r="I976" s="7" t="n">
        <v>12</v>
      </c>
      <c r="J976" s="10" t="n">
        <v>25.15</v>
      </c>
      <c r="K976" s="11" t="n">
        <v>0.1</v>
      </c>
      <c r="L976" s="10">
        <f>I976*J976*(1-K976)</f>
        <v/>
      </c>
      <c r="M976" s="10" t="n">
        <v>150</v>
      </c>
      <c r="N976" s="10">
        <f>L976-M976</f>
        <v/>
      </c>
    </row>
    <row r="977">
      <c r="A977" s="7" t="inlineStr">
        <is>
          <t>ORD-04009</t>
        </is>
      </c>
      <c r="B977" s="8" t="n">
        <v>45171</v>
      </c>
      <c r="C977" s="9" t="n">
        <v>45170</v>
      </c>
      <c r="D977" s="7" t="n">
        <v>2023</v>
      </c>
      <c r="E977" s="7" t="inlineStr">
        <is>
          <t>West</t>
        </is>
      </c>
      <c r="F977" s="7" t="inlineStr">
        <is>
          <t>Office Supplies</t>
        </is>
      </c>
      <c r="G977" s="7" t="inlineStr">
        <is>
          <t>Paper</t>
        </is>
      </c>
      <c r="H977" s="7" t="inlineStr">
        <is>
          <t>Corporate</t>
        </is>
      </c>
      <c r="I977" s="7" t="n">
        <v>2</v>
      </c>
      <c r="J977" s="10" t="n">
        <v>25.59</v>
      </c>
      <c r="K977" s="11" t="n">
        <v>0.2</v>
      </c>
      <c r="L977" s="10">
        <f>I977*J977*(1-K977)</f>
        <v/>
      </c>
      <c r="M977" s="10" t="n">
        <v>25</v>
      </c>
      <c r="N977" s="10">
        <f>L977-M977</f>
        <v/>
      </c>
    </row>
    <row r="978">
      <c r="A978" s="7" t="inlineStr">
        <is>
          <t>ORD-04573</t>
        </is>
      </c>
      <c r="B978" s="8" t="n">
        <v>45172</v>
      </c>
      <c r="C978" s="9" t="n">
        <v>45170</v>
      </c>
      <c r="D978" s="7" t="n">
        <v>2023</v>
      </c>
      <c r="E978" s="7" t="inlineStr">
        <is>
          <t>East</t>
        </is>
      </c>
      <c r="F978" s="7" t="inlineStr">
        <is>
          <t>Technology</t>
        </is>
      </c>
      <c r="G978" s="7" t="inlineStr">
        <is>
          <t>Monitor</t>
        </is>
      </c>
      <c r="H978" s="7" t="inlineStr">
        <is>
          <t>Corporate</t>
        </is>
      </c>
      <c r="I978" s="7" t="n">
        <v>3</v>
      </c>
      <c r="J978" s="10" t="n">
        <v>241.38</v>
      </c>
      <c r="K978" s="11" t="n">
        <v>0.05</v>
      </c>
      <c r="L978" s="10">
        <f>I978*J978*(1-K978)</f>
        <v/>
      </c>
      <c r="M978" s="10" t="n">
        <v>540</v>
      </c>
      <c r="N978" s="10">
        <f>L978-M978</f>
        <v/>
      </c>
    </row>
    <row r="979">
      <c r="A979" s="7" t="inlineStr">
        <is>
          <t>ORD-00778</t>
        </is>
      </c>
      <c r="B979" s="8" t="n">
        <v>45172</v>
      </c>
      <c r="C979" s="9" t="n">
        <v>45170</v>
      </c>
      <c r="D979" s="7" t="n">
        <v>2023</v>
      </c>
      <c r="E979" s="7" t="inlineStr">
        <is>
          <t>East</t>
        </is>
      </c>
      <c r="F979" s="7" t="inlineStr">
        <is>
          <t>Technology</t>
        </is>
      </c>
      <c r="G979" s="7" t="inlineStr">
        <is>
          <t>Keyboard</t>
        </is>
      </c>
      <c r="H979" s="7" t="inlineStr">
        <is>
          <t>Consumer</t>
        </is>
      </c>
      <c r="I979" s="7" t="n">
        <v>1</v>
      </c>
      <c r="J979" s="10" t="n">
        <v>45.93</v>
      </c>
      <c r="K979" s="11" t="n">
        <v>0</v>
      </c>
      <c r="L979" s="10">
        <f>I979*J979*(1-K979)</f>
        <v/>
      </c>
      <c r="M979" s="10" t="n">
        <v>24.75</v>
      </c>
      <c r="N979" s="10">
        <f>L979-M979</f>
        <v/>
      </c>
    </row>
    <row r="980">
      <c r="A980" s="7" t="inlineStr">
        <is>
          <t>ORD-02110</t>
        </is>
      </c>
      <c r="B980" s="8" t="n">
        <v>45172</v>
      </c>
      <c r="C980" s="9" t="n">
        <v>45170</v>
      </c>
      <c r="D980" s="7" t="n">
        <v>2023</v>
      </c>
      <c r="E980" s="7" t="inlineStr">
        <is>
          <t>South</t>
        </is>
      </c>
      <c r="F980" s="7" t="inlineStr">
        <is>
          <t>Technology</t>
        </is>
      </c>
      <c r="G980" s="7" t="inlineStr">
        <is>
          <t>Laptop</t>
        </is>
      </c>
      <c r="H980" s="7" t="inlineStr">
        <is>
          <t>Corporate</t>
        </is>
      </c>
      <c r="I980" s="7" t="n">
        <v>1</v>
      </c>
      <c r="J980" s="10" t="n">
        <v>911.61</v>
      </c>
      <c r="K980" s="11" t="n">
        <v>0</v>
      </c>
      <c r="L980" s="10">
        <f>I980*J980*(1-K980)</f>
        <v/>
      </c>
      <c r="M980" s="10" t="n">
        <v>702</v>
      </c>
      <c r="N980" s="10">
        <f>L980-M980</f>
        <v/>
      </c>
    </row>
    <row r="981">
      <c r="A981" s="7" t="inlineStr">
        <is>
          <t>ORD-00538</t>
        </is>
      </c>
      <c r="B981" s="8" t="n">
        <v>45173</v>
      </c>
      <c r="C981" s="9" t="n">
        <v>45170</v>
      </c>
      <c r="D981" s="7" t="n">
        <v>2023</v>
      </c>
      <c r="E981" s="7" t="inlineStr">
        <is>
          <t>East</t>
        </is>
      </c>
      <c r="F981" s="7" t="inlineStr">
        <is>
          <t>Office Supplies</t>
        </is>
      </c>
      <c r="G981" s="7" t="inlineStr">
        <is>
          <t>Pens</t>
        </is>
      </c>
      <c r="H981" s="7" t="inlineStr">
        <is>
          <t>Corporate</t>
        </is>
      </c>
      <c r="I981" s="7" t="n">
        <v>8</v>
      </c>
      <c r="J981" s="10" t="n">
        <v>11.92</v>
      </c>
      <c r="K981" s="11" t="n">
        <v>0.05</v>
      </c>
      <c r="L981" s="10">
        <f>I981*J981*(1-K981)</f>
        <v/>
      </c>
      <c r="M981" s="10" t="n">
        <v>43.2</v>
      </c>
      <c r="N981" s="10">
        <f>L981-M981</f>
        <v/>
      </c>
    </row>
    <row r="982">
      <c r="A982" s="7" t="inlineStr">
        <is>
          <t>ORD-01360</t>
        </is>
      </c>
      <c r="B982" s="8" t="n">
        <v>45173</v>
      </c>
      <c r="C982" s="9" t="n">
        <v>45170</v>
      </c>
      <c r="D982" s="7" t="n">
        <v>2023</v>
      </c>
      <c r="E982" s="7" t="inlineStr">
        <is>
          <t>South</t>
        </is>
      </c>
      <c r="F982" s="7" t="inlineStr">
        <is>
          <t>Office Supplies</t>
        </is>
      </c>
      <c r="G982" s="7" t="inlineStr">
        <is>
          <t>Paper</t>
        </is>
      </c>
      <c r="H982" s="7" t="inlineStr">
        <is>
          <t>Consumer</t>
        </is>
      </c>
      <c r="I982" s="7" t="n">
        <v>15</v>
      </c>
      <c r="J982" s="10" t="n">
        <v>24.34</v>
      </c>
      <c r="K982" s="11" t="n">
        <v>0.3</v>
      </c>
      <c r="L982" s="10">
        <f>I982*J982*(1-K982)</f>
        <v/>
      </c>
      <c r="M982" s="10" t="n">
        <v>187.5</v>
      </c>
      <c r="N982" s="10">
        <f>L982-M982</f>
        <v/>
      </c>
    </row>
    <row r="983">
      <c r="A983" s="7" t="inlineStr">
        <is>
          <t>ORD-03374</t>
        </is>
      </c>
      <c r="B983" s="8" t="n">
        <v>45173</v>
      </c>
      <c r="C983" s="9" t="n">
        <v>45170</v>
      </c>
      <c r="D983" s="7" t="n">
        <v>2023</v>
      </c>
      <c r="E983" s="7" t="inlineStr">
        <is>
          <t>North</t>
        </is>
      </c>
      <c r="F983" s="7" t="inlineStr">
        <is>
          <t>Technology</t>
        </is>
      </c>
      <c r="G983" s="7" t="inlineStr">
        <is>
          <t>Headphones</t>
        </is>
      </c>
      <c r="H983" s="7" t="inlineStr">
        <is>
          <t>Consumer</t>
        </is>
      </c>
      <c r="I983" s="7" t="n">
        <v>3</v>
      </c>
      <c r="J983" s="10" t="n">
        <v>115.5</v>
      </c>
      <c r="K983" s="11" t="n">
        <v>0.2</v>
      </c>
      <c r="L983" s="10">
        <f>I983*J983*(1-K983)</f>
        <v/>
      </c>
      <c r="M983" s="10" t="n">
        <v>216</v>
      </c>
      <c r="N983" s="10">
        <f>L983-M983</f>
        <v/>
      </c>
    </row>
    <row r="984">
      <c r="A984" s="7" t="inlineStr">
        <is>
          <t>ORD-04410</t>
        </is>
      </c>
      <c r="B984" s="8" t="n">
        <v>45173</v>
      </c>
      <c r="C984" s="9" t="n">
        <v>45170</v>
      </c>
      <c r="D984" s="7" t="n">
        <v>2023</v>
      </c>
      <c r="E984" s="7" t="inlineStr">
        <is>
          <t>West</t>
        </is>
      </c>
      <c r="F984" s="7" t="inlineStr">
        <is>
          <t>Office Supplies</t>
        </is>
      </c>
      <c r="G984" s="7" t="inlineStr">
        <is>
          <t>Paper</t>
        </is>
      </c>
      <c r="H984" s="7" t="inlineStr">
        <is>
          <t>Consumer</t>
        </is>
      </c>
      <c r="I984" s="7" t="n">
        <v>13</v>
      </c>
      <c r="J984" s="10" t="n">
        <v>25.82</v>
      </c>
      <c r="K984" s="11" t="n">
        <v>0</v>
      </c>
      <c r="L984" s="10">
        <f>I984*J984*(1-K984)</f>
        <v/>
      </c>
      <c r="M984" s="10" t="n">
        <v>162.5</v>
      </c>
      <c r="N984" s="10">
        <f>L984-M984</f>
        <v/>
      </c>
    </row>
    <row r="985">
      <c r="A985" s="7" t="inlineStr">
        <is>
          <t>ORD-02521</t>
        </is>
      </c>
      <c r="B985" s="8" t="n">
        <v>45173</v>
      </c>
      <c r="C985" s="9" t="n">
        <v>45170</v>
      </c>
      <c r="D985" s="7" t="n">
        <v>2023</v>
      </c>
      <c r="E985" s="7" t="inlineStr">
        <is>
          <t>South</t>
        </is>
      </c>
      <c r="F985" s="7" t="inlineStr">
        <is>
          <t>Office Supplies</t>
        </is>
      </c>
      <c r="G985" s="7" t="inlineStr">
        <is>
          <t>Printer Ink</t>
        </is>
      </c>
      <c r="H985" s="7" t="inlineStr">
        <is>
          <t>Consumer</t>
        </is>
      </c>
      <c r="I985" s="7" t="n">
        <v>4</v>
      </c>
      <c r="J985" s="10" t="n">
        <v>58.43</v>
      </c>
      <c r="K985" s="11" t="n">
        <v>0.1</v>
      </c>
      <c r="L985" s="10">
        <f>I985*J985*(1-K985)</f>
        <v/>
      </c>
      <c r="M985" s="10" t="n">
        <v>144</v>
      </c>
      <c r="N985" s="10">
        <f>L985-M985</f>
        <v/>
      </c>
    </row>
    <row r="986">
      <c r="A986" s="7" t="inlineStr">
        <is>
          <t>ORD-00968</t>
        </is>
      </c>
      <c r="B986" s="8" t="n">
        <v>45173</v>
      </c>
      <c r="C986" s="9" t="n">
        <v>45170</v>
      </c>
      <c r="D986" s="7" t="n">
        <v>2023</v>
      </c>
      <c r="E986" s="7" t="inlineStr">
        <is>
          <t>West</t>
        </is>
      </c>
      <c r="F986" s="7" t="inlineStr">
        <is>
          <t>Office Supplies</t>
        </is>
      </c>
      <c r="G986" s="7" t="inlineStr">
        <is>
          <t>Paper</t>
        </is>
      </c>
      <c r="H986" s="7" t="inlineStr">
        <is>
          <t>Consumer</t>
        </is>
      </c>
      <c r="I986" s="7" t="n">
        <v>6</v>
      </c>
      <c r="J986" s="10" t="n">
        <v>24.56</v>
      </c>
      <c r="K986" s="11" t="n">
        <v>0</v>
      </c>
      <c r="L986" s="10">
        <f>I986*J986*(1-K986)</f>
        <v/>
      </c>
      <c r="M986" s="10" t="n">
        <v>75</v>
      </c>
      <c r="N986" s="10">
        <f>L986-M986</f>
        <v/>
      </c>
    </row>
    <row r="987">
      <c r="A987" s="7" t="inlineStr">
        <is>
          <t>ORD-05408</t>
        </is>
      </c>
      <c r="B987" s="8" t="n">
        <v>45173</v>
      </c>
      <c r="C987" s="9" t="n">
        <v>45170</v>
      </c>
      <c r="D987" s="7" t="n">
        <v>2023</v>
      </c>
      <c r="E987" s="7" t="inlineStr">
        <is>
          <t>East</t>
        </is>
      </c>
      <c r="F987" s="7" t="inlineStr">
        <is>
          <t>Furniture</t>
        </is>
      </c>
      <c r="G987" s="7" t="inlineStr">
        <is>
          <t>Bookcase</t>
        </is>
      </c>
      <c r="H987" s="7" t="inlineStr">
        <is>
          <t>Consumer</t>
        </is>
      </c>
      <c r="I987" s="7" t="n">
        <v>2</v>
      </c>
      <c r="J987" s="10" t="n">
        <v>178.16</v>
      </c>
      <c r="K987" s="11" t="n">
        <v>0.2</v>
      </c>
      <c r="L987" s="10">
        <f>I987*J987*(1-K987)</f>
        <v/>
      </c>
      <c r="M987" s="10" t="n">
        <v>288</v>
      </c>
      <c r="N987" s="10">
        <f>L987-M987</f>
        <v/>
      </c>
    </row>
    <row r="988">
      <c r="A988" s="7" t="inlineStr">
        <is>
          <t>ORD-00175</t>
        </is>
      </c>
      <c r="B988" s="8" t="n">
        <v>45174</v>
      </c>
      <c r="C988" s="9" t="n">
        <v>45170</v>
      </c>
      <c r="D988" s="7" t="n">
        <v>2023</v>
      </c>
      <c r="E988" s="7" t="inlineStr">
        <is>
          <t>East</t>
        </is>
      </c>
      <c r="F988" s="7" t="inlineStr">
        <is>
          <t>Furniture</t>
        </is>
      </c>
      <c r="G988" s="7" t="inlineStr">
        <is>
          <t>Bookcase</t>
        </is>
      </c>
      <c r="H988" s="7" t="inlineStr">
        <is>
          <t>Home Office</t>
        </is>
      </c>
      <c r="I988" s="7" t="n">
        <v>1</v>
      </c>
      <c r="J988" s="10" t="n">
        <v>176.67</v>
      </c>
      <c r="K988" s="11" t="n">
        <v>0</v>
      </c>
      <c r="L988" s="10">
        <f>I988*J988*(1-K988)</f>
        <v/>
      </c>
      <c r="M988" s="10" t="n">
        <v>144</v>
      </c>
      <c r="N988" s="10">
        <f>L988-M988</f>
        <v/>
      </c>
    </row>
    <row r="989">
      <c r="A989" s="7" t="inlineStr">
        <is>
          <t>ORD-05107</t>
        </is>
      </c>
      <c r="B989" s="8" t="n">
        <v>45174</v>
      </c>
      <c r="C989" s="9" t="n">
        <v>45170</v>
      </c>
      <c r="D989" s="7" t="n">
        <v>2023</v>
      </c>
      <c r="E989" s="7" t="inlineStr">
        <is>
          <t>South</t>
        </is>
      </c>
      <c r="F989" s="7" t="inlineStr">
        <is>
          <t>Technology</t>
        </is>
      </c>
      <c r="G989" s="7" t="inlineStr">
        <is>
          <t>Laptop</t>
        </is>
      </c>
      <c r="H989" s="7" t="inlineStr">
        <is>
          <t>Home Office</t>
        </is>
      </c>
      <c r="I989" s="7" t="n">
        <v>2</v>
      </c>
      <c r="J989" s="10" t="n">
        <v>865.08</v>
      </c>
      <c r="K989" s="11" t="n">
        <v>0</v>
      </c>
      <c r="L989" s="10">
        <f>I989*J989*(1-K989)</f>
        <v/>
      </c>
      <c r="M989" s="10" t="n">
        <v>1404</v>
      </c>
      <c r="N989" s="10">
        <f>L989-M989</f>
        <v/>
      </c>
    </row>
    <row r="990">
      <c r="A990" s="7" t="inlineStr">
        <is>
          <t>ORD-03235</t>
        </is>
      </c>
      <c r="B990" s="8" t="n">
        <v>45174</v>
      </c>
      <c r="C990" s="9" t="n">
        <v>45170</v>
      </c>
      <c r="D990" s="7" t="n">
        <v>2023</v>
      </c>
      <c r="E990" s="7" t="inlineStr">
        <is>
          <t>West</t>
        </is>
      </c>
      <c r="F990" s="7" t="inlineStr">
        <is>
          <t>Office Supplies</t>
        </is>
      </c>
      <c r="G990" s="7" t="inlineStr">
        <is>
          <t>Paper</t>
        </is>
      </c>
      <c r="H990" s="7" t="inlineStr">
        <is>
          <t>Consumer</t>
        </is>
      </c>
      <c r="I990" s="7" t="n">
        <v>7</v>
      </c>
      <c r="J990" s="10" t="n">
        <v>24.68</v>
      </c>
      <c r="K990" s="11" t="n">
        <v>0.3</v>
      </c>
      <c r="L990" s="10">
        <f>I990*J990*(1-K990)</f>
        <v/>
      </c>
      <c r="M990" s="10" t="n">
        <v>87.5</v>
      </c>
      <c r="N990" s="10">
        <f>L990-M990</f>
        <v/>
      </c>
    </row>
    <row r="991">
      <c r="A991" s="7" t="inlineStr">
        <is>
          <t>ORD-03534</t>
        </is>
      </c>
      <c r="B991" s="8" t="n">
        <v>45174</v>
      </c>
      <c r="C991" s="9" t="n">
        <v>45170</v>
      </c>
      <c r="D991" s="7" t="n">
        <v>2023</v>
      </c>
      <c r="E991" s="7" t="inlineStr">
        <is>
          <t>East</t>
        </is>
      </c>
      <c r="F991" s="7" t="inlineStr">
        <is>
          <t>Furniture</t>
        </is>
      </c>
      <c r="G991" s="7" t="inlineStr">
        <is>
          <t>Office Chair</t>
        </is>
      </c>
      <c r="H991" s="7" t="inlineStr">
        <is>
          <t>Home Office</t>
        </is>
      </c>
      <c r="I991" s="7" t="n">
        <v>4</v>
      </c>
      <c r="J991" s="10" t="n">
        <v>212.79</v>
      </c>
      <c r="K991" s="11" t="n">
        <v>0.2</v>
      </c>
      <c r="L991" s="10">
        <f>I991*J991*(1-K991)</f>
        <v/>
      </c>
      <c r="M991" s="10" t="n">
        <v>721.6</v>
      </c>
      <c r="N991" s="10">
        <f>L991-M991</f>
        <v/>
      </c>
    </row>
    <row r="992">
      <c r="A992" s="7" t="inlineStr">
        <is>
          <t>ORD-03760</t>
        </is>
      </c>
      <c r="B992" s="8" t="n">
        <v>45175</v>
      </c>
      <c r="C992" s="9" t="n">
        <v>45170</v>
      </c>
      <c r="D992" s="7" t="n">
        <v>2023</v>
      </c>
      <c r="E992" s="7" t="inlineStr">
        <is>
          <t>West</t>
        </is>
      </c>
      <c r="F992" s="7" t="inlineStr">
        <is>
          <t>Office Supplies</t>
        </is>
      </c>
      <c r="G992" s="7" t="inlineStr">
        <is>
          <t>Pens</t>
        </is>
      </c>
      <c r="H992" s="7" t="inlineStr">
        <is>
          <t>Consumer</t>
        </is>
      </c>
      <c r="I992" s="7" t="n">
        <v>13</v>
      </c>
      <c r="J992" s="10" t="n">
        <v>11.89</v>
      </c>
      <c r="K992" s="11" t="n">
        <v>0.2</v>
      </c>
      <c r="L992" s="10">
        <f>I992*J992*(1-K992)</f>
        <v/>
      </c>
      <c r="M992" s="10" t="n">
        <v>70.2</v>
      </c>
      <c r="N992" s="10">
        <f>L992-M992</f>
        <v/>
      </c>
    </row>
    <row r="993">
      <c r="A993" s="7" t="inlineStr">
        <is>
          <t>ORD-04467</t>
        </is>
      </c>
      <c r="B993" s="8" t="n">
        <v>45175</v>
      </c>
      <c r="C993" s="9" t="n">
        <v>45170</v>
      </c>
      <c r="D993" s="7" t="n">
        <v>2023</v>
      </c>
      <c r="E993" s="7" t="inlineStr">
        <is>
          <t>East</t>
        </is>
      </c>
      <c r="F993" s="7" t="inlineStr">
        <is>
          <t>Office Supplies</t>
        </is>
      </c>
      <c r="G993" s="7" t="inlineStr">
        <is>
          <t>Pens</t>
        </is>
      </c>
      <c r="H993" s="7" t="inlineStr">
        <is>
          <t>Corporate</t>
        </is>
      </c>
      <c r="I993" s="7" t="n">
        <v>6</v>
      </c>
      <c r="J993" s="10" t="n">
        <v>12.09</v>
      </c>
      <c r="K993" s="11" t="n">
        <v>0</v>
      </c>
      <c r="L993" s="10">
        <f>I993*J993*(1-K993)</f>
        <v/>
      </c>
      <c r="M993" s="10" t="n">
        <v>32.4</v>
      </c>
      <c r="N993" s="10">
        <f>L993-M993</f>
        <v/>
      </c>
    </row>
    <row r="994">
      <c r="A994" s="7" t="inlineStr">
        <is>
          <t>ORD-00798</t>
        </is>
      </c>
      <c r="B994" s="8" t="n">
        <v>45175</v>
      </c>
      <c r="C994" s="9" t="n">
        <v>45170</v>
      </c>
      <c r="D994" s="7" t="n">
        <v>2023</v>
      </c>
      <c r="E994" s="7" t="inlineStr">
        <is>
          <t>West</t>
        </is>
      </c>
      <c r="F994" s="7" t="inlineStr">
        <is>
          <t>Furniture</t>
        </is>
      </c>
      <c r="G994" s="7" t="inlineStr">
        <is>
          <t>Desk</t>
        </is>
      </c>
      <c r="H994" s="7" t="inlineStr">
        <is>
          <t>Consumer</t>
        </is>
      </c>
      <c r="I994" s="7" t="n">
        <v>4</v>
      </c>
      <c r="J994" s="10" t="n">
        <v>471.51</v>
      </c>
      <c r="K994" s="11" t="n">
        <v>0</v>
      </c>
      <c r="L994" s="10">
        <f>I994*J994*(1-K994)</f>
        <v/>
      </c>
      <c r="M994" s="10" t="n">
        <v>1530</v>
      </c>
      <c r="N994" s="10">
        <f>L994-M994</f>
        <v/>
      </c>
    </row>
    <row r="995">
      <c r="A995" s="7" t="inlineStr">
        <is>
          <t>ORD-00925</t>
        </is>
      </c>
      <c r="B995" s="8" t="n">
        <v>45175</v>
      </c>
      <c r="C995" s="9" t="n">
        <v>45170</v>
      </c>
      <c r="D995" s="7" t="n">
        <v>2023</v>
      </c>
      <c r="E995" s="7" t="inlineStr">
        <is>
          <t>East</t>
        </is>
      </c>
      <c r="F995" s="7" t="inlineStr">
        <is>
          <t>Technology</t>
        </is>
      </c>
      <c r="G995" s="7" t="inlineStr">
        <is>
          <t>Headphones</t>
        </is>
      </c>
      <c r="H995" s="7" t="inlineStr">
        <is>
          <t>Home Office</t>
        </is>
      </c>
      <c r="I995" s="7" t="n">
        <v>1</v>
      </c>
      <c r="J995" s="10" t="n">
        <v>120.11</v>
      </c>
      <c r="K995" s="11" t="n">
        <v>0.05</v>
      </c>
      <c r="L995" s="10">
        <f>I995*J995*(1-K995)</f>
        <v/>
      </c>
      <c r="M995" s="10" t="n">
        <v>72</v>
      </c>
      <c r="N995" s="10">
        <f>L995-M995</f>
        <v/>
      </c>
    </row>
    <row r="996">
      <c r="A996" s="7" t="inlineStr">
        <is>
          <t>ORD-05677</t>
        </is>
      </c>
      <c r="B996" s="8" t="n">
        <v>45175</v>
      </c>
      <c r="C996" s="9" t="n">
        <v>45170</v>
      </c>
      <c r="D996" s="7" t="n">
        <v>2023</v>
      </c>
      <c r="E996" s="7" t="inlineStr">
        <is>
          <t>West</t>
        </is>
      </c>
      <c r="F996" s="7" t="inlineStr">
        <is>
          <t>Office Supplies</t>
        </is>
      </c>
      <c r="G996" s="7" t="inlineStr">
        <is>
          <t>Binder</t>
        </is>
      </c>
      <c r="H996" s="7" t="inlineStr">
        <is>
          <t>Home Office</t>
        </is>
      </c>
      <c r="I996" s="7" t="n">
        <v>6</v>
      </c>
      <c r="J996" s="10" t="n">
        <v>7.78</v>
      </c>
      <c r="K996" s="11" t="n">
        <v>0.05</v>
      </c>
      <c r="L996" s="10">
        <f>I996*J996*(1-K996)</f>
        <v/>
      </c>
      <c r="M996" s="10" t="n">
        <v>19.2</v>
      </c>
      <c r="N996" s="10">
        <f>L996-M996</f>
        <v/>
      </c>
    </row>
    <row r="997">
      <c r="A997" s="7" t="inlineStr">
        <is>
          <t>ORD-00266</t>
        </is>
      </c>
      <c r="B997" s="8" t="n">
        <v>45175</v>
      </c>
      <c r="C997" s="9" t="n">
        <v>45170</v>
      </c>
      <c r="D997" s="7" t="n">
        <v>2023</v>
      </c>
      <c r="E997" s="7" t="inlineStr">
        <is>
          <t>North</t>
        </is>
      </c>
      <c r="F997" s="7" t="inlineStr">
        <is>
          <t>Office Supplies</t>
        </is>
      </c>
      <c r="G997" s="7" t="inlineStr">
        <is>
          <t>Binder</t>
        </is>
      </c>
      <c r="H997" s="7" t="inlineStr">
        <is>
          <t>Consumer</t>
        </is>
      </c>
      <c r="I997" s="7" t="n">
        <v>14</v>
      </c>
      <c r="J997" s="10" t="n">
        <v>8</v>
      </c>
      <c r="K997" s="11" t="n">
        <v>0</v>
      </c>
      <c r="L997" s="10">
        <f>I997*J997*(1-K997)</f>
        <v/>
      </c>
      <c r="M997" s="10" t="n">
        <v>44.8</v>
      </c>
      <c r="N997" s="10">
        <f>L997-M997</f>
        <v/>
      </c>
    </row>
    <row r="998">
      <c r="A998" s="7" t="inlineStr">
        <is>
          <t>ORD-01298</t>
        </is>
      </c>
      <c r="B998" s="8" t="n">
        <v>45176</v>
      </c>
      <c r="C998" s="9" t="n">
        <v>45170</v>
      </c>
      <c r="D998" s="7" t="n">
        <v>2023</v>
      </c>
      <c r="E998" s="7" t="inlineStr">
        <is>
          <t>West</t>
        </is>
      </c>
      <c r="F998" s="7" t="inlineStr">
        <is>
          <t>Office Supplies</t>
        </is>
      </c>
      <c r="G998" s="7" t="inlineStr">
        <is>
          <t>Paper</t>
        </is>
      </c>
      <c r="H998" s="7" t="inlineStr">
        <is>
          <t>Consumer</t>
        </is>
      </c>
      <c r="I998" s="7" t="n">
        <v>9</v>
      </c>
      <c r="J998" s="10" t="n">
        <v>26.12</v>
      </c>
      <c r="K998" s="11" t="n">
        <v>0.05</v>
      </c>
      <c r="L998" s="10">
        <f>I998*J998*(1-K998)</f>
        <v/>
      </c>
      <c r="M998" s="10" t="n">
        <v>112.5</v>
      </c>
      <c r="N998" s="10">
        <f>L998-M998</f>
        <v/>
      </c>
    </row>
    <row r="999">
      <c r="A999" s="7" t="inlineStr">
        <is>
          <t>ORD-04374</t>
        </is>
      </c>
      <c r="B999" s="8" t="n">
        <v>45176</v>
      </c>
      <c r="C999" s="9" t="n">
        <v>45170</v>
      </c>
      <c r="D999" s="7" t="n">
        <v>2023</v>
      </c>
      <c r="E999" s="7" t="inlineStr">
        <is>
          <t>West</t>
        </is>
      </c>
      <c r="F999" s="7" t="inlineStr">
        <is>
          <t>Furniture</t>
        </is>
      </c>
      <c r="G999" s="7" t="inlineStr">
        <is>
          <t>Office Chair</t>
        </is>
      </c>
      <c r="H999" s="7" t="inlineStr">
        <is>
          <t>Corporate</t>
        </is>
      </c>
      <c r="I999" s="7" t="n">
        <v>3</v>
      </c>
      <c r="J999" s="10" t="n">
        <v>228.25</v>
      </c>
      <c r="K999" s="11" t="n">
        <v>0</v>
      </c>
      <c r="L999" s="10">
        <f>I999*J999*(1-K999)</f>
        <v/>
      </c>
      <c r="M999" s="10" t="n">
        <v>541.2</v>
      </c>
      <c r="N999" s="10">
        <f>L999-M999</f>
        <v/>
      </c>
    </row>
    <row r="1000">
      <c r="A1000" s="7" t="inlineStr">
        <is>
          <t>ORD-05875</t>
        </is>
      </c>
      <c r="B1000" s="8" t="n">
        <v>45176</v>
      </c>
      <c r="C1000" s="9" t="n">
        <v>45170</v>
      </c>
      <c r="D1000" s="7" t="n">
        <v>2023</v>
      </c>
      <c r="E1000" s="7" t="inlineStr">
        <is>
          <t>East</t>
        </is>
      </c>
      <c r="F1000" s="7" t="inlineStr">
        <is>
          <t>Furniture</t>
        </is>
      </c>
      <c r="G1000" s="7" t="inlineStr">
        <is>
          <t>Sofa</t>
        </is>
      </c>
      <c r="H1000" s="7" t="inlineStr">
        <is>
          <t>Consumer</t>
        </is>
      </c>
      <c r="I1000" s="7" t="n">
        <v>1</v>
      </c>
      <c r="J1000" s="10" t="n">
        <v>719.72</v>
      </c>
      <c r="K1000" s="11" t="n">
        <v>0</v>
      </c>
      <c r="L1000" s="10">
        <f>I1000*J1000*(1-K1000)</f>
        <v/>
      </c>
      <c r="M1000" s="10" t="n">
        <v>616</v>
      </c>
      <c r="N1000" s="10">
        <f>L1000-M1000</f>
        <v/>
      </c>
    </row>
    <row r="1001">
      <c r="A1001" s="7" t="inlineStr">
        <is>
          <t>ORD-00539</t>
        </is>
      </c>
      <c r="B1001" s="8" t="n">
        <v>45176</v>
      </c>
      <c r="C1001" s="9" t="n">
        <v>45170</v>
      </c>
      <c r="D1001" s="7" t="n">
        <v>2023</v>
      </c>
      <c r="E1001" s="7" t="inlineStr">
        <is>
          <t>East</t>
        </is>
      </c>
      <c r="F1001" s="7" t="inlineStr">
        <is>
          <t>Office Supplies</t>
        </is>
      </c>
      <c r="G1001" s="7" t="inlineStr">
        <is>
          <t>Binder</t>
        </is>
      </c>
      <c r="H1001" s="7" t="inlineStr">
        <is>
          <t>Home Office</t>
        </is>
      </c>
      <c r="I1001" s="7" t="n">
        <v>7</v>
      </c>
      <c r="J1001" s="10" t="n">
        <v>8.35</v>
      </c>
      <c r="K1001" s="11" t="n">
        <v>0</v>
      </c>
      <c r="L1001" s="10">
        <f>I1001*J1001*(1-K1001)</f>
        <v/>
      </c>
      <c r="M1001" s="10" t="n">
        <v>22.4</v>
      </c>
      <c r="N1001" s="10">
        <f>L1001-M1001</f>
        <v/>
      </c>
    </row>
    <row r="1002">
      <c r="A1002" s="7" t="inlineStr">
        <is>
          <t>ORD-02696</t>
        </is>
      </c>
      <c r="B1002" s="8" t="n">
        <v>45176</v>
      </c>
      <c r="C1002" s="9" t="n">
        <v>45170</v>
      </c>
      <c r="D1002" s="7" t="n">
        <v>2023</v>
      </c>
      <c r="E1002" s="7" t="inlineStr">
        <is>
          <t>East</t>
        </is>
      </c>
      <c r="F1002" s="7" t="inlineStr">
        <is>
          <t>Office Supplies</t>
        </is>
      </c>
      <c r="G1002" s="7" t="inlineStr">
        <is>
          <t>Paper</t>
        </is>
      </c>
      <c r="H1002" s="7" t="inlineStr">
        <is>
          <t>Corporate</t>
        </is>
      </c>
      <c r="I1002" s="7" t="n">
        <v>15</v>
      </c>
      <c r="J1002" s="10" t="n">
        <v>26.13</v>
      </c>
      <c r="K1002" s="11" t="n">
        <v>0.05</v>
      </c>
      <c r="L1002" s="10">
        <f>I1002*J1002*(1-K1002)</f>
        <v/>
      </c>
      <c r="M1002" s="10" t="n">
        <v>187.5</v>
      </c>
      <c r="N1002" s="10">
        <f>L1002-M1002</f>
        <v/>
      </c>
    </row>
    <row r="1003">
      <c r="A1003" s="7" t="inlineStr">
        <is>
          <t>ORD-02810</t>
        </is>
      </c>
      <c r="B1003" s="8" t="n">
        <v>45176</v>
      </c>
      <c r="C1003" s="9" t="n">
        <v>45170</v>
      </c>
      <c r="D1003" s="7" t="n">
        <v>2023</v>
      </c>
      <c r="E1003" s="7" t="inlineStr">
        <is>
          <t>North</t>
        </is>
      </c>
      <c r="F1003" s="7" t="inlineStr">
        <is>
          <t>Technology</t>
        </is>
      </c>
      <c r="G1003" s="7" t="inlineStr">
        <is>
          <t>Headphones</t>
        </is>
      </c>
      <c r="H1003" s="7" t="inlineStr">
        <is>
          <t>Consumer</t>
        </is>
      </c>
      <c r="I1003" s="7" t="n">
        <v>2</v>
      </c>
      <c r="J1003" s="10" t="n">
        <v>114.08</v>
      </c>
      <c r="K1003" s="11" t="n">
        <v>0.1</v>
      </c>
      <c r="L1003" s="10">
        <f>I1003*J1003*(1-K1003)</f>
        <v/>
      </c>
      <c r="M1003" s="10" t="n">
        <v>144</v>
      </c>
      <c r="N1003" s="10">
        <f>L1003-M1003</f>
        <v/>
      </c>
    </row>
    <row r="1004">
      <c r="A1004" s="7" t="inlineStr">
        <is>
          <t>ORD-02588</t>
        </is>
      </c>
      <c r="B1004" s="8" t="n">
        <v>45176</v>
      </c>
      <c r="C1004" s="9" t="n">
        <v>45170</v>
      </c>
      <c r="D1004" s="7" t="n">
        <v>2023</v>
      </c>
      <c r="E1004" s="7" t="inlineStr">
        <is>
          <t>East</t>
        </is>
      </c>
      <c r="F1004" s="7" t="inlineStr">
        <is>
          <t>Office Supplies</t>
        </is>
      </c>
      <c r="G1004" s="7" t="inlineStr">
        <is>
          <t>Paper</t>
        </is>
      </c>
      <c r="H1004" s="7" t="inlineStr">
        <is>
          <t>Consumer</t>
        </is>
      </c>
      <c r="I1004" s="7" t="n">
        <v>10</v>
      </c>
      <c r="J1004" s="10" t="n">
        <v>25.49</v>
      </c>
      <c r="K1004" s="11" t="n">
        <v>0</v>
      </c>
      <c r="L1004" s="10">
        <f>I1004*J1004*(1-K1004)</f>
        <v/>
      </c>
      <c r="M1004" s="10" t="n">
        <v>125</v>
      </c>
      <c r="N1004" s="10">
        <f>L1004-M1004</f>
        <v/>
      </c>
    </row>
    <row r="1005">
      <c r="A1005" s="7" t="inlineStr">
        <is>
          <t>ORD-00084</t>
        </is>
      </c>
      <c r="B1005" s="8" t="n">
        <v>45177</v>
      </c>
      <c r="C1005" s="9" t="n">
        <v>45170</v>
      </c>
      <c r="D1005" s="7" t="n">
        <v>2023</v>
      </c>
      <c r="E1005" s="7" t="inlineStr">
        <is>
          <t>West</t>
        </is>
      </c>
      <c r="F1005" s="7" t="inlineStr">
        <is>
          <t>Office Supplies</t>
        </is>
      </c>
      <c r="G1005" s="7" t="inlineStr">
        <is>
          <t>Binder</t>
        </is>
      </c>
      <c r="H1005" s="7" t="inlineStr">
        <is>
          <t>Corporate</t>
        </is>
      </c>
      <c r="I1005" s="7" t="n">
        <v>7</v>
      </c>
      <c r="J1005" s="10" t="n">
        <v>7.93</v>
      </c>
      <c r="K1005" s="11" t="n">
        <v>0</v>
      </c>
      <c r="L1005" s="10">
        <f>I1005*J1005*(1-K1005)</f>
        <v/>
      </c>
      <c r="M1005" s="10" t="n">
        <v>22.4</v>
      </c>
      <c r="N1005" s="10">
        <f>L1005-M1005</f>
        <v/>
      </c>
    </row>
    <row r="1006">
      <c r="A1006" s="7" t="inlineStr">
        <is>
          <t>ORD-05004</t>
        </is>
      </c>
      <c r="B1006" s="8" t="n">
        <v>45177</v>
      </c>
      <c r="C1006" s="9" t="n">
        <v>45170</v>
      </c>
      <c r="D1006" s="7" t="n">
        <v>2023</v>
      </c>
      <c r="E1006" s="7" t="inlineStr">
        <is>
          <t>North</t>
        </is>
      </c>
      <c r="F1006" s="7" t="inlineStr">
        <is>
          <t>Technology</t>
        </is>
      </c>
      <c r="G1006" s="7" t="inlineStr">
        <is>
          <t>Monitor</t>
        </is>
      </c>
      <c r="H1006" s="7" t="inlineStr">
        <is>
          <t>Home Office</t>
        </is>
      </c>
      <c r="I1006" s="7" t="n">
        <v>2</v>
      </c>
      <c r="J1006" s="10" t="n">
        <v>261.45</v>
      </c>
      <c r="K1006" s="11" t="n">
        <v>0.3</v>
      </c>
      <c r="L1006" s="10">
        <f>I1006*J1006*(1-K1006)</f>
        <v/>
      </c>
      <c r="M1006" s="10" t="n">
        <v>360</v>
      </c>
      <c r="N1006" s="10">
        <f>L1006-M1006</f>
        <v/>
      </c>
    </row>
    <row r="1007">
      <c r="A1007" s="7" t="inlineStr">
        <is>
          <t>ORD-02725</t>
        </is>
      </c>
      <c r="B1007" s="8" t="n">
        <v>45178</v>
      </c>
      <c r="C1007" s="9" t="n">
        <v>45170</v>
      </c>
      <c r="D1007" s="7" t="n">
        <v>2023</v>
      </c>
      <c r="E1007" s="7" t="inlineStr">
        <is>
          <t>East</t>
        </is>
      </c>
      <c r="F1007" s="7" t="inlineStr">
        <is>
          <t>Office Supplies</t>
        </is>
      </c>
      <c r="G1007" s="7" t="inlineStr">
        <is>
          <t>Paper</t>
        </is>
      </c>
      <c r="H1007" s="7" t="inlineStr">
        <is>
          <t>Consumer</t>
        </is>
      </c>
      <c r="I1007" s="7" t="n">
        <v>6</v>
      </c>
      <c r="J1007" s="10" t="n">
        <v>24.3</v>
      </c>
      <c r="K1007" s="11" t="n">
        <v>0</v>
      </c>
      <c r="L1007" s="10">
        <f>I1007*J1007*(1-K1007)</f>
        <v/>
      </c>
      <c r="M1007" s="10" t="n">
        <v>75</v>
      </c>
      <c r="N1007" s="10">
        <f>L1007-M1007</f>
        <v/>
      </c>
    </row>
    <row r="1008">
      <c r="A1008" s="7" t="inlineStr">
        <is>
          <t>ORD-01100</t>
        </is>
      </c>
      <c r="B1008" s="8" t="n">
        <v>45178</v>
      </c>
      <c r="C1008" s="9" t="n">
        <v>45170</v>
      </c>
      <c r="D1008" s="7" t="n">
        <v>2023</v>
      </c>
      <c r="E1008" s="7" t="inlineStr">
        <is>
          <t>West</t>
        </is>
      </c>
      <c r="F1008" s="7" t="inlineStr">
        <is>
          <t>Technology</t>
        </is>
      </c>
      <c r="G1008" s="7" t="inlineStr">
        <is>
          <t>Keyboard</t>
        </is>
      </c>
      <c r="H1008" s="7" t="inlineStr">
        <is>
          <t>Consumer</t>
        </is>
      </c>
      <c r="I1008" s="7" t="n">
        <v>3</v>
      </c>
      <c r="J1008" s="10" t="n">
        <v>44.11</v>
      </c>
      <c r="K1008" s="11" t="n">
        <v>0.3</v>
      </c>
      <c r="L1008" s="10">
        <f>I1008*J1008*(1-K1008)</f>
        <v/>
      </c>
      <c r="M1008" s="10" t="n">
        <v>74.25</v>
      </c>
      <c r="N1008" s="10">
        <f>L1008-M1008</f>
        <v/>
      </c>
    </row>
    <row r="1009">
      <c r="A1009" s="7" t="inlineStr">
        <is>
          <t>ORD-04709</t>
        </is>
      </c>
      <c r="B1009" s="8" t="n">
        <v>45178</v>
      </c>
      <c r="C1009" s="9" t="n">
        <v>45170</v>
      </c>
      <c r="D1009" s="7" t="n">
        <v>2023</v>
      </c>
      <c r="E1009" s="7" t="inlineStr">
        <is>
          <t>South</t>
        </is>
      </c>
      <c r="F1009" s="7" t="inlineStr">
        <is>
          <t>Technology</t>
        </is>
      </c>
      <c r="G1009" s="7" t="inlineStr">
        <is>
          <t>Smartphone</t>
        </is>
      </c>
      <c r="H1009" s="7" t="inlineStr">
        <is>
          <t>Corporate</t>
        </is>
      </c>
      <c r="I1009" s="7" t="n">
        <v>3</v>
      </c>
      <c r="J1009" s="10" t="n">
        <v>623.87</v>
      </c>
      <c r="K1009" s="11" t="n">
        <v>0</v>
      </c>
      <c r="L1009" s="10">
        <f>I1009*J1009*(1-K1009)</f>
        <v/>
      </c>
      <c r="M1009" s="10" t="n">
        <v>1350</v>
      </c>
      <c r="N1009" s="10">
        <f>L1009-M1009</f>
        <v/>
      </c>
    </row>
    <row r="1010">
      <c r="A1010" s="7" t="inlineStr">
        <is>
          <t>ORD-01845</t>
        </is>
      </c>
      <c r="B1010" s="8" t="n">
        <v>45178</v>
      </c>
      <c r="C1010" s="9" t="n">
        <v>45170</v>
      </c>
      <c r="D1010" s="7" t="n">
        <v>2023</v>
      </c>
      <c r="E1010" s="7" t="inlineStr">
        <is>
          <t>West</t>
        </is>
      </c>
      <c r="F1010" s="7" t="inlineStr">
        <is>
          <t>Office Supplies</t>
        </is>
      </c>
      <c r="G1010" s="7" t="inlineStr">
        <is>
          <t>Stapler</t>
        </is>
      </c>
      <c r="H1010" s="7" t="inlineStr">
        <is>
          <t>Corporate</t>
        </is>
      </c>
      <c r="I1010" s="7" t="n">
        <v>13</v>
      </c>
      <c r="J1010" s="10" t="n">
        <v>15.37</v>
      </c>
      <c r="K1010" s="11" t="n">
        <v>0</v>
      </c>
      <c r="L1010" s="10">
        <f>I1010*J1010*(1-K1010)</f>
        <v/>
      </c>
      <c r="M1010" s="10" t="n">
        <v>97.5</v>
      </c>
      <c r="N1010" s="10">
        <f>L1010-M1010</f>
        <v/>
      </c>
    </row>
    <row r="1011">
      <c r="A1011" s="7" t="inlineStr">
        <is>
          <t>ORD-03735</t>
        </is>
      </c>
      <c r="B1011" s="8" t="n">
        <v>45178</v>
      </c>
      <c r="C1011" s="9" t="n">
        <v>45170</v>
      </c>
      <c r="D1011" s="7" t="n">
        <v>2023</v>
      </c>
      <c r="E1011" s="7" t="inlineStr">
        <is>
          <t>West</t>
        </is>
      </c>
      <c r="F1011" s="7" t="inlineStr">
        <is>
          <t>Office Supplies</t>
        </is>
      </c>
      <c r="G1011" s="7" t="inlineStr">
        <is>
          <t>Printer Ink</t>
        </is>
      </c>
      <c r="H1011" s="7" t="inlineStr">
        <is>
          <t>Home Office</t>
        </is>
      </c>
      <c r="I1011" s="7" t="n">
        <v>15</v>
      </c>
      <c r="J1011" s="10" t="n">
        <v>61.06</v>
      </c>
      <c r="K1011" s="11" t="n">
        <v>0</v>
      </c>
      <c r="L1011" s="10">
        <f>I1011*J1011*(1-K1011)</f>
        <v/>
      </c>
      <c r="M1011" s="10" t="n">
        <v>540</v>
      </c>
      <c r="N1011" s="10">
        <f>L1011-M1011</f>
        <v/>
      </c>
    </row>
    <row r="1012">
      <c r="A1012" s="7" t="inlineStr">
        <is>
          <t>ORD-05507</t>
        </is>
      </c>
      <c r="B1012" s="8" t="n">
        <v>45179</v>
      </c>
      <c r="C1012" s="9" t="n">
        <v>45170</v>
      </c>
      <c r="D1012" s="7" t="n">
        <v>2023</v>
      </c>
      <c r="E1012" s="7" t="inlineStr">
        <is>
          <t>East</t>
        </is>
      </c>
      <c r="F1012" s="7" t="inlineStr">
        <is>
          <t>Office Supplies</t>
        </is>
      </c>
      <c r="G1012" s="7" t="inlineStr">
        <is>
          <t>Pens</t>
        </is>
      </c>
      <c r="H1012" s="7" t="inlineStr">
        <is>
          <t>Corporate</t>
        </is>
      </c>
      <c r="I1012" s="7" t="n">
        <v>6</v>
      </c>
      <c r="J1012" s="10" t="n">
        <v>12.43</v>
      </c>
      <c r="K1012" s="11" t="n">
        <v>0.3</v>
      </c>
      <c r="L1012" s="10">
        <f>I1012*J1012*(1-K1012)</f>
        <v/>
      </c>
      <c r="M1012" s="10" t="n">
        <v>32.4</v>
      </c>
      <c r="N1012" s="10">
        <f>L1012-M1012</f>
        <v/>
      </c>
    </row>
    <row r="1013">
      <c r="A1013" s="7" t="inlineStr">
        <is>
          <t>ORD-01164</t>
        </is>
      </c>
      <c r="B1013" s="8" t="n">
        <v>45179</v>
      </c>
      <c r="C1013" s="9" t="n">
        <v>45170</v>
      </c>
      <c r="D1013" s="7" t="n">
        <v>2023</v>
      </c>
      <c r="E1013" s="7" t="inlineStr">
        <is>
          <t>South</t>
        </is>
      </c>
      <c r="F1013" s="7" t="inlineStr">
        <is>
          <t>Technology</t>
        </is>
      </c>
      <c r="G1013" s="7" t="inlineStr">
        <is>
          <t>Smartphone</t>
        </is>
      </c>
      <c r="H1013" s="7" t="inlineStr">
        <is>
          <t>Consumer</t>
        </is>
      </c>
      <c r="I1013" s="7" t="n">
        <v>1</v>
      </c>
      <c r="J1013" s="10" t="n">
        <v>599.2</v>
      </c>
      <c r="K1013" s="11" t="n">
        <v>0.3</v>
      </c>
      <c r="L1013" s="10">
        <f>I1013*J1013*(1-K1013)</f>
        <v/>
      </c>
      <c r="M1013" s="10" t="n">
        <v>450</v>
      </c>
      <c r="N1013" s="10">
        <f>L1013-M1013</f>
        <v/>
      </c>
    </row>
    <row r="1014">
      <c r="A1014" s="7" t="inlineStr">
        <is>
          <t>ORD-02944</t>
        </is>
      </c>
      <c r="B1014" s="8" t="n">
        <v>45179</v>
      </c>
      <c r="C1014" s="9" t="n">
        <v>45170</v>
      </c>
      <c r="D1014" s="7" t="n">
        <v>2023</v>
      </c>
      <c r="E1014" s="7" t="inlineStr">
        <is>
          <t>South</t>
        </is>
      </c>
      <c r="F1014" s="7" t="inlineStr">
        <is>
          <t>Office Supplies</t>
        </is>
      </c>
      <c r="G1014" s="7" t="inlineStr">
        <is>
          <t>Pens</t>
        </is>
      </c>
      <c r="H1014" s="7" t="inlineStr">
        <is>
          <t>Consumer</t>
        </is>
      </c>
      <c r="I1014" s="7" t="n">
        <v>8</v>
      </c>
      <c r="J1014" s="10" t="n">
        <v>12.05</v>
      </c>
      <c r="K1014" s="11" t="n">
        <v>0</v>
      </c>
      <c r="L1014" s="10">
        <f>I1014*J1014*(1-K1014)</f>
        <v/>
      </c>
      <c r="M1014" s="10" t="n">
        <v>43.2</v>
      </c>
      <c r="N1014" s="10">
        <f>L1014-M1014</f>
        <v/>
      </c>
    </row>
    <row r="1015">
      <c r="A1015" s="7" t="inlineStr">
        <is>
          <t>ORD-05061</t>
        </is>
      </c>
      <c r="B1015" s="8" t="n">
        <v>45179</v>
      </c>
      <c r="C1015" s="9" t="n">
        <v>45170</v>
      </c>
      <c r="D1015" s="7" t="n">
        <v>2023</v>
      </c>
      <c r="E1015" s="7" t="inlineStr">
        <is>
          <t>East</t>
        </is>
      </c>
      <c r="F1015" s="7" t="inlineStr">
        <is>
          <t>Furniture</t>
        </is>
      </c>
      <c r="G1015" s="7" t="inlineStr">
        <is>
          <t>Bookcase</t>
        </is>
      </c>
      <c r="H1015" s="7" t="inlineStr">
        <is>
          <t>Home Office</t>
        </is>
      </c>
      <c r="I1015" s="7" t="n">
        <v>4</v>
      </c>
      <c r="J1015" s="10" t="n">
        <v>186.43</v>
      </c>
      <c r="K1015" s="11" t="n">
        <v>0.1</v>
      </c>
      <c r="L1015" s="10">
        <f>I1015*J1015*(1-K1015)</f>
        <v/>
      </c>
      <c r="M1015" s="10" t="n">
        <v>576</v>
      </c>
      <c r="N1015" s="10">
        <f>L1015-M1015</f>
        <v/>
      </c>
    </row>
    <row r="1016">
      <c r="A1016" s="7" t="inlineStr">
        <is>
          <t>ORD-04997</t>
        </is>
      </c>
      <c r="B1016" s="8" t="n">
        <v>45179</v>
      </c>
      <c r="C1016" s="9" t="n">
        <v>45170</v>
      </c>
      <c r="D1016" s="7" t="n">
        <v>2023</v>
      </c>
      <c r="E1016" s="7" t="inlineStr">
        <is>
          <t>East</t>
        </is>
      </c>
      <c r="F1016" s="7" t="inlineStr">
        <is>
          <t>Technology</t>
        </is>
      </c>
      <c r="G1016" s="7" t="inlineStr">
        <is>
          <t>Laptop</t>
        </is>
      </c>
      <c r="H1016" s="7" t="inlineStr">
        <is>
          <t>Home Office</t>
        </is>
      </c>
      <c r="I1016" s="7" t="n">
        <v>3</v>
      </c>
      <c r="J1016" s="10" t="n">
        <v>856.77</v>
      </c>
      <c r="K1016" s="11" t="n">
        <v>0.3</v>
      </c>
      <c r="L1016" s="10">
        <f>I1016*J1016*(1-K1016)</f>
        <v/>
      </c>
      <c r="M1016" s="10" t="n">
        <v>2106</v>
      </c>
      <c r="N1016" s="10">
        <f>L1016-M1016</f>
        <v/>
      </c>
    </row>
    <row r="1017">
      <c r="A1017" s="7" t="inlineStr">
        <is>
          <t>ORD-01762</t>
        </is>
      </c>
      <c r="B1017" s="8" t="n">
        <v>45180</v>
      </c>
      <c r="C1017" s="9" t="n">
        <v>45170</v>
      </c>
      <c r="D1017" s="7" t="n">
        <v>2023</v>
      </c>
      <c r="E1017" s="7" t="inlineStr">
        <is>
          <t>North</t>
        </is>
      </c>
      <c r="F1017" s="7" t="inlineStr">
        <is>
          <t>Office Supplies</t>
        </is>
      </c>
      <c r="G1017" s="7" t="inlineStr">
        <is>
          <t>Paper</t>
        </is>
      </c>
      <c r="H1017" s="7" t="inlineStr">
        <is>
          <t>Corporate</t>
        </is>
      </c>
      <c r="I1017" s="7" t="n">
        <v>7</v>
      </c>
      <c r="J1017" s="10" t="n">
        <v>25.4</v>
      </c>
      <c r="K1017" s="11" t="n">
        <v>0.05</v>
      </c>
      <c r="L1017" s="10">
        <f>I1017*J1017*(1-K1017)</f>
        <v/>
      </c>
      <c r="M1017" s="10" t="n">
        <v>87.5</v>
      </c>
      <c r="N1017" s="10">
        <f>L1017-M1017</f>
        <v/>
      </c>
    </row>
    <row r="1018">
      <c r="A1018" s="7" t="inlineStr">
        <is>
          <t>ORD-01470</t>
        </is>
      </c>
      <c r="B1018" s="8" t="n">
        <v>45180</v>
      </c>
      <c r="C1018" s="9" t="n">
        <v>45170</v>
      </c>
      <c r="D1018" s="7" t="n">
        <v>2023</v>
      </c>
      <c r="E1018" s="7" t="inlineStr">
        <is>
          <t>East</t>
        </is>
      </c>
      <c r="F1018" s="7" t="inlineStr">
        <is>
          <t>Furniture</t>
        </is>
      </c>
      <c r="G1018" s="7" t="inlineStr">
        <is>
          <t>Office Chair</t>
        </is>
      </c>
      <c r="H1018" s="7" t="inlineStr">
        <is>
          <t>Consumer</t>
        </is>
      </c>
      <c r="I1018" s="7" t="n">
        <v>2</v>
      </c>
      <c r="J1018" s="10" t="n">
        <v>220.1</v>
      </c>
      <c r="K1018" s="11" t="n">
        <v>0</v>
      </c>
      <c r="L1018" s="10">
        <f>I1018*J1018*(1-K1018)</f>
        <v/>
      </c>
      <c r="M1018" s="10" t="n">
        <v>360.8</v>
      </c>
      <c r="N1018" s="10">
        <f>L1018-M1018</f>
        <v/>
      </c>
    </row>
    <row r="1019">
      <c r="A1019" s="7" t="inlineStr">
        <is>
          <t>ORD-05926</t>
        </is>
      </c>
      <c r="B1019" s="8" t="n">
        <v>45180</v>
      </c>
      <c r="C1019" s="9" t="n">
        <v>45170</v>
      </c>
      <c r="D1019" s="7" t="n">
        <v>2023</v>
      </c>
      <c r="E1019" s="7" t="inlineStr">
        <is>
          <t>East</t>
        </is>
      </c>
      <c r="F1019" s="7" t="inlineStr">
        <is>
          <t>Office Supplies</t>
        </is>
      </c>
      <c r="G1019" s="7" t="inlineStr">
        <is>
          <t>Paper</t>
        </is>
      </c>
      <c r="H1019" s="7" t="inlineStr">
        <is>
          <t>Consumer</t>
        </is>
      </c>
      <c r="I1019" s="7" t="n">
        <v>7</v>
      </c>
      <c r="J1019" s="10" t="n">
        <v>25.43</v>
      </c>
      <c r="K1019" s="11" t="n">
        <v>0.1</v>
      </c>
      <c r="L1019" s="10">
        <f>I1019*J1019*(1-K1019)</f>
        <v/>
      </c>
      <c r="M1019" s="10" t="n">
        <v>87.5</v>
      </c>
      <c r="N1019" s="10">
        <f>L1019-M1019</f>
        <v/>
      </c>
    </row>
    <row r="1020">
      <c r="A1020" s="7" t="inlineStr">
        <is>
          <t>ORD-02186</t>
        </is>
      </c>
      <c r="B1020" s="8" t="n">
        <v>45181</v>
      </c>
      <c r="C1020" s="9" t="n">
        <v>45170</v>
      </c>
      <c r="D1020" s="7" t="n">
        <v>2023</v>
      </c>
      <c r="E1020" s="7" t="inlineStr">
        <is>
          <t>North</t>
        </is>
      </c>
      <c r="F1020" s="7" t="inlineStr">
        <is>
          <t>Office Supplies</t>
        </is>
      </c>
      <c r="G1020" s="7" t="inlineStr">
        <is>
          <t>Pens</t>
        </is>
      </c>
      <c r="H1020" s="7" t="inlineStr">
        <is>
          <t>Consumer</t>
        </is>
      </c>
      <c r="I1020" s="7" t="n">
        <v>8</v>
      </c>
      <c r="J1020" s="10" t="n">
        <v>12.34</v>
      </c>
      <c r="K1020" s="11" t="n">
        <v>0</v>
      </c>
      <c r="L1020" s="10">
        <f>I1020*J1020*(1-K1020)</f>
        <v/>
      </c>
      <c r="M1020" s="10" t="n">
        <v>43.2</v>
      </c>
      <c r="N1020" s="10">
        <f>L1020-M1020</f>
        <v/>
      </c>
    </row>
    <row r="1021">
      <c r="A1021" s="7" t="inlineStr">
        <is>
          <t>ORD-05205</t>
        </is>
      </c>
      <c r="B1021" s="8" t="n">
        <v>45181</v>
      </c>
      <c r="C1021" s="9" t="n">
        <v>45170</v>
      </c>
      <c r="D1021" s="7" t="n">
        <v>2023</v>
      </c>
      <c r="E1021" s="7" t="inlineStr">
        <is>
          <t>West</t>
        </is>
      </c>
      <c r="F1021" s="7" t="inlineStr">
        <is>
          <t>Office Supplies</t>
        </is>
      </c>
      <c r="G1021" s="7" t="inlineStr">
        <is>
          <t>Pens</t>
        </is>
      </c>
      <c r="H1021" s="7" t="inlineStr">
        <is>
          <t>Consumer</t>
        </is>
      </c>
      <c r="I1021" s="7" t="n">
        <v>4</v>
      </c>
      <c r="J1021" s="10" t="n">
        <v>12.12</v>
      </c>
      <c r="K1021" s="11" t="n">
        <v>0.05</v>
      </c>
      <c r="L1021" s="10">
        <f>I1021*J1021*(1-K1021)</f>
        <v/>
      </c>
      <c r="M1021" s="10" t="n">
        <v>21.6</v>
      </c>
      <c r="N1021" s="10">
        <f>L1021-M1021</f>
        <v/>
      </c>
    </row>
    <row r="1022">
      <c r="A1022" s="7" t="inlineStr">
        <is>
          <t>ORD-01590</t>
        </is>
      </c>
      <c r="B1022" s="8" t="n">
        <v>45181</v>
      </c>
      <c r="C1022" s="9" t="n">
        <v>45170</v>
      </c>
      <c r="D1022" s="7" t="n">
        <v>2023</v>
      </c>
      <c r="E1022" s="7" t="inlineStr">
        <is>
          <t>East</t>
        </is>
      </c>
      <c r="F1022" s="7" t="inlineStr">
        <is>
          <t>Office Supplies</t>
        </is>
      </c>
      <c r="G1022" s="7" t="inlineStr">
        <is>
          <t>Paper</t>
        </is>
      </c>
      <c r="H1022" s="7" t="inlineStr">
        <is>
          <t>Corporate</t>
        </is>
      </c>
      <c r="I1022" s="7" t="n">
        <v>15</v>
      </c>
      <c r="J1022" s="10" t="n">
        <v>24.07</v>
      </c>
      <c r="K1022" s="11" t="n">
        <v>0.2</v>
      </c>
      <c r="L1022" s="10">
        <f>I1022*J1022*(1-K1022)</f>
        <v/>
      </c>
      <c r="M1022" s="10" t="n">
        <v>187.5</v>
      </c>
      <c r="N1022" s="10">
        <f>L1022-M1022</f>
        <v/>
      </c>
    </row>
    <row r="1023">
      <c r="A1023" s="7" t="inlineStr">
        <is>
          <t>ORD-01781</t>
        </is>
      </c>
      <c r="B1023" s="8" t="n">
        <v>45181</v>
      </c>
      <c r="C1023" s="9" t="n">
        <v>45170</v>
      </c>
      <c r="D1023" s="7" t="n">
        <v>2023</v>
      </c>
      <c r="E1023" s="7" t="inlineStr">
        <is>
          <t>South</t>
        </is>
      </c>
      <c r="F1023" s="7" t="inlineStr">
        <is>
          <t>Office Supplies</t>
        </is>
      </c>
      <c r="G1023" s="7" t="inlineStr">
        <is>
          <t>Pens</t>
        </is>
      </c>
      <c r="H1023" s="7" t="inlineStr">
        <is>
          <t>Consumer</t>
        </is>
      </c>
      <c r="I1023" s="7" t="n">
        <v>7</v>
      </c>
      <c r="J1023" s="10" t="n">
        <v>12.24</v>
      </c>
      <c r="K1023" s="11" t="n">
        <v>0.05</v>
      </c>
      <c r="L1023" s="10">
        <f>I1023*J1023*(1-K1023)</f>
        <v/>
      </c>
      <c r="M1023" s="10" t="n">
        <v>37.8</v>
      </c>
      <c r="N1023" s="10">
        <f>L1023-M1023</f>
        <v/>
      </c>
    </row>
    <row r="1024">
      <c r="A1024" s="7" t="inlineStr">
        <is>
          <t>ORD-03100</t>
        </is>
      </c>
      <c r="B1024" s="8" t="n">
        <v>45181</v>
      </c>
      <c r="C1024" s="9" t="n">
        <v>45170</v>
      </c>
      <c r="D1024" s="7" t="n">
        <v>2023</v>
      </c>
      <c r="E1024" s="7" t="inlineStr">
        <is>
          <t>North</t>
        </is>
      </c>
      <c r="F1024" s="7" t="inlineStr">
        <is>
          <t>Office Supplies</t>
        </is>
      </c>
      <c r="G1024" s="7" t="inlineStr">
        <is>
          <t>Binder</t>
        </is>
      </c>
      <c r="H1024" s="7" t="inlineStr">
        <is>
          <t>Consumer</t>
        </is>
      </c>
      <c r="I1024" s="7" t="n">
        <v>10</v>
      </c>
      <c r="J1024" s="10" t="n">
        <v>8.289999999999999</v>
      </c>
      <c r="K1024" s="11" t="n">
        <v>0.1</v>
      </c>
      <c r="L1024" s="10">
        <f>I1024*J1024*(1-K1024)</f>
        <v/>
      </c>
      <c r="M1024" s="10" t="n">
        <v>32</v>
      </c>
      <c r="N1024" s="10">
        <f>L1024-M1024</f>
        <v/>
      </c>
    </row>
    <row r="1025">
      <c r="A1025" s="7" t="inlineStr">
        <is>
          <t>ORD-02341</t>
        </is>
      </c>
      <c r="B1025" s="8" t="n">
        <v>45181</v>
      </c>
      <c r="C1025" s="9" t="n">
        <v>45170</v>
      </c>
      <c r="D1025" s="7" t="n">
        <v>2023</v>
      </c>
      <c r="E1025" s="7" t="inlineStr">
        <is>
          <t>West</t>
        </is>
      </c>
      <c r="F1025" s="7" t="inlineStr">
        <is>
          <t>Furniture</t>
        </is>
      </c>
      <c r="G1025" s="7" t="inlineStr">
        <is>
          <t>Bookcase</t>
        </is>
      </c>
      <c r="H1025" s="7" t="inlineStr">
        <is>
          <t>Corporate</t>
        </is>
      </c>
      <c r="I1025" s="7" t="n">
        <v>3</v>
      </c>
      <c r="J1025" s="10" t="n">
        <v>184.12</v>
      </c>
      <c r="K1025" s="11" t="n">
        <v>0.05</v>
      </c>
      <c r="L1025" s="10">
        <f>I1025*J1025*(1-K1025)</f>
        <v/>
      </c>
      <c r="M1025" s="10" t="n">
        <v>432</v>
      </c>
      <c r="N1025" s="10">
        <f>L1025-M1025</f>
        <v/>
      </c>
    </row>
    <row r="1026">
      <c r="A1026" s="7" t="inlineStr">
        <is>
          <t>ORD-01267</t>
        </is>
      </c>
      <c r="B1026" s="8" t="n">
        <v>45181</v>
      </c>
      <c r="C1026" s="9" t="n">
        <v>45170</v>
      </c>
      <c r="D1026" s="7" t="n">
        <v>2023</v>
      </c>
      <c r="E1026" s="7" t="inlineStr">
        <is>
          <t>East</t>
        </is>
      </c>
      <c r="F1026" s="7" t="inlineStr">
        <is>
          <t>Office Supplies</t>
        </is>
      </c>
      <c r="G1026" s="7" t="inlineStr">
        <is>
          <t>Stapler</t>
        </is>
      </c>
      <c r="H1026" s="7" t="inlineStr">
        <is>
          <t>Corporate</t>
        </is>
      </c>
      <c r="I1026" s="7" t="n">
        <v>13</v>
      </c>
      <c r="J1026" s="10" t="n">
        <v>15.07</v>
      </c>
      <c r="K1026" s="11" t="n">
        <v>0</v>
      </c>
      <c r="L1026" s="10">
        <f>I1026*J1026*(1-K1026)</f>
        <v/>
      </c>
      <c r="M1026" s="10" t="n">
        <v>97.5</v>
      </c>
      <c r="N1026" s="10">
        <f>L1026-M1026</f>
        <v/>
      </c>
    </row>
    <row r="1027">
      <c r="A1027" s="7" t="inlineStr">
        <is>
          <t>ORD-05203</t>
        </is>
      </c>
      <c r="B1027" s="8" t="n">
        <v>45181</v>
      </c>
      <c r="C1027" s="9" t="n">
        <v>45170</v>
      </c>
      <c r="D1027" s="7" t="n">
        <v>2023</v>
      </c>
      <c r="E1027" s="7" t="inlineStr">
        <is>
          <t>South</t>
        </is>
      </c>
      <c r="F1027" s="7" t="inlineStr">
        <is>
          <t>Technology</t>
        </is>
      </c>
      <c r="G1027" s="7" t="inlineStr">
        <is>
          <t>Monitor</t>
        </is>
      </c>
      <c r="H1027" s="7" t="inlineStr">
        <is>
          <t>Corporate</t>
        </is>
      </c>
      <c r="I1027" s="7" t="n">
        <v>2</v>
      </c>
      <c r="J1027" s="10" t="n">
        <v>237.74</v>
      </c>
      <c r="K1027" s="11" t="n">
        <v>0</v>
      </c>
      <c r="L1027" s="10">
        <f>I1027*J1027*(1-K1027)</f>
        <v/>
      </c>
      <c r="M1027" s="10" t="n">
        <v>360</v>
      </c>
      <c r="N1027" s="10">
        <f>L1027-M1027</f>
        <v/>
      </c>
    </row>
    <row r="1028">
      <c r="A1028" s="7" t="inlineStr">
        <is>
          <t>ORD-04376</t>
        </is>
      </c>
      <c r="B1028" s="8" t="n">
        <v>45181</v>
      </c>
      <c r="C1028" s="9" t="n">
        <v>45170</v>
      </c>
      <c r="D1028" s="7" t="n">
        <v>2023</v>
      </c>
      <c r="E1028" s="7" t="inlineStr">
        <is>
          <t>South</t>
        </is>
      </c>
      <c r="F1028" s="7" t="inlineStr">
        <is>
          <t>Office Supplies</t>
        </is>
      </c>
      <c r="G1028" s="7" t="inlineStr">
        <is>
          <t>Binder</t>
        </is>
      </c>
      <c r="H1028" s="7" t="inlineStr">
        <is>
          <t>Home Office</t>
        </is>
      </c>
      <c r="I1028" s="7" t="n">
        <v>3</v>
      </c>
      <c r="J1028" s="10" t="n">
        <v>7.86</v>
      </c>
      <c r="K1028" s="11" t="n">
        <v>0.3</v>
      </c>
      <c r="L1028" s="10">
        <f>I1028*J1028*(1-K1028)</f>
        <v/>
      </c>
      <c r="M1028" s="10" t="n">
        <v>9.6</v>
      </c>
      <c r="N1028" s="10">
        <f>L1028-M1028</f>
        <v/>
      </c>
    </row>
    <row r="1029">
      <c r="A1029" s="7" t="inlineStr">
        <is>
          <t>ORD-00131</t>
        </is>
      </c>
      <c r="B1029" s="8" t="n">
        <v>45182</v>
      </c>
      <c r="C1029" s="9" t="n">
        <v>45170</v>
      </c>
      <c r="D1029" s="7" t="n">
        <v>2023</v>
      </c>
      <c r="E1029" s="7" t="inlineStr">
        <is>
          <t>West</t>
        </is>
      </c>
      <c r="F1029" s="7" t="inlineStr">
        <is>
          <t>Office Supplies</t>
        </is>
      </c>
      <c r="G1029" s="7" t="inlineStr">
        <is>
          <t>Paper</t>
        </is>
      </c>
      <c r="H1029" s="7" t="inlineStr">
        <is>
          <t>Corporate</t>
        </is>
      </c>
      <c r="I1029" s="7" t="n">
        <v>10</v>
      </c>
      <c r="J1029" s="10" t="n">
        <v>24.55</v>
      </c>
      <c r="K1029" s="11" t="n">
        <v>0.2</v>
      </c>
      <c r="L1029" s="10">
        <f>I1029*J1029*(1-K1029)</f>
        <v/>
      </c>
      <c r="M1029" s="10" t="n">
        <v>125</v>
      </c>
      <c r="N1029" s="10">
        <f>L1029-M1029</f>
        <v/>
      </c>
    </row>
    <row r="1030">
      <c r="A1030" s="7" t="inlineStr">
        <is>
          <t>ORD-03682</t>
        </is>
      </c>
      <c r="B1030" s="8" t="n">
        <v>45182</v>
      </c>
      <c r="C1030" s="9" t="n">
        <v>45170</v>
      </c>
      <c r="D1030" s="7" t="n">
        <v>2023</v>
      </c>
      <c r="E1030" s="7" t="inlineStr">
        <is>
          <t>West</t>
        </is>
      </c>
      <c r="F1030" s="7" t="inlineStr">
        <is>
          <t>Office Supplies</t>
        </is>
      </c>
      <c r="G1030" s="7" t="inlineStr">
        <is>
          <t>Pens</t>
        </is>
      </c>
      <c r="H1030" s="7" t="inlineStr">
        <is>
          <t>Consumer</t>
        </is>
      </c>
      <c r="I1030" s="7" t="n">
        <v>10</v>
      </c>
      <c r="J1030" s="10" t="n">
        <v>12.2</v>
      </c>
      <c r="K1030" s="11" t="n">
        <v>0</v>
      </c>
      <c r="L1030" s="10">
        <f>I1030*J1030*(1-K1030)</f>
        <v/>
      </c>
      <c r="M1030" s="10" t="n">
        <v>54</v>
      </c>
      <c r="N1030" s="10">
        <f>L1030-M1030</f>
        <v/>
      </c>
    </row>
    <row r="1031">
      <c r="A1031" s="7" t="inlineStr">
        <is>
          <t>ORD-02709</t>
        </is>
      </c>
      <c r="B1031" s="8" t="n">
        <v>45182</v>
      </c>
      <c r="C1031" s="9" t="n">
        <v>45170</v>
      </c>
      <c r="D1031" s="7" t="n">
        <v>2023</v>
      </c>
      <c r="E1031" s="7" t="inlineStr">
        <is>
          <t>West</t>
        </is>
      </c>
      <c r="F1031" s="7" t="inlineStr">
        <is>
          <t>Office Supplies</t>
        </is>
      </c>
      <c r="G1031" s="7" t="inlineStr">
        <is>
          <t>Stapler</t>
        </is>
      </c>
      <c r="H1031" s="7" t="inlineStr">
        <is>
          <t>Corporate</t>
        </is>
      </c>
      <c r="I1031" s="7" t="n">
        <v>7</v>
      </c>
      <c r="J1031" s="10" t="n">
        <v>14.28</v>
      </c>
      <c r="K1031" s="11" t="n">
        <v>0</v>
      </c>
      <c r="L1031" s="10">
        <f>I1031*J1031*(1-K1031)</f>
        <v/>
      </c>
      <c r="M1031" s="10" t="n">
        <v>52.5</v>
      </c>
      <c r="N1031" s="10">
        <f>L1031-M1031</f>
        <v/>
      </c>
    </row>
    <row r="1032">
      <c r="A1032" s="7" t="inlineStr">
        <is>
          <t>ORD-00352</t>
        </is>
      </c>
      <c r="B1032" s="8" t="n">
        <v>45183</v>
      </c>
      <c r="C1032" s="9" t="n">
        <v>45170</v>
      </c>
      <c r="D1032" s="7" t="n">
        <v>2023</v>
      </c>
      <c r="E1032" s="7" t="inlineStr">
        <is>
          <t>North</t>
        </is>
      </c>
      <c r="F1032" s="7" t="inlineStr">
        <is>
          <t>Office Supplies</t>
        </is>
      </c>
      <c r="G1032" s="7" t="inlineStr">
        <is>
          <t>Pens</t>
        </is>
      </c>
      <c r="H1032" s="7" t="inlineStr">
        <is>
          <t>Corporate</t>
        </is>
      </c>
      <c r="I1032" s="7" t="n">
        <v>4</v>
      </c>
      <c r="J1032" s="10" t="n">
        <v>12.38</v>
      </c>
      <c r="K1032" s="11" t="n">
        <v>0</v>
      </c>
      <c r="L1032" s="10">
        <f>I1032*J1032*(1-K1032)</f>
        <v/>
      </c>
      <c r="M1032" s="10" t="n">
        <v>21.6</v>
      </c>
      <c r="N1032" s="10">
        <f>L1032-M1032</f>
        <v/>
      </c>
    </row>
    <row r="1033">
      <c r="A1033" s="7" t="inlineStr">
        <is>
          <t>ORD-05111</t>
        </is>
      </c>
      <c r="B1033" s="8" t="n">
        <v>45183</v>
      </c>
      <c r="C1033" s="9" t="n">
        <v>45170</v>
      </c>
      <c r="D1033" s="7" t="n">
        <v>2023</v>
      </c>
      <c r="E1033" s="7" t="inlineStr">
        <is>
          <t>East</t>
        </is>
      </c>
      <c r="F1033" s="7" t="inlineStr">
        <is>
          <t>Furniture</t>
        </is>
      </c>
      <c r="G1033" s="7" t="inlineStr">
        <is>
          <t>Desk</t>
        </is>
      </c>
      <c r="H1033" s="7" t="inlineStr">
        <is>
          <t>Corporate</t>
        </is>
      </c>
      <c r="I1033" s="7" t="n">
        <v>2</v>
      </c>
      <c r="J1033" s="10" t="n">
        <v>439.39</v>
      </c>
      <c r="K1033" s="11" t="n">
        <v>0</v>
      </c>
      <c r="L1033" s="10">
        <f>I1033*J1033*(1-K1033)</f>
        <v/>
      </c>
      <c r="M1033" s="10" t="n">
        <v>765</v>
      </c>
      <c r="N1033" s="10">
        <f>L1033-M1033</f>
        <v/>
      </c>
    </row>
    <row r="1034">
      <c r="A1034" s="7" t="inlineStr">
        <is>
          <t>ORD-04236</t>
        </is>
      </c>
      <c r="B1034" s="8" t="n">
        <v>45183</v>
      </c>
      <c r="C1034" s="9" t="n">
        <v>45170</v>
      </c>
      <c r="D1034" s="7" t="n">
        <v>2023</v>
      </c>
      <c r="E1034" s="7" t="inlineStr">
        <is>
          <t>West</t>
        </is>
      </c>
      <c r="F1034" s="7" t="inlineStr">
        <is>
          <t>Furniture</t>
        </is>
      </c>
      <c r="G1034" s="7" t="inlineStr">
        <is>
          <t>Office Chair</t>
        </is>
      </c>
      <c r="H1034" s="7" t="inlineStr">
        <is>
          <t>Consumer</t>
        </is>
      </c>
      <c r="I1034" s="7" t="n">
        <v>2</v>
      </c>
      <c r="J1034" s="10" t="n">
        <v>215.28</v>
      </c>
      <c r="K1034" s="11" t="n">
        <v>0.1</v>
      </c>
      <c r="L1034" s="10">
        <f>I1034*J1034*(1-K1034)</f>
        <v/>
      </c>
      <c r="M1034" s="10" t="n">
        <v>360.8</v>
      </c>
      <c r="N1034" s="10">
        <f>L1034-M1034</f>
        <v/>
      </c>
    </row>
    <row r="1035">
      <c r="A1035" s="7" t="inlineStr">
        <is>
          <t>ORD-05501</t>
        </is>
      </c>
      <c r="B1035" s="8" t="n">
        <v>45183</v>
      </c>
      <c r="C1035" s="9" t="n">
        <v>45170</v>
      </c>
      <c r="D1035" s="7" t="n">
        <v>2023</v>
      </c>
      <c r="E1035" s="7" t="inlineStr">
        <is>
          <t>East</t>
        </is>
      </c>
      <c r="F1035" s="7" t="inlineStr">
        <is>
          <t>Furniture</t>
        </is>
      </c>
      <c r="G1035" s="7" t="inlineStr">
        <is>
          <t>Bookcase</t>
        </is>
      </c>
      <c r="H1035" s="7" t="inlineStr">
        <is>
          <t>Consumer</t>
        </is>
      </c>
      <c r="I1035" s="7" t="n">
        <v>3</v>
      </c>
      <c r="J1035" s="10" t="n">
        <v>175.51</v>
      </c>
      <c r="K1035" s="11" t="n">
        <v>0.2</v>
      </c>
      <c r="L1035" s="10">
        <f>I1035*J1035*(1-K1035)</f>
        <v/>
      </c>
      <c r="M1035" s="10" t="n">
        <v>432</v>
      </c>
      <c r="N1035" s="10">
        <f>L1035-M1035</f>
        <v/>
      </c>
    </row>
    <row r="1036">
      <c r="A1036" s="7" t="inlineStr">
        <is>
          <t>ORD-01225</t>
        </is>
      </c>
      <c r="B1036" s="8" t="n">
        <v>45183</v>
      </c>
      <c r="C1036" s="9" t="n">
        <v>45170</v>
      </c>
      <c r="D1036" s="7" t="n">
        <v>2023</v>
      </c>
      <c r="E1036" s="7" t="inlineStr">
        <is>
          <t>South</t>
        </is>
      </c>
      <c r="F1036" s="7" t="inlineStr">
        <is>
          <t>Furniture</t>
        </is>
      </c>
      <c r="G1036" s="7" t="inlineStr">
        <is>
          <t>Office Chair</t>
        </is>
      </c>
      <c r="H1036" s="7" t="inlineStr">
        <is>
          <t>Corporate</t>
        </is>
      </c>
      <c r="I1036" s="7" t="n">
        <v>2</v>
      </c>
      <c r="J1036" s="10" t="n">
        <v>229.66</v>
      </c>
      <c r="K1036" s="11" t="n">
        <v>0</v>
      </c>
      <c r="L1036" s="10">
        <f>I1036*J1036*(1-K1036)</f>
        <v/>
      </c>
      <c r="M1036" s="10" t="n">
        <v>360.8</v>
      </c>
      <c r="N1036" s="10">
        <f>L1036-M1036</f>
        <v/>
      </c>
    </row>
    <row r="1037">
      <c r="A1037" s="7" t="inlineStr">
        <is>
          <t>ORD-05202</t>
        </is>
      </c>
      <c r="B1037" s="8" t="n">
        <v>45184</v>
      </c>
      <c r="C1037" s="9" t="n">
        <v>45170</v>
      </c>
      <c r="D1037" s="7" t="n">
        <v>2023</v>
      </c>
      <c r="E1037" s="7" t="inlineStr">
        <is>
          <t>West</t>
        </is>
      </c>
      <c r="F1037" s="7" t="inlineStr">
        <is>
          <t>Office Supplies</t>
        </is>
      </c>
      <c r="G1037" s="7" t="inlineStr">
        <is>
          <t>Binder</t>
        </is>
      </c>
      <c r="H1037" s="7" t="inlineStr">
        <is>
          <t>Consumer</t>
        </is>
      </c>
      <c r="I1037" s="7" t="n">
        <v>10</v>
      </c>
      <c r="J1037" s="10" t="n">
        <v>8.279999999999999</v>
      </c>
      <c r="K1037" s="11" t="n">
        <v>0.2</v>
      </c>
      <c r="L1037" s="10">
        <f>I1037*J1037*(1-K1037)</f>
        <v/>
      </c>
      <c r="M1037" s="10" t="n">
        <v>32</v>
      </c>
      <c r="N1037" s="10">
        <f>L1037-M1037</f>
        <v/>
      </c>
    </row>
    <row r="1038">
      <c r="A1038" s="7" t="inlineStr">
        <is>
          <t>ORD-04012</t>
        </is>
      </c>
      <c r="B1038" s="8" t="n">
        <v>45184</v>
      </c>
      <c r="C1038" s="9" t="n">
        <v>45170</v>
      </c>
      <c r="D1038" s="7" t="n">
        <v>2023</v>
      </c>
      <c r="E1038" s="7" t="inlineStr">
        <is>
          <t>East</t>
        </is>
      </c>
      <c r="F1038" s="7" t="inlineStr">
        <is>
          <t>Office Supplies</t>
        </is>
      </c>
      <c r="G1038" s="7" t="inlineStr">
        <is>
          <t>Paper</t>
        </is>
      </c>
      <c r="H1038" s="7" t="inlineStr">
        <is>
          <t>Consumer</t>
        </is>
      </c>
      <c r="I1038" s="7" t="n">
        <v>4</v>
      </c>
      <c r="J1038" s="10" t="n">
        <v>24.39</v>
      </c>
      <c r="K1038" s="11" t="n">
        <v>0</v>
      </c>
      <c r="L1038" s="10">
        <f>I1038*J1038*(1-K1038)</f>
        <v/>
      </c>
      <c r="M1038" s="10" t="n">
        <v>50</v>
      </c>
      <c r="N1038" s="10">
        <f>L1038-M1038</f>
        <v/>
      </c>
    </row>
    <row r="1039">
      <c r="A1039" s="7" t="inlineStr">
        <is>
          <t>ORD-03518</t>
        </is>
      </c>
      <c r="B1039" s="8" t="n">
        <v>45184</v>
      </c>
      <c r="C1039" s="9" t="n">
        <v>45170</v>
      </c>
      <c r="D1039" s="7" t="n">
        <v>2023</v>
      </c>
      <c r="E1039" s="7" t="inlineStr">
        <is>
          <t>East</t>
        </is>
      </c>
      <c r="F1039" s="7" t="inlineStr">
        <is>
          <t>Office Supplies</t>
        </is>
      </c>
      <c r="G1039" s="7" t="inlineStr">
        <is>
          <t>Pens</t>
        </is>
      </c>
      <c r="H1039" s="7" t="inlineStr">
        <is>
          <t>Corporate</t>
        </is>
      </c>
      <c r="I1039" s="7" t="n">
        <v>2</v>
      </c>
      <c r="J1039" s="10" t="n">
        <v>12.13</v>
      </c>
      <c r="K1039" s="11" t="n">
        <v>0.1</v>
      </c>
      <c r="L1039" s="10">
        <f>I1039*J1039*(1-K1039)</f>
        <v/>
      </c>
      <c r="M1039" s="10" t="n">
        <v>10.8</v>
      </c>
      <c r="N1039" s="10">
        <f>L1039-M1039</f>
        <v/>
      </c>
    </row>
    <row r="1040">
      <c r="A1040" s="7" t="inlineStr">
        <is>
          <t>ORD-02548</t>
        </is>
      </c>
      <c r="B1040" s="8" t="n">
        <v>45185</v>
      </c>
      <c r="C1040" s="9" t="n">
        <v>45170</v>
      </c>
      <c r="D1040" s="7" t="n">
        <v>2023</v>
      </c>
      <c r="E1040" s="7" t="inlineStr">
        <is>
          <t>East</t>
        </is>
      </c>
      <c r="F1040" s="7" t="inlineStr">
        <is>
          <t>Office Supplies</t>
        </is>
      </c>
      <c r="G1040" s="7" t="inlineStr">
        <is>
          <t>Paper</t>
        </is>
      </c>
      <c r="H1040" s="7" t="inlineStr">
        <is>
          <t>Consumer</t>
        </is>
      </c>
      <c r="I1040" s="7" t="n">
        <v>7</v>
      </c>
      <c r="J1040" s="10" t="n">
        <v>25.78</v>
      </c>
      <c r="K1040" s="11" t="n">
        <v>0.05</v>
      </c>
      <c r="L1040" s="10">
        <f>I1040*J1040*(1-K1040)</f>
        <v/>
      </c>
      <c r="M1040" s="10" t="n">
        <v>87.5</v>
      </c>
      <c r="N1040" s="10">
        <f>L1040-M1040</f>
        <v/>
      </c>
    </row>
    <row r="1041">
      <c r="A1041" s="7" t="inlineStr">
        <is>
          <t>ORD-00454</t>
        </is>
      </c>
      <c r="B1041" s="8" t="n">
        <v>45185</v>
      </c>
      <c r="C1041" s="9" t="n">
        <v>45170</v>
      </c>
      <c r="D1041" s="7" t="n">
        <v>2023</v>
      </c>
      <c r="E1041" s="7" t="inlineStr">
        <is>
          <t>West</t>
        </is>
      </c>
      <c r="F1041" s="7" t="inlineStr">
        <is>
          <t>Office Supplies</t>
        </is>
      </c>
      <c r="G1041" s="7" t="inlineStr">
        <is>
          <t>Pens</t>
        </is>
      </c>
      <c r="H1041" s="7" t="inlineStr">
        <is>
          <t>Corporate</t>
        </is>
      </c>
      <c r="I1041" s="7" t="n">
        <v>6</v>
      </c>
      <c r="J1041" s="10" t="n">
        <v>11.57</v>
      </c>
      <c r="K1041" s="11" t="n">
        <v>0</v>
      </c>
      <c r="L1041" s="10">
        <f>I1041*J1041*(1-K1041)</f>
        <v/>
      </c>
      <c r="M1041" s="10" t="n">
        <v>32.4</v>
      </c>
      <c r="N1041" s="10">
        <f>L1041-M1041</f>
        <v/>
      </c>
    </row>
    <row r="1042">
      <c r="A1042" s="7" t="inlineStr">
        <is>
          <t>ORD-00808</t>
        </is>
      </c>
      <c r="B1042" s="8" t="n">
        <v>45185</v>
      </c>
      <c r="C1042" s="9" t="n">
        <v>45170</v>
      </c>
      <c r="D1042" s="7" t="n">
        <v>2023</v>
      </c>
      <c r="E1042" s="7" t="inlineStr">
        <is>
          <t>North</t>
        </is>
      </c>
      <c r="F1042" s="7" t="inlineStr">
        <is>
          <t>Technology</t>
        </is>
      </c>
      <c r="G1042" s="7" t="inlineStr">
        <is>
          <t>Laptop</t>
        </is>
      </c>
      <c r="H1042" s="7" t="inlineStr">
        <is>
          <t>Home Office</t>
        </is>
      </c>
      <c r="I1042" s="7" t="n">
        <v>3</v>
      </c>
      <c r="J1042" s="10" t="n">
        <v>904.7</v>
      </c>
      <c r="K1042" s="11" t="n">
        <v>0.05</v>
      </c>
      <c r="L1042" s="10">
        <f>I1042*J1042*(1-K1042)</f>
        <v/>
      </c>
      <c r="M1042" s="10" t="n">
        <v>2106</v>
      </c>
      <c r="N1042" s="10">
        <f>L1042-M1042</f>
        <v/>
      </c>
    </row>
    <row r="1043">
      <c r="A1043" s="7" t="inlineStr">
        <is>
          <t>ORD-00516</t>
        </is>
      </c>
      <c r="B1043" s="8" t="n">
        <v>45185</v>
      </c>
      <c r="C1043" s="9" t="n">
        <v>45170</v>
      </c>
      <c r="D1043" s="7" t="n">
        <v>2023</v>
      </c>
      <c r="E1043" s="7" t="inlineStr">
        <is>
          <t>East</t>
        </is>
      </c>
      <c r="F1043" s="7" t="inlineStr">
        <is>
          <t>Office Supplies</t>
        </is>
      </c>
      <c r="G1043" s="7" t="inlineStr">
        <is>
          <t>Pens</t>
        </is>
      </c>
      <c r="H1043" s="7" t="inlineStr">
        <is>
          <t>Corporate</t>
        </is>
      </c>
      <c r="I1043" s="7" t="n">
        <v>13</v>
      </c>
      <c r="J1043" s="10" t="n">
        <v>11.96</v>
      </c>
      <c r="K1043" s="11" t="n">
        <v>0</v>
      </c>
      <c r="L1043" s="10">
        <f>I1043*J1043*(1-K1043)</f>
        <v/>
      </c>
      <c r="M1043" s="10" t="n">
        <v>70.2</v>
      </c>
      <c r="N1043" s="10">
        <f>L1043-M1043</f>
        <v/>
      </c>
    </row>
    <row r="1044">
      <c r="A1044" s="7" t="inlineStr">
        <is>
          <t>ORD-03142</t>
        </is>
      </c>
      <c r="B1044" s="8" t="n">
        <v>45185</v>
      </c>
      <c r="C1044" s="9" t="n">
        <v>45170</v>
      </c>
      <c r="D1044" s="7" t="n">
        <v>2023</v>
      </c>
      <c r="E1044" s="7" t="inlineStr">
        <is>
          <t>North</t>
        </is>
      </c>
      <c r="F1044" s="7" t="inlineStr">
        <is>
          <t>Office Supplies</t>
        </is>
      </c>
      <c r="G1044" s="7" t="inlineStr">
        <is>
          <t>Stapler</t>
        </is>
      </c>
      <c r="H1044" s="7" t="inlineStr">
        <is>
          <t>Home Office</t>
        </is>
      </c>
      <c r="I1044" s="7" t="n">
        <v>13</v>
      </c>
      <c r="J1044" s="10" t="n">
        <v>15.54</v>
      </c>
      <c r="K1044" s="11" t="n">
        <v>0.3</v>
      </c>
      <c r="L1044" s="10">
        <f>I1044*J1044*(1-K1044)</f>
        <v/>
      </c>
      <c r="M1044" s="10" t="n">
        <v>97.5</v>
      </c>
      <c r="N1044" s="10">
        <f>L1044-M1044</f>
        <v/>
      </c>
    </row>
    <row r="1045">
      <c r="A1045" s="7" t="inlineStr">
        <is>
          <t>ORD-05683</t>
        </is>
      </c>
      <c r="B1045" s="8" t="n">
        <v>45185</v>
      </c>
      <c r="C1045" s="9" t="n">
        <v>45170</v>
      </c>
      <c r="D1045" s="7" t="n">
        <v>2023</v>
      </c>
      <c r="E1045" s="7" t="inlineStr">
        <is>
          <t>North</t>
        </is>
      </c>
      <c r="F1045" s="7" t="inlineStr">
        <is>
          <t>Office Supplies</t>
        </is>
      </c>
      <c r="G1045" s="7" t="inlineStr">
        <is>
          <t>Paper</t>
        </is>
      </c>
      <c r="H1045" s="7" t="inlineStr">
        <is>
          <t>Consumer</t>
        </is>
      </c>
      <c r="I1045" s="7" t="n">
        <v>3</v>
      </c>
      <c r="J1045" s="10" t="n">
        <v>25.31</v>
      </c>
      <c r="K1045" s="11" t="n">
        <v>0</v>
      </c>
      <c r="L1045" s="10">
        <f>I1045*J1045*(1-K1045)</f>
        <v/>
      </c>
      <c r="M1045" s="10" t="n">
        <v>37.5</v>
      </c>
      <c r="N1045" s="10">
        <f>L1045-M1045</f>
        <v/>
      </c>
    </row>
    <row r="1046">
      <c r="A1046" s="7" t="inlineStr">
        <is>
          <t>ORD-05824</t>
        </is>
      </c>
      <c r="B1046" s="8" t="n">
        <v>45186</v>
      </c>
      <c r="C1046" s="9" t="n">
        <v>45170</v>
      </c>
      <c r="D1046" s="7" t="n">
        <v>2023</v>
      </c>
      <c r="E1046" s="7" t="inlineStr">
        <is>
          <t>South</t>
        </is>
      </c>
      <c r="F1046" s="7" t="inlineStr">
        <is>
          <t>Technology</t>
        </is>
      </c>
      <c r="G1046" s="7" t="inlineStr">
        <is>
          <t>Laptop</t>
        </is>
      </c>
      <c r="H1046" s="7" t="inlineStr">
        <is>
          <t>Home Office</t>
        </is>
      </c>
      <c r="I1046" s="7" t="n">
        <v>3</v>
      </c>
      <c r="J1046" s="10" t="n">
        <v>889.0599999999999</v>
      </c>
      <c r="K1046" s="11" t="n">
        <v>0.05</v>
      </c>
      <c r="L1046" s="10">
        <f>I1046*J1046*(1-K1046)</f>
        <v/>
      </c>
      <c r="M1046" s="10" t="n">
        <v>2106</v>
      </c>
      <c r="N1046" s="10">
        <f>L1046-M1046</f>
        <v/>
      </c>
    </row>
    <row r="1047">
      <c r="A1047" s="7" t="inlineStr">
        <is>
          <t>ORD-03184</t>
        </is>
      </c>
      <c r="B1047" s="8" t="n">
        <v>45186</v>
      </c>
      <c r="C1047" s="9" t="n">
        <v>45170</v>
      </c>
      <c r="D1047" s="7" t="n">
        <v>2023</v>
      </c>
      <c r="E1047" s="7" t="inlineStr">
        <is>
          <t>North</t>
        </is>
      </c>
      <c r="F1047" s="7" t="inlineStr">
        <is>
          <t>Technology</t>
        </is>
      </c>
      <c r="G1047" s="7" t="inlineStr">
        <is>
          <t>Smartphone</t>
        </is>
      </c>
      <c r="H1047" s="7" t="inlineStr">
        <is>
          <t>Corporate</t>
        </is>
      </c>
      <c r="I1047" s="7" t="n">
        <v>2</v>
      </c>
      <c r="J1047" s="10" t="n">
        <v>590.9</v>
      </c>
      <c r="K1047" s="11" t="n">
        <v>0.3</v>
      </c>
      <c r="L1047" s="10">
        <f>I1047*J1047*(1-K1047)</f>
        <v/>
      </c>
      <c r="M1047" s="10" t="n">
        <v>900</v>
      </c>
      <c r="N1047" s="10">
        <f>L1047-M1047</f>
        <v/>
      </c>
    </row>
    <row r="1048">
      <c r="A1048" s="7" t="inlineStr">
        <is>
          <t>ORD-04074</t>
        </is>
      </c>
      <c r="B1048" s="8" t="n">
        <v>45187</v>
      </c>
      <c r="C1048" s="9" t="n">
        <v>45170</v>
      </c>
      <c r="D1048" s="7" t="n">
        <v>2023</v>
      </c>
      <c r="E1048" s="7" t="inlineStr">
        <is>
          <t>South</t>
        </is>
      </c>
      <c r="F1048" s="7" t="inlineStr">
        <is>
          <t>Office Supplies</t>
        </is>
      </c>
      <c r="G1048" s="7" t="inlineStr">
        <is>
          <t>Pens</t>
        </is>
      </c>
      <c r="H1048" s="7" t="inlineStr">
        <is>
          <t>Consumer</t>
        </is>
      </c>
      <c r="I1048" s="7" t="n">
        <v>6</v>
      </c>
      <c r="J1048" s="10" t="n">
        <v>11.7</v>
      </c>
      <c r="K1048" s="11" t="n">
        <v>0.05</v>
      </c>
      <c r="L1048" s="10">
        <f>I1048*J1048*(1-K1048)</f>
        <v/>
      </c>
      <c r="M1048" s="10" t="n">
        <v>32.4</v>
      </c>
      <c r="N1048" s="10">
        <f>L1048-M1048</f>
        <v/>
      </c>
    </row>
    <row r="1049">
      <c r="A1049" s="7" t="inlineStr">
        <is>
          <t>ORD-01526</t>
        </is>
      </c>
      <c r="B1049" s="8" t="n">
        <v>45187</v>
      </c>
      <c r="C1049" s="9" t="n">
        <v>45170</v>
      </c>
      <c r="D1049" s="7" t="n">
        <v>2023</v>
      </c>
      <c r="E1049" s="7" t="inlineStr">
        <is>
          <t>West</t>
        </is>
      </c>
      <c r="F1049" s="7" t="inlineStr">
        <is>
          <t>Office Supplies</t>
        </is>
      </c>
      <c r="G1049" s="7" t="inlineStr">
        <is>
          <t>Pens</t>
        </is>
      </c>
      <c r="H1049" s="7" t="inlineStr">
        <is>
          <t>Consumer</t>
        </is>
      </c>
      <c r="I1049" s="7" t="n">
        <v>2</v>
      </c>
      <c r="J1049" s="10" t="n">
        <v>11.85</v>
      </c>
      <c r="K1049" s="11" t="n">
        <v>0.1</v>
      </c>
      <c r="L1049" s="10">
        <f>I1049*J1049*(1-K1049)</f>
        <v/>
      </c>
      <c r="M1049" s="10" t="n">
        <v>10.8</v>
      </c>
      <c r="N1049" s="10">
        <f>L1049-M1049</f>
        <v/>
      </c>
    </row>
    <row r="1050">
      <c r="A1050" s="7" t="inlineStr">
        <is>
          <t>ORD-05132</t>
        </is>
      </c>
      <c r="B1050" s="8" t="n">
        <v>45187</v>
      </c>
      <c r="C1050" s="9" t="n">
        <v>45170</v>
      </c>
      <c r="D1050" s="7" t="n">
        <v>2023</v>
      </c>
      <c r="E1050" s="7" t="inlineStr">
        <is>
          <t>West</t>
        </is>
      </c>
      <c r="F1050" s="7" t="inlineStr">
        <is>
          <t>Office Supplies</t>
        </is>
      </c>
      <c r="G1050" s="7" t="inlineStr">
        <is>
          <t>Pens</t>
        </is>
      </c>
      <c r="H1050" s="7" t="inlineStr">
        <is>
          <t>Consumer</t>
        </is>
      </c>
      <c r="I1050" s="7" t="n">
        <v>5</v>
      </c>
      <c r="J1050" s="10" t="n">
        <v>11.57</v>
      </c>
      <c r="K1050" s="11" t="n">
        <v>0</v>
      </c>
      <c r="L1050" s="10">
        <f>I1050*J1050*(1-K1050)</f>
        <v/>
      </c>
      <c r="M1050" s="10" t="n">
        <v>27</v>
      </c>
      <c r="N1050" s="10">
        <f>L1050-M1050</f>
        <v/>
      </c>
    </row>
    <row r="1051">
      <c r="A1051" s="7" t="inlineStr">
        <is>
          <t>ORD-05081</t>
        </is>
      </c>
      <c r="B1051" s="8" t="n">
        <v>45187</v>
      </c>
      <c r="C1051" s="9" t="n">
        <v>45170</v>
      </c>
      <c r="D1051" s="7" t="n">
        <v>2023</v>
      </c>
      <c r="E1051" s="7" t="inlineStr">
        <is>
          <t>South</t>
        </is>
      </c>
      <c r="F1051" s="7" t="inlineStr">
        <is>
          <t>Office Supplies</t>
        </is>
      </c>
      <c r="G1051" s="7" t="inlineStr">
        <is>
          <t>Paper</t>
        </is>
      </c>
      <c r="H1051" s="7" t="inlineStr">
        <is>
          <t>Corporate</t>
        </is>
      </c>
      <c r="I1051" s="7" t="n">
        <v>7</v>
      </c>
      <c r="J1051" s="10" t="n">
        <v>24.99</v>
      </c>
      <c r="K1051" s="11" t="n">
        <v>0.05</v>
      </c>
      <c r="L1051" s="10">
        <f>I1051*J1051*(1-K1051)</f>
        <v/>
      </c>
      <c r="M1051" s="10" t="n">
        <v>87.5</v>
      </c>
      <c r="N1051" s="10">
        <f>L1051-M1051</f>
        <v/>
      </c>
    </row>
    <row r="1052">
      <c r="A1052" s="7" t="inlineStr">
        <is>
          <t>ORD-01975</t>
        </is>
      </c>
      <c r="B1052" s="8" t="n">
        <v>45187</v>
      </c>
      <c r="C1052" s="9" t="n">
        <v>45170</v>
      </c>
      <c r="D1052" s="7" t="n">
        <v>2023</v>
      </c>
      <c r="E1052" s="7" t="inlineStr">
        <is>
          <t>South</t>
        </is>
      </c>
      <c r="F1052" s="7" t="inlineStr">
        <is>
          <t>Technology</t>
        </is>
      </c>
      <c r="G1052" s="7" t="inlineStr">
        <is>
          <t>Headphones</t>
        </is>
      </c>
      <c r="H1052" s="7" t="inlineStr">
        <is>
          <t>Consumer</t>
        </is>
      </c>
      <c r="I1052" s="7" t="n">
        <v>2</v>
      </c>
      <c r="J1052" s="10" t="n">
        <v>120.57</v>
      </c>
      <c r="K1052" s="11" t="n">
        <v>0</v>
      </c>
      <c r="L1052" s="10">
        <f>I1052*J1052*(1-K1052)</f>
        <v/>
      </c>
      <c r="M1052" s="10" t="n">
        <v>144</v>
      </c>
      <c r="N1052" s="10">
        <f>L1052-M1052</f>
        <v/>
      </c>
    </row>
    <row r="1053">
      <c r="A1053" s="7" t="inlineStr">
        <is>
          <t>ORD-04199</t>
        </is>
      </c>
      <c r="B1053" s="8" t="n">
        <v>45187</v>
      </c>
      <c r="C1053" s="9" t="n">
        <v>45170</v>
      </c>
      <c r="D1053" s="7" t="n">
        <v>2023</v>
      </c>
      <c r="E1053" s="7" t="inlineStr">
        <is>
          <t>South</t>
        </is>
      </c>
      <c r="F1053" s="7" t="inlineStr">
        <is>
          <t>Technology</t>
        </is>
      </c>
      <c r="G1053" s="7" t="inlineStr">
        <is>
          <t>Smartphone</t>
        </is>
      </c>
      <c r="H1053" s="7" t="inlineStr">
        <is>
          <t>Consumer</t>
        </is>
      </c>
      <c r="I1053" s="7" t="n">
        <v>3</v>
      </c>
      <c r="J1053" s="10" t="n">
        <v>621.37</v>
      </c>
      <c r="K1053" s="11" t="n">
        <v>0.05</v>
      </c>
      <c r="L1053" s="10">
        <f>I1053*J1053*(1-K1053)</f>
        <v/>
      </c>
      <c r="M1053" s="10" t="n">
        <v>1350</v>
      </c>
      <c r="N1053" s="10">
        <f>L1053-M1053</f>
        <v/>
      </c>
    </row>
    <row r="1054">
      <c r="A1054" s="7" t="inlineStr">
        <is>
          <t>ORD-00272</t>
        </is>
      </c>
      <c r="B1054" s="8" t="n">
        <v>45187</v>
      </c>
      <c r="C1054" s="9" t="n">
        <v>45170</v>
      </c>
      <c r="D1054" s="7" t="n">
        <v>2023</v>
      </c>
      <c r="E1054" s="7" t="inlineStr">
        <is>
          <t>West</t>
        </is>
      </c>
      <c r="F1054" s="7" t="inlineStr">
        <is>
          <t>Office Supplies</t>
        </is>
      </c>
      <c r="G1054" s="7" t="inlineStr">
        <is>
          <t>Stapler</t>
        </is>
      </c>
      <c r="H1054" s="7" t="inlineStr">
        <is>
          <t>Consumer</t>
        </is>
      </c>
      <c r="I1054" s="7" t="n">
        <v>7</v>
      </c>
      <c r="J1054" s="10" t="n">
        <v>15.38</v>
      </c>
      <c r="K1054" s="11" t="n">
        <v>0</v>
      </c>
      <c r="L1054" s="10">
        <f>I1054*J1054*(1-K1054)</f>
        <v/>
      </c>
      <c r="M1054" s="10" t="n">
        <v>52.5</v>
      </c>
      <c r="N1054" s="10">
        <f>L1054-M1054</f>
        <v/>
      </c>
    </row>
    <row r="1055">
      <c r="A1055" s="7" t="inlineStr">
        <is>
          <t>ORD-05175</t>
        </is>
      </c>
      <c r="B1055" s="8" t="n">
        <v>45187</v>
      </c>
      <c r="C1055" s="9" t="n">
        <v>45170</v>
      </c>
      <c r="D1055" s="7" t="n">
        <v>2023</v>
      </c>
      <c r="E1055" s="7" t="inlineStr">
        <is>
          <t>East</t>
        </is>
      </c>
      <c r="F1055" s="7" t="inlineStr">
        <is>
          <t>Office Supplies</t>
        </is>
      </c>
      <c r="G1055" s="7" t="inlineStr">
        <is>
          <t>Binder</t>
        </is>
      </c>
      <c r="H1055" s="7" t="inlineStr">
        <is>
          <t>Consumer</t>
        </is>
      </c>
      <c r="I1055" s="7" t="n">
        <v>14</v>
      </c>
      <c r="J1055" s="10" t="n">
        <v>8.140000000000001</v>
      </c>
      <c r="K1055" s="11" t="n">
        <v>0</v>
      </c>
      <c r="L1055" s="10">
        <f>I1055*J1055*(1-K1055)</f>
        <v/>
      </c>
      <c r="M1055" s="10" t="n">
        <v>44.8</v>
      </c>
      <c r="N1055" s="10">
        <f>L1055-M1055</f>
        <v/>
      </c>
    </row>
    <row r="1056">
      <c r="A1056" s="7" t="inlineStr">
        <is>
          <t>ORD-05454</t>
        </is>
      </c>
      <c r="B1056" s="8" t="n">
        <v>45187</v>
      </c>
      <c r="C1056" s="9" t="n">
        <v>45170</v>
      </c>
      <c r="D1056" s="7" t="n">
        <v>2023</v>
      </c>
      <c r="E1056" s="7" t="inlineStr">
        <is>
          <t>West</t>
        </is>
      </c>
      <c r="F1056" s="7" t="inlineStr">
        <is>
          <t>Office Supplies</t>
        </is>
      </c>
      <c r="G1056" s="7" t="inlineStr">
        <is>
          <t>Pens</t>
        </is>
      </c>
      <c r="H1056" s="7" t="inlineStr">
        <is>
          <t>Consumer</t>
        </is>
      </c>
      <c r="I1056" s="7" t="n">
        <v>10</v>
      </c>
      <c r="J1056" s="10" t="n">
        <v>12.53</v>
      </c>
      <c r="K1056" s="11" t="n">
        <v>0.05</v>
      </c>
      <c r="L1056" s="10">
        <f>I1056*J1056*(1-K1056)</f>
        <v/>
      </c>
      <c r="M1056" s="10" t="n">
        <v>54</v>
      </c>
      <c r="N1056" s="10">
        <f>L1056-M1056</f>
        <v/>
      </c>
    </row>
    <row r="1057">
      <c r="A1057" s="7" t="inlineStr">
        <is>
          <t>ORD-02317</t>
        </is>
      </c>
      <c r="B1057" s="8" t="n">
        <v>45187</v>
      </c>
      <c r="C1057" s="9" t="n">
        <v>45170</v>
      </c>
      <c r="D1057" s="7" t="n">
        <v>2023</v>
      </c>
      <c r="E1057" s="7" t="inlineStr">
        <is>
          <t>North</t>
        </is>
      </c>
      <c r="F1057" s="7" t="inlineStr">
        <is>
          <t>Office Supplies</t>
        </is>
      </c>
      <c r="G1057" s="7" t="inlineStr">
        <is>
          <t>Printer Ink</t>
        </is>
      </c>
      <c r="H1057" s="7" t="inlineStr">
        <is>
          <t>Corporate</t>
        </is>
      </c>
      <c r="I1057" s="7" t="n">
        <v>5</v>
      </c>
      <c r="J1057" s="10" t="n">
        <v>61.14</v>
      </c>
      <c r="K1057" s="11" t="n">
        <v>0.1</v>
      </c>
      <c r="L1057" s="10">
        <f>I1057*J1057*(1-K1057)</f>
        <v/>
      </c>
      <c r="M1057" s="10" t="n">
        <v>180</v>
      </c>
      <c r="N1057" s="10">
        <f>L1057-M1057</f>
        <v/>
      </c>
    </row>
    <row r="1058">
      <c r="A1058" s="7" t="inlineStr">
        <is>
          <t>ORD-04465</t>
        </is>
      </c>
      <c r="B1058" s="8" t="n">
        <v>45187</v>
      </c>
      <c r="C1058" s="9" t="n">
        <v>45170</v>
      </c>
      <c r="D1058" s="7" t="n">
        <v>2023</v>
      </c>
      <c r="E1058" s="7" t="inlineStr">
        <is>
          <t>West</t>
        </is>
      </c>
      <c r="F1058" s="7" t="inlineStr">
        <is>
          <t>Technology</t>
        </is>
      </c>
      <c r="G1058" s="7" t="inlineStr">
        <is>
          <t>Monitor</t>
        </is>
      </c>
      <c r="H1058" s="7" t="inlineStr">
        <is>
          <t>Consumer</t>
        </is>
      </c>
      <c r="I1058" s="7" t="n">
        <v>3</v>
      </c>
      <c r="J1058" s="10" t="n">
        <v>242.16</v>
      </c>
      <c r="K1058" s="11" t="n">
        <v>0.05</v>
      </c>
      <c r="L1058" s="10">
        <f>I1058*J1058*(1-K1058)</f>
        <v/>
      </c>
      <c r="M1058" s="10" t="n">
        <v>540</v>
      </c>
      <c r="N1058" s="10">
        <f>L1058-M1058</f>
        <v/>
      </c>
    </row>
    <row r="1059">
      <c r="A1059" s="7" t="inlineStr">
        <is>
          <t>ORD-05564</t>
        </is>
      </c>
      <c r="B1059" s="8" t="n">
        <v>45187</v>
      </c>
      <c r="C1059" s="9" t="n">
        <v>45170</v>
      </c>
      <c r="D1059" s="7" t="n">
        <v>2023</v>
      </c>
      <c r="E1059" s="7" t="inlineStr">
        <is>
          <t>West</t>
        </is>
      </c>
      <c r="F1059" s="7" t="inlineStr">
        <is>
          <t>Technology</t>
        </is>
      </c>
      <c r="G1059" s="7" t="inlineStr">
        <is>
          <t>Smartphone</t>
        </is>
      </c>
      <c r="H1059" s="7" t="inlineStr">
        <is>
          <t>Corporate</t>
        </is>
      </c>
      <c r="I1059" s="7" t="n">
        <v>2</v>
      </c>
      <c r="J1059" s="10" t="n">
        <v>605.0700000000001</v>
      </c>
      <c r="K1059" s="11" t="n">
        <v>0</v>
      </c>
      <c r="L1059" s="10">
        <f>I1059*J1059*(1-K1059)</f>
        <v/>
      </c>
      <c r="M1059" s="10" t="n">
        <v>900</v>
      </c>
      <c r="N1059" s="10">
        <f>L1059-M1059</f>
        <v/>
      </c>
    </row>
    <row r="1060">
      <c r="A1060" s="7" t="inlineStr">
        <is>
          <t>ORD-02743</t>
        </is>
      </c>
      <c r="B1060" s="8" t="n">
        <v>45187</v>
      </c>
      <c r="C1060" s="9" t="n">
        <v>45170</v>
      </c>
      <c r="D1060" s="7" t="n">
        <v>2023</v>
      </c>
      <c r="E1060" s="7" t="inlineStr">
        <is>
          <t>West</t>
        </is>
      </c>
      <c r="F1060" s="7" t="inlineStr">
        <is>
          <t>Technology</t>
        </is>
      </c>
      <c r="G1060" s="7" t="inlineStr">
        <is>
          <t>Headphones</t>
        </is>
      </c>
      <c r="H1060" s="7" t="inlineStr">
        <is>
          <t>Corporate</t>
        </is>
      </c>
      <c r="I1060" s="7" t="n">
        <v>3</v>
      </c>
      <c r="J1060" s="10" t="n">
        <v>121.3</v>
      </c>
      <c r="K1060" s="11" t="n">
        <v>0.05</v>
      </c>
      <c r="L1060" s="10">
        <f>I1060*J1060*(1-K1060)</f>
        <v/>
      </c>
      <c r="M1060" s="10" t="n">
        <v>216</v>
      </c>
      <c r="N1060" s="10">
        <f>L1060-M1060</f>
        <v/>
      </c>
    </row>
    <row r="1061">
      <c r="A1061" s="7" t="inlineStr">
        <is>
          <t>ORD-01185</t>
        </is>
      </c>
      <c r="B1061" s="8" t="n">
        <v>45188</v>
      </c>
      <c r="C1061" s="9" t="n">
        <v>45170</v>
      </c>
      <c r="D1061" s="7" t="n">
        <v>2023</v>
      </c>
      <c r="E1061" s="7" t="inlineStr">
        <is>
          <t>West</t>
        </is>
      </c>
      <c r="F1061" s="7" t="inlineStr">
        <is>
          <t>Office Supplies</t>
        </is>
      </c>
      <c r="G1061" s="7" t="inlineStr">
        <is>
          <t>Printer Ink</t>
        </is>
      </c>
      <c r="H1061" s="7" t="inlineStr">
        <is>
          <t>Corporate</t>
        </is>
      </c>
      <c r="I1061" s="7" t="n">
        <v>9</v>
      </c>
      <c r="J1061" s="10" t="n">
        <v>60.13</v>
      </c>
      <c r="K1061" s="11" t="n">
        <v>0</v>
      </c>
      <c r="L1061" s="10">
        <f>I1061*J1061*(1-K1061)</f>
        <v/>
      </c>
      <c r="M1061" s="10" t="n">
        <v>324</v>
      </c>
      <c r="N1061" s="10">
        <f>L1061-M1061</f>
        <v/>
      </c>
    </row>
    <row r="1062">
      <c r="A1062" s="7" t="inlineStr">
        <is>
          <t>ORD-04639</t>
        </is>
      </c>
      <c r="B1062" s="8" t="n">
        <v>45188</v>
      </c>
      <c r="C1062" s="9" t="n">
        <v>45170</v>
      </c>
      <c r="D1062" s="7" t="n">
        <v>2023</v>
      </c>
      <c r="E1062" s="7" t="inlineStr">
        <is>
          <t>East</t>
        </is>
      </c>
      <c r="F1062" s="7" t="inlineStr">
        <is>
          <t>Furniture</t>
        </is>
      </c>
      <c r="G1062" s="7" t="inlineStr">
        <is>
          <t>Bookcase</t>
        </is>
      </c>
      <c r="H1062" s="7" t="inlineStr">
        <is>
          <t>Consumer</t>
        </is>
      </c>
      <c r="I1062" s="7" t="n">
        <v>4</v>
      </c>
      <c r="J1062" s="10" t="n">
        <v>183.76</v>
      </c>
      <c r="K1062" s="11" t="n">
        <v>0.1</v>
      </c>
      <c r="L1062" s="10">
        <f>I1062*J1062*(1-K1062)</f>
        <v/>
      </c>
      <c r="M1062" s="10" t="n">
        <v>576</v>
      </c>
      <c r="N1062" s="10">
        <f>L1062-M1062</f>
        <v/>
      </c>
    </row>
    <row r="1063">
      <c r="A1063" s="7" t="inlineStr">
        <is>
          <t>ORD-01598</t>
        </is>
      </c>
      <c r="B1063" s="8" t="n">
        <v>45188</v>
      </c>
      <c r="C1063" s="9" t="n">
        <v>45170</v>
      </c>
      <c r="D1063" s="7" t="n">
        <v>2023</v>
      </c>
      <c r="E1063" s="7" t="inlineStr">
        <is>
          <t>South</t>
        </is>
      </c>
      <c r="F1063" s="7" t="inlineStr">
        <is>
          <t>Technology</t>
        </is>
      </c>
      <c r="G1063" s="7" t="inlineStr">
        <is>
          <t>Keyboard</t>
        </is>
      </c>
      <c r="H1063" s="7" t="inlineStr">
        <is>
          <t>Home Office</t>
        </is>
      </c>
      <c r="I1063" s="7" t="n">
        <v>1</v>
      </c>
      <c r="J1063" s="10" t="n">
        <v>43.34</v>
      </c>
      <c r="K1063" s="11" t="n">
        <v>0.05</v>
      </c>
      <c r="L1063" s="10">
        <f>I1063*J1063*(1-K1063)</f>
        <v/>
      </c>
      <c r="M1063" s="10" t="n">
        <v>24.75</v>
      </c>
      <c r="N1063" s="10">
        <f>L1063-M1063</f>
        <v/>
      </c>
    </row>
    <row r="1064">
      <c r="A1064" s="7" t="inlineStr">
        <is>
          <t>ORD-05517</t>
        </is>
      </c>
      <c r="B1064" s="8" t="n">
        <v>45189</v>
      </c>
      <c r="C1064" s="9" t="n">
        <v>45170</v>
      </c>
      <c r="D1064" s="7" t="n">
        <v>2023</v>
      </c>
      <c r="E1064" s="7" t="inlineStr">
        <is>
          <t>North</t>
        </is>
      </c>
      <c r="F1064" s="7" t="inlineStr">
        <is>
          <t>Furniture</t>
        </is>
      </c>
      <c r="G1064" s="7" t="inlineStr">
        <is>
          <t>Desk</t>
        </is>
      </c>
      <c r="H1064" s="7" t="inlineStr">
        <is>
          <t>Corporate</t>
        </is>
      </c>
      <c r="I1064" s="7" t="n">
        <v>2</v>
      </c>
      <c r="J1064" s="10" t="n">
        <v>434.36</v>
      </c>
      <c r="K1064" s="11" t="n">
        <v>0.3</v>
      </c>
      <c r="L1064" s="10">
        <f>I1064*J1064*(1-K1064)</f>
        <v/>
      </c>
      <c r="M1064" s="10" t="n">
        <v>765</v>
      </c>
      <c r="N1064" s="10">
        <f>L1064-M1064</f>
        <v/>
      </c>
    </row>
    <row r="1065">
      <c r="A1065" s="7" t="inlineStr">
        <is>
          <t>ORD-05878</t>
        </is>
      </c>
      <c r="B1065" s="8" t="n">
        <v>45189</v>
      </c>
      <c r="C1065" s="9" t="n">
        <v>45170</v>
      </c>
      <c r="D1065" s="7" t="n">
        <v>2023</v>
      </c>
      <c r="E1065" s="7" t="inlineStr">
        <is>
          <t>West</t>
        </is>
      </c>
      <c r="F1065" s="7" t="inlineStr">
        <is>
          <t>Office Supplies</t>
        </is>
      </c>
      <c r="G1065" s="7" t="inlineStr">
        <is>
          <t>Pens</t>
        </is>
      </c>
      <c r="H1065" s="7" t="inlineStr">
        <is>
          <t>Home Office</t>
        </is>
      </c>
      <c r="I1065" s="7" t="n">
        <v>10</v>
      </c>
      <c r="J1065" s="10" t="n">
        <v>12.49</v>
      </c>
      <c r="K1065" s="11" t="n">
        <v>0.1</v>
      </c>
      <c r="L1065" s="10">
        <f>I1065*J1065*(1-K1065)</f>
        <v/>
      </c>
      <c r="M1065" s="10" t="n">
        <v>54</v>
      </c>
      <c r="N1065" s="10">
        <f>L1065-M1065</f>
        <v/>
      </c>
    </row>
    <row r="1066">
      <c r="A1066" s="7" t="inlineStr">
        <is>
          <t>ORD-04228</t>
        </is>
      </c>
      <c r="B1066" s="8" t="n">
        <v>45189</v>
      </c>
      <c r="C1066" s="9" t="n">
        <v>45170</v>
      </c>
      <c r="D1066" s="7" t="n">
        <v>2023</v>
      </c>
      <c r="E1066" s="7" t="inlineStr">
        <is>
          <t>West</t>
        </is>
      </c>
      <c r="F1066" s="7" t="inlineStr">
        <is>
          <t>Office Supplies</t>
        </is>
      </c>
      <c r="G1066" s="7" t="inlineStr">
        <is>
          <t>Binder</t>
        </is>
      </c>
      <c r="H1066" s="7" t="inlineStr">
        <is>
          <t>Home Office</t>
        </is>
      </c>
      <c r="I1066" s="7" t="n">
        <v>12</v>
      </c>
      <c r="J1066" s="10" t="n">
        <v>8.029999999999999</v>
      </c>
      <c r="K1066" s="11" t="n">
        <v>0</v>
      </c>
      <c r="L1066" s="10">
        <f>I1066*J1066*(1-K1066)</f>
        <v/>
      </c>
      <c r="M1066" s="10" t="n">
        <v>38.4</v>
      </c>
      <c r="N1066" s="10">
        <f>L1066-M1066</f>
        <v/>
      </c>
    </row>
    <row r="1067">
      <c r="A1067" s="7" t="inlineStr">
        <is>
          <t>ORD-05554</t>
        </is>
      </c>
      <c r="B1067" s="8" t="n">
        <v>45189</v>
      </c>
      <c r="C1067" s="9" t="n">
        <v>45170</v>
      </c>
      <c r="D1067" s="7" t="n">
        <v>2023</v>
      </c>
      <c r="E1067" s="7" t="inlineStr">
        <is>
          <t>West</t>
        </is>
      </c>
      <c r="F1067" s="7" t="inlineStr">
        <is>
          <t>Furniture</t>
        </is>
      </c>
      <c r="G1067" s="7" t="inlineStr">
        <is>
          <t>Sofa</t>
        </is>
      </c>
      <c r="H1067" s="7" t="inlineStr">
        <is>
          <t>Consumer</t>
        </is>
      </c>
      <c r="I1067" s="7" t="n">
        <v>3</v>
      </c>
      <c r="J1067" s="10" t="n">
        <v>705.67</v>
      </c>
      <c r="K1067" s="11" t="n">
        <v>0</v>
      </c>
      <c r="L1067" s="10">
        <f>I1067*J1067*(1-K1067)</f>
        <v/>
      </c>
      <c r="M1067" s="10" t="n">
        <v>1848</v>
      </c>
      <c r="N1067" s="10">
        <f>L1067-M1067</f>
        <v/>
      </c>
    </row>
    <row r="1068">
      <c r="A1068" s="7" t="inlineStr">
        <is>
          <t>ORD-01239</t>
        </is>
      </c>
      <c r="B1068" s="8" t="n">
        <v>45189</v>
      </c>
      <c r="C1068" s="9" t="n">
        <v>45170</v>
      </c>
      <c r="D1068" s="7" t="n">
        <v>2023</v>
      </c>
      <c r="E1068" s="7" t="inlineStr">
        <is>
          <t>East</t>
        </is>
      </c>
      <c r="F1068" s="7" t="inlineStr">
        <is>
          <t>Furniture</t>
        </is>
      </c>
      <c r="G1068" s="7" t="inlineStr">
        <is>
          <t>Sofa</t>
        </is>
      </c>
      <c r="H1068" s="7" t="inlineStr">
        <is>
          <t>Consumer</t>
        </is>
      </c>
      <c r="I1068" s="7" t="n">
        <v>3</v>
      </c>
      <c r="J1068" s="10" t="n">
        <v>709.24</v>
      </c>
      <c r="K1068" s="11" t="n">
        <v>0.3</v>
      </c>
      <c r="L1068" s="10">
        <f>I1068*J1068*(1-K1068)</f>
        <v/>
      </c>
      <c r="M1068" s="10" t="n">
        <v>1848</v>
      </c>
      <c r="N1068" s="10">
        <f>L1068-M1068</f>
        <v/>
      </c>
    </row>
    <row r="1069">
      <c r="A1069" s="7" t="inlineStr">
        <is>
          <t>ORD-01184</t>
        </is>
      </c>
      <c r="B1069" s="8" t="n">
        <v>45189</v>
      </c>
      <c r="C1069" s="9" t="n">
        <v>45170</v>
      </c>
      <c r="D1069" s="7" t="n">
        <v>2023</v>
      </c>
      <c r="E1069" s="7" t="inlineStr">
        <is>
          <t>East</t>
        </is>
      </c>
      <c r="F1069" s="7" t="inlineStr">
        <is>
          <t>Office Supplies</t>
        </is>
      </c>
      <c r="G1069" s="7" t="inlineStr">
        <is>
          <t>Paper</t>
        </is>
      </c>
      <c r="H1069" s="7" t="inlineStr">
        <is>
          <t>Consumer</t>
        </is>
      </c>
      <c r="I1069" s="7" t="n">
        <v>3</v>
      </c>
      <c r="J1069" s="10" t="n">
        <v>25.98</v>
      </c>
      <c r="K1069" s="11" t="n">
        <v>0.3</v>
      </c>
      <c r="L1069" s="10">
        <f>I1069*J1069*(1-K1069)</f>
        <v/>
      </c>
      <c r="M1069" s="10" t="n">
        <v>37.5</v>
      </c>
      <c r="N1069" s="10">
        <f>L1069-M1069</f>
        <v/>
      </c>
    </row>
    <row r="1070">
      <c r="A1070" s="7" t="inlineStr">
        <is>
          <t>ORD-01124</t>
        </is>
      </c>
      <c r="B1070" s="8" t="n">
        <v>45189</v>
      </c>
      <c r="C1070" s="9" t="n">
        <v>45170</v>
      </c>
      <c r="D1070" s="7" t="n">
        <v>2023</v>
      </c>
      <c r="E1070" s="7" t="inlineStr">
        <is>
          <t>North</t>
        </is>
      </c>
      <c r="F1070" s="7" t="inlineStr">
        <is>
          <t>Technology</t>
        </is>
      </c>
      <c r="G1070" s="7" t="inlineStr">
        <is>
          <t>Laptop</t>
        </is>
      </c>
      <c r="H1070" s="7" t="inlineStr">
        <is>
          <t>Home Office</t>
        </is>
      </c>
      <c r="I1070" s="7" t="n">
        <v>1</v>
      </c>
      <c r="J1070" s="10" t="n">
        <v>867.63</v>
      </c>
      <c r="K1070" s="11" t="n">
        <v>0.05</v>
      </c>
      <c r="L1070" s="10">
        <f>I1070*J1070*(1-K1070)</f>
        <v/>
      </c>
      <c r="M1070" s="10" t="n">
        <v>702</v>
      </c>
      <c r="N1070" s="10">
        <f>L1070-M1070</f>
        <v/>
      </c>
    </row>
    <row r="1071">
      <c r="A1071" s="7" t="inlineStr">
        <is>
          <t>ORD-01544</t>
        </is>
      </c>
      <c r="B1071" s="8" t="n">
        <v>45189</v>
      </c>
      <c r="C1071" s="9" t="n">
        <v>45170</v>
      </c>
      <c r="D1071" s="7" t="n">
        <v>2023</v>
      </c>
      <c r="E1071" s="7" t="inlineStr">
        <is>
          <t>North</t>
        </is>
      </c>
      <c r="F1071" s="7" t="inlineStr">
        <is>
          <t>Office Supplies</t>
        </is>
      </c>
      <c r="G1071" s="7" t="inlineStr">
        <is>
          <t>Paper</t>
        </is>
      </c>
      <c r="H1071" s="7" t="inlineStr">
        <is>
          <t>Consumer</t>
        </is>
      </c>
      <c r="I1071" s="7" t="n">
        <v>4</v>
      </c>
      <c r="J1071" s="10" t="n">
        <v>24.45</v>
      </c>
      <c r="K1071" s="11" t="n">
        <v>0.3</v>
      </c>
      <c r="L1071" s="10">
        <f>I1071*J1071*(1-K1071)</f>
        <v/>
      </c>
      <c r="M1071" s="10" t="n">
        <v>50</v>
      </c>
      <c r="N1071" s="10">
        <f>L1071-M1071</f>
        <v/>
      </c>
    </row>
    <row r="1072">
      <c r="A1072" s="7" t="inlineStr">
        <is>
          <t>ORD-03644</t>
        </is>
      </c>
      <c r="B1072" s="8" t="n">
        <v>45189</v>
      </c>
      <c r="C1072" s="9" t="n">
        <v>45170</v>
      </c>
      <c r="D1072" s="7" t="n">
        <v>2023</v>
      </c>
      <c r="E1072" s="7" t="inlineStr">
        <is>
          <t>West</t>
        </is>
      </c>
      <c r="F1072" s="7" t="inlineStr">
        <is>
          <t>Office Supplies</t>
        </is>
      </c>
      <c r="G1072" s="7" t="inlineStr">
        <is>
          <t>Paper</t>
        </is>
      </c>
      <c r="H1072" s="7" t="inlineStr">
        <is>
          <t>Consumer</t>
        </is>
      </c>
      <c r="I1072" s="7" t="n">
        <v>7</v>
      </c>
      <c r="J1072" s="10" t="n">
        <v>25.67</v>
      </c>
      <c r="K1072" s="11" t="n">
        <v>0.1</v>
      </c>
      <c r="L1072" s="10">
        <f>I1072*J1072*(1-K1072)</f>
        <v/>
      </c>
      <c r="M1072" s="10" t="n">
        <v>87.5</v>
      </c>
      <c r="N1072" s="10">
        <f>L1072-M1072</f>
        <v/>
      </c>
    </row>
    <row r="1073">
      <c r="A1073" s="7" t="inlineStr">
        <is>
          <t>ORD-00115</t>
        </is>
      </c>
      <c r="B1073" s="8" t="n">
        <v>45189</v>
      </c>
      <c r="C1073" s="9" t="n">
        <v>45170</v>
      </c>
      <c r="D1073" s="7" t="n">
        <v>2023</v>
      </c>
      <c r="E1073" s="7" t="inlineStr">
        <is>
          <t>East</t>
        </is>
      </c>
      <c r="F1073" s="7" t="inlineStr">
        <is>
          <t>Technology</t>
        </is>
      </c>
      <c r="G1073" s="7" t="inlineStr">
        <is>
          <t>Keyboard</t>
        </is>
      </c>
      <c r="H1073" s="7" t="inlineStr">
        <is>
          <t>Corporate</t>
        </is>
      </c>
      <c r="I1073" s="7" t="n">
        <v>1</v>
      </c>
      <c r="J1073" s="10" t="n">
        <v>43.45</v>
      </c>
      <c r="K1073" s="11" t="n">
        <v>0.1</v>
      </c>
      <c r="L1073" s="10">
        <f>I1073*J1073*(1-K1073)</f>
        <v/>
      </c>
      <c r="M1073" s="10" t="n">
        <v>24.75</v>
      </c>
      <c r="N1073" s="10">
        <f>L1073-M1073</f>
        <v/>
      </c>
    </row>
    <row r="1074">
      <c r="A1074" s="7" t="inlineStr">
        <is>
          <t>ORD-01944</t>
        </is>
      </c>
      <c r="B1074" s="8" t="n">
        <v>45189</v>
      </c>
      <c r="C1074" s="9" t="n">
        <v>45170</v>
      </c>
      <c r="D1074" s="7" t="n">
        <v>2023</v>
      </c>
      <c r="E1074" s="7" t="inlineStr">
        <is>
          <t>East</t>
        </is>
      </c>
      <c r="F1074" s="7" t="inlineStr">
        <is>
          <t>Furniture</t>
        </is>
      </c>
      <c r="G1074" s="7" t="inlineStr">
        <is>
          <t>Desk</t>
        </is>
      </c>
      <c r="H1074" s="7" t="inlineStr">
        <is>
          <t>Consumer</t>
        </is>
      </c>
      <c r="I1074" s="7" t="n">
        <v>2</v>
      </c>
      <c r="J1074" s="10" t="n">
        <v>460.08</v>
      </c>
      <c r="K1074" s="11" t="n">
        <v>0.05</v>
      </c>
      <c r="L1074" s="10">
        <f>I1074*J1074*(1-K1074)</f>
        <v/>
      </c>
      <c r="M1074" s="10" t="n">
        <v>765</v>
      </c>
      <c r="N1074" s="10">
        <f>L1074-M1074</f>
        <v/>
      </c>
    </row>
    <row r="1075">
      <c r="A1075" s="7" t="inlineStr">
        <is>
          <t>ORD-00587</t>
        </is>
      </c>
      <c r="B1075" s="8" t="n">
        <v>45190</v>
      </c>
      <c r="C1075" s="9" t="n">
        <v>45170</v>
      </c>
      <c r="D1075" s="7" t="n">
        <v>2023</v>
      </c>
      <c r="E1075" s="7" t="inlineStr">
        <is>
          <t>West</t>
        </is>
      </c>
      <c r="F1075" s="7" t="inlineStr">
        <is>
          <t>Technology</t>
        </is>
      </c>
      <c r="G1075" s="7" t="inlineStr">
        <is>
          <t>Smartphone</t>
        </is>
      </c>
      <c r="H1075" s="7" t="inlineStr">
        <is>
          <t>Consumer</t>
        </is>
      </c>
      <c r="I1075" s="7" t="n">
        <v>3</v>
      </c>
      <c r="J1075" s="10" t="n">
        <v>623.8200000000001</v>
      </c>
      <c r="K1075" s="11" t="n">
        <v>0</v>
      </c>
      <c r="L1075" s="10">
        <f>I1075*J1075*(1-K1075)</f>
        <v/>
      </c>
      <c r="M1075" s="10" t="n">
        <v>1350</v>
      </c>
      <c r="N1075" s="10">
        <f>L1075-M1075</f>
        <v/>
      </c>
    </row>
    <row r="1076">
      <c r="A1076" s="7" t="inlineStr">
        <is>
          <t>ORD-01896</t>
        </is>
      </c>
      <c r="B1076" s="8" t="n">
        <v>45190</v>
      </c>
      <c r="C1076" s="9" t="n">
        <v>45170</v>
      </c>
      <c r="D1076" s="7" t="n">
        <v>2023</v>
      </c>
      <c r="E1076" s="7" t="inlineStr">
        <is>
          <t>South</t>
        </is>
      </c>
      <c r="F1076" s="7" t="inlineStr">
        <is>
          <t>Office Supplies</t>
        </is>
      </c>
      <c r="G1076" s="7" t="inlineStr">
        <is>
          <t>Pens</t>
        </is>
      </c>
      <c r="H1076" s="7" t="inlineStr">
        <is>
          <t>Corporate</t>
        </is>
      </c>
      <c r="I1076" s="7" t="n">
        <v>8</v>
      </c>
      <c r="J1076" s="10" t="n">
        <v>12.27</v>
      </c>
      <c r="K1076" s="11" t="n">
        <v>0.05</v>
      </c>
      <c r="L1076" s="10">
        <f>I1076*J1076*(1-K1076)</f>
        <v/>
      </c>
      <c r="M1076" s="10" t="n">
        <v>43.2</v>
      </c>
      <c r="N1076" s="10">
        <f>L1076-M1076</f>
        <v/>
      </c>
    </row>
    <row r="1077">
      <c r="A1077" s="7" t="inlineStr">
        <is>
          <t>ORD-01016</t>
        </is>
      </c>
      <c r="B1077" s="8" t="n">
        <v>45190</v>
      </c>
      <c r="C1077" s="9" t="n">
        <v>45170</v>
      </c>
      <c r="D1077" s="7" t="n">
        <v>2023</v>
      </c>
      <c r="E1077" s="7" t="inlineStr">
        <is>
          <t>North</t>
        </is>
      </c>
      <c r="F1077" s="7" t="inlineStr">
        <is>
          <t>Office Supplies</t>
        </is>
      </c>
      <c r="G1077" s="7" t="inlineStr">
        <is>
          <t>Paper</t>
        </is>
      </c>
      <c r="H1077" s="7" t="inlineStr">
        <is>
          <t>Consumer</t>
        </is>
      </c>
      <c r="I1077" s="7" t="n">
        <v>4</v>
      </c>
      <c r="J1077" s="10" t="n">
        <v>24.19</v>
      </c>
      <c r="K1077" s="11" t="n">
        <v>0.2</v>
      </c>
      <c r="L1077" s="10">
        <f>I1077*J1077*(1-K1077)</f>
        <v/>
      </c>
      <c r="M1077" s="10" t="n">
        <v>50</v>
      </c>
      <c r="N1077" s="10">
        <f>L1077-M1077</f>
        <v/>
      </c>
    </row>
    <row r="1078">
      <c r="A1078" s="7" t="inlineStr">
        <is>
          <t>ORD-03945</t>
        </is>
      </c>
      <c r="B1078" s="8" t="n">
        <v>45191</v>
      </c>
      <c r="C1078" s="9" t="n">
        <v>45170</v>
      </c>
      <c r="D1078" s="7" t="n">
        <v>2023</v>
      </c>
      <c r="E1078" s="7" t="inlineStr">
        <is>
          <t>West</t>
        </is>
      </c>
      <c r="F1078" s="7" t="inlineStr">
        <is>
          <t>Technology</t>
        </is>
      </c>
      <c r="G1078" s="7" t="inlineStr">
        <is>
          <t>Headphones</t>
        </is>
      </c>
      <c r="H1078" s="7" t="inlineStr">
        <is>
          <t>Consumer</t>
        </is>
      </c>
      <c r="I1078" s="7" t="n">
        <v>2</v>
      </c>
      <c r="J1078" s="10" t="n">
        <v>120.62</v>
      </c>
      <c r="K1078" s="11" t="n">
        <v>0.05</v>
      </c>
      <c r="L1078" s="10">
        <f>I1078*J1078*(1-K1078)</f>
        <v/>
      </c>
      <c r="M1078" s="10" t="n">
        <v>144</v>
      </c>
      <c r="N1078" s="10">
        <f>L1078-M1078</f>
        <v/>
      </c>
    </row>
    <row r="1079">
      <c r="A1079" s="7" t="inlineStr">
        <is>
          <t>ORD-05457</t>
        </is>
      </c>
      <c r="B1079" s="8" t="n">
        <v>45191</v>
      </c>
      <c r="C1079" s="9" t="n">
        <v>45170</v>
      </c>
      <c r="D1079" s="7" t="n">
        <v>2023</v>
      </c>
      <c r="E1079" s="7" t="inlineStr">
        <is>
          <t>West</t>
        </is>
      </c>
      <c r="F1079" s="7" t="inlineStr">
        <is>
          <t>Office Supplies</t>
        </is>
      </c>
      <c r="G1079" s="7" t="inlineStr">
        <is>
          <t>Paper</t>
        </is>
      </c>
      <c r="H1079" s="7" t="inlineStr">
        <is>
          <t>Corporate</t>
        </is>
      </c>
      <c r="I1079" s="7" t="n">
        <v>3</v>
      </c>
      <c r="J1079" s="10" t="n">
        <v>24.6</v>
      </c>
      <c r="K1079" s="11" t="n">
        <v>0.05</v>
      </c>
      <c r="L1079" s="10">
        <f>I1079*J1079*(1-K1079)</f>
        <v/>
      </c>
      <c r="M1079" s="10" t="n">
        <v>37.5</v>
      </c>
      <c r="N1079" s="10">
        <f>L1079-M1079</f>
        <v/>
      </c>
    </row>
    <row r="1080">
      <c r="A1080" s="7" t="inlineStr">
        <is>
          <t>ORD-03804</t>
        </is>
      </c>
      <c r="B1080" s="8" t="n">
        <v>45191</v>
      </c>
      <c r="C1080" s="9" t="n">
        <v>45170</v>
      </c>
      <c r="D1080" s="7" t="n">
        <v>2023</v>
      </c>
      <c r="E1080" s="7" t="inlineStr">
        <is>
          <t>South</t>
        </is>
      </c>
      <c r="F1080" s="7" t="inlineStr">
        <is>
          <t>Technology</t>
        </is>
      </c>
      <c r="G1080" s="7" t="inlineStr">
        <is>
          <t>Headphones</t>
        </is>
      </c>
      <c r="H1080" s="7" t="inlineStr">
        <is>
          <t>Home Office</t>
        </is>
      </c>
      <c r="I1080" s="7" t="n">
        <v>1</v>
      </c>
      <c r="J1080" s="10" t="n">
        <v>120.04</v>
      </c>
      <c r="K1080" s="11" t="n">
        <v>0.05</v>
      </c>
      <c r="L1080" s="10">
        <f>I1080*J1080*(1-K1080)</f>
        <v/>
      </c>
      <c r="M1080" s="10" t="n">
        <v>72</v>
      </c>
      <c r="N1080" s="10">
        <f>L1080-M1080</f>
        <v/>
      </c>
    </row>
    <row r="1081">
      <c r="A1081" s="7" t="inlineStr">
        <is>
          <t>ORD-05279</t>
        </is>
      </c>
      <c r="B1081" s="8" t="n">
        <v>45191</v>
      </c>
      <c r="C1081" s="9" t="n">
        <v>45170</v>
      </c>
      <c r="D1081" s="7" t="n">
        <v>2023</v>
      </c>
      <c r="E1081" s="7" t="inlineStr">
        <is>
          <t>East</t>
        </is>
      </c>
      <c r="F1081" s="7" t="inlineStr">
        <is>
          <t>Office Supplies</t>
        </is>
      </c>
      <c r="G1081" s="7" t="inlineStr">
        <is>
          <t>Pens</t>
        </is>
      </c>
      <c r="H1081" s="7" t="inlineStr">
        <is>
          <t>Consumer</t>
        </is>
      </c>
      <c r="I1081" s="7" t="n">
        <v>2</v>
      </c>
      <c r="J1081" s="10" t="n">
        <v>12.26</v>
      </c>
      <c r="K1081" s="11" t="n">
        <v>0.2</v>
      </c>
      <c r="L1081" s="10">
        <f>I1081*J1081*(1-K1081)</f>
        <v/>
      </c>
      <c r="M1081" s="10" t="n">
        <v>10.8</v>
      </c>
      <c r="N1081" s="10">
        <f>L1081-M1081</f>
        <v/>
      </c>
    </row>
    <row r="1082">
      <c r="A1082" s="7" t="inlineStr">
        <is>
          <t>ORD-02113</t>
        </is>
      </c>
      <c r="B1082" s="8" t="n">
        <v>45191</v>
      </c>
      <c r="C1082" s="9" t="n">
        <v>45170</v>
      </c>
      <c r="D1082" s="7" t="n">
        <v>2023</v>
      </c>
      <c r="E1082" s="7" t="inlineStr">
        <is>
          <t>North</t>
        </is>
      </c>
      <c r="F1082" s="7" t="inlineStr">
        <is>
          <t>Furniture</t>
        </is>
      </c>
      <c r="G1082" s="7" t="inlineStr">
        <is>
          <t>Desk</t>
        </is>
      </c>
      <c r="H1082" s="7" t="inlineStr">
        <is>
          <t>Consumer</t>
        </is>
      </c>
      <c r="I1082" s="7" t="n">
        <v>1</v>
      </c>
      <c r="J1082" s="10" t="n">
        <v>431.02</v>
      </c>
      <c r="K1082" s="11" t="n">
        <v>0.3</v>
      </c>
      <c r="L1082" s="10">
        <f>I1082*J1082*(1-K1082)</f>
        <v/>
      </c>
      <c r="M1082" s="10" t="n">
        <v>382.5</v>
      </c>
      <c r="N1082" s="10">
        <f>L1082-M1082</f>
        <v/>
      </c>
    </row>
    <row r="1083">
      <c r="A1083" s="7" t="inlineStr">
        <is>
          <t>ORD-00851</t>
        </is>
      </c>
      <c r="B1083" s="8" t="n">
        <v>45192</v>
      </c>
      <c r="C1083" s="9" t="n">
        <v>45170</v>
      </c>
      <c r="D1083" s="7" t="n">
        <v>2023</v>
      </c>
      <c r="E1083" s="7" t="inlineStr">
        <is>
          <t>North</t>
        </is>
      </c>
      <c r="F1083" s="7" t="inlineStr">
        <is>
          <t>Furniture</t>
        </is>
      </c>
      <c r="G1083" s="7" t="inlineStr">
        <is>
          <t>Office Chair</t>
        </is>
      </c>
      <c r="H1083" s="7" t="inlineStr">
        <is>
          <t>Corporate</t>
        </is>
      </c>
      <c r="I1083" s="7" t="n">
        <v>4</v>
      </c>
      <c r="J1083" s="10" t="n">
        <v>230.88</v>
      </c>
      <c r="K1083" s="11" t="n">
        <v>0.05</v>
      </c>
      <c r="L1083" s="10">
        <f>I1083*J1083*(1-K1083)</f>
        <v/>
      </c>
      <c r="M1083" s="10" t="n">
        <v>721.6</v>
      </c>
      <c r="N1083" s="10">
        <f>L1083-M1083</f>
        <v/>
      </c>
    </row>
    <row r="1084">
      <c r="A1084" s="7" t="inlineStr">
        <is>
          <t>ORD-01912</t>
        </is>
      </c>
      <c r="B1084" s="8" t="n">
        <v>45192</v>
      </c>
      <c r="C1084" s="9" t="n">
        <v>45170</v>
      </c>
      <c r="D1084" s="7" t="n">
        <v>2023</v>
      </c>
      <c r="E1084" s="7" t="inlineStr">
        <is>
          <t>West</t>
        </is>
      </c>
      <c r="F1084" s="7" t="inlineStr">
        <is>
          <t>Office Supplies</t>
        </is>
      </c>
      <c r="G1084" s="7" t="inlineStr">
        <is>
          <t>Paper</t>
        </is>
      </c>
      <c r="H1084" s="7" t="inlineStr">
        <is>
          <t>Consumer</t>
        </is>
      </c>
      <c r="I1084" s="7" t="n">
        <v>10</v>
      </c>
      <c r="J1084" s="10" t="n">
        <v>24.33</v>
      </c>
      <c r="K1084" s="11" t="n">
        <v>0</v>
      </c>
      <c r="L1084" s="10">
        <f>I1084*J1084*(1-K1084)</f>
        <v/>
      </c>
      <c r="M1084" s="10" t="n">
        <v>125</v>
      </c>
      <c r="N1084" s="10">
        <f>L1084-M1084</f>
        <v/>
      </c>
    </row>
    <row r="1085">
      <c r="A1085" s="7" t="inlineStr">
        <is>
          <t>ORD-04827</t>
        </is>
      </c>
      <c r="B1085" s="8" t="n">
        <v>45192</v>
      </c>
      <c r="C1085" s="9" t="n">
        <v>45170</v>
      </c>
      <c r="D1085" s="7" t="n">
        <v>2023</v>
      </c>
      <c r="E1085" s="7" t="inlineStr">
        <is>
          <t>South</t>
        </is>
      </c>
      <c r="F1085" s="7" t="inlineStr">
        <is>
          <t>Office Supplies</t>
        </is>
      </c>
      <c r="G1085" s="7" t="inlineStr">
        <is>
          <t>Paper</t>
        </is>
      </c>
      <c r="H1085" s="7" t="inlineStr">
        <is>
          <t>Corporate</t>
        </is>
      </c>
      <c r="I1085" s="7" t="n">
        <v>6</v>
      </c>
      <c r="J1085" s="10" t="n">
        <v>25.07</v>
      </c>
      <c r="K1085" s="11" t="n">
        <v>0</v>
      </c>
      <c r="L1085" s="10">
        <f>I1085*J1085*(1-K1085)</f>
        <v/>
      </c>
      <c r="M1085" s="10" t="n">
        <v>75</v>
      </c>
      <c r="N1085" s="10">
        <f>L1085-M1085</f>
        <v/>
      </c>
    </row>
    <row r="1086">
      <c r="A1086" s="7" t="inlineStr">
        <is>
          <t>ORD-00196</t>
        </is>
      </c>
      <c r="B1086" s="8" t="n">
        <v>45193</v>
      </c>
      <c r="C1086" s="9" t="n">
        <v>45170</v>
      </c>
      <c r="D1086" s="7" t="n">
        <v>2023</v>
      </c>
      <c r="E1086" s="7" t="inlineStr">
        <is>
          <t>East</t>
        </is>
      </c>
      <c r="F1086" s="7" t="inlineStr">
        <is>
          <t>Furniture</t>
        </is>
      </c>
      <c r="G1086" s="7" t="inlineStr">
        <is>
          <t>Sofa</t>
        </is>
      </c>
      <c r="H1086" s="7" t="inlineStr">
        <is>
          <t>Consumer</t>
        </is>
      </c>
      <c r="I1086" s="7" t="n">
        <v>2</v>
      </c>
      <c r="J1086" s="10" t="n">
        <v>707.42</v>
      </c>
      <c r="K1086" s="11" t="n">
        <v>0.3</v>
      </c>
      <c r="L1086" s="10">
        <f>I1086*J1086*(1-K1086)</f>
        <v/>
      </c>
      <c r="M1086" s="10" t="n">
        <v>1232</v>
      </c>
      <c r="N1086" s="10">
        <f>L1086-M1086</f>
        <v/>
      </c>
    </row>
    <row r="1087">
      <c r="A1087" s="7" t="inlineStr">
        <is>
          <t>ORD-00943</t>
        </is>
      </c>
      <c r="B1087" s="8" t="n">
        <v>45193</v>
      </c>
      <c r="C1087" s="9" t="n">
        <v>45170</v>
      </c>
      <c r="D1087" s="7" t="n">
        <v>2023</v>
      </c>
      <c r="E1087" s="7" t="inlineStr">
        <is>
          <t>East</t>
        </is>
      </c>
      <c r="F1087" s="7" t="inlineStr">
        <is>
          <t>Furniture</t>
        </is>
      </c>
      <c r="G1087" s="7" t="inlineStr">
        <is>
          <t>Office Chair</t>
        </is>
      </c>
      <c r="H1087" s="7" t="inlineStr">
        <is>
          <t>Corporate</t>
        </is>
      </c>
      <c r="I1087" s="7" t="n">
        <v>2</v>
      </c>
      <c r="J1087" s="10" t="n">
        <v>225.23</v>
      </c>
      <c r="K1087" s="11" t="n">
        <v>0</v>
      </c>
      <c r="L1087" s="10">
        <f>I1087*J1087*(1-K1087)</f>
        <v/>
      </c>
      <c r="M1087" s="10" t="n">
        <v>360.8</v>
      </c>
      <c r="N1087" s="10">
        <f>L1087-M1087</f>
        <v/>
      </c>
    </row>
    <row r="1088">
      <c r="A1088" s="7" t="inlineStr">
        <is>
          <t>ORD-04903</t>
        </is>
      </c>
      <c r="B1088" s="8" t="n">
        <v>45193</v>
      </c>
      <c r="C1088" s="9" t="n">
        <v>45170</v>
      </c>
      <c r="D1088" s="7" t="n">
        <v>2023</v>
      </c>
      <c r="E1088" s="7" t="inlineStr">
        <is>
          <t>East</t>
        </is>
      </c>
      <c r="F1088" s="7" t="inlineStr">
        <is>
          <t>Technology</t>
        </is>
      </c>
      <c r="G1088" s="7" t="inlineStr">
        <is>
          <t>Headphones</t>
        </is>
      </c>
      <c r="H1088" s="7" t="inlineStr">
        <is>
          <t>Corporate</t>
        </is>
      </c>
      <c r="I1088" s="7" t="n">
        <v>3</v>
      </c>
      <c r="J1088" s="10" t="n">
        <v>119.76</v>
      </c>
      <c r="K1088" s="11" t="n">
        <v>0.1</v>
      </c>
      <c r="L1088" s="10">
        <f>I1088*J1088*(1-K1088)</f>
        <v/>
      </c>
      <c r="M1088" s="10" t="n">
        <v>216</v>
      </c>
      <c r="N1088" s="10">
        <f>L1088-M1088</f>
        <v/>
      </c>
    </row>
    <row r="1089">
      <c r="A1089" s="7" t="inlineStr">
        <is>
          <t>ORD-05632</t>
        </is>
      </c>
      <c r="B1089" s="8" t="n">
        <v>45193</v>
      </c>
      <c r="C1089" s="9" t="n">
        <v>45170</v>
      </c>
      <c r="D1089" s="7" t="n">
        <v>2023</v>
      </c>
      <c r="E1089" s="7" t="inlineStr">
        <is>
          <t>East</t>
        </is>
      </c>
      <c r="F1089" s="7" t="inlineStr">
        <is>
          <t>Office Supplies</t>
        </is>
      </c>
      <c r="G1089" s="7" t="inlineStr">
        <is>
          <t>Binder</t>
        </is>
      </c>
      <c r="H1089" s="7" t="inlineStr">
        <is>
          <t>Home Office</t>
        </is>
      </c>
      <c r="I1089" s="7" t="n">
        <v>4</v>
      </c>
      <c r="J1089" s="10" t="n">
        <v>7.73</v>
      </c>
      <c r="K1089" s="11" t="n">
        <v>0.05</v>
      </c>
      <c r="L1089" s="10">
        <f>I1089*J1089*(1-K1089)</f>
        <v/>
      </c>
      <c r="M1089" s="10" t="n">
        <v>12.8</v>
      </c>
      <c r="N1089" s="10">
        <f>L1089-M1089</f>
        <v/>
      </c>
    </row>
    <row r="1090">
      <c r="A1090" s="7" t="inlineStr">
        <is>
          <t>ORD-04000</t>
        </is>
      </c>
      <c r="B1090" s="8" t="n">
        <v>45194</v>
      </c>
      <c r="C1090" s="9" t="n">
        <v>45170</v>
      </c>
      <c r="D1090" s="7" t="n">
        <v>2023</v>
      </c>
      <c r="E1090" s="7" t="inlineStr">
        <is>
          <t>East</t>
        </is>
      </c>
      <c r="F1090" s="7" t="inlineStr">
        <is>
          <t>Furniture</t>
        </is>
      </c>
      <c r="G1090" s="7" t="inlineStr">
        <is>
          <t>Sofa</t>
        </is>
      </c>
      <c r="H1090" s="7" t="inlineStr">
        <is>
          <t>Consumer</t>
        </is>
      </c>
      <c r="I1090" s="7" t="n">
        <v>1</v>
      </c>
      <c r="J1090" s="10" t="n">
        <v>678.8099999999999</v>
      </c>
      <c r="K1090" s="11" t="n">
        <v>0.2</v>
      </c>
      <c r="L1090" s="10">
        <f>I1090*J1090*(1-K1090)</f>
        <v/>
      </c>
      <c r="M1090" s="10" t="n">
        <v>616</v>
      </c>
      <c r="N1090" s="10">
        <f>L1090-M1090</f>
        <v/>
      </c>
    </row>
    <row r="1091">
      <c r="A1091" s="7" t="inlineStr">
        <is>
          <t>ORD-04422</t>
        </is>
      </c>
      <c r="B1091" s="8" t="n">
        <v>45194</v>
      </c>
      <c r="C1091" s="9" t="n">
        <v>45170</v>
      </c>
      <c r="D1091" s="7" t="n">
        <v>2023</v>
      </c>
      <c r="E1091" s="7" t="inlineStr">
        <is>
          <t>West</t>
        </is>
      </c>
      <c r="F1091" s="7" t="inlineStr">
        <is>
          <t>Furniture</t>
        </is>
      </c>
      <c r="G1091" s="7" t="inlineStr">
        <is>
          <t>Sofa</t>
        </is>
      </c>
      <c r="H1091" s="7" t="inlineStr">
        <is>
          <t>Corporate</t>
        </is>
      </c>
      <c r="I1091" s="7" t="n">
        <v>3</v>
      </c>
      <c r="J1091" s="10" t="n">
        <v>722.9400000000001</v>
      </c>
      <c r="K1091" s="11" t="n">
        <v>0.3</v>
      </c>
      <c r="L1091" s="10">
        <f>I1091*J1091*(1-K1091)</f>
        <v/>
      </c>
      <c r="M1091" s="10" t="n">
        <v>1848</v>
      </c>
      <c r="N1091" s="10">
        <f>L1091-M1091</f>
        <v/>
      </c>
    </row>
    <row r="1092">
      <c r="A1092" s="7" t="inlineStr">
        <is>
          <t>ORD-02314</t>
        </is>
      </c>
      <c r="B1092" s="8" t="n">
        <v>45194</v>
      </c>
      <c r="C1092" s="9" t="n">
        <v>45170</v>
      </c>
      <c r="D1092" s="7" t="n">
        <v>2023</v>
      </c>
      <c r="E1092" s="7" t="inlineStr">
        <is>
          <t>West</t>
        </is>
      </c>
      <c r="F1092" s="7" t="inlineStr">
        <is>
          <t>Furniture</t>
        </is>
      </c>
      <c r="G1092" s="7" t="inlineStr">
        <is>
          <t>Bookcase</t>
        </is>
      </c>
      <c r="H1092" s="7" t="inlineStr">
        <is>
          <t>Consumer</t>
        </is>
      </c>
      <c r="I1092" s="7" t="n">
        <v>1</v>
      </c>
      <c r="J1092" s="10" t="n">
        <v>177.01</v>
      </c>
      <c r="K1092" s="11" t="n">
        <v>0</v>
      </c>
      <c r="L1092" s="10">
        <f>I1092*J1092*(1-K1092)</f>
        <v/>
      </c>
      <c r="M1092" s="10" t="n">
        <v>144</v>
      </c>
      <c r="N1092" s="10">
        <f>L1092-M1092</f>
        <v/>
      </c>
    </row>
    <row r="1093">
      <c r="A1093" s="7" t="inlineStr">
        <is>
          <t>ORD-04397</t>
        </is>
      </c>
      <c r="B1093" s="8" t="n">
        <v>45194</v>
      </c>
      <c r="C1093" s="9" t="n">
        <v>45170</v>
      </c>
      <c r="D1093" s="7" t="n">
        <v>2023</v>
      </c>
      <c r="E1093" s="7" t="inlineStr">
        <is>
          <t>West</t>
        </is>
      </c>
      <c r="F1093" s="7" t="inlineStr">
        <is>
          <t>Office Supplies</t>
        </is>
      </c>
      <c r="G1093" s="7" t="inlineStr">
        <is>
          <t>Binder</t>
        </is>
      </c>
      <c r="H1093" s="7" t="inlineStr">
        <is>
          <t>Consumer</t>
        </is>
      </c>
      <c r="I1093" s="7" t="n">
        <v>9</v>
      </c>
      <c r="J1093" s="10" t="n">
        <v>7.77</v>
      </c>
      <c r="K1093" s="11" t="n">
        <v>0.1</v>
      </c>
      <c r="L1093" s="10">
        <f>I1093*J1093*(1-K1093)</f>
        <v/>
      </c>
      <c r="M1093" s="10" t="n">
        <v>28.8</v>
      </c>
      <c r="N1093" s="10">
        <f>L1093-M1093</f>
        <v/>
      </c>
    </row>
    <row r="1094">
      <c r="A1094" s="7" t="inlineStr">
        <is>
          <t>ORD-04796</t>
        </is>
      </c>
      <c r="B1094" s="8" t="n">
        <v>45195</v>
      </c>
      <c r="C1094" s="9" t="n">
        <v>45170</v>
      </c>
      <c r="D1094" s="7" t="n">
        <v>2023</v>
      </c>
      <c r="E1094" s="7" t="inlineStr">
        <is>
          <t>East</t>
        </is>
      </c>
      <c r="F1094" s="7" t="inlineStr">
        <is>
          <t>Technology</t>
        </is>
      </c>
      <c r="G1094" s="7" t="inlineStr">
        <is>
          <t>Laptop</t>
        </is>
      </c>
      <c r="H1094" s="7" t="inlineStr">
        <is>
          <t>Corporate</t>
        </is>
      </c>
      <c r="I1094" s="7" t="n">
        <v>3</v>
      </c>
      <c r="J1094" s="10" t="n">
        <v>938.23</v>
      </c>
      <c r="K1094" s="11" t="n">
        <v>0.2</v>
      </c>
      <c r="L1094" s="10">
        <f>I1094*J1094*(1-K1094)</f>
        <v/>
      </c>
      <c r="M1094" s="10" t="n">
        <v>2106</v>
      </c>
      <c r="N1094" s="10">
        <f>L1094-M1094</f>
        <v/>
      </c>
    </row>
    <row r="1095">
      <c r="A1095" s="7" t="inlineStr">
        <is>
          <t>ORD-04070</t>
        </is>
      </c>
      <c r="B1095" s="8" t="n">
        <v>45195</v>
      </c>
      <c r="C1095" s="9" t="n">
        <v>45170</v>
      </c>
      <c r="D1095" s="7" t="n">
        <v>2023</v>
      </c>
      <c r="E1095" s="7" t="inlineStr">
        <is>
          <t>West</t>
        </is>
      </c>
      <c r="F1095" s="7" t="inlineStr">
        <is>
          <t>Technology</t>
        </is>
      </c>
      <c r="G1095" s="7" t="inlineStr">
        <is>
          <t>Keyboard</t>
        </is>
      </c>
      <c r="H1095" s="7" t="inlineStr">
        <is>
          <t>Consumer</t>
        </is>
      </c>
      <c r="I1095" s="7" t="n">
        <v>2</v>
      </c>
      <c r="J1095" s="10" t="n">
        <v>45.51</v>
      </c>
      <c r="K1095" s="11" t="n">
        <v>0.05</v>
      </c>
      <c r="L1095" s="10">
        <f>I1095*J1095*(1-K1095)</f>
        <v/>
      </c>
      <c r="M1095" s="10" t="n">
        <v>49.5</v>
      </c>
      <c r="N1095" s="10">
        <f>L1095-M1095</f>
        <v/>
      </c>
    </row>
    <row r="1096">
      <c r="A1096" s="7" t="inlineStr">
        <is>
          <t>ORD-00282</t>
        </is>
      </c>
      <c r="B1096" s="8" t="n">
        <v>45195</v>
      </c>
      <c r="C1096" s="9" t="n">
        <v>45170</v>
      </c>
      <c r="D1096" s="7" t="n">
        <v>2023</v>
      </c>
      <c r="E1096" s="7" t="inlineStr">
        <is>
          <t>West</t>
        </is>
      </c>
      <c r="F1096" s="7" t="inlineStr">
        <is>
          <t>Furniture</t>
        </is>
      </c>
      <c r="G1096" s="7" t="inlineStr">
        <is>
          <t>Desk</t>
        </is>
      </c>
      <c r="H1096" s="7" t="inlineStr">
        <is>
          <t>Home Office</t>
        </is>
      </c>
      <c r="I1096" s="7" t="n">
        <v>4</v>
      </c>
      <c r="J1096" s="10" t="n">
        <v>442.72</v>
      </c>
      <c r="K1096" s="11" t="n">
        <v>0.2</v>
      </c>
      <c r="L1096" s="10">
        <f>I1096*J1096*(1-K1096)</f>
        <v/>
      </c>
      <c r="M1096" s="10" t="n">
        <v>1530</v>
      </c>
      <c r="N1096" s="10">
        <f>L1096-M1096</f>
        <v/>
      </c>
    </row>
    <row r="1097">
      <c r="A1097" s="7" t="inlineStr">
        <is>
          <t>ORD-02084</t>
        </is>
      </c>
      <c r="B1097" s="8" t="n">
        <v>45195</v>
      </c>
      <c r="C1097" s="9" t="n">
        <v>45170</v>
      </c>
      <c r="D1097" s="7" t="n">
        <v>2023</v>
      </c>
      <c r="E1097" s="7" t="inlineStr">
        <is>
          <t>East</t>
        </is>
      </c>
      <c r="F1097" s="7" t="inlineStr">
        <is>
          <t>Technology</t>
        </is>
      </c>
      <c r="G1097" s="7" t="inlineStr">
        <is>
          <t>Keyboard</t>
        </is>
      </c>
      <c r="H1097" s="7" t="inlineStr">
        <is>
          <t>Consumer</t>
        </is>
      </c>
      <c r="I1097" s="7" t="n">
        <v>1</v>
      </c>
      <c r="J1097" s="10" t="n">
        <v>44.22</v>
      </c>
      <c r="K1097" s="11" t="n">
        <v>0.2</v>
      </c>
      <c r="L1097" s="10">
        <f>I1097*J1097*(1-K1097)</f>
        <v/>
      </c>
      <c r="M1097" s="10" t="n">
        <v>24.75</v>
      </c>
      <c r="N1097" s="10">
        <f>L1097-M1097</f>
        <v/>
      </c>
    </row>
    <row r="1098">
      <c r="A1098" s="7" t="inlineStr">
        <is>
          <t>ORD-02737</t>
        </is>
      </c>
      <c r="B1098" s="8" t="n">
        <v>45195</v>
      </c>
      <c r="C1098" s="9" t="n">
        <v>45170</v>
      </c>
      <c r="D1098" s="7" t="n">
        <v>2023</v>
      </c>
      <c r="E1098" s="7" t="inlineStr">
        <is>
          <t>East</t>
        </is>
      </c>
      <c r="F1098" s="7" t="inlineStr">
        <is>
          <t>Office Supplies</t>
        </is>
      </c>
      <c r="G1098" s="7" t="inlineStr">
        <is>
          <t>Binder</t>
        </is>
      </c>
      <c r="H1098" s="7" t="inlineStr">
        <is>
          <t>Corporate</t>
        </is>
      </c>
      <c r="I1098" s="7" t="n">
        <v>14</v>
      </c>
      <c r="J1098" s="10" t="n">
        <v>7.66</v>
      </c>
      <c r="K1098" s="11" t="n">
        <v>0.3</v>
      </c>
      <c r="L1098" s="10">
        <f>I1098*J1098*(1-K1098)</f>
        <v/>
      </c>
      <c r="M1098" s="10" t="n">
        <v>44.8</v>
      </c>
      <c r="N1098" s="10">
        <f>L1098-M1098</f>
        <v/>
      </c>
    </row>
    <row r="1099">
      <c r="A1099" s="7" t="inlineStr">
        <is>
          <t>ORD-00553</t>
        </is>
      </c>
      <c r="B1099" s="8" t="n">
        <v>45195</v>
      </c>
      <c r="C1099" s="9" t="n">
        <v>45170</v>
      </c>
      <c r="D1099" s="7" t="n">
        <v>2023</v>
      </c>
      <c r="E1099" s="7" t="inlineStr">
        <is>
          <t>North</t>
        </is>
      </c>
      <c r="F1099" s="7" t="inlineStr">
        <is>
          <t>Technology</t>
        </is>
      </c>
      <c r="G1099" s="7" t="inlineStr">
        <is>
          <t>Headphones</t>
        </is>
      </c>
      <c r="H1099" s="7" t="inlineStr">
        <is>
          <t>Corporate</t>
        </is>
      </c>
      <c r="I1099" s="7" t="n">
        <v>3</v>
      </c>
      <c r="J1099" s="10" t="n">
        <v>123.48</v>
      </c>
      <c r="K1099" s="11" t="n">
        <v>0.05</v>
      </c>
      <c r="L1099" s="10">
        <f>I1099*J1099*(1-K1099)</f>
        <v/>
      </c>
      <c r="M1099" s="10" t="n">
        <v>216</v>
      </c>
      <c r="N1099" s="10">
        <f>L1099-M1099</f>
        <v/>
      </c>
    </row>
    <row r="1100">
      <c r="A1100" s="7" t="inlineStr">
        <is>
          <t>ORD-01834</t>
        </is>
      </c>
      <c r="B1100" s="8" t="n">
        <v>45195</v>
      </c>
      <c r="C1100" s="9" t="n">
        <v>45170</v>
      </c>
      <c r="D1100" s="7" t="n">
        <v>2023</v>
      </c>
      <c r="E1100" s="7" t="inlineStr">
        <is>
          <t>South</t>
        </is>
      </c>
      <c r="F1100" s="7" t="inlineStr">
        <is>
          <t>Furniture</t>
        </is>
      </c>
      <c r="G1100" s="7" t="inlineStr">
        <is>
          <t>Office Chair</t>
        </is>
      </c>
      <c r="H1100" s="7" t="inlineStr">
        <is>
          <t>Home Office</t>
        </is>
      </c>
      <c r="I1100" s="7" t="n">
        <v>3</v>
      </c>
      <c r="J1100" s="10" t="n">
        <v>211.6</v>
      </c>
      <c r="K1100" s="11" t="n">
        <v>0</v>
      </c>
      <c r="L1100" s="10">
        <f>I1100*J1100*(1-K1100)</f>
        <v/>
      </c>
      <c r="M1100" s="10" t="n">
        <v>541.2</v>
      </c>
      <c r="N1100" s="10">
        <f>L1100-M1100</f>
        <v/>
      </c>
    </row>
    <row r="1101">
      <c r="A1101" s="7" t="inlineStr">
        <is>
          <t>ORD-04221</t>
        </is>
      </c>
      <c r="B1101" s="8" t="n">
        <v>45196</v>
      </c>
      <c r="C1101" s="9" t="n">
        <v>45170</v>
      </c>
      <c r="D1101" s="7" t="n">
        <v>2023</v>
      </c>
      <c r="E1101" s="7" t="inlineStr">
        <is>
          <t>South</t>
        </is>
      </c>
      <c r="F1101" s="7" t="inlineStr">
        <is>
          <t>Furniture</t>
        </is>
      </c>
      <c r="G1101" s="7" t="inlineStr">
        <is>
          <t>Office Chair</t>
        </is>
      </c>
      <c r="H1101" s="7" t="inlineStr">
        <is>
          <t>Consumer</t>
        </is>
      </c>
      <c r="I1101" s="7" t="n">
        <v>4</v>
      </c>
      <c r="J1101" s="10" t="n">
        <v>217.61</v>
      </c>
      <c r="K1101" s="11" t="n">
        <v>0.2</v>
      </c>
      <c r="L1101" s="10">
        <f>I1101*J1101*(1-K1101)</f>
        <v/>
      </c>
      <c r="M1101" s="10" t="n">
        <v>721.6</v>
      </c>
      <c r="N1101" s="10">
        <f>L1101-M1101</f>
        <v/>
      </c>
    </row>
    <row r="1102">
      <c r="A1102" s="7" t="inlineStr">
        <is>
          <t>ORD-04598</t>
        </is>
      </c>
      <c r="B1102" s="8" t="n">
        <v>45196</v>
      </c>
      <c r="C1102" s="9" t="n">
        <v>45170</v>
      </c>
      <c r="D1102" s="7" t="n">
        <v>2023</v>
      </c>
      <c r="E1102" s="7" t="inlineStr">
        <is>
          <t>East</t>
        </is>
      </c>
      <c r="F1102" s="7" t="inlineStr">
        <is>
          <t>Office Supplies</t>
        </is>
      </c>
      <c r="G1102" s="7" t="inlineStr">
        <is>
          <t>Printer Ink</t>
        </is>
      </c>
      <c r="H1102" s="7" t="inlineStr">
        <is>
          <t>Consumer</t>
        </is>
      </c>
      <c r="I1102" s="7" t="n">
        <v>5</v>
      </c>
      <c r="J1102" s="10" t="n">
        <v>61.02</v>
      </c>
      <c r="K1102" s="11" t="n">
        <v>0.2</v>
      </c>
      <c r="L1102" s="10">
        <f>I1102*J1102*(1-K1102)</f>
        <v/>
      </c>
      <c r="M1102" s="10" t="n">
        <v>180</v>
      </c>
      <c r="N1102" s="10">
        <f>L1102-M1102</f>
        <v/>
      </c>
    </row>
    <row r="1103">
      <c r="A1103" s="7" t="inlineStr">
        <is>
          <t>ORD-03068</t>
        </is>
      </c>
      <c r="B1103" s="8" t="n">
        <v>45196</v>
      </c>
      <c r="C1103" s="9" t="n">
        <v>45170</v>
      </c>
      <c r="D1103" s="7" t="n">
        <v>2023</v>
      </c>
      <c r="E1103" s="7" t="inlineStr">
        <is>
          <t>East</t>
        </is>
      </c>
      <c r="F1103" s="7" t="inlineStr">
        <is>
          <t>Technology</t>
        </is>
      </c>
      <c r="G1103" s="7" t="inlineStr">
        <is>
          <t>Headphones</t>
        </is>
      </c>
      <c r="H1103" s="7" t="inlineStr">
        <is>
          <t>Home Office</t>
        </is>
      </c>
      <c r="I1103" s="7" t="n">
        <v>3</v>
      </c>
      <c r="J1103" s="10" t="n">
        <v>114.51</v>
      </c>
      <c r="K1103" s="11" t="n">
        <v>0.2</v>
      </c>
      <c r="L1103" s="10">
        <f>I1103*J1103*(1-K1103)</f>
        <v/>
      </c>
      <c r="M1103" s="10" t="n">
        <v>216</v>
      </c>
      <c r="N1103" s="10">
        <f>L1103-M1103</f>
        <v/>
      </c>
    </row>
    <row r="1104">
      <c r="A1104" s="7" t="inlineStr">
        <is>
          <t>ORD-05747</t>
        </is>
      </c>
      <c r="B1104" s="8" t="n">
        <v>45197</v>
      </c>
      <c r="C1104" s="9" t="n">
        <v>45170</v>
      </c>
      <c r="D1104" s="7" t="n">
        <v>2023</v>
      </c>
      <c r="E1104" s="7" t="inlineStr">
        <is>
          <t>West</t>
        </is>
      </c>
      <c r="F1104" s="7" t="inlineStr">
        <is>
          <t>Furniture</t>
        </is>
      </c>
      <c r="G1104" s="7" t="inlineStr">
        <is>
          <t>Desk</t>
        </is>
      </c>
      <c r="H1104" s="7" t="inlineStr">
        <is>
          <t>Home Office</t>
        </is>
      </c>
      <c r="I1104" s="7" t="n">
        <v>1</v>
      </c>
      <c r="J1104" s="10" t="n">
        <v>441.86</v>
      </c>
      <c r="K1104" s="11" t="n">
        <v>0.1</v>
      </c>
      <c r="L1104" s="10">
        <f>I1104*J1104*(1-K1104)</f>
        <v/>
      </c>
      <c r="M1104" s="10" t="n">
        <v>382.5</v>
      </c>
      <c r="N1104" s="10">
        <f>L1104-M1104</f>
        <v/>
      </c>
    </row>
    <row r="1105">
      <c r="A1105" s="7" t="inlineStr">
        <is>
          <t>ORD-04351</t>
        </is>
      </c>
      <c r="B1105" s="8" t="n">
        <v>45197</v>
      </c>
      <c r="C1105" s="9" t="n">
        <v>45170</v>
      </c>
      <c r="D1105" s="7" t="n">
        <v>2023</v>
      </c>
      <c r="E1105" s="7" t="inlineStr">
        <is>
          <t>West</t>
        </is>
      </c>
      <c r="F1105" s="7" t="inlineStr">
        <is>
          <t>Technology</t>
        </is>
      </c>
      <c r="G1105" s="7" t="inlineStr">
        <is>
          <t>Monitor</t>
        </is>
      </c>
      <c r="H1105" s="7" t="inlineStr">
        <is>
          <t>Consumer</t>
        </is>
      </c>
      <c r="I1105" s="7" t="n">
        <v>1</v>
      </c>
      <c r="J1105" s="10" t="n">
        <v>247.87</v>
      </c>
      <c r="K1105" s="11" t="n">
        <v>0.2</v>
      </c>
      <c r="L1105" s="10">
        <f>I1105*J1105*(1-K1105)</f>
        <v/>
      </c>
      <c r="M1105" s="10" t="n">
        <v>180</v>
      </c>
      <c r="N1105" s="10">
        <f>L1105-M1105</f>
        <v/>
      </c>
    </row>
    <row r="1106">
      <c r="A1106" s="7" t="inlineStr">
        <is>
          <t>ORD-01463</t>
        </is>
      </c>
      <c r="B1106" s="8" t="n">
        <v>45197</v>
      </c>
      <c r="C1106" s="9" t="n">
        <v>45170</v>
      </c>
      <c r="D1106" s="7" t="n">
        <v>2023</v>
      </c>
      <c r="E1106" s="7" t="inlineStr">
        <is>
          <t>West</t>
        </is>
      </c>
      <c r="F1106" s="7" t="inlineStr">
        <is>
          <t>Office Supplies</t>
        </is>
      </c>
      <c r="G1106" s="7" t="inlineStr">
        <is>
          <t>Paper</t>
        </is>
      </c>
      <c r="H1106" s="7" t="inlineStr">
        <is>
          <t>Corporate</t>
        </is>
      </c>
      <c r="I1106" s="7" t="n">
        <v>7</v>
      </c>
      <c r="J1106" s="10" t="n">
        <v>26.05</v>
      </c>
      <c r="K1106" s="11" t="n">
        <v>0</v>
      </c>
      <c r="L1106" s="10">
        <f>I1106*J1106*(1-K1106)</f>
        <v/>
      </c>
      <c r="M1106" s="10" t="n">
        <v>87.5</v>
      </c>
      <c r="N1106" s="10">
        <f>L1106-M1106</f>
        <v/>
      </c>
    </row>
    <row r="1107">
      <c r="A1107" s="7" t="inlineStr">
        <is>
          <t>ORD-05650</t>
        </is>
      </c>
      <c r="B1107" s="8" t="n">
        <v>45197</v>
      </c>
      <c r="C1107" s="9" t="n">
        <v>45170</v>
      </c>
      <c r="D1107" s="7" t="n">
        <v>2023</v>
      </c>
      <c r="E1107" s="7" t="inlineStr">
        <is>
          <t>North</t>
        </is>
      </c>
      <c r="F1107" s="7" t="inlineStr">
        <is>
          <t>Technology</t>
        </is>
      </c>
      <c r="G1107" s="7" t="inlineStr">
        <is>
          <t>Keyboard</t>
        </is>
      </c>
      <c r="H1107" s="7" t="inlineStr">
        <is>
          <t>Corporate</t>
        </is>
      </c>
      <c r="I1107" s="7" t="n">
        <v>2</v>
      </c>
      <c r="J1107" s="10" t="n">
        <v>47.02</v>
      </c>
      <c r="K1107" s="11" t="n">
        <v>0</v>
      </c>
      <c r="L1107" s="10">
        <f>I1107*J1107*(1-K1107)</f>
        <v/>
      </c>
      <c r="M1107" s="10" t="n">
        <v>49.5</v>
      </c>
      <c r="N1107" s="10">
        <f>L1107-M1107</f>
        <v/>
      </c>
    </row>
    <row r="1108">
      <c r="A1108" s="7" t="inlineStr">
        <is>
          <t>ORD-02970</t>
        </is>
      </c>
      <c r="B1108" s="8" t="n">
        <v>45198</v>
      </c>
      <c r="C1108" s="9" t="n">
        <v>45170</v>
      </c>
      <c r="D1108" s="7" t="n">
        <v>2023</v>
      </c>
      <c r="E1108" s="7" t="inlineStr">
        <is>
          <t>East</t>
        </is>
      </c>
      <c r="F1108" s="7" t="inlineStr">
        <is>
          <t>Technology</t>
        </is>
      </c>
      <c r="G1108" s="7" t="inlineStr">
        <is>
          <t>Smartphone</t>
        </is>
      </c>
      <c r="H1108" s="7" t="inlineStr">
        <is>
          <t>Home Office</t>
        </is>
      </c>
      <c r="I1108" s="7" t="n">
        <v>1</v>
      </c>
      <c r="J1108" s="10" t="n">
        <v>622.09</v>
      </c>
      <c r="K1108" s="11" t="n">
        <v>0</v>
      </c>
      <c r="L1108" s="10">
        <f>I1108*J1108*(1-K1108)</f>
        <v/>
      </c>
      <c r="M1108" s="10" t="n">
        <v>450</v>
      </c>
      <c r="N1108" s="10">
        <f>L1108-M1108</f>
        <v/>
      </c>
    </row>
    <row r="1109">
      <c r="A1109" s="7" t="inlineStr">
        <is>
          <t>ORD-05309</t>
        </is>
      </c>
      <c r="B1109" s="8" t="n">
        <v>45198</v>
      </c>
      <c r="C1109" s="9" t="n">
        <v>45170</v>
      </c>
      <c r="D1109" s="7" t="n">
        <v>2023</v>
      </c>
      <c r="E1109" s="7" t="inlineStr">
        <is>
          <t>West</t>
        </is>
      </c>
      <c r="F1109" s="7" t="inlineStr">
        <is>
          <t>Office Supplies</t>
        </is>
      </c>
      <c r="G1109" s="7" t="inlineStr">
        <is>
          <t>Stapler</t>
        </is>
      </c>
      <c r="H1109" s="7" t="inlineStr">
        <is>
          <t>Home Office</t>
        </is>
      </c>
      <c r="I1109" s="7" t="n">
        <v>10</v>
      </c>
      <c r="J1109" s="10" t="n">
        <v>14.44</v>
      </c>
      <c r="K1109" s="11" t="n">
        <v>0.2</v>
      </c>
      <c r="L1109" s="10">
        <f>I1109*J1109*(1-K1109)</f>
        <v/>
      </c>
      <c r="M1109" s="10" t="n">
        <v>75</v>
      </c>
      <c r="N1109" s="10">
        <f>L1109-M1109</f>
        <v/>
      </c>
    </row>
    <row r="1110">
      <c r="A1110" s="7" t="inlineStr">
        <is>
          <t>ORD-03150</t>
        </is>
      </c>
      <c r="B1110" s="8" t="n">
        <v>45198</v>
      </c>
      <c r="C1110" s="9" t="n">
        <v>45170</v>
      </c>
      <c r="D1110" s="7" t="n">
        <v>2023</v>
      </c>
      <c r="E1110" s="7" t="inlineStr">
        <is>
          <t>West</t>
        </is>
      </c>
      <c r="F1110" s="7" t="inlineStr">
        <is>
          <t>Technology</t>
        </is>
      </c>
      <c r="G1110" s="7" t="inlineStr">
        <is>
          <t>Laptop</t>
        </is>
      </c>
      <c r="H1110" s="7" t="inlineStr">
        <is>
          <t>Home Office</t>
        </is>
      </c>
      <c r="I1110" s="7" t="n">
        <v>2</v>
      </c>
      <c r="J1110" s="10" t="n">
        <v>876.85</v>
      </c>
      <c r="K1110" s="11" t="n">
        <v>0.05</v>
      </c>
      <c r="L1110" s="10">
        <f>I1110*J1110*(1-K1110)</f>
        <v/>
      </c>
      <c r="M1110" s="10" t="n">
        <v>1404</v>
      </c>
      <c r="N1110" s="10">
        <f>L1110-M1110</f>
        <v/>
      </c>
    </row>
    <row r="1111">
      <c r="A1111" s="7" t="inlineStr">
        <is>
          <t>ORD-02809</t>
        </is>
      </c>
      <c r="B1111" s="8" t="n">
        <v>45198</v>
      </c>
      <c r="C1111" s="9" t="n">
        <v>45170</v>
      </c>
      <c r="D1111" s="7" t="n">
        <v>2023</v>
      </c>
      <c r="E1111" s="7" t="inlineStr">
        <is>
          <t>North</t>
        </is>
      </c>
      <c r="F1111" s="7" t="inlineStr">
        <is>
          <t>Technology</t>
        </is>
      </c>
      <c r="G1111" s="7" t="inlineStr">
        <is>
          <t>Laptop</t>
        </is>
      </c>
      <c r="H1111" s="7" t="inlineStr">
        <is>
          <t>Corporate</t>
        </is>
      </c>
      <c r="I1111" s="7" t="n">
        <v>1</v>
      </c>
      <c r="J1111" s="10" t="n">
        <v>896.3099999999999</v>
      </c>
      <c r="K1111" s="11" t="n">
        <v>0</v>
      </c>
      <c r="L1111" s="10">
        <f>I1111*J1111*(1-K1111)</f>
        <v/>
      </c>
      <c r="M1111" s="10" t="n">
        <v>702</v>
      </c>
      <c r="N1111" s="10">
        <f>L1111-M1111</f>
        <v/>
      </c>
    </row>
    <row r="1112">
      <c r="A1112" s="7" t="inlineStr">
        <is>
          <t>ORD-00456</t>
        </is>
      </c>
      <c r="B1112" s="8" t="n">
        <v>45198</v>
      </c>
      <c r="C1112" s="9" t="n">
        <v>45170</v>
      </c>
      <c r="D1112" s="7" t="n">
        <v>2023</v>
      </c>
      <c r="E1112" s="7" t="inlineStr">
        <is>
          <t>South</t>
        </is>
      </c>
      <c r="F1112" s="7" t="inlineStr">
        <is>
          <t>Office Supplies</t>
        </is>
      </c>
      <c r="G1112" s="7" t="inlineStr">
        <is>
          <t>Printer Ink</t>
        </is>
      </c>
      <c r="H1112" s="7" t="inlineStr">
        <is>
          <t>Home Office</t>
        </is>
      </c>
      <c r="I1112" s="7" t="n">
        <v>7</v>
      </c>
      <c r="J1112" s="10" t="n">
        <v>60.08</v>
      </c>
      <c r="K1112" s="11" t="n">
        <v>0.3</v>
      </c>
      <c r="L1112" s="10">
        <f>I1112*J1112*(1-K1112)</f>
        <v/>
      </c>
      <c r="M1112" s="10" t="n">
        <v>252</v>
      </c>
      <c r="N1112" s="10">
        <f>L1112-M1112</f>
        <v/>
      </c>
    </row>
    <row r="1113">
      <c r="A1113" s="7" t="inlineStr">
        <is>
          <t>ORD-03564</t>
        </is>
      </c>
      <c r="B1113" s="8" t="n">
        <v>45199</v>
      </c>
      <c r="C1113" s="9" t="n">
        <v>45170</v>
      </c>
      <c r="D1113" s="7" t="n">
        <v>2023</v>
      </c>
      <c r="E1113" s="7" t="inlineStr">
        <is>
          <t>South</t>
        </is>
      </c>
      <c r="F1113" s="7" t="inlineStr">
        <is>
          <t>Furniture</t>
        </is>
      </c>
      <c r="G1113" s="7" t="inlineStr">
        <is>
          <t>Desk</t>
        </is>
      </c>
      <c r="H1113" s="7" t="inlineStr">
        <is>
          <t>Home Office</t>
        </is>
      </c>
      <c r="I1113" s="7" t="n">
        <v>1</v>
      </c>
      <c r="J1113" s="10" t="n">
        <v>437.41</v>
      </c>
      <c r="K1113" s="11" t="n">
        <v>0.2</v>
      </c>
      <c r="L1113" s="10">
        <f>I1113*J1113*(1-K1113)</f>
        <v/>
      </c>
      <c r="M1113" s="10" t="n">
        <v>382.5</v>
      </c>
      <c r="N1113" s="10">
        <f>L1113-M1113</f>
        <v/>
      </c>
    </row>
    <row r="1114">
      <c r="A1114" s="7" t="inlineStr">
        <is>
          <t>ORD-03685</t>
        </is>
      </c>
      <c r="B1114" s="8" t="n">
        <v>45199</v>
      </c>
      <c r="C1114" s="9" t="n">
        <v>45170</v>
      </c>
      <c r="D1114" s="7" t="n">
        <v>2023</v>
      </c>
      <c r="E1114" s="7" t="inlineStr">
        <is>
          <t>West</t>
        </is>
      </c>
      <c r="F1114" s="7" t="inlineStr">
        <is>
          <t>Technology</t>
        </is>
      </c>
      <c r="G1114" s="7" t="inlineStr">
        <is>
          <t>Smartphone</t>
        </is>
      </c>
      <c r="H1114" s="7" t="inlineStr">
        <is>
          <t>Consumer</t>
        </is>
      </c>
      <c r="I1114" s="7" t="n">
        <v>1</v>
      </c>
      <c r="J1114" s="10" t="n">
        <v>624.16</v>
      </c>
      <c r="K1114" s="11" t="n">
        <v>0</v>
      </c>
      <c r="L1114" s="10">
        <f>I1114*J1114*(1-K1114)</f>
        <v/>
      </c>
      <c r="M1114" s="10" t="n">
        <v>450</v>
      </c>
      <c r="N1114" s="10">
        <f>L1114-M1114</f>
        <v/>
      </c>
    </row>
    <row r="1115">
      <c r="A1115" s="7" t="inlineStr">
        <is>
          <t>ORD-03039</t>
        </is>
      </c>
      <c r="B1115" s="8" t="n">
        <v>45199</v>
      </c>
      <c r="C1115" s="9" t="n">
        <v>45170</v>
      </c>
      <c r="D1115" s="7" t="n">
        <v>2023</v>
      </c>
      <c r="E1115" s="7" t="inlineStr">
        <is>
          <t>East</t>
        </is>
      </c>
      <c r="F1115" s="7" t="inlineStr">
        <is>
          <t>Technology</t>
        </is>
      </c>
      <c r="G1115" s="7" t="inlineStr">
        <is>
          <t>Headphones</t>
        </is>
      </c>
      <c r="H1115" s="7" t="inlineStr">
        <is>
          <t>Consumer</t>
        </is>
      </c>
      <c r="I1115" s="7" t="n">
        <v>1</v>
      </c>
      <c r="J1115" s="10" t="n">
        <v>120.85</v>
      </c>
      <c r="K1115" s="11" t="n">
        <v>0</v>
      </c>
      <c r="L1115" s="10">
        <f>I1115*J1115*(1-K1115)</f>
        <v/>
      </c>
      <c r="M1115" s="10" t="n">
        <v>72</v>
      </c>
      <c r="N1115" s="10">
        <f>L1115-M1115</f>
        <v/>
      </c>
    </row>
    <row r="1116">
      <c r="A1116" s="7" t="inlineStr">
        <is>
          <t>ORD-04006</t>
        </is>
      </c>
      <c r="B1116" s="8" t="n">
        <v>45199</v>
      </c>
      <c r="C1116" s="9" t="n">
        <v>45170</v>
      </c>
      <c r="D1116" s="7" t="n">
        <v>2023</v>
      </c>
      <c r="E1116" s="7" t="inlineStr">
        <is>
          <t>West</t>
        </is>
      </c>
      <c r="F1116" s="7" t="inlineStr">
        <is>
          <t>Office Supplies</t>
        </is>
      </c>
      <c r="G1116" s="7" t="inlineStr">
        <is>
          <t>Binder</t>
        </is>
      </c>
      <c r="H1116" s="7" t="inlineStr">
        <is>
          <t>Home Office</t>
        </is>
      </c>
      <c r="I1116" s="7" t="n">
        <v>3</v>
      </c>
      <c r="J1116" s="10" t="n">
        <v>7.7</v>
      </c>
      <c r="K1116" s="11" t="n">
        <v>0.1</v>
      </c>
      <c r="L1116" s="10">
        <f>I1116*J1116*(1-K1116)</f>
        <v/>
      </c>
      <c r="M1116" s="10" t="n">
        <v>9.6</v>
      </c>
      <c r="N1116" s="10">
        <f>L1116-M1116</f>
        <v/>
      </c>
    </row>
    <row r="1117">
      <c r="A1117" s="7" t="inlineStr">
        <is>
          <t>ORD-05237</t>
        </is>
      </c>
      <c r="B1117" s="8" t="n">
        <v>45199</v>
      </c>
      <c r="C1117" s="9" t="n">
        <v>45170</v>
      </c>
      <c r="D1117" s="7" t="n">
        <v>2023</v>
      </c>
      <c r="E1117" s="7" t="inlineStr">
        <is>
          <t>East</t>
        </is>
      </c>
      <c r="F1117" s="7" t="inlineStr">
        <is>
          <t>Office Supplies</t>
        </is>
      </c>
      <c r="G1117" s="7" t="inlineStr">
        <is>
          <t>Pens</t>
        </is>
      </c>
      <c r="H1117" s="7" t="inlineStr">
        <is>
          <t>Corporate</t>
        </is>
      </c>
      <c r="I1117" s="7" t="n">
        <v>13</v>
      </c>
      <c r="J1117" s="10" t="n">
        <v>12.6</v>
      </c>
      <c r="K1117" s="11" t="n">
        <v>0.1</v>
      </c>
      <c r="L1117" s="10">
        <f>I1117*J1117*(1-K1117)</f>
        <v/>
      </c>
      <c r="M1117" s="10" t="n">
        <v>70.2</v>
      </c>
      <c r="N1117" s="10">
        <f>L1117-M1117</f>
        <v/>
      </c>
    </row>
    <row r="1118">
      <c r="A1118" s="7" t="inlineStr">
        <is>
          <t>ORD-01645</t>
        </is>
      </c>
      <c r="B1118" s="8" t="n">
        <v>45200</v>
      </c>
      <c r="C1118" s="9" t="n">
        <v>45200</v>
      </c>
      <c r="D1118" s="7" t="n">
        <v>2023</v>
      </c>
      <c r="E1118" s="7" t="inlineStr">
        <is>
          <t>South</t>
        </is>
      </c>
      <c r="F1118" s="7" t="inlineStr">
        <is>
          <t>Technology</t>
        </is>
      </c>
      <c r="G1118" s="7" t="inlineStr">
        <is>
          <t>Laptop</t>
        </is>
      </c>
      <c r="H1118" s="7" t="inlineStr">
        <is>
          <t>Consumer</t>
        </is>
      </c>
      <c r="I1118" s="7" t="n">
        <v>1</v>
      </c>
      <c r="J1118" s="10" t="n">
        <v>941.0700000000001</v>
      </c>
      <c r="K1118" s="11" t="n">
        <v>0</v>
      </c>
      <c r="L1118" s="10">
        <f>I1118*J1118*(1-K1118)</f>
        <v/>
      </c>
      <c r="M1118" s="10" t="n">
        <v>702</v>
      </c>
      <c r="N1118" s="10">
        <f>L1118-M1118</f>
        <v/>
      </c>
    </row>
    <row r="1119">
      <c r="A1119" s="7" t="inlineStr">
        <is>
          <t>ORD-04216</t>
        </is>
      </c>
      <c r="B1119" s="8" t="n">
        <v>45200</v>
      </c>
      <c r="C1119" s="9" t="n">
        <v>45200</v>
      </c>
      <c r="D1119" s="7" t="n">
        <v>2023</v>
      </c>
      <c r="E1119" s="7" t="inlineStr">
        <is>
          <t>East</t>
        </is>
      </c>
      <c r="F1119" s="7" t="inlineStr">
        <is>
          <t>Office Supplies</t>
        </is>
      </c>
      <c r="G1119" s="7" t="inlineStr">
        <is>
          <t>Binder</t>
        </is>
      </c>
      <c r="H1119" s="7" t="inlineStr">
        <is>
          <t>Corporate</t>
        </is>
      </c>
      <c r="I1119" s="7" t="n">
        <v>4</v>
      </c>
      <c r="J1119" s="10" t="n">
        <v>8.08</v>
      </c>
      <c r="K1119" s="11" t="n">
        <v>0.2</v>
      </c>
      <c r="L1119" s="10">
        <f>I1119*J1119*(1-K1119)</f>
        <v/>
      </c>
      <c r="M1119" s="10" t="n">
        <v>12.8</v>
      </c>
      <c r="N1119" s="10">
        <f>L1119-M1119</f>
        <v/>
      </c>
    </row>
    <row r="1120">
      <c r="A1120" s="7" t="inlineStr">
        <is>
          <t>ORD-00716</t>
        </is>
      </c>
      <c r="B1120" s="8" t="n">
        <v>45200</v>
      </c>
      <c r="C1120" s="9" t="n">
        <v>45200</v>
      </c>
      <c r="D1120" s="7" t="n">
        <v>2023</v>
      </c>
      <c r="E1120" s="7" t="inlineStr">
        <is>
          <t>North</t>
        </is>
      </c>
      <c r="F1120" s="7" t="inlineStr">
        <is>
          <t>Office Supplies</t>
        </is>
      </c>
      <c r="G1120" s="7" t="inlineStr">
        <is>
          <t>Printer Ink</t>
        </is>
      </c>
      <c r="H1120" s="7" t="inlineStr">
        <is>
          <t>Consumer</t>
        </is>
      </c>
      <c r="I1120" s="7" t="n">
        <v>9</v>
      </c>
      <c r="J1120" s="10" t="n">
        <v>62.15</v>
      </c>
      <c r="K1120" s="11" t="n">
        <v>0.1</v>
      </c>
      <c r="L1120" s="10">
        <f>I1120*J1120*(1-K1120)</f>
        <v/>
      </c>
      <c r="M1120" s="10" t="n">
        <v>324</v>
      </c>
      <c r="N1120" s="10">
        <f>L1120-M1120</f>
        <v/>
      </c>
    </row>
    <row r="1121">
      <c r="A1121" s="7" t="inlineStr">
        <is>
          <t>ORD-02078</t>
        </is>
      </c>
      <c r="B1121" s="8" t="n">
        <v>45201</v>
      </c>
      <c r="C1121" s="9" t="n">
        <v>45200</v>
      </c>
      <c r="D1121" s="7" t="n">
        <v>2023</v>
      </c>
      <c r="E1121" s="7" t="inlineStr">
        <is>
          <t>West</t>
        </is>
      </c>
      <c r="F1121" s="7" t="inlineStr">
        <is>
          <t>Office Supplies</t>
        </is>
      </c>
      <c r="G1121" s="7" t="inlineStr">
        <is>
          <t>Binder</t>
        </is>
      </c>
      <c r="H1121" s="7" t="inlineStr">
        <is>
          <t>Consumer</t>
        </is>
      </c>
      <c r="I1121" s="7" t="n">
        <v>4</v>
      </c>
      <c r="J1121" s="10" t="n">
        <v>7.95</v>
      </c>
      <c r="K1121" s="11" t="n">
        <v>0.1</v>
      </c>
      <c r="L1121" s="10">
        <f>I1121*J1121*(1-K1121)</f>
        <v/>
      </c>
      <c r="M1121" s="10" t="n">
        <v>12.8</v>
      </c>
      <c r="N1121" s="10">
        <f>L1121-M1121</f>
        <v/>
      </c>
    </row>
    <row r="1122">
      <c r="A1122" s="7" t="inlineStr">
        <is>
          <t>ORD-04094</t>
        </is>
      </c>
      <c r="B1122" s="8" t="n">
        <v>45201</v>
      </c>
      <c r="C1122" s="9" t="n">
        <v>45200</v>
      </c>
      <c r="D1122" s="7" t="n">
        <v>2023</v>
      </c>
      <c r="E1122" s="7" t="inlineStr">
        <is>
          <t>South</t>
        </is>
      </c>
      <c r="F1122" s="7" t="inlineStr">
        <is>
          <t>Furniture</t>
        </is>
      </c>
      <c r="G1122" s="7" t="inlineStr">
        <is>
          <t>Bookcase</t>
        </is>
      </c>
      <c r="H1122" s="7" t="inlineStr">
        <is>
          <t>Consumer</t>
        </is>
      </c>
      <c r="I1122" s="7" t="n">
        <v>1</v>
      </c>
      <c r="J1122" s="10" t="n">
        <v>171.78</v>
      </c>
      <c r="K1122" s="11" t="n">
        <v>0.3</v>
      </c>
      <c r="L1122" s="10">
        <f>I1122*J1122*(1-K1122)</f>
        <v/>
      </c>
      <c r="M1122" s="10" t="n">
        <v>144</v>
      </c>
      <c r="N1122" s="10">
        <f>L1122-M1122</f>
        <v/>
      </c>
    </row>
    <row r="1123">
      <c r="A1123" s="7" t="inlineStr">
        <is>
          <t>ORD-03942</t>
        </is>
      </c>
      <c r="B1123" s="8" t="n">
        <v>45201</v>
      </c>
      <c r="C1123" s="9" t="n">
        <v>45200</v>
      </c>
      <c r="D1123" s="7" t="n">
        <v>2023</v>
      </c>
      <c r="E1123" s="7" t="inlineStr">
        <is>
          <t>West</t>
        </is>
      </c>
      <c r="F1123" s="7" t="inlineStr">
        <is>
          <t>Office Supplies</t>
        </is>
      </c>
      <c r="G1123" s="7" t="inlineStr">
        <is>
          <t>Paper</t>
        </is>
      </c>
      <c r="H1123" s="7" t="inlineStr">
        <is>
          <t>Corporate</t>
        </is>
      </c>
      <c r="I1123" s="7" t="n">
        <v>5</v>
      </c>
      <c r="J1123" s="10" t="n">
        <v>23.96</v>
      </c>
      <c r="K1123" s="11" t="n">
        <v>0</v>
      </c>
      <c r="L1123" s="10">
        <f>I1123*J1123*(1-K1123)</f>
        <v/>
      </c>
      <c r="M1123" s="10" t="n">
        <v>62.5</v>
      </c>
      <c r="N1123" s="10">
        <f>L1123-M1123</f>
        <v/>
      </c>
    </row>
    <row r="1124">
      <c r="A1124" s="7" t="inlineStr">
        <is>
          <t>ORD-03155</t>
        </is>
      </c>
      <c r="B1124" s="8" t="n">
        <v>45201</v>
      </c>
      <c r="C1124" s="9" t="n">
        <v>45200</v>
      </c>
      <c r="D1124" s="7" t="n">
        <v>2023</v>
      </c>
      <c r="E1124" s="7" t="inlineStr">
        <is>
          <t>East</t>
        </is>
      </c>
      <c r="F1124" s="7" t="inlineStr">
        <is>
          <t>Office Supplies</t>
        </is>
      </c>
      <c r="G1124" s="7" t="inlineStr">
        <is>
          <t>Paper</t>
        </is>
      </c>
      <c r="H1124" s="7" t="inlineStr">
        <is>
          <t>Corporate</t>
        </is>
      </c>
      <c r="I1124" s="7" t="n">
        <v>9</v>
      </c>
      <c r="J1124" s="10" t="n">
        <v>24.96</v>
      </c>
      <c r="K1124" s="11" t="n">
        <v>0</v>
      </c>
      <c r="L1124" s="10">
        <f>I1124*J1124*(1-K1124)</f>
        <v/>
      </c>
      <c r="M1124" s="10" t="n">
        <v>112.5</v>
      </c>
      <c r="N1124" s="10">
        <f>L1124-M1124</f>
        <v/>
      </c>
    </row>
    <row r="1125">
      <c r="A1125" s="7" t="inlineStr">
        <is>
          <t>ORD-00899</t>
        </is>
      </c>
      <c r="B1125" s="8" t="n">
        <v>45201</v>
      </c>
      <c r="C1125" s="9" t="n">
        <v>45200</v>
      </c>
      <c r="D1125" s="7" t="n">
        <v>2023</v>
      </c>
      <c r="E1125" s="7" t="inlineStr">
        <is>
          <t>South</t>
        </is>
      </c>
      <c r="F1125" s="7" t="inlineStr">
        <is>
          <t>Office Supplies</t>
        </is>
      </c>
      <c r="G1125" s="7" t="inlineStr">
        <is>
          <t>Stapler</t>
        </is>
      </c>
      <c r="H1125" s="7" t="inlineStr">
        <is>
          <t>Corporate</t>
        </is>
      </c>
      <c r="I1125" s="7" t="n">
        <v>12</v>
      </c>
      <c r="J1125" s="10" t="n">
        <v>14.38</v>
      </c>
      <c r="K1125" s="11" t="n">
        <v>0.1</v>
      </c>
      <c r="L1125" s="10">
        <f>I1125*J1125*(1-K1125)</f>
        <v/>
      </c>
      <c r="M1125" s="10" t="n">
        <v>90</v>
      </c>
      <c r="N1125" s="10">
        <f>L1125-M1125</f>
        <v/>
      </c>
    </row>
    <row r="1126">
      <c r="A1126" s="7" t="inlineStr">
        <is>
          <t>ORD-02204</t>
        </is>
      </c>
      <c r="B1126" s="8" t="n">
        <v>45201</v>
      </c>
      <c r="C1126" s="9" t="n">
        <v>45200</v>
      </c>
      <c r="D1126" s="7" t="n">
        <v>2023</v>
      </c>
      <c r="E1126" s="7" t="inlineStr">
        <is>
          <t>East</t>
        </is>
      </c>
      <c r="F1126" s="7" t="inlineStr">
        <is>
          <t>Office Supplies</t>
        </is>
      </c>
      <c r="G1126" s="7" t="inlineStr">
        <is>
          <t>Printer Ink</t>
        </is>
      </c>
      <c r="H1126" s="7" t="inlineStr">
        <is>
          <t>Corporate</t>
        </is>
      </c>
      <c r="I1126" s="7" t="n">
        <v>8</v>
      </c>
      <c r="J1126" s="10" t="n">
        <v>61.61</v>
      </c>
      <c r="K1126" s="11" t="n">
        <v>0</v>
      </c>
      <c r="L1126" s="10">
        <f>I1126*J1126*(1-K1126)</f>
        <v/>
      </c>
      <c r="M1126" s="10" t="n">
        <v>288</v>
      </c>
      <c r="N1126" s="10">
        <f>L1126-M1126</f>
        <v/>
      </c>
    </row>
    <row r="1127">
      <c r="A1127" s="7" t="inlineStr">
        <is>
          <t>ORD-04427</t>
        </is>
      </c>
      <c r="B1127" s="8" t="n">
        <v>45202</v>
      </c>
      <c r="C1127" s="9" t="n">
        <v>45200</v>
      </c>
      <c r="D1127" s="7" t="n">
        <v>2023</v>
      </c>
      <c r="E1127" s="7" t="inlineStr">
        <is>
          <t>West</t>
        </is>
      </c>
      <c r="F1127" s="7" t="inlineStr">
        <is>
          <t>Office Supplies</t>
        </is>
      </c>
      <c r="G1127" s="7" t="inlineStr">
        <is>
          <t>Pens</t>
        </is>
      </c>
      <c r="H1127" s="7" t="inlineStr">
        <is>
          <t>Consumer</t>
        </is>
      </c>
      <c r="I1127" s="7" t="n">
        <v>13</v>
      </c>
      <c r="J1127" s="10" t="n">
        <v>11.64</v>
      </c>
      <c r="K1127" s="11" t="n">
        <v>0.3</v>
      </c>
      <c r="L1127" s="10">
        <f>I1127*J1127*(1-K1127)</f>
        <v/>
      </c>
      <c r="M1127" s="10" t="n">
        <v>70.2</v>
      </c>
      <c r="N1127" s="10">
        <f>L1127-M1127</f>
        <v/>
      </c>
    </row>
    <row r="1128">
      <c r="A1128" s="7" t="inlineStr">
        <is>
          <t>ORD-04253</t>
        </is>
      </c>
      <c r="B1128" s="8" t="n">
        <v>45202</v>
      </c>
      <c r="C1128" s="9" t="n">
        <v>45200</v>
      </c>
      <c r="D1128" s="7" t="n">
        <v>2023</v>
      </c>
      <c r="E1128" s="7" t="inlineStr">
        <is>
          <t>North</t>
        </is>
      </c>
      <c r="F1128" s="7" t="inlineStr">
        <is>
          <t>Office Supplies</t>
        </is>
      </c>
      <c r="G1128" s="7" t="inlineStr">
        <is>
          <t>Binder</t>
        </is>
      </c>
      <c r="H1128" s="7" t="inlineStr">
        <is>
          <t>Consumer</t>
        </is>
      </c>
      <c r="I1128" s="7" t="n">
        <v>3</v>
      </c>
      <c r="J1128" s="10" t="n">
        <v>7.73</v>
      </c>
      <c r="K1128" s="11" t="n">
        <v>0</v>
      </c>
      <c r="L1128" s="10">
        <f>I1128*J1128*(1-K1128)</f>
        <v/>
      </c>
      <c r="M1128" s="10" t="n">
        <v>9.6</v>
      </c>
      <c r="N1128" s="10">
        <f>L1128-M1128</f>
        <v/>
      </c>
    </row>
    <row r="1129">
      <c r="A1129" s="7" t="inlineStr">
        <is>
          <t>ORD-02748</t>
        </is>
      </c>
      <c r="B1129" s="8" t="n">
        <v>45202</v>
      </c>
      <c r="C1129" s="9" t="n">
        <v>45200</v>
      </c>
      <c r="D1129" s="7" t="n">
        <v>2023</v>
      </c>
      <c r="E1129" s="7" t="inlineStr">
        <is>
          <t>North</t>
        </is>
      </c>
      <c r="F1129" s="7" t="inlineStr">
        <is>
          <t>Technology</t>
        </is>
      </c>
      <c r="G1129" s="7" t="inlineStr">
        <is>
          <t>Headphones</t>
        </is>
      </c>
      <c r="H1129" s="7" t="inlineStr">
        <is>
          <t>Consumer</t>
        </is>
      </c>
      <c r="I1129" s="7" t="n">
        <v>1</v>
      </c>
      <c r="J1129" s="10" t="n">
        <v>122.76</v>
      </c>
      <c r="K1129" s="11" t="n">
        <v>0</v>
      </c>
      <c r="L1129" s="10">
        <f>I1129*J1129*(1-K1129)</f>
        <v/>
      </c>
      <c r="M1129" s="10" t="n">
        <v>72</v>
      </c>
      <c r="N1129" s="10">
        <f>L1129-M1129</f>
        <v/>
      </c>
    </row>
    <row r="1130">
      <c r="A1130" s="7" t="inlineStr">
        <is>
          <t>ORD-03109</t>
        </is>
      </c>
      <c r="B1130" s="8" t="n">
        <v>45202</v>
      </c>
      <c r="C1130" s="9" t="n">
        <v>45200</v>
      </c>
      <c r="D1130" s="7" t="n">
        <v>2023</v>
      </c>
      <c r="E1130" s="7" t="inlineStr">
        <is>
          <t>South</t>
        </is>
      </c>
      <c r="F1130" s="7" t="inlineStr">
        <is>
          <t>Office Supplies</t>
        </is>
      </c>
      <c r="G1130" s="7" t="inlineStr">
        <is>
          <t>Paper</t>
        </is>
      </c>
      <c r="H1130" s="7" t="inlineStr">
        <is>
          <t>Consumer</t>
        </is>
      </c>
      <c r="I1130" s="7" t="n">
        <v>12</v>
      </c>
      <c r="J1130" s="10" t="n">
        <v>25.12</v>
      </c>
      <c r="K1130" s="11" t="n">
        <v>0.2</v>
      </c>
      <c r="L1130" s="10">
        <f>I1130*J1130*(1-K1130)</f>
        <v/>
      </c>
      <c r="M1130" s="10" t="n">
        <v>150</v>
      </c>
      <c r="N1130" s="10">
        <f>L1130-M1130</f>
        <v/>
      </c>
    </row>
    <row r="1131">
      <c r="A1131" s="7" t="inlineStr">
        <is>
          <t>ORD-00980</t>
        </is>
      </c>
      <c r="B1131" s="8" t="n">
        <v>45202</v>
      </c>
      <c r="C1131" s="9" t="n">
        <v>45200</v>
      </c>
      <c r="D1131" s="7" t="n">
        <v>2023</v>
      </c>
      <c r="E1131" s="7" t="inlineStr">
        <is>
          <t>South</t>
        </is>
      </c>
      <c r="F1131" s="7" t="inlineStr">
        <is>
          <t>Office Supplies</t>
        </is>
      </c>
      <c r="G1131" s="7" t="inlineStr">
        <is>
          <t>Binder</t>
        </is>
      </c>
      <c r="H1131" s="7" t="inlineStr">
        <is>
          <t>Home Office</t>
        </is>
      </c>
      <c r="I1131" s="7" t="n">
        <v>3</v>
      </c>
      <c r="J1131" s="10" t="n">
        <v>8.220000000000001</v>
      </c>
      <c r="K1131" s="11" t="n">
        <v>0.3</v>
      </c>
      <c r="L1131" s="10">
        <f>I1131*J1131*(1-K1131)</f>
        <v/>
      </c>
      <c r="M1131" s="10" t="n">
        <v>9.6</v>
      </c>
      <c r="N1131" s="10">
        <f>L1131-M1131</f>
        <v/>
      </c>
    </row>
    <row r="1132">
      <c r="A1132" s="7" t="inlineStr">
        <is>
          <t>ORD-01337</t>
        </is>
      </c>
      <c r="B1132" s="8" t="n">
        <v>45203</v>
      </c>
      <c r="C1132" s="9" t="n">
        <v>45200</v>
      </c>
      <c r="D1132" s="7" t="n">
        <v>2023</v>
      </c>
      <c r="E1132" s="7" t="inlineStr">
        <is>
          <t>South</t>
        </is>
      </c>
      <c r="F1132" s="7" t="inlineStr">
        <is>
          <t>Office Supplies</t>
        </is>
      </c>
      <c r="G1132" s="7" t="inlineStr">
        <is>
          <t>Pens</t>
        </is>
      </c>
      <c r="H1132" s="7" t="inlineStr">
        <is>
          <t>Consumer</t>
        </is>
      </c>
      <c r="I1132" s="7" t="n">
        <v>7</v>
      </c>
      <c r="J1132" s="10" t="n">
        <v>12.5</v>
      </c>
      <c r="K1132" s="11" t="n">
        <v>0.05</v>
      </c>
      <c r="L1132" s="10">
        <f>I1132*J1132*(1-K1132)</f>
        <v/>
      </c>
      <c r="M1132" s="10" t="n">
        <v>37.8</v>
      </c>
      <c r="N1132" s="10">
        <f>L1132-M1132</f>
        <v/>
      </c>
    </row>
    <row r="1133">
      <c r="A1133" s="7" t="inlineStr">
        <is>
          <t>ORD-04508</t>
        </is>
      </c>
      <c r="B1133" s="8" t="n">
        <v>45203</v>
      </c>
      <c r="C1133" s="9" t="n">
        <v>45200</v>
      </c>
      <c r="D1133" s="7" t="n">
        <v>2023</v>
      </c>
      <c r="E1133" s="7" t="inlineStr">
        <is>
          <t>West</t>
        </is>
      </c>
      <c r="F1133" s="7" t="inlineStr">
        <is>
          <t>Office Supplies</t>
        </is>
      </c>
      <c r="G1133" s="7" t="inlineStr">
        <is>
          <t>Pens</t>
        </is>
      </c>
      <c r="H1133" s="7" t="inlineStr">
        <is>
          <t>Consumer</t>
        </is>
      </c>
      <c r="I1133" s="7" t="n">
        <v>9</v>
      </c>
      <c r="J1133" s="10" t="n">
        <v>11.82</v>
      </c>
      <c r="K1133" s="11" t="n">
        <v>0.05</v>
      </c>
      <c r="L1133" s="10">
        <f>I1133*J1133*(1-K1133)</f>
        <v/>
      </c>
      <c r="M1133" s="10" t="n">
        <v>48.6</v>
      </c>
      <c r="N1133" s="10">
        <f>L1133-M1133</f>
        <v/>
      </c>
    </row>
    <row r="1134">
      <c r="A1134" s="7" t="inlineStr">
        <is>
          <t>ORD-04940</t>
        </is>
      </c>
      <c r="B1134" s="8" t="n">
        <v>45203</v>
      </c>
      <c r="C1134" s="9" t="n">
        <v>45200</v>
      </c>
      <c r="D1134" s="7" t="n">
        <v>2023</v>
      </c>
      <c r="E1134" s="7" t="inlineStr">
        <is>
          <t>North</t>
        </is>
      </c>
      <c r="F1134" s="7" t="inlineStr">
        <is>
          <t>Technology</t>
        </is>
      </c>
      <c r="G1134" s="7" t="inlineStr">
        <is>
          <t>Laptop</t>
        </is>
      </c>
      <c r="H1134" s="7" t="inlineStr">
        <is>
          <t>Consumer</t>
        </is>
      </c>
      <c r="I1134" s="7" t="n">
        <v>3</v>
      </c>
      <c r="J1134" s="10" t="n">
        <v>899.0700000000001</v>
      </c>
      <c r="K1134" s="11" t="n">
        <v>0.2</v>
      </c>
      <c r="L1134" s="10">
        <f>I1134*J1134*(1-K1134)</f>
        <v/>
      </c>
      <c r="M1134" s="10" t="n">
        <v>2106</v>
      </c>
      <c r="N1134" s="10">
        <f>L1134-M1134</f>
        <v/>
      </c>
    </row>
    <row r="1135">
      <c r="A1135" s="7" t="inlineStr">
        <is>
          <t>ORD-01472</t>
        </is>
      </c>
      <c r="B1135" s="8" t="n">
        <v>45203</v>
      </c>
      <c r="C1135" s="9" t="n">
        <v>45200</v>
      </c>
      <c r="D1135" s="7" t="n">
        <v>2023</v>
      </c>
      <c r="E1135" s="7" t="inlineStr">
        <is>
          <t>South</t>
        </is>
      </c>
      <c r="F1135" s="7" t="inlineStr">
        <is>
          <t>Office Supplies</t>
        </is>
      </c>
      <c r="G1135" s="7" t="inlineStr">
        <is>
          <t>Pens</t>
        </is>
      </c>
      <c r="H1135" s="7" t="inlineStr">
        <is>
          <t>Corporate</t>
        </is>
      </c>
      <c r="I1135" s="7" t="n">
        <v>9</v>
      </c>
      <c r="J1135" s="10" t="n">
        <v>11.41</v>
      </c>
      <c r="K1135" s="11" t="n">
        <v>0.1</v>
      </c>
      <c r="L1135" s="10">
        <f>I1135*J1135*(1-K1135)</f>
        <v/>
      </c>
      <c r="M1135" s="10" t="n">
        <v>48.6</v>
      </c>
      <c r="N1135" s="10">
        <f>L1135-M1135</f>
        <v/>
      </c>
    </row>
    <row r="1136">
      <c r="A1136" s="7" t="inlineStr">
        <is>
          <t>ORD-03442</t>
        </is>
      </c>
      <c r="B1136" s="8" t="n">
        <v>45203</v>
      </c>
      <c r="C1136" s="9" t="n">
        <v>45200</v>
      </c>
      <c r="D1136" s="7" t="n">
        <v>2023</v>
      </c>
      <c r="E1136" s="7" t="inlineStr">
        <is>
          <t>North</t>
        </is>
      </c>
      <c r="F1136" s="7" t="inlineStr">
        <is>
          <t>Office Supplies</t>
        </is>
      </c>
      <c r="G1136" s="7" t="inlineStr">
        <is>
          <t>Binder</t>
        </is>
      </c>
      <c r="H1136" s="7" t="inlineStr">
        <is>
          <t>Home Office</t>
        </is>
      </c>
      <c r="I1136" s="7" t="n">
        <v>5</v>
      </c>
      <c r="J1136" s="10" t="n">
        <v>7.82</v>
      </c>
      <c r="K1136" s="11" t="n">
        <v>0.05</v>
      </c>
      <c r="L1136" s="10">
        <f>I1136*J1136*(1-K1136)</f>
        <v/>
      </c>
      <c r="M1136" s="10" t="n">
        <v>16</v>
      </c>
      <c r="N1136" s="10">
        <f>L1136-M1136</f>
        <v/>
      </c>
    </row>
    <row r="1137">
      <c r="A1137" s="7" t="inlineStr">
        <is>
          <t>ORD-00663</t>
        </is>
      </c>
      <c r="B1137" s="8" t="n">
        <v>45203</v>
      </c>
      <c r="C1137" s="9" t="n">
        <v>45200</v>
      </c>
      <c r="D1137" s="7" t="n">
        <v>2023</v>
      </c>
      <c r="E1137" s="7" t="inlineStr">
        <is>
          <t>West</t>
        </is>
      </c>
      <c r="F1137" s="7" t="inlineStr">
        <is>
          <t>Office Supplies</t>
        </is>
      </c>
      <c r="G1137" s="7" t="inlineStr">
        <is>
          <t>Paper</t>
        </is>
      </c>
      <c r="H1137" s="7" t="inlineStr">
        <is>
          <t>Corporate</t>
        </is>
      </c>
      <c r="I1137" s="7" t="n">
        <v>5</v>
      </c>
      <c r="J1137" s="10" t="n">
        <v>25.31</v>
      </c>
      <c r="K1137" s="11" t="n">
        <v>0.3</v>
      </c>
      <c r="L1137" s="10">
        <f>I1137*J1137*(1-K1137)</f>
        <v/>
      </c>
      <c r="M1137" s="10" t="n">
        <v>62.5</v>
      </c>
      <c r="N1137" s="10">
        <f>L1137-M1137</f>
        <v/>
      </c>
    </row>
    <row r="1138">
      <c r="A1138" s="7" t="inlineStr">
        <is>
          <t>ORD-02282</t>
        </is>
      </c>
      <c r="B1138" s="8" t="n">
        <v>45203</v>
      </c>
      <c r="C1138" s="9" t="n">
        <v>45200</v>
      </c>
      <c r="D1138" s="7" t="n">
        <v>2023</v>
      </c>
      <c r="E1138" s="7" t="inlineStr">
        <is>
          <t>East</t>
        </is>
      </c>
      <c r="F1138" s="7" t="inlineStr">
        <is>
          <t>Office Supplies</t>
        </is>
      </c>
      <c r="G1138" s="7" t="inlineStr">
        <is>
          <t>Paper</t>
        </is>
      </c>
      <c r="H1138" s="7" t="inlineStr">
        <is>
          <t>Consumer</t>
        </is>
      </c>
      <c r="I1138" s="7" t="n">
        <v>7</v>
      </c>
      <c r="J1138" s="10" t="n">
        <v>24.02</v>
      </c>
      <c r="K1138" s="11" t="n">
        <v>0</v>
      </c>
      <c r="L1138" s="10">
        <f>I1138*J1138*(1-K1138)</f>
        <v/>
      </c>
      <c r="M1138" s="10" t="n">
        <v>87.5</v>
      </c>
      <c r="N1138" s="10">
        <f>L1138-M1138</f>
        <v/>
      </c>
    </row>
    <row r="1139">
      <c r="A1139" s="7" t="inlineStr">
        <is>
          <t>ORD-01697</t>
        </is>
      </c>
      <c r="B1139" s="8" t="n">
        <v>45204</v>
      </c>
      <c r="C1139" s="9" t="n">
        <v>45200</v>
      </c>
      <c r="D1139" s="7" t="n">
        <v>2023</v>
      </c>
      <c r="E1139" s="7" t="inlineStr">
        <is>
          <t>West</t>
        </is>
      </c>
      <c r="F1139" s="7" t="inlineStr">
        <is>
          <t>Office Supplies</t>
        </is>
      </c>
      <c r="G1139" s="7" t="inlineStr">
        <is>
          <t>Binder</t>
        </is>
      </c>
      <c r="H1139" s="7" t="inlineStr">
        <is>
          <t>Consumer</t>
        </is>
      </c>
      <c r="I1139" s="7" t="n">
        <v>9</v>
      </c>
      <c r="J1139" s="10" t="n">
        <v>8.19</v>
      </c>
      <c r="K1139" s="11" t="n">
        <v>0</v>
      </c>
      <c r="L1139" s="10">
        <f>I1139*J1139*(1-K1139)</f>
        <v/>
      </c>
      <c r="M1139" s="10" t="n">
        <v>28.8</v>
      </c>
      <c r="N1139" s="10">
        <f>L1139-M1139</f>
        <v/>
      </c>
    </row>
    <row r="1140">
      <c r="A1140" s="7" t="inlineStr">
        <is>
          <t>ORD-03168</t>
        </is>
      </c>
      <c r="B1140" s="8" t="n">
        <v>45204</v>
      </c>
      <c r="C1140" s="9" t="n">
        <v>45200</v>
      </c>
      <c r="D1140" s="7" t="n">
        <v>2023</v>
      </c>
      <c r="E1140" s="7" t="inlineStr">
        <is>
          <t>West</t>
        </is>
      </c>
      <c r="F1140" s="7" t="inlineStr">
        <is>
          <t>Office Supplies</t>
        </is>
      </c>
      <c r="G1140" s="7" t="inlineStr">
        <is>
          <t>Pens</t>
        </is>
      </c>
      <c r="H1140" s="7" t="inlineStr">
        <is>
          <t>Corporate</t>
        </is>
      </c>
      <c r="I1140" s="7" t="n">
        <v>3</v>
      </c>
      <c r="J1140" s="10" t="n">
        <v>11.83</v>
      </c>
      <c r="K1140" s="11" t="n">
        <v>0</v>
      </c>
      <c r="L1140" s="10">
        <f>I1140*J1140*(1-K1140)</f>
        <v/>
      </c>
      <c r="M1140" s="10" t="n">
        <v>16.2</v>
      </c>
      <c r="N1140" s="10">
        <f>L1140-M1140</f>
        <v/>
      </c>
    </row>
    <row r="1141">
      <c r="A1141" s="7" t="inlineStr">
        <is>
          <t>ORD-01628</t>
        </is>
      </c>
      <c r="B1141" s="8" t="n">
        <v>45204</v>
      </c>
      <c r="C1141" s="9" t="n">
        <v>45200</v>
      </c>
      <c r="D1141" s="7" t="n">
        <v>2023</v>
      </c>
      <c r="E1141" s="7" t="inlineStr">
        <is>
          <t>North</t>
        </is>
      </c>
      <c r="F1141" s="7" t="inlineStr">
        <is>
          <t>Office Supplies</t>
        </is>
      </c>
      <c r="G1141" s="7" t="inlineStr">
        <is>
          <t>Stapler</t>
        </is>
      </c>
      <c r="H1141" s="7" t="inlineStr">
        <is>
          <t>Consumer</t>
        </is>
      </c>
      <c r="I1141" s="7" t="n">
        <v>5</v>
      </c>
      <c r="J1141" s="10" t="n">
        <v>15.32</v>
      </c>
      <c r="K1141" s="11" t="n">
        <v>0.2</v>
      </c>
      <c r="L1141" s="10">
        <f>I1141*J1141*(1-K1141)</f>
        <v/>
      </c>
      <c r="M1141" s="10" t="n">
        <v>37.5</v>
      </c>
      <c r="N1141" s="10">
        <f>L1141-M1141</f>
        <v/>
      </c>
    </row>
    <row r="1142">
      <c r="A1142" s="7" t="inlineStr">
        <is>
          <t>ORD-05414</t>
        </is>
      </c>
      <c r="B1142" s="8" t="n">
        <v>45204</v>
      </c>
      <c r="C1142" s="9" t="n">
        <v>45200</v>
      </c>
      <c r="D1142" s="7" t="n">
        <v>2023</v>
      </c>
      <c r="E1142" s="7" t="inlineStr">
        <is>
          <t>East</t>
        </is>
      </c>
      <c r="F1142" s="7" t="inlineStr">
        <is>
          <t>Furniture</t>
        </is>
      </c>
      <c r="G1142" s="7" t="inlineStr">
        <is>
          <t>Bookcase</t>
        </is>
      </c>
      <c r="H1142" s="7" t="inlineStr">
        <is>
          <t>Consumer</t>
        </is>
      </c>
      <c r="I1142" s="7" t="n">
        <v>2</v>
      </c>
      <c r="J1142" s="10" t="n">
        <v>184.02</v>
      </c>
      <c r="K1142" s="11" t="n">
        <v>0.2</v>
      </c>
      <c r="L1142" s="10">
        <f>I1142*J1142*(1-K1142)</f>
        <v/>
      </c>
      <c r="M1142" s="10" t="n">
        <v>288</v>
      </c>
      <c r="N1142" s="10">
        <f>L1142-M1142</f>
        <v/>
      </c>
    </row>
    <row r="1143">
      <c r="A1143" s="7" t="inlineStr">
        <is>
          <t>ORD-05384</t>
        </is>
      </c>
      <c r="B1143" s="8" t="n">
        <v>45204</v>
      </c>
      <c r="C1143" s="9" t="n">
        <v>45200</v>
      </c>
      <c r="D1143" s="7" t="n">
        <v>2023</v>
      </c>
      <c r="E1143" s="7" t="inlineStr">
        <is>
          <t>East</t>
        </is>
      </c>
      <c r="F1143" s="7" t="inlineStr">
        <is>
          <t>Technology</t>
        </is>
      </c>
      <c r="G1143" s="7" t="inlineStr">
        <is>
          <t>Laptop</t>
        </is>
      </c>
      <c r="H1143" s="7" t="inlineStr">
        <is>
          <t>Home Office</t>
        </is>
      </c>
      <c r="I1143" s="7" t="n">
        <v>1</v>
      </c>
      <c r="J1143" s="10" t="n">
        <v>881.52</v>
      </c>
      <c r="K1143" s="11" t="n">
        <v>0</v>
      </c>
      <c r="L1143" s="10">
        <f>I1143*J1143*(1-K1143)</f>
        <v/>
      </c>
      <c r="M1143" s="10" t="n">
        <v>702</v>
      </c>
      <c r="N1143" s="10">
        <f>L1143-M1143</f>
        <v/>
      </c>
    </row>
    <row r="1144">
      <c r="A1144" s="7" t="inlineStr">
        <is>
          <t>ORD-03742</t>
        </is>
      </c>
      <c r="B1144" s="8" t="n">
        <v>45204</v>
      </c>
      <c r="C1144" s="9" t="n">
        <v>45200</v>
      </c>
      <c r="D1144" s="7" t="n">
        <v>2023</v>
      </c>
      <c r="E1144" s="7" t="inlineStr">
        <is>
          <t>East</t>
        </is>
      </c>
      <c r="F1144" s="7" t="inlineStr">
        <is>
          <t>Office Supplies</t>
        </is>
      </c>
      <c r="G1144" s="7" t="inlineStr">
        <is>
          <t>Binder</t>
        </is>
      </c>
      <c r="H1144" s="7" t="inlineStr">
        <is>
          <t>Corporate</t>
        </is>
      </c>
      <c r="I1144" s="7" t="n">
        <v>15</v>
      </c>
      <c r="J1144" s="10" t="n">
        <v>7.61</v>
      </c>
      <c r="K1144" s="11" t="n">
        <v>0</v>
      </c>
      <c r="L1144" s="10">
        <f>I1144*J1144*(1-K1144)</f>
        <v/>
      </c>
      <c r="M1144" s="10" t="n">
        <v>48</v>
      </c>
      <c r="N1144" s="10">
        <f>L1144-M1144</f>
        <v/>
      </c>
    </row>
    <row r="1145">
      <c r="A1145" s="7" t="inlineStr">
        <is>
          <t>ORD-01888</t>
        </is>
      </c>
      <c r="B1145" s="8" t="n">
        <v>45204</v>
      </c>
      <c r="C1145" s="9" t="n">
        <v>45200</v>
      </c>
      <c r="D1145" s="7" t="n">
        <v>2023</v>
      </c>
      <c r="E1145" s="7" t="inlineStr">
        <is>
          <t>West</t>
        </is>
      </c>
      <c r="F1145" s="7" t="inlineStr">
        <is>
          <t>Office Supplies</t>
        </is>
      </c>
      <c r="G1145" s="7" t="inlineStr">
        <is>
          <t>Binder</t>
        </is>
      </c>
      <c r="H1145" s="7" t="inlineStr">
        <is>
          <t>Home Office</t>
        </is>
      </c>
      <c r="I1145" s="7" t="n">
        <v>2</v>
      </c>
      <c r="J1145" s="10" t="n">
        <v>8.32</v>
      </c>
      <c r="K1145" s="11" t="n">
        <v>0</v>
      </c>
      <c r="L1145" s="10">
        <f>I1145*J1145*(1-K1145)</f>
        <v/>
      </c>
      <c r="M1145" s="10" t="n">
        <v>6.4</v>
      </c>
      <c r="N1145" s="10">
        <f>L1145-M1145</f>
        <v/>
      </c>
    </row>
    <row r="1146">
      <c r="A1146" s="7" t="inlineStr">
        <is>
          <t>ORD-03267</t>
        </is>
      </c>
      <c r="B1146" s="8" t="n">
        <v>45204</v>
      </c>
      <c r="C1146" s="9" t="n">
        <v>45200</v>
      </c>
      <c r="D1146" s="7" t="n">
        <v>2023</v>
      </c>
      <c r="E1146" s="7" t="inlineStr">
        <is>
          <t>East</t>
        </is>
      </c>
      <c r="F1146" s="7" t="inlineStr">
        <is>
          <t>Office Supplies</t>
        </is>
      </c>
      <c r="G1146" s="7" t="inlineStr">
        <is>
          <t>Pens</t>
        </is>
      </c>
      <c r="H1146" s="7" t="inlineStr">
        <is>
          <t>Consumer</t>
        </is>
      </c>
      <c r="I1146" s="7" t="n">
        <v>8</v>
      </c>
      <c r="J1146" s="10" t="n">
        <v>12.33</v>
      </c>
      <c r="K1146" s="11" t="n">
        <v>0</v>
      </c>
      <c r="L1146" s="10">
        <f>I1146*J1146*(1-K1146)</f>
        <v/>
      </c>
      <c r="M1146" s="10" t="n">
        <v>43.2</v>
      </c>
      <c r="N1146" s="10">
        <f>L1146-M1146</f>
        <v/>
      </c>
    </row>
    <row r="1147">
      <c r="A1147" s="7" t="inlineStr">
        <is>
          <t>ORD-01369</t>
        </is>
      </c>
      <c r="B1147" s="8" t="n">
        <v>45204</v>
      </c>
      <c r="C1147" s="9" t="n">
        <v>45200</v>
      </c>
      <c r="D1147" s="7" t="n">
        <v>2023</v>
      </c>
      <c r="E1147" s="7" t="inlineStr">
        <is>
          <t>North</t>
        </is>
      </c>
      <c r="F1147" s="7" t="inlineStr">
        <is>
          <t>Office Supplies</t>
        </is>
      </c>
      <c r="G1147" s="7" t="inlineStr">
        <is>
          <t>Printer Ink</t>
        </is>
      </c>
      <c r="H1147" s="7" t="inlineStr">
        <is>
          <t>Corporate</t>
        </is>
      </c>
      <c r="I1147" s="7" t="n">
        <v>4</v>
      </c>
      <c r="J1147" s="10" t="n">
        <v>61.23</v>
      </c>
      <c r="K1147" s="11" t="n">
        <v>0.05</v>
      </c>
      <c r="L1147" s="10">
        <f>I1147*J1147*(1-K1147)</f>
        <v/>
      </c>
      <c r="M1147" s="10" t="n">
        <v>144</v>
      </c>
      <c r="N1147" s="10">
        <f>L1147-M1147</f>
        <v/>
      </c>
    </row>
    <row r="1148">
      <c r="A1148" s="7" t="inlineStr">
        <is>
          <t>ORD-03630</t>
        </is>
      </c>
      <c r="B1148" s="8" t="n">
        <v>45205</v>
      </c>
      <c r="C1148" s="9" t="n">
        <v>45200</v>
      </c>
      <c r="D1148" s="7" t="n">
        <v>2023</v>
      </c>
      <c r="E1148" s="7" t="inlineStr">
        <is>
          <t>South</t>
        </is>
      </c>
      <c r="F1148" s="7" t="inlineStr">
        <is>
          <t>Technology</t>
        </is>
      </c>
      <c r="G1148" s="7" t="inlineStr">
        <is>
          <t>Monitor</t>
        </is>
      </c>
      <c r="H1148" s="7" t="inlineStr">
        <is>
          <t>Consumer</t>
        </is>
      </c>
      <c r="I1148" s="7" t="n">
        <v>2</v>
      </c>
      <c r="J1148" s="10" t="n">
        <v>261.04</v>
      </c>
      <c r="K1148" s="11" t="n">
        <v>0.2</v>
      </c>
      <c r="L1148" s="10">
        <f>I1148*J1148*(1-K1148)</f>
        <v/>
      </c>
      <c r="M1148" s="10" t="n">
        <v>360</v>
      </c>
      <c r="N1148" s="10">
        <f>L1148-M1148</f>
        <v/>
      </c>
    </row>
    <row r="1149">
      <c r="A1149" s="7" t="inlineStr">
        <is>
          <t>ORD-01405</t>
        </is>
      </c>
      <c r="B1149" s="8" t="n">
        <v>45205</v>
      </c>
      <c r="C1149" s="9" t="n">
        <v>45200</v>
      </c>
      <c r="D1149" s="7" t="n">
        <v>2023</v>
      </c>
      <c r="E1149" s="7" t="inlineStr">
        <is>
          <t>East</t>
        </is>
      </c>
      <c r="F1149" s="7" t="inlineStr">
        <is>
          <t>Office Supplies</t>
        </is>
      </c>
      <c r="G1149" s="7" t="inlineStr">
        <is>
          <t>Paper</t>
        </is>
      </c>
      <c r="H1149" s="7" t="inlineStr">
        <is>
          <t>Consumer</t>
        </is>
      </c>
      <c r="I1149" s="7" t="n">
        <v>15</v>
      </c>
      <c r="J1149" s="10" t="n">
        <v>25.74</v>
      </c>
      <c r="K1149" s="11" t="n">
        <v>0.2</v>
      </c>
      <c r="L1149" s="10">
        <f>I1149*J1149*(1-K1149)</f>
        <v/>
      </c>
      <c r="M1149" s="10" t="n">
        <v>187.5</v>
      </c>
      <c r="N1149" s="10">
        <f>L1149-M1149</f>
        <v/>
      </c>
    </row>
    <row r="1150">
      <c r="A1150" s="7" t="inlineStr">
        <is>
          <t>ORD-02398</t>
        </is>
      </c>
      <c r="B1150" s="8" t="n">
        <v>45205</v>
      </c>
      <c r="C1150" s="9" t="n">
        <v>45200</v>
      </c>
      <c r="D1150" s="7" t="n">
        <v>2023</v>
      </c>
      <c r="E1150" s="7" t="inlineStr">
        <is>
          <t>South</t>
        </is>
      </c>
      <c r="F1150" s="7" t="inlineStr">
        <is>
          <t>Office Supplies</t>
        </is>
      </c>
      <c r="G1150" s="7" t="inlineStr">
        <is>
          <t>Stapler</t>
        </is>
      </c>
      <c r="H1150" s="7" t="inlineStr">
        <is>
          <t>Consumer</t>
        </is>
      </c>
      <c r="I1150" s="7" t="n">
        <v>4</v>
      </c>
      <c r="J1150" s="10" t="n">
        <v>14.85</v>
      </c>
      <c r="K1150" s="11" t="n">
        <v>0.3</v>
      </c>
      <c r="L1150" s="10">
        <f>I1150*J1150*(1-K1150)</f>
        <v/>
      </c>
      <c r="M1150" s="10" t="n">
        <v>30</v>
      </c>
      <c r="N1150" s="10">
        <f>L1150-M1150</f>
        <v/>
      </c>
    </row>
    <row r="1151">
      <c r="A1151" s="7" t="inlineStr">
        <is>
          <t>ORD-00036</t>
        </is>
      </c>
      <c r="B1151" s="8" t="n">
        <v>45205</v>
      </c>
      <c r="C1151" s="9" t="n">
        <v>45200</v>
      </c>
      <c r="D1151" s="7" t="n">
        <v>2023</v>
      </c>
      <c r="E1151" s="7" t="inlineStr">
        <is>
          <t>North</t>
        </is>
      </c>
      <c r="F1151" s="7" t="inlineStr">
        <is>
          <t>Technology</t>
        </is>
      </c>
      <c r="G1151" s="7" t="inlineStr">
        <is>
          <t>Laptop</t>
        </is>
      </c>
      <c r="H1151" s="7" t="inlineStr">
        <is>
          <t>Home Office</t>
        </is>
      </c>
      <c r="I1151" s="7" t="n">
        <v>1</v>
      </c>
      <c r="J1151" s="10" t="n">
        <v>909.59</v>
      </c>
      <c r="K1151" s="11" t="n">
        <v>0</v>
      </c>
      <c r="L1151" s="10">
        <f>I1151*J1151*(1-K1151)</f>
        <v/>
      </c>
      <c r="M1151" s="10" t="n">
        <v>702</v>
      </c>
      <c r="N1151" s="10">
        <f>L1151-M1151</f>
        <v/>
      </c>
    </row>
    <row r="1152">
      <c r="A1152" s="7" t="inlineStr">
        <is>
          <t>ORD-04988</t>
        </is>
      </c>
      <c r="B1152" s="8" t="n">
        <v>45205</v>
      </c>
      <c r="C1152" s="9" t="n">
        <v>45200</v>
      </c>
      <c r="D1152" s="7" t="n">
        <v>2023</v>
      </c>
      <c r="E1152" s="7" t="inlineStr">
        <is>
          <t>North</t>
        </is>
      </c>
      <c r="F1152" s="7" t="inlineStr">
        <is>
          <t>Technology</t>
        </is>
      </c>
      <c r="G1152" s="7" t="inlineStr">
        <is>
          <t>Headphones</t>
        </is>
      </c>
      <c r="H1152" s="7" t="inlineStr">
        <is>
          <t>Consumer</t>
        </is>
      </c>
      <c r="I1152" s="7" t="n">
        <v>3</v>
      </c>
      <c r="J1152" s="10" t="n">
        <v>119.97</v>
      </c>
      <c r="K1152" s="11" t="n">
        <v>0</v>
      </c>
      <c r="L1152" s="10">
        <f>I1152*J1152*(1-K1152)</f>
        <v/>
      </c>
      <c r="M1152" s="10" t="n">
        <v>216</v>
      </c>
      <c r="N1152" s="10">
        <f>L1152-M1152</f>
        <v/>
      </c>
    </row>
    <row r="1153">
      <c r="A1153" s="7" t="inlineStr">
        <is>
          <t>ORD-05038</t>
        </is>
      </c>
      <c r="B1153" s="8" t="n">
        <v>45206</v>
      </c>
      <c r="C1153" s="9" t="n">
        <v>45200</v>
      </c>
      <c r="D1153" s="7" t="n">
        <v>2023</v>
      </c>
      <c r="E1153" s="7" t="inlineStr">
        <is>
          <t>East</t>
        </is>
      </c>
      <c r="F1153" s="7" t="inlineStr">
        <is>
          <t>Office Supplies</t>
        </is>
      </c>
      <c r="G1153" s="7" t="inlineStr">
        <is>
          <t>Binder</t>
        </is>
      </c>
      <c r="H1153" s="7" t="inlineStr">
        <is>
          <t>Consumer</t>
        </is>
      </c>
      <c r="I1153" s="7" t="n">
        <v>15</v>
      </c>
      <c r="J1153" s="10" t="n">
        <v>8</v>
      </c>
      <c r="K1153" s="11" t="n">
        <v>0</v>
      </c>
      <c r="L1153" s="10">
        <f>I1153*J1153*(1-K1153)</f>
        <v/>
      </c>
      <c r="M1153" s="10" t="n">
        <v>48</v>
      </c>
      <c r="N1153" s="10">
        <f>L1153-M1153</f>
        <v/>
      </c>
    </row>
    <row r="1154">
      <c r="A1154" s="7" t="inlineStr">
        <is>
          <t>ORD-03125</t>
        </is>
      </c>
      <c r="B1154" s="8" t="n">
        <v>45206</v>
      </c>
      <c r="C1154" s="9" t="n">
        <v>45200</v>
      </c>
      <c r="D1154" s="7" t="n">
        <v>2023</v>
      </c>
      <c r="E1154" s="7" t="inlineStr">
        <is>
          <t>North</t>
        </is>
      </c>
      <c r="F1154" s="7" t="inlineStr">
        <is>
          <t>Office Supplies</t>
        </is>
      </c>
      <c r="G1154" s="7" t="inlineStr">
        <is>
          <t>Stapler</t>
        </is>
      </c>
      <c r="H1154" s="7" t="inlineStr">
        <is>
          <t>Consumer</t>
        </is>
      </c>
      <c r="I1154" s="7" t="n">
        <v>7</v>
      </c>
      <c r="J1154" s="10" t="n">
        <v>15.54</v>
      </c>
      <c r="K1154" s="11" t="n">
        <v>0.3</v>
      </c>
      <c r="L1154" s="10">
        <f>I1154*J1154*(1-K1154)</f>
        <v/>
      </c>
      <c r="M1154" s="10" t="n">
        <v>52.5</v>
      </c>
      <c r="N1154" s="10">
        <f>L1154-M1154</f>
        <v/>
      </c>
    </row>
    <row r="1155">
      <c r="A1155" s="7" t="inlineStr">
        <is>
          <t>ORD-04207</t>
        </is>
      </c>
      <c r="B1155" s="8" t="n">
        <v>45206</v>
      </c>
      <c r="C1155" s="9" t="n">
        <v>45200</v>
      </c>
      <c r="D1155" s="7" t="n">
        <v>2023</v>
      </c>
      <c r="E1155" s="7" t="inlineStr">
        <is>
          <t>East</t>
        </is>
      </c>
      <c r="F1155" s="7" t="inlineStr">
        <is>
          <t>Furniture</t>
        </is>
      </c>
      <c r="G1155" s="7" t="inlineStr">
        <is>
          <t>Sofa</t>
        </is>
      </c>
      <c r="H1155" s="7" t="inlineStr">
        <is>
          <t>Home Office</t>
        </is>
      </c>
      <c r="I1155" s="7" t="n">
        <v>3</v>
      </c>
      <c r="J1155" s="10" t="n">
        <v>725.9400000000001</v>
      </c>
      <c r="K1155" s="11" t="n">
        <v>0</v>
      </c>
      <c r="L1155" s="10">
        <f>I1155*J1155*(1-K1155)</f>
        <v/>
      </c>
      <c r="M1155" s="10" t="n">
        <v>1848</v>
      </c>
      <c r="N1155" s="10">
        <f>L1155-M1155</f>
        <v/>
      </c>
    </row>
    <row r="1156">
      <c r="A1156" s="7" t="inlineStr">
        <is>
          <t>ORD-04576</t>
        </is>
      </c>
      <c r="B1156" s="8" t="n">
        <v>45206</v>
      </c>
      <c r="C1156" s="9" t="n">
        <v>45200</v>
      </c>
      <c r="D1156" s="7" t="n">
        <v>2023</v>
      </c>
      <c r="E1156" s="7" t="inlineStr">
        <is>
          <t>South</t>
        </is>
      </c>
      <c r="F1156" s="7" t="inlineStr">
        <is>
          <t>Office Supplies</t>
        </is>
      </c>
      <c r="G1156" s="7" t="inlineStr">
        <is>
          <t>Binder</t>
        </is>
      </c>
      <c r="H1156" s="7" t="inlineStr">
        <is>
          <t>Consumer</t>
        </is>
      </c>
      <c r="I1156" s="7" t="n">
        <v>6</v>
      </c>
      <c r="J1156" s="10" t="n">
        <v>8.369999999999999</v>
      </c>
      <c r="K1156" s="11" t="n">
        <v>0.3</v>
      </c>
      <c r="L1156" s="10">
        <f>I1156*J1156*(1-K1156)</f>
        <v/>
      </c>
      <c r="M1156" s="10" t="n">
        <v>19.2</v>
      </c>
      <c r="N1156" s="10">
        <f>L1156-M1156</f>
        <v/>
      </c>
    </row>
    <row r="1157">
      <c r="A1157" s="7" t="inlineStr">
        <is>
          <t>ORD-02224</t>
        </is>
      </c>
      <c r="B1157" s="8" t="n">
        <v>45206</v>
      </c>
      <c r="C1157" s="9" t="n">
        <v>45200</v>
      </c>
      <c r="D1157" s="7" t="n">
        <v>2023</v>
      </c>
      <c r="E1157" s="7" t="inlineStr">
        <is>
          <t>North</t>
        </is>
      </c>
      <c r="F1157" s="7" t="inlineStr">
        <is>
          <t>Office Supplies</t>
        </is>
      </c>
      <c r="G1157" s="7" t="inlineStr">
        <is>
          <t>Printer Ink</t>
        </is>
      </c>
      <c r="H1157" s="7" t="inlineStr">
        <is>
          <t>Home Office</t>
        </is>
      </c>
      <c r="I1157" s="7" t="n">
        <v>6</v>
      </c>
      <c r="J1157" s="10" t="n">
        <v>58.73</v>
      </c>
      <c r="K1157" s="11" t="n">
        <v>0.2</v>
      </c>
      <c r="L1157" s="10">
        <f>I1157*J1157*(1-K1157)</f>
        <v/>
      </c>
      <c r="M1157" s="10" t="n">
        <v>216</v>
      </c>
      <c r="N1157" s="10">
        <f>L1157-M1157</f>
        <v/>
      </c>
    </row>
    <row r="1158">
      <c r="A1158" s="7" t="inlineStr">
        <is>
          <t>ORD-03285</t>
        </is>
      </c>
      <c r="B1158" s="8" t="n">
        <v>45207</v>
      </c>
      <c r="C1158" s="9" t="n">
        <v>45200</v>
      </c>
      <c r="D1158" s="7" t="n">
        <v>2023</v>
      </c>
      <c r="E1158" s="7" t="inlineStr">
        <is>
          <t>East</t>
        </is>
      </c>
      <c r="F1158" s="7" t="inlineStr">
        <is>
          <t>Office Supplies</t>
        </is>
      </c>
      <c r="G1158" s="7" t="inlineStr">
        <is>
          <t>Pens</t>
        </is>
      </c>
      <c r="H1158" s="7" t="inlineStr">
        <is>
          <t>Consumer</t>
        </is>
      </c>
      <c r="I1158" s="7" t="n">
        <v>7</v>
      </c>
      <c r="J1158" s="10" t="n">
        <v>11.85</v>
      </c>
      <c r="K1158" s="11" t="n">
        <v>0</v>
      </c>
      <c r="L1158" s="10">
        <f>I1158*J1158*(1-K1158)</f>
        <v/>
      </c>
      <c r="M1158" s="10" t="n">
        <v>37.8</v>
      </c>
      <c r="N1158" s="10">
        <f>L1158-M1158</f>
        <v/>
      </c>
    </row>
    <row r="1159">
      <c r="A1159" s="7" t="inlineStr">
        <is>
          <t>ORD-05388</t>
        </is>
      </c>
      <c r="B1159" s="8" t="n">
        <v>45207</v>
      </c>
      <c r="C1159" s="9" t="n">
        <v>45200</v>
      </c>
      <c r="D1159" s="7" t="n">
        <v>2023</v>
      </c>
      <c r="E1159" s="7" t="inlineStr">
        <is>
          <t>South</t>
        </is>
      </c>
      <c r="F1159" s="7" t="inlineStr">
        <is>
          <t>Furniture</t>
        </is>
      </c>
      <c r="G1159" s="7" t="inlineStr">
        <is>
          <t>Office Chair</t>
        </is>
      </c>
      <c r="H1159" s="7" t="inlineStr">
        <is>
          <t>Corporate</t>
        </is>
      </c>
      <c r="I1159" s="7" t="n">
        <v>4</v>
      </c>
      <c r="J1159" s="10" t="n">
        <v>212.73</v>
      </c>
      <c r="K1159" s="11" t="n">
        <v>0.3</v>
      </c>
      <c r="L1159" s="10">
        <f>I1159*J1159*(1-K1159)</f>
        <v/>
      </c>
      <c r="M1159" s="10" t="n">
        <v>721.6</v>
      </c>
      <c r="N1159" s="10">
        <f>L1159-M1159</f>
        <v/>
      </c>
    </row>
    <row r="1160">
      <c r="A1160" s="7" t="inlineStr">
        <is>
          <t>ORD-03943</t>
        </is>
      </c>
      <c r="B1160" s="8" t="n">
        <v>45207</v>
      </c>
      <c r="C1160" s="9" t="n">
        <v>45200</v>
      </c>
      <c r="D1160" s="7" t="n">
        <v>2023</v>
      </c>
      <c r="E1160" s="7" t="inlineStr">
        <is>
          <t>South</t>
        </is>
      </c>
      <c r="F1160" s="7" t="inlineStr">
        <is>
          <t>Furniture</t>
        </is>
      </c>
      <c r="G1160" s="7" t="inlineStr">
        <is>
          <t>Sofa</t>
        </is>
      </c>
      <c r="H1160" s="7" t="inlineStr">
        <is>
          <t>Consumer</t>
        </is>
      </c>
      <c r="I1160" s="7" t="n">
        <v>2</v>
      </c>
      <c r="J1160" s="10" t="n">
        <v>679.29</v>
      </c>
      <c r="K1160" s="11" t="n">
        <v>0.1</v>
      </c>
      <c r="L1160" s="10">
        <f>I1160*J1160*(1-K1160)</f>
        <v/>
      </c>
      <c r="M1160" s="10" t="n">
        <v>1232</v>
      </c>
      <c r="N1160" s="10">
        <f>L1160-M1160</f>
        <v/>
      </c>
    </row>
    <row r="1161">
      <c r="A1161" s="7" t="inlineStr">
        <is>
          <t>ORD-05459</t>
        </is>
      </c>
      <c r="B1161" s="8" t="n">
        <v>45208</v>
      </c>
      <c r="C1161" s="9" t="n">
        <v>45200</v>
      </c>
      <c r="D1161" s="7" t="n">
        <v>2023</v>
      </c>
      <c r="E1161" s="7" t="inlineStr">
        <is>
          <t>North</t>
        </is>
      </c>
      <c r="F1161" s="7" t="inlineStr">
        <is>
          <t>Technology</t>
        </is>
      </c>
      <c r="G1161" s="7" t="inlineStr">
        <is>
          <t>Headphones</t>
        </is>
      </c>
      <c r="H1161" s="7" t="inlineStr">
        <is>
          <t>Corporate</t>
        </is>
      </c>
      <c r="I1161" s="7" t="n">
        <v>2</v>
      </c>
      <c r="J1161" s="10" t="n">
        <v>118.51</v>
      </c>
      <c r="K1161" s="11" t="n">
        <v>0.05</v>
      </c>
      <c r="L1161" s="10">
        <f>I1161*J1161*(1-K1161)</f>
        <v/>
      </c>
      <c r="M1161" s="10" t="n">
        <v>144</v>
      </c>
      <c r="N1161" s="10">
        <f>L1161-M1161</f>
        <v/>
      </c>
    </row>
    <row r="1162">
      <c r="A1162" s="7" t="inlineStr">
        <is>
          <t>ORD-00589</t>
        </is>
      </c>
      <c r="B1162" s="8" t="n">
        <v>45208</v>
      </c>
      <c r="C1162" s="9" t="n">
        <v>45200</v>
      </c>
      <c r="D1162" s="7" t="n">
        <v>2023</v>
      </c>
      <c r="E1162" s="7" t="inlineStr">
        <is>
          <t>North</t>
        </is>
      </c>
      <c r="F1162" s="7" t="inlineStr">
        <is>
          <t>Technology</t>
        </is>
      </c>
      <c r="G1162" s="7" t="inlineStr">
        <is>
          <t>Smartphone</t>
        </is>
      </c>
      <c r="H1162" s="7" t="inlineStr">
        <is>
          <t>Corporate</t>
        </is>
      </c>
      <c r="I1162" s="7" t="n">
        <v>3</v>
      </c>
      <c r="J1162" s="10" t="n">
        <v>617.97</v>
      </c>
      <c r="K1162" s="11" t="n">
        <v>0.05</v>
      </c>
      <c r="L1162" s="10">
        <f>I1162*J1162*(1-K1162)</f>
        <v/>
      </c>
      <c r="M1162" s="10" t="n">
        <v>1350</v>
      </c>
      <c r="N1162" s="10">
        <f>L1162-M1162</f>
        <v/>
      </c>
    </row>
    <row r="1163">
      <c r="A1163" s="7" t="inlineStr">
        <is>
          <t>ORD-01597</t>
        </is>
      </c>
      <c r="B1163" s="8" t="n">
        <v>45208</v>
      </c>
      <c r="C1163" s="9" t="n">
        <v>45200</v>
      </c>
      <c r="D1163" s="7" t="n">
        <v>2023</v>
      </c>
      <c r="E1163" s="7" t="inlineStr">
        <is>
          <t>West</t>
        </is>
      </c>
      <c r="F1163" s="7" t="inlineStr">
        <is>
          <t>Office Supplies</t>
        </is>
      </c>
      <c r="G1163" s="7" t="inlineStr">
        <is>
          <t>Paper</t>
        </is>
      </c>
      <c r="H1163" s="7" t="inlineStr">
        <is>
          <t>Consumer</t>
        </is>
      </c>
      <c r="I1163" s="7" t="n">
        <v>3</v>
      </c>
      <c r="J1163" s="10" t="n">
        <v>25.6</v>
      </c>
      <c r="K1163" s="11" t="n">
        <v>0</v>
      </c>
      <c r="L1163" s="10">
        <f>I1163*J1163*(1-K1163)</f>
        <v/>
      </c>
      <c r="M1163" s="10" t="n">
        <v>37.5</v>
      </c>
      <c r="N1163" s="10">
        <f>L1163-M1163</f>
        <v/>
      </c>
    </row>
    <row r="1164">
      <c r="A1164" s="7" t="inlineStr">
        <is>
          <t>ORD-03900</t>
        </is>
      </c>
      <c r="B1164" s="8" t="n">
        <v>45208</v>
      </c>
      <c r="C1164" s="9" t="n">
        <v>45200</v>
      </c>
      <c r="D1164" s="7" t="n">
        <v>2023</v>
      </c>
      <c r="E1164" s="7" t="inlineStr">
        <is>
          <t>North</t>
        </is>
      </c>
      <c r="F1164" s="7" t="inlineStr">
        <is>
          <t>Office Supplies</t>
        </is>
      </c>
      <c r="G1164" s="7" t="inlineStr">
        <is>
          <t>Pens</t>
        </is>
      </c>
      <c r="H1164" s="7" t="inlineStr">
        <is>
          <t>Consumer</t>
        </is>
      </c>
      <c r="I1164" s="7" t="n">
        <v>5</v>
      </c>
      <c r="J1164" s="10" t="n">
        <v>12.51</v>
      </c>
      <c r="K1164" s="11" t="n">
        <v>0</v>
      </c>
      <c r="L1164" s="10">
        <f>I1164*J1164*(1-K1164)</f>
        <v/>
      </c>
      <c r="M1164" s="10" t="n">
        <v>27</v>
      </c>
      <c r="N1164" s="10">
        <f>L1164-M1164</f>
        <v/>
      </c>
    </row>
    <row r="1165">
      <c r="A1165" s="7" t="inlineStr">
        <is>
          <t>ORD-05177</t>
        </is>
      </c>
      <c r="B1165" s="8" t="n">
        <v>45208</v>
      </c>
      <c r="C1165" s="9" t="n">
        <v>45200</v>
      </c>
      <c r="D1165" s="7" t="n">
        <v>2023</v>
      </c>
      <c r="E1165" s="7" t="inlineStr">
        <is>
          <t>East</t>
        </is>
      </c>
      <c r="F1165" s="7" t="inlineStr">
        <is>
          <t>Technology</t>
        </is>
      </c>
      <c r="G1165" s="7" t="inlineStr">
        <is>
          <t>Laptop</t>
        </is>
      </c>
      <c r="H1165" s="7" t="inlineStr">
        <is>
          <t>Corporate</t>
        </is>
      </c>
      <c r="I1165" s="7" t="n">
        <v>1</v>
      </c>
      <c r="J1165" s="10" t="n">
        <v>921.1</v>
      </c>
      <c r="K1165" s="11" t="n">
        <v>0.3</v>
      </c>
      <c r="L1165" s="10">
        <f>I1165*J1165*(1-K1165)</f>
        <v/>
      </c>
      <c r="M1165" s="10" t="n">
        <v>702</v>
      </c>
      <c r="N1165" s="10">
        <f>L1165-M1165</f>
        <v/>
      </c>
    </row>
    <row r="1166">
      <c r="A1166" s="7" t="inlineStr">
        <is>
          <t>ORD-01196</t>
        </is>
      </c>
      <c r="B1166" s="8" t="n">
        <v>45208</v>
      </c>
      <c r="C1166" s="9" t="n">
        <v>45200</v>
      </c>
      <c r="D1166" s="7" t="n">
        <v>2023</v>
      </c>
      <c r="E1166" s="7" t="inlineStr">
        <is>
          <t>North</t>
        </is>
      </c>
      <c r="F1166" s="7" t="inlineStr">
        <is>
          <t>Office Supplies</t>
        </is>
      </c>
      <c r="G1166" s="7" t="inlineStr">
        <is>
          <t>Paper</t>
        </is>
      </c>
      <c r="H1166" s="7" t="inlineStr">
        <is>
          <t>Corporate</t>
        </is>
      </c>
      <c r="I1166" s="7" t="n">
        <v>12</v>
      </c>
      <c r="J1166" s="10" t="n">
        <v>26.15</v>
      </c>
      <c r="K1166" s="11" t="n">
        <v>0</v>
      </c>
      <c r="L1166" s="10">
        <f>I1166*J1166*(1-K1166)</f>
        <v/>
      </c>
      <c r="M1166" s="10" t="n">
        <v>150</v>
      </c>
      <c r="N1166" s="10">
        <f>L1166-M1166</f>
        <v/>
      </c>
    </row>
    <row r="1167">
      <c r="A1167" s="7" t="inlineStr">
        <is>
          <t>ORD-02124</t>
        </is>
      </c>
      <c r="B1167" s="8" t="n">
        <v>45209</v>
      </c>
      <c r="C1167" s="9" t="n">
        <v>45200</v>
      </c>
      <c r="D1167" s="7" t="n">
        <v>2023</v>
      </c>
      <c r="E1167" s="7" t="inlineStr">
        <is>
          <t>West</t>
        </is>
      </c>
      <c r="F1167" s="7" t="inlineStr">
        <is>
          <t>Office Supplies</t>
        </is>
      </c>
      <c r="G1167" s="7" t="inlineStr">
        <is>
          <t>Binder</t>
        </is>
      </c>
      <c r="H1167" s="7" t="inlineStr">
        <is>
          <t>Corporate</t>
        </is>
      </c>
      <c r="I1167" s="7" t="n">
        <v>15</v>
      </c>
      <c r="J1167" s="10" t="n">
        <v>7.79</v>
      </c>
      <c r="K1167" s="11" t="n">
        <v>0</v>
      </c>
      <c r="L1167" s="10">
        <f>I1167*J1167*(1-K1167)</f>
        <v/>
      </c>
      <c r="M1167" s="10" t="n">
        <v>48</v>
      </c>
      <c r="N1167" s="10">
        <f>L1167-M1167</f>
        <v/>
      </c>
    </row>
    <row r="1168">
      <c r="A1168" s="7" t="inlineStr">
        <is>
          <t>ORD-02478</t>
        </is>
      </c>
      <c r="B1168" s="8" t="n">
        <v>45209</v>
      </c>
      <c r="C1168" s="9" t="n">
        <v>45200</v>
      </c>
      <c r="D1168" s="7" t="n">
        <v>2023</v>
      </c>
      <c r="E1168" s="7" t="inlineStr">
        <is>
          <t>East</t>
        </is>
      </c>
      <c r="F1168" s="7" t="inlineStr">
        <is>
          <t>Office Supplies</t>
        </is>
      </c>
      <c r="G1168" s="7" t="inlineStr">
        <is>
          <t>Binder</t>
        </is>
      </c>
      <c r="H1168" s="7" t="inlineStr">
        <is>
          <t>Home Office</t>
        </is>
      </c>
      <c r="I1168" s="7" t="n">
        <v>9</v>
      </c>
      <c r="J1168" s="10" t="n">
        <v>7.84</v>
      </c>
      <c r="K1168" s="11" t="n">
        <v>0</v>
      </c>
      <c r="L1168" s="10">
        <f>I1168*J1168*(1-K1168)</f>
        <v/>
      </c>
      <c r="M1168" s="10" t="n">
        <v>28.8</v>
      </c>
      <c r="N1168" s="10">
        <f>L1168-M1168</f>
        <v/>
      </c>
    </row>
    <row r="1169">
      <c r="A1169" s="7" t="inlineStr">
        <is>
          <t>ORD-01110</t>
        </is>
      </c>
      <c r="B1169" s="8" t="n">
        <v>45209</v>
      </c>
      <c r="C1169" s="9" t="n">
        <v>45200</v>
      </c>
      <c r="D1169" s="7" t="n">
        <v>2023</v>
      </c>
      <c r="E1169" s="7" t="inlineStr">
        <is>
          <t>West</t>
        </is>
      </c>
      <c r="F1169" s="7" t="inlineStr">
        <is>
          <t>Technology</t>
        </is>
      </c>
      <c r="G1169" s="7" t="inlineStr">
        <is>
          <t>Headphones</t>
        </is>
      </c>
      <c r="H1169" s="7" t="inlineStr">
        <is>
          <t>Consumer</t>
        </is>
      </c>
      <c r="I1169" s="7" t="n">
        <v>3</v>
      </c>
      <c r="J1169" s="10" t="n">
        <v>115.77</v>
      </c>
      <c r="K1169" s="11" t="n">
        <v>0.05</v>
      </c>
      <c r="L1169" s="10">
        <f>I1169*J1169*(1-K1169)</f>
        <v/>
      </c>
      <c r="M1169" s="10" t="n">
        <v>216</v>
      </c>
      <c r="N1169" s="10">
        <f>L1169-M1169</f>
        <v/>
      </c>
    </row>
    <row r="1170">
      <c r="A1170" s="7" t="inlineStr">
        <is>
          <t>ORD-00444</t>
        </is>
      </c>
      <c r="B1170" s="8" t="n">
        <v>45209</v>
      </c>
      <c r="C1170" s="9" t="n">
        <v>45200</v>
      </c>
      <c r="D1170" s="7" t="n">
        <v>2023</v>
      </c>
      <c r="E1170" s="7" t="inlineStr">
        <is>
          <t>South</t>
        </is>
      </c>
      <c r="F1170" s="7" t="inlineStr">
        <is>
          <t>Office Supplies</t>
        </is>
      </c>
      <c r="G1170" s="7" t="inlineStr">
        <is>
          <t>Paper</t>
        </is>
      </c>
      <c r="H1170" s="7" t="inlineStr">
        <is>
          <t>Consumer</t>
        </is>
      </c>
      <c r="I1170" s="7" t="n">
        <v>12</v>
      </c>
      <c r="J1170" s="10" t="n">
        <v>25.43</v>
      </c>
      <c r="K1170" s="11" t="n">
        <v>0.3</v>
      </c>
      <c r="L1170" s="10">
        <f>I1170*J1170*(1-K1170)</f>
        <v/>
      </c>
      <c r="M1170" s="10" t="n">
        <v>150</v>
      </c>
      <c r="N1170" s="10">
        <f>L1170-M1170</f>
        <v/>
      </c>
    </row>
    <row r="1171">
      <c r="A1171" s="7" t="inlineStr">
        <is>
          <t>ORD-05229</t>
        </is>
      </c>
      <c r="B1171" s="8" t="n">
        <v>45209</v>
      </c>
      <c r="C1171" s="9" t="n">
        <v>45200</v>
      </c>
      <c r="D1171" s="7" t="n">
        <v>2023</v>
      </c>
      <c r="E1171" s="7" t="inlineStr">
        <is>
          <t>South</t>
        </is>
      </c>
      <c r="F1171" s="7" t="inlineStr">
        <is>
          <t>Office Supplies</t>
        </is>
      </c>
      <c r="G1171" s="7" t="inlineStr">
        <is>
          <t>Printer Ink</t>
        </is>
      </c>
      <c r="H1171" s="7" t="inlineStr">
        <is>
          <t>Home Office</t>
        </is>
      </c>
      <c r="I1171" s="7" t="n">
        <v>13</v>
      </c>
      <c r="J1171" s="10" t="n">
        <v>61.73</v>
      </c>
      <c r="K1171" s="11" t="n">
        <v>0</v>
      </c>
      <c r="L1171" s="10">
        <f>I1171*J1171*(1-K1171)</f>
        <v/>
      </c>
      <c r="M1171" s="10" t="n">
        <v>468</v>
      </c>
      <c r="N1171" s="10">
        <f>L1171-M1171</f>
        <v/>
      </c>
    </row>
    <row r="1172">
      <c r="A1172" s="7" t="inlineStr">
        <is>
          <t>ORD-05518</t>
        </is>
      </c>
      <c r="B1172" s="8" t="n">
        <v>45209</v>
      </c>
      <c r="C1172" s="9" t="n">
        <v>45200</v>
      </c>
      <c r="D1172" s="7" t="n">
        <v>2023</v>
      </c>
      <c r="E1172" s="7" t="inlineStr">
        <is>
          <t>East</t>
        </is>
      </c>
      <c r="F1172" s="7" t="inlineStr">
        <is>
          <t>Technology</t>
        </is>
      </c>
      <c r="G1172" s="7" t="inlineStr">
        <is>
          <t>Laptop</t>
        </is>
      </c>
      <c r="H1172" s="7" t="inlineStr">
        <is>
          <t>Consumer</t>
        </is>
      </c>
      <c r="I1172" s="7" t="n">
        <v>3</v>
      </c>
      <c r="J1172" s="10" t="n">
        <v>856.51</v>
      </c>
      <c r="K1172" s="11" t="n">
        <v>0.3</v>
      </c>
      <c r="L1172" s="10">
        <f>I1172*J1172*(1-K1172)</f>
        <v/>
      </c>
      <c r="M1172" s="10" t="n">
        <v>2106</v>
      </c>
      <c r="N1172" s="10">
        <f>L1172-M1172</f>
        <v/>
      </c>
    </row>
    <row r="1173">
      <c r="A1173" s="7" t="inlineStr">
        <is>
          <t>ORD-03126</t>
        </is>
      </c>
      <c r="B1173" s="8" t="n">
        <v>45209</v>
      </c>
      <c r="C1173" s="9" t="n">
        <v>45200</v>
      </c>
      <c r="D1173" s="7" t="n">
        <v>2023</v>
      </c>
      <c r="E1173" s="7" t="inlineStr">
        <is>
          <t>North</t>
        </is>
      </c>
      <c r="F1173" s="7" t="inlineStr">
        <is>
          <t>Office Supplies</t>
        </is>
      </c>
      <c r="G1173" s="7" t="inlineStr">
        <is>
          <t>Pens</t>
        </is>
      </c>
      <c r="H1173" s="7" t="inlineStr">
        <is>
          <t>Corporate</t>
        </is>
      </c>
      <c r="I1173" s="7" t="n">
        <v>6</v>
      </c>
      <c r="J1173" s="10" t="n">
        <v>11.85</v>
      </c>
      <c r="K1173" s="11" t="n">
        <v>0</v>
      </c>
      <c r="L1173" s="10">
        <f>I1173*J1173*(1-K1173)</f>
        <v/>
      </c>
      <c r="M1173" s="10" t="n">
        <v>32.4</v>
      </c>
      <c r="N1173" s="10">
        <f>L1173-M1173</f>
        <v/>
      </c>
    </row>
    <row r="1174">
      <c r="A1174" s="7" t="inlineStr">
        <is>
          <t>ORD-05260</t>
        </is>
      </c>
      <c r="B1174" s="8" t="n">
        <v>45210</v>
      </c>
      <c r="C1174" s="9" t="n">
        <v>45200</v>
      </c>
      <c r="D1174" s="7" t="n">
        <v>2023</v>
      </c>
      <c r="E1174" s="7" t="inlineStr">
        <is>
          <t>West</t>
        </is>
      </c>
      <c r="F1174" s="7" t="inlineStr">
        <is>
          <t>Furniture</t>
        </is>
      </c>
      <c r="G1174" s="7" t="inlineStr">
        <is>
          <t>Bookcase</t>
        </is>
      </c>
      <c r="H1174" s="7" t="inlineStr">
        <is>
          <t>Corporate</t>
        </is>
      </c>
      <c r="I1174" s="7" t="n">
        <v>4</v>
      </c>
      <c r="J1174" s="10" t="n">
        <v>177.36</v>
      </c>
      <c r="K1174" s="11" t="n">
        <v>0.3</v>
      </c>
      <c r="L1174" s="10">
        <f>I1174*J1174*(1-K1174)</f>
        <v/>
      </c>
      <c r="M1174" s="10" t="n">
        <v>576</v>
      </c>
      <c r="N1174" s="10">
        <f>L1174-M1174</f>
        <v/>
      </c>
    </row>
    <row r="1175">
      <c r="A1175" s="7" t="inlineStr">
        <is>
          <t>ORD-01277</t>
        </is>
      </c>
      <c r="B1175" s="8" t="n">
        <v>45210</v>
      </c>
      <c r="C1175" s="9" t="n">
        <v>45200</v>
      </c>
      <c r="D1175" s="7" t="n">
        <v>2023</v>
      </c>
      <c r="E1175" s="7" t="inlineStr">
        <is>
          <t>East</t>
        </is>
      </c>
      <c r="F1175" s="7" t="inlineStr">
        <is>
          <t>Technology</t>
        </is>
      </c>
      <c r="G1175" s="7" t="inlineStr">
        <is>
          <t>Laptop</t>
        </is>
      </c>
      <c r="H1175" s="7" t="inlineStr">
        <is>
          <t>Corporate</t>
        </is>
      </c>
      <c r="I1175" s="7" t="n">
        <v>2</v>
      </c>
      <c r="J1175" s="10" t="n">
        <v>913.38</v>
      </c>
      <c r="K1175" s="11" t="n">
        <v>0.1</v>
      </c>
      <c r="L1175" s="10">
        <f>I1175*J1175*(1-K1175)</f>
        <v/>
      </c>
      <c r="M1175" s="10" t="n">
        <v>1404</v>
      </c>
      <c r="N1175" s="10">
        <f>L1175-M1175</f>
        <v/>
      </c>
    </row>
    <row r="1176">
      <c r="A1176" s="7" t="inlineStr">
        <is>
          <t>ORD-04022</t>
        </is>
      </c>
      <c r="B1176" s="8" t="n">
        <v>45210</v>
      </c>
      <c r="C1176" s="9" t="n">
        <v>45200</v>
      </c>
      <c r="D1176" s="7" t="n">
        <v>2023</v>
      </c>
      <c r="E1176" s="7" t="inlineStr">
        <is>
          <t>West</t>
        </is>
      </c>
      <c r="F1176" s="7" t="inlineStr">
        <is>
          <t>Technology</t>
        </is>
      </c>
      <c r="G1176" s="7" t="inlineStr">
        <is>
          <t>Smartphone</t>
        </is>
      </c>
      <c r="H1176" s="7" t="inlineStr">
        <is>
          <t>Corporate</t>
        </is>
      </c>
      <c r="I1176" s="7" t="n">
        <v>3</v>
      </c>
      <c r="J1176" s="10" t="n">
        <v>587.79</v>
      </c>
      <c r="K1176" s="11" t="n">
        <v>0.1</v>
      </c>
      <c r="L1176" s="10">
        <f>I1176*J1176*(1-K1176)</f>
        <v/>
      </c>
      <c r="M1176" s="10" t="n">
        <v>1350</v>
      </c>
      <c r="N1176" s="10">
        <f>L1176-M1176</f>
        <v/>
      </c>
    </row>
    <row r="1177">
      <c r="A1177" s="7" t="inlineStr">
        <is>
          <t>ORD-04716</t>
        </is>
      </c>
      <c r="B1177" s="8" t="n">
        <v>45210</v>
      </c>
      <c r="C1177" s="9" t="n">
        <v>45200</v>
      </c>
      <c r="D1177" s="7" t="n">
        <v>2023</v>
      </c>
      <c r="E1177" s="7" t="inlineStr">
        <is>
          <t>West</t>
        </is>
      </c>
      <c r="F1177" s="7" t="inlineStr">
        <is>
          <t>Office Supplies</t>
        </is>
      </c>
      <c r="G1177" s="7" t="inlineStr">
        <is>
          <t>Paper</t>
        </is>
      </c>
      <c r="H1177" s="7" t="inlineStr">
        <is>
          <t>Consumer</t>
        </is>
      </c>
      <c r="I1177" s="7" t="n">
        <v>6</v>
      </c>
      <c r="J1177" s="10" t="n">
        <v>24.03</v>
      </c>
      <c r="K1177" s="11" t="n">
        <v>0</v>
      </c>
      <c r="L1177" s="10">
        <f>I1177*J1177*(1-K1177)</f>
        <v/>
      </c>
      <c r="M1177" s="10" t="n">
        <v>75</v>
      </c>
      <c r="N1177" s="10">
        <f>L1177-M1177</f>
        <v/>
      </c>
    </row>
    <row r="1178">
      <c r="A1178" s="7" t="inlineStr">
        <is>
          <t>ORD-03228</t>
        </is>
      </c>
      <c r="B1178" s="8" t="n">
        <v>45211</v>
      </c>
      <c r="C1178" s="9" t="n">
        <v>45200</v>
      </c>
      <c r="D1178" s="7" t="n">
        <v>2023</v>
      </c>
      <c r="E1178" s="7" t="inlineStr">
        <is>
          <t>South</t>
        </is>
      </c>
      <c r="F1178" s="7" t="inlineStr">
        <is>
          <t>Technology</t>
        </is>
      </c>
      <c r="G1178" s="7" t="inlineStr">
        <is>
          <t>Keyboard</t>
        </is>
      </c>
      <c r="H1178" s="7" t="inlineStr">
        <is>
          <t>Corporate</t>
        </is>
      </c>
      <c r="I1178" s="7" t="n">
        <v>2</v>
      </c>
      <c r="J1178" s="10" t="n">
        <v>46.13</v>
      </c>
      <c r="K1178" s="11" t="n">
        <v>0.1</v>
      </c>
      <c r="L1178" s="10">
        <f>I1178*J1178*(1-K1178)</f>
        <v/>
      </c>
      <c r="M1178" s="10" t="n">
        <v>49.5</v>
      </c>
      <c r="N1178" s="10">
        <f>L1178-M1178</f>
        <v/>
      </c>
    </row>
    <row r="1179">
      <c r="A1179" s="7" t="inlineStr">
        <is>
          <t>ORD-00026</t>
        </is>
      </c>
      <c r="B1179" s="8" t="n">
        <v>45211</v>
      </c>
      <c r="C1179" s="9" t="n">
        <v>45200</v>
      </c>
      <c r="D1179" s="7" t="n">
        <v>2023</v>
      </c>
      <c r="E1179" s="7" t="inlineStr">
        <is>
          <t>North</t>
        </is>
      </c>
      <c r="F1179" s="7" t="inlineStr">
        <is>
          <t>Office Supplies</t>
        </is>
      </c>
      <c r="G1179" s="7" t="inlineStr">
        <is>
          <t>Printer Ink</t>
        </is>
      </c>
      <c r="H1179" s="7" t="inlineStr">
        <is>
          <t>Corporate</t>
        </is>
      </c>
      <c r="I1179" s="7" t="n">
        <v>15</v>
      </c>
      <c r="J1179" s="10" t="n">
        <v>59.15</v>
      </c>
      <c r="K1179" s="11" t="n">
        <v>0.2</v>
      </c>
      <c r="L1179" s="10">
        <f>I1179*J1179*(1-K1179)</f>
        <v/>
      </c>
      <c r="M1179" s="10" t="n">
        <v>540</v>
      </c>
      <c r="N1179" s="10">
        <f>L1179-M1179</f>
        <v/>
      </c>
    </row>
    <row r="1180">
      <c r="A1180" s="7" t="inlineStr">
        <is>
          <t>ORD-02584</t>
        </is>
      </c>
      <c r="B1180" s="8" t="n">
        <v>45211</v>
      </c>
      <c r="C1180" s="9" t="n">
        <v>45200</v>
      </c>
      <c r="D1180" s="7" t="n">
        <v>2023</v>
      </c>
      <c r="E1180" s="7" t="inlineStr">
        <is>
          <t>West</t>
        </is>
      </c>
      <c r="F1180" s="7" t="inlineStr">
        <is>
          <t>Technology</t>
        </is>
      </c>
      <c r="G1180" s="7" t="inlineStr">
        <is>
          <t>Smartphone</t>
        </is>
      </c>
      <c r="H1180" s="7" t="inlineStr">
        <is>
          <t>Corporate</t>
        </is>
      </c>
      <c r="I1180" s="7" t="n">
        <v>3</v>
      </c>
      <c r="J1180" s="10" t="n">
        <v>611.98</v>
      </c>
      <c r="K1180" s="11" t="n">
        <v>0.2</v>
      </c>
      <c r="L1180" s="10">
        <f>I1180*J1180*(1-K1180)</f>
        <v/>
      </c>
      <c r="M1180" s="10" t="n">
        <v>1350</v>
      </c>
      <c r="N1180" s="10">
        <f>L1180-M1180</f>
        <v/>
      </c>
    </row>
    <row r="1181">
      <c r="A1181" s="7" t="inlineStr">
        <is>
          <t>ORD-05569</t>
        </is>
      </c>
      <c r="B1181" s="8" t="n">
        <v>45211</v>
      </c>
      <c r="C1181" s="9" t="n">
        <v>45200</v>
      </c>
      <c r="D1181" s="7" t="n">
        <v>2023</v>
      </c>
      <c r="E1181" s="7" t="inlineStr">
        <is>
          <t>East</t>
        </is>
      </c>
      <c r="F1181" s="7" t="inlineStr">
        <is>
          <t>Technology</t>
        </is>
      </c>
      <c r="G1181" s="7" t="inlineStr">
        <is>
          <t>Smartphone</t>
        </is>
      </c>
      <c r="H1181" s="7" t="inlineStr">
        <is>
          <t>Consumer</t>
        </is>
      </c>
      <c r="I1181" s="7" t="n">
        <v>2</v>
      </c>
      <c r="J1181" s="10" t="n">
        <v>593.3099999999999</v>
      </c>
      <c r="K1181" s="11" t="n">
        <v>0</v>
      </c>
      <c r="L1181" s="10">
        <f>I1181*J1181*(1-K1181)</f>
        <v/>
      </c>
      <c r="M1181" s="10" t="n">
        <v>900</v>
      </c>
      <c r="N1181" s="10">
        <f>L1181-M1181</f>
        <v/>
      </c>
    </row>
    <row r="1182">
      <c r="A1182" s="7" t="inlineStr">
        <is>
          <t>ORD-01445</t>
        </is>
      </c>
      <c r="B1182" s="8" t="n">
        <v>45212</v>
      </c>
      <c r="C1182" s="9" t="n">
        <v>45200</v>
      </c>
      <c r="D1182" s="7" t="n">
        <v>2023</v>
      </c>
      <c r="E1182" s="7" t="inlineStr">
        <is>
          <t>West</t>
        </is>
      </c>
      <c r="F1182" s="7" t="inlineStr">
        <is>
          <t>Technology</t>
        </is>
      </c>
      <c r="G1182" s="7" t="inlineStr">
        <is>
          <t>Monitor</t>
        </is>
      </c>
      <c r="H1182" s="7" t="inlineStr">
        <is>
          <t>Consumer</t>
        </is>
      </c>
      <c r="I1182" s="7" t="n">
        <v>1</v>
      </c>
      <c r="J1182" s="10" t="n">
        <v>253.04</v>
      </c>
      <c r="K1182" s="11" t="n">
        <v>0</v>
      </c>
      <c r="L1182" s="10">
        <f>I1182*J1182*(1-K1182)</f>
        <v/>
      </c>
      <c r="M1182" s="10" t="n">
        <v>180</v>
      </c>
      <c r="N1182" s="10">
        <f>L1182-M1182</f>
        <v/>
      </c>
    </row>
    <row r="1183">
      <c r="A1183" s="7" t="inlineStr">
        <is>
          <t>ORD-05688</t>
        </is>
      </c>
      <c r="B1183" s="8" t="n">
        <v>45212</v>
      </c>
      <c r="C1183" s="9" t="n">
        <v>45200</v>
      </c>
      <c r="D1183" s="7" t="n">
        <v>2023</v>
      </c>
      <c r="E1183" s="7" t="inlineStr">
        <is>
          <t>West</t>
        </is>
      </c>
      <c r="F1183" s="7" t="inlineStr">
        <is>
          <t>Furniture</t>
        </is>
      </c>
      <c r="G1183" s="7" t="inlineStr">
        <is>
          <t>Desk</t>
        </is>
      </c>
      <c r="H1183" s="7" t="inlineStr">
        <is>
          <t>Consumer</t>
        </is>
      </c>
      <c r="I1183" s="7" t="n">
        <v>4</v>
      </c>
      <c r="J1183" s="10" t="n">
        <v>446.33</v>
      </c>
      <c r="K1183" s="11" t="n">
        <v>0.3</v>
      </c>
      <c r="L1183" s="10">
        <f>I1183*J1183*(1-K1183)</f>
        <v/>
      </c>
      <c r="M1183" s="10" t="n">
        <v>1530</v>
      </c>
      <c r="N1183" s="10">
        <f>L1183-M1183</f>
        <v/>
      </c>
    </row>
    <row r="1184">
      <c r="A1184" s="7" t="inlineStr">
        <is>
          <t>ORD-05870</t>
        </is>
      </c>
      <c r="B1184" s="8" t="n">
        <v>45212</v>
      </c>
      <c r="C1184" s="9" t="n">
        <v>45200</v>
      </c>
      <c r="D1184" s="7" t="n">
        <v>2023</v>
      </c>
      <c r="E1184" s="7" t="inlineStr">
        <is>
          <t>West</t>
        </is>
      </c>
      <c r="F1184" s="7" t="inlineStr">
        <is>
          <t>Office Supplies</t>
        </is>
      </c>
      <c r="G1184" s="7" t="inlineStr">
        <is>
          <t>Paper</t>
        </is>
      </c>
      <c r="H1184" s="7" t="inlineStr">
        <is>
          <t>Corporate</t>
        </is>
      </c>
      <c r="I1184" s="7" t="n">
        <v>3</v>
      </c>
      <c r="J1184" s="10" t="n">
        <v>23.94</v>
      </c>
      <c r="K1184" s="11" t="n">
        <v>0.1</v>
      </c>
      <c r="L1184" s="10">
        <f>I1184*J1184*(1-K1184)</f>
        <v/>
      </c>
      <c r="M1184" s="10" t="n">
        <v>37.5</v>
      </c>
      <c r="N1184" s="10">
        <f>L1184-M1184</f>
        <v/>
      </c>
    </row>
    <row r="1185">
      <c r="A1185" s="7" t="inlineStr">
        <is>
          <t>ORD-01629</t>
        </is>
      </c>
      <c r="B1185" s="8" t="n">
        <v>45212</v>
      </c>
      <c r="C1185" s="9" t="n">
        <v>45200</v>
      </c>
      <c r="D1185" s="7" t="n">
        <v>2023</v>
      </c>
      <c r="E1185" s="7" t="inlineStr">
        <is>
          <t>West</t>
        </is>
      </c>
      <c r="F1185" s="7" t="inlineStr">
        <is>
          <t>Furniture</t>
        </is>
      </c>
      <c r="G1185" s="7" t="inlineStr">
        <is>
          <t>Desk</t>
        </is>
      </c>
      <c r="H1185" s="7" t="inlineStr">
        <is>
          <t>Home Office</t>
        </is>
      </c>
      <c r="I1185" s="7" t="n">
        <v>1</v>
      </c>
      <c r="J1185" s="10" t="n">
        <v>440.11</v>
      </c>
      <c r="K1185" s="11" t="n">
        <v>0.05</v>
      </c>
      <c r="L1185" s="10">
        <f>I1185*J1185*(1-K1185)</f>
        <v/>
      </c>
      <c r="M1185" s="10" t="n">
        <v>382.5</v>
      </c>
      <c r="N1185" s="10">
        <f>L1185-M1185</f>
        <v/>
      </c>
    </row>
    <row r="1186">
      <c r="A1186" s="7" t="inlineStr">
        <is>
          <t>ORD-01591</t>
        </is>
      </c>
      <c r="B1186" s="8" t="n">
        <v>45212</v>
      </c>
      <c r="C1186" s="9" t="n">
        <v>45200</v>
      </c>
      <c r="D1186" s="7" t="n">
        <v>2023</v>
      </c>
      <c r="E1186" s="7" t="inlineStr">
        <is>
          <t>East</t>
        </is>
      </c>
      <c r="F1186" s="7" t="inlineStr">
        <is>
          <t>Technology</t>
        </is>
      </c>
      <c r="G1186" s="7" t="inlineStr">
        <is>
          <t>Laptop</t>
        </is>
      </c>
      <c r="H1186" s="7" t="inlineStr">
        <is>
          <t>Consumer</t>
        </is>
      </c>
      <c r="I1186" s="7" t="n">
        <v>1</v>
      </c>
      <c r="J1186" s="10" t="n">
        <v>900.96</v>
      </c>
      <c r="K1186" s="11" t="n">
        <v>0.05</v>
      </c>
      <c r="L1186" s="10">
        <f>I1186*J1186*(1-K1186)</f>
        <v/>
      </c>
      <c r="M1186" s="10" t="n">
        <v>702</v>
      </c>
      <c r="N1186" s="10">
        <f>L1186-M1186</f>
        <v/>
      </c>
    </row>
    <row r="1187">
      <c r="A1187" s="7" t="inlineStr">
        <is>
          <t>ORD-03191</t>
        </is>
      </c>
      <c r="B1187" s="8" t="n">
        <v>45212</v>
      </c>
      <c r="C1187" s="9" t="n">
        <v>45200</v>
      </c>
      <c r="D1187" s="7" t="n">
        <v>2023</v>
      </c>
      <c r="E1187" s="7" t="inlineStr">
        <is>
          <t>East</t>
        </is>
      </c>
      <c r="F1187" s="7" t="inlineStr">
        <is>
          <t>Office Supplies</t>
        </is>
      </c>
      <c r="G1187" s="7" t="inlineStr">
        <is>
          <t>Printer Ink</t>
        </is>
      </c>
      <c r="H1187" s="7" t="inlineStr">
        <is>
          <t>Consumer</t>
        </is>
      </c>
      <c r="I1187" s="7" t="n">
        <v>14</v>
      </c>
      <c r="J1187" s="10" t="n">
        <v>58.22</v>
      </c>
      <c r="K1187" s="11" t="n">
        <v>0.1</v>
      </c>
      <c r="L1187" s="10">
        <f>I1187*J1187*(1-K1187)</f>
        <v/>
      </c>
      <c r="M1187" s="10" t="n">
        <v>504</v>
      </c>
      <c r="N1187" s="10">
        <f>L1187-M1187</f>
        <v/>
      </c>
    </row>
    <row r="1188">
      <c r="A1188" s="7" t="inlineStr">
        <is>
          <t>ORD-04378</t>
        </is>
      </c>
      <c r="B1188" s="8" t="n">
        <v>45212</v>
      </c>
      <c r="C1188" s="9" t="n">
        <v>45200</v>
      </c>
      <c r="D1188" s="7" t="n">
        <v>2023</v>
      </c>
      <c r="E1188" s="7" t="inlineStr">
        <is>
          <t>West</t>
        </is>
      </c>
      <c r="F1188" s="7" t="inlineStr">
        <is>
          <t>Office Supplies</t>
        </is>
      </c>
      <c r="G1188" s="7" t="inlineStr">
        <is>
          <t>Pens</t>
        </is>
      </c>
      <c r="H1188" s="7" t="inlineStr">
        <is>
          <t>Consumer</t>
        </is>
      </c>
      <c r="I1188" s="7" t="n">
        <v>6</v>
      </c>
      <c r="J1188" s="10" t="n">
        <v>11.66</v>
      </c>
      <c r="K1188" s="11" t="n">
        <v>0.05</v>
      </c>
      <c r="L1188" s="10">
        <f>I1188*J1188*(1-K1188)</f>
        <v/>
      </c>
      <c r="M1188" s="10" t="n">
        <v>32.4</v>
      </c>
      <c r="N1188" s="10">
        <f>L1188-M1188</f>
        <v/>
      </c>
    </row>
    <row r="1189">
      <c r="A1189" s="7" t="inlineStr">
        <is>
          <t>ORD-01233</t>
        </is>
      </c>
      <c r="B1189" s="8" t="n">
        <v>45212</v>
      </c>
      <c r="C1189" s="9" t="n">
        <v>45200</v>
      </c>
      <c r="D1189" s="7" t="n">
        <v>2023</v>
      </c>
      <c r="E1189" s="7" t="inlineStr">
        <is>
          <t>West</t>
        </is>
      </c>
      <c r="F1189" s="7" t="inlineStr">
        <is>
          <t>Office Supplies</t>
        </is>
      </c>
      <c r="G1189" s="7" t="inlineStr">
        <is>
          <t>Paper</t>
        </is>
      </c>
      <c r="H1189" s="7" t="inlineStr">
        <is>
          <t>Corporate</t>
        </is>
      </c>
      <c r="I1189" s="7" t="n">
        <v>8</v>
      </c>
      <c r="J1189" s="10" t="n">
        <v>25.67</v>
      </c>
      <c r="K1189" s="11" t="n">
        <v>0</v>
      </c>
      <c r="L1189" s="10">
        <f>I1189*J1189*(1-K1189)</f>
        <v/>
      </c>
      <c r="M1189" s="10" t="n">
        <v>100</v>
      </c>
      <c r="N1189" s="10">
        <f>L1189-M1189</f>
        <v/>
      </c>
    </row>
    <row r="1190">
      <c r="A1190" s="7" t="inlineStr">
        <is>
          <t>ORD-04629</t>
        </is>
      </c>
      <c r="B1190" s="8" t="n">
        <v>45212</v>
      </c>
      <c r="C1190" s="9" t="n">
        <v>45200</v>
      </c>
      <c r="D1190" s="7" t="n">
        <v>2023</v>
      </c>
      <c r="E1190" s="7" t="inlineStr">
        <is>
          <t>North</t>
        </is>
      </c>
      <c r="F1190" s="7" t="inlineStr">
        <is>
          <t>Office Supplies</t>
        </is>
      </c>
      <c r="G1190" s="7" t="inlineStr">
        <is>
          <t>Paper</t>
        </is>
      </c>
      <c r="H1190" s="7" t="inlineStr">
        <is>
          <t>Consumer</t>
        </is>
      </c>
      <c r="I1190" s="7" t="n">
        <v>6</v>
      </c>
      <c r="J1190" s="10" t="n">
        <v>26.13</v>
      </c>
      <c r="K1190" s="11" t="n">
        <v>0</v>
      </c>
      <c r="L1190" s="10">
        <f>I1190*J1190*(1-K1190)</f>
        <v/>
      </c>
      <c r="M1190" s="10" t="n">
        <v>75</v>
      </c>
      <c r="N1190" s="10">
        <f>L1190-M1190</f>
        <v/>
      </c>
    </row>
    <row r="1191">
      <c r="A1191" s="7" t="inlineStr">
        <is>
          <t>ORD-00199</t>
        </is>
      </c>
      <c r="B1191" s="8" t="n">
        <v>45213</v>
      </c>
      <c r="C1191" s="9" t="n">
        <v>45200</v>
      </c>
      <c r="D1191" s="7" t="n">
        <v>2023</v>
      </c>
      <c r="E1191" s="7" t="inlineStr">
        <is>
          <t>East</t>
        </is>
      </c>
      <c r="F1191" s="7" t="inlineStr">
        <is>
          <t>Office Supplies</t>
        </is>
      </c>
      <c r="G1191" s="7" t="inlineStr">
        <is>
          <t>Pens</t>
        </is>
      </c>
      <c r="H1191" s="7" t="inlineStr">
        <is>
          <t>Corporate</t>
        </is>
      </c>
      <c r="I1191" s="7" t="n">
        <v>3</v>
      </c>
      <c r="J1191" s="10" t="n">
        <v>12.11</v>
      </c>
      <c r="K1191" s="11" t="n">
        <v>0.3</v>
      </c>
      <c r="L1191" s="10">
        <f>I1191*J1191*(1-K1191)</f>
        <v/>
      </c>
      <c r="M1191" s="10" t="n">
        <v>16.2</v>
      </c>
      <c r="N1191" s="10">
        <f>L1191-M1191</f>
        <v/>
      </c>
    </row>
    <row r="1192">
      <c r="A1192" s="7" t="inlineStr">
        <is>
          <t>ORD-04249</t>
        </is>
      </c>
      <c r="B1192" s="8" t="n">
        <v>45213</v>
      </c>
      <c r="C1192" s="9" t="n">
        <v>45200</v>
      </c>
      <c r="D1192" s="7" t="n">
        <v>2023</v>
      </c>
      <c r="E1192" s="7" t="inlineStr">
        <is>
          <t>West</t>
        </is>
      </c>
      <c r="F1192" s="7" t="inlineStr">
        <is>
          <t>Office Supplies</t>
        </is>
      </c>
      <c r="G1192" s="7" t="inlineStr">
        <is>
          <t>Stapler</t>
        </is>
      </c>
      <c r="H1192" s="7" t="inlineStr">
        <is>
          <t>Consumer</t>
        </is>
      </c>
      <c r="I1192" s="7" t="n">
        <v>14</v>
      </c>
      <c r="J1192" s="10" t="n">
        <v>14.64</v>
      </c>
      <c r="K1192" s="11" t="n">
        <v>0.05</v>
      </c>
      <c r="L1192" s="10">
        <f>I1192*J1192*(1-K1192)</f>
        <v/>
      </c>
      <c r="M1192" s="10" t="n">
        <v>105</v>
      </c>
      <c r="N1192" s="10">
        <f>L1192-M1192</f>
        <v/>
      </c>
    </row>
    <row r="1193">
      <c r="A1193" s="7" t="inlineStr">
        <is>
          <t>ORD-00885</t>
        </is>
      </c>
      <c r="B1193" s="8" t="n">
        <v>45214</v>
      </c>
      <c r="C1193" s="9" t="n">
        <v>45200</v>
      </c>
      <c r="D1193" s="7" t="n">
        <v>2023</v>
      </c>
      <c r="E1193" s="7" t="inlineStr">
        <is>
          <t>North</t>
        </is>
      </c>
      <c r="F1193" s="7" t="inlineStr">
        <is>
          <t>Furniture</t>
        </is>
      </c>
      <c r="G1193" s="7" t="inlineStr">
        <is>
          <t>Desk</t>
        </is>
      </c>
      <c r="H1193" s="7" t="inlineStr">
        <is>
          <t>Home Office</t>
        </is>
      </c>
      <c r="I1193" s="7" t="n">
        <v>2</v>
      </c>
      <c r="J1193" s="10" t="n">
        <v>448.88</v>
      </c>
      <c r="K1193" s="11" t="n">
        <v>0.2</v>
      </c>
      <c r="L1193" s="10">
        <f>I1193*J1193*(1-K1193)</f>
        <v/>
      </c>
      <c r="M1193" s="10" t="n">
        <v>765</v>
      </c>
      <c r="N1193" s="10">
        <f>L1193-M1193</f>
        <v/>
      </c>
    </row>
    <row r="1194">
      <c r="A1194" s="7" t="inlineStr">
        <is>
          <t>ORD-05015</t>
        </is>
      </c>
      <c r="B1194" s="8" t="n">
        <v>45214</v>
      </c>
      <c r="C1194" s="9" t="n">
        <v>45200</v>
      </c>
      <c r="D1194" s="7" t="n">
        <v>2023</v>
      </c>
      <c r="E1194" s="7" t="inlineStr">
        <is>
          <t>North</t>
        </is>
      </c>
      <c r="F1194" s="7" t="inlineStr">
        <is>
          <t>Technology</t>
        </is>
      </c>
      <c r="G1194" s="7" t="inlineStr">
        <is>
          <t>Headphones</t>
        </is>
      </c>
      <c r="H1194" s="7" t="inlineStr">
        <is>
          <t>Home Office</t>
        </is>
      </c>
      <c r="I1194" s="7" t="n">
        <v>3</v>
      </c>
      <c r="J1194" s="10" t="n">
        <v>123.69</v>
      </c>
      <c r="K1194" s="11" t="n">
        <v>0</v>
      </c>
      <c r="L1194" s="10">
        <f>I1194*J1194*(1-K1194)</f>
        <v/>
      </c>
      <c r="M1194" s="10" t="n">
        <v>216</v>
      </c>
      <c r="N1194" s="10">
        <f>L1194-M1194</f>
        <v/>
      </c>
    </row>
    <row r="1195">
      <c r="A1195" s="7" t="inlineStr">
        <is>
          <t>ORD-02246</t>
        </is>
      </c>
      <c r="B1195" s="8" t="n">
        <v>45214</v>
      </c>
      <c r="C1195" s="9" t="n">
        <v>45200</v>
      </c>
      <c r="D1195" s="7" t="n">
        <v>2023</v>
      </c>
      <c r="E1195" s="7" t="inlineStr">
        <is>
          <t>West</t>
        </is>
      </c>
      <c r="F1195" s="7" t="inlineStr">
        <is>
          <t>Technology</t>
        </is>
      </c>
      <c r="G1195" s="7" t="inlineStr">
        <is>
          <t>Laptop</t>
        </is>
      </c>
      <c r="H1195" s="7" t="inlineStr">
        <is>
          <t>Corporate</t>
        </is>
      </c>
      <c r="I1195" s="7" t="n">
        <v>3</v>
      </c>
      <c r="J1195" s="10" t="n">
        <v>884.42</v>
      </c>
      <c r="K1195" s="11" t="n">
        <v>0</v>
      </c>
      <c r="L1195" s="10">
        <f>I1195*J1195*(1-K1195)</f>
        <v/>
      </c>
      <c r="M1195" s="10" t="n">
        <v>2106</v>
      </c>
      <c r="N1195" s="10">
        <f>L1195-M1195</f>
        <v/>
      </c>
    </row>
    <row r="1196">
      <c r="A1196" s="7" t="inlineStr">
        <is>
          <t>ORD-03974</t>
        </is>
      </c>
      <c r="B1196" s="8" t="n">
        <v>45214</v>
      </c>
      <c r="C1196" s="9" t="n">
        <v>45200</v>
      </c>
      <c r="D1196" s="7" t="n">
        <v>2023</v>
      </c>
      <c r="E1196" s="7" t="inlineStr">
        <is>
          <t>East</t>
        </is>
      </c>
      <c r="F1196" s="7" t="inlineStr">
        <is>
          <t>Technology</t>
        </is>
      </c>
      <c r="G1196" s="7" t="inlineStr">
        <is>
          <t>Headphones</t>
        </is>
      </c>
      <c r="H1196" s="7" t="inlineStr">
        <is>
          <t>Consumer</t>
        </is>
      </c>
      <c r="I1196" s="7" t="n">
        <v>2</v>
      </c>
      <c r="J1196" s="10" t="n">
        <v>124.41</v>
      </c>
      <c r="K1196" s="11" t="n">
        <v>0.05</v>
      </c>
      <c r="L1196" s="10">
        <f>I1196*J1196*(1-K1196)</f>
        <v/>
      </c>
      <c r="M1196" s="10" t="n">
        <v>144</v>
      </c>
      <c r="N1196" s="10">
        <f>L1196-M1196</f>
        <v/>
      </c>
    </row>
    <row r="1197">
      <c r="A1197" s="7" t="inlineStr">
        <is>
          <t>ORD-02328</t>
        </is>
      </c>
      <c r="B1197" s="8" t="n">
        <v>45215</v>
      </c>
      <c r="C1197" s="9" t="n">
        <v>45200</v>
      </c>
      <c r="D1197" s="7" t="n">
        <v>2023</v>
      </c>
      <c r="E1197" s="7" t="inlineStr">
        <is>
          <t>East</t>
        </is>
      </c>
      <c r="F1197" s="7" t="inlineStr">
        <is>
          <t>Office Supplies</t>
        </is>
      </c>
      <c r="G1197" s="7" t="inlineStr">
        <is>
          <t>Binder</t>
        </is>
      </c>
      <c r="H1197" s="7" t="inlineStr">
        <is>
          <t>Consumer</t>
        </is>
      </c>
      <c r="I1197" s="7" t="n">
        <v>3</v>
      </c>
      <c r="J1197" s="10" t="n">
        <v>7.8</v>
      </c>
      <c r="K1197" s="11" t="n">
        <v>0.2</v>
      </c>
      <c r="L1197" s="10">
        <f>I1197*J1197*(1-K1197)</f>
        <v/>
      </c>
      <c r="M1197" s="10" t="n">
        <v>9.6</v>
      </c>
      <c r="N1197" s="10">
        <f>L1197-M1197</f>
        <v/>
      </c>
    </row>
    <row r="1198">
      <c r="A1198" s="7" t="inlineStr">
        <is>
          <t>ORD-05036</t>
        </is>
      </c>
      <c r="B1198" s="8" t="n">
        <v>45215</v>
      </c>
      <c r="C1198" s="9" t="n">
        <v>45200</v>
      </c>
      <c r="D1198" s="7" t="n">
        <v>2023</v>
      </c>
      <c r="E1198" s="7" t="inlineStr">
        <is>
          <t>North</t>
        </is>
      </c>
      <c r="F1198" s="7" t="inlineStr">
        <is>
          <t>Technology</t>
        </is>
      </c>
      <c r="G1198" s="7" t="inlineStr">
        <is>
          <t>Smartphone</t>
        </is>
      </c>
      <c r="H1198" s="7" t="inlineStr">
        <is>
          <t>Corporate</t>
        </is>
      </c>
      <c r="I1198" s="7" t="n">
        <v>1</v>
      </c>
      <c r="J1198" s="10" t="n">
        <v>612.27</v>
      </c>
      <c r="K1198" s="11" t="n">
        <v>0</v>
      </c>
      <c r="L1198" s="10">
        <f>I1198*J1198*(1-K1198)</f>
        <v/>
      </c>
      <c r="M1198" s="10" t="n">
        <v>450</v>
      </c>
      <c r="N1198" s="10">
        <f>L1198-M1198</f>
        <v/>
      </c>
    </row>
    <row r="1199">
      <c r="A1199" s="7" t="inlineStr">
        <is>
          <t>ORD-01520</t>
        </is>
      </c>
      <c r="B1199" s="8" t="n">
        <v>45215</v>
      </c>
      <c r="C1199" s="9" t="n">
        <v>45200</v>
      </c>
      <c r="D1199" s="7" t="n">
        <v>2023</v>
      </c>
      <c r="E1199" s="7" t="inlineStr">
        <is>
          <t>West</t>
        </is>
      </c>
      <c r="F1199" s="7" t="inlineStr">
        <is>
          <t>Office Supplies</t>
        </is>
      </c>
      <c r="G1199" s="7" t="inlineStr">
        <is>
          <t>Paper</t>
        </is>
      </c>
      <c r="H1199" s="7" t="inlineStr">
        <is>
          <t>Corporate</t>
        </is>
      </c>
      <c r="I1199" s="7" t="n">
        <v>11</v>
      </c>
      <c r="J1199" s="10" t="n">
        <v>23.81</v>
      </c>
      <c r="K1199" s="11" t="n">
        <v>0</v>
      </c>
      <c r="L1199" s="10">
        <f>I1199*J1199*(1-K1199)</f>
        <v/>
      </c>
      <c r="M1199" s="10" t="n">
        <v>137.5</v>
      </c>
      <c r="N1199" s="10">
        <f>L1199-M1199</f>
        <v/>
      </c>
    </row>
    <row r="1200">
      <c r="A1200" s="7" t="inlineStr">
        <is>
          <t>ORD-02617</t>
        </is>
      </c>
      <c r="B1200" s="8" t="n">
        <v>45215</v>
      </c>
      <c r="C1200" s="9" t="n">
        <v>45200</v>
      </c>
      <c r="D1200" s="7" t="n">
        <v>2023</v>
      </c>
      <c r="E1200" s="7" t="inlineStr">
        <is>
          <t>East</t>
        </is>
      </c>
      <c r="F1200" s="7" t="inlineStr">
        <is>
          <t>Office Supplies</t>
        </is>
      </c>
      <c r="G1200" s="7" t="inlineStr">
        <is>
          <t>Paper</t>
        </is>
      </c>
      <c r="H1200" s="7" t="inlineStr">
        <is>
          <t>Consumer</t>
        </is>
      </c>
      <c r="I1200" s="7" t="n">
        <v>5</v>
      </c>
      <c r="J1200" s="10" t="n">
        <v>25.73</v>
      </c>
      <c r="K1200" s="11" t="n">
        <v>0</v>
      </c>
      <c r="L1200" s="10">
        <f>I1200*J1200*(1-K1200)</f>
        <v/>
      </c>
      <c r="M1200" s="10" t="n">
        <v>62.5</v>
      </c>
      <c r="N1200" s="10">
        <f>L1200-M1200</f>
        <v/>
      </c>
    </row>
    <row r="1201">
      <c r="A1201" s="7" t="inlineStr">
        <is>
          <t>ORD-02422</t>
        </is>
      </c>
      <c r="B1201" s="8" t="n">
        <v>45215</v>
      </c>
      <c r="C1201" s="9" t="n">
        <v>45200</v>
      </c>
      <c r="D1201" s="7" t="n">
        <v>2023</v>
      </c>
      <c r="E1201" s="7" t="inlineStr">
        <is>
          <t>North</t>
        </is>
      </c>
      <c r="F1201" s="7" t="inlineStr">
        <is>
          <t>Office Supplies</t>
        </is>
      </c>
      <c r="G1201" s="7" t="inlineStr">
        <is>
          <t>Paper</t>
        </is>
      </c>
      <c r="H1201" s="7" t="inlineStr">
        <is>
          <t>Corporate</t>
        </is>
      </c>
      <c r="I1201" s="7" t="n">
        <v>3</v>
      </c>
      <c r="J1201" s="10" t="n">
        <v>24.67</v>
      </c>
      <c r="K1201" s="11" t="n">
        <v>0</v>
      </c>
      <c r="L1201" s="10">
        <f>I1201*J1201*(1-K1201)</f>
        <v/>
      </c>
      <c r="M1201" s="10" t="n">
        <v>37.5</v>
      </c>
      <c r="N1201" s="10">
        <f>L1201-M1201</f>
        <v/>
      </c>
    </row>
    <row r="1202">
      <c r="A1202" s="7" t="inlineStr">
        <is>
          <t>ORD-01047</t>
        </is>
      </c>
      <c r="B1202" s="8" t="n">
        <v>45215</v>
      </c>
      <c r="C1202" s="9" t="n">
        <v>45200</v>
      </c>
      <c r="D1202" s="7" t="n">
        <v>2023</v>
      </c>
      <c r="E1202" s="7" t="inlineStr">
        <is>
          <t>East</t>
        </is>
      </c>
      <c r="F1202" s="7" t="inlineStr">
        <is>
          <t>Office Supplies</t>
        </is>
      </c>
      <c r="G1202" s="7" t="inlineStr">
        <is>
          <t>Paper</t>
        </is>
      </c>
      <c r="H1202" s="7" t="inlineStr">
        <is>
          <t>Corporate</t>
        </is>
      </c>
      <c r="I1202" s="7" t="n">
        <v>7</v>
      </c>
      <c r="J1202" s="10" t="n">
        <v>23.8</v>
      </c>
      <c r="K1202" s="11" t="n">
        <v>0.2</v>
      </c>
      <c r="L1202" s="10">
        <f>I1202*J1202*(1-K1202)</f>
        <v/>
      </c>
      <c r="M1202" s="10" t="n">
        <v>87.5</v>
      </c>
      <c r="N1202" s="10">
        <f>L1202-M1202</f>
        <v/>
      </c>
    </row>
    <row r="1203">
      <c r="A1203" s="7" t="inlineStr">
        <is>
          <t>ORD-00419</t>
        </is>
      </c>
      <c r="B1203" s="8" t="n">
        <v>45215</v>
      </c>
      <c r="C1203" s="9" t="n">
        <v>45200</v>
      </c>
      <c r="D1203" s="7" t="n">
        <v>2023</v>
      </c>
      <c r="E1203" s="7" t="inlineStr">
        <is>
          <t>North</t>
        </is>
      </c>
      <c r="F1203" s="7" t="inlineStr">
        <is>
          <t>Office Supplies</t>
        </is>
      </c>
      <c r="G1203" s="7" t="inlineStr">
        <is>
          <t>Pens</t>
        </is>
      </c>
      <c r="H1203" s="7" t="inlineStr">
        <is>
          <t>Corporate</t>
        </is>
      </c>
      <c r="I1203" s="7" t="n">
        <v>12</v>
      </c>
      <c r="J1203" s="10" t="n">
        <v>11.75</v>
      </c>
      <c r="K1203" s="11" t="n">
        <v>0</v>
      </c>
      <c r="L1203" s="10">
        <f>I1203*J1203*(1-K1203)</f>
        <v/>
      </c>
      <c r="M1203" s="10" t="n">
        <v>64.8</v>
      </c>
      <c r="N1203" s="10">
        <f>L1203-M1203</f>
        <v/>
      </c>
    </row>
    <row r="1204">
      <c r="A1204" s="7" t="inlineStr">
        <is>
          <t>ORD-05528</t>
        </is>
      </c>
      <c r="B1204" s="8" t="n">
        <v>45215</v>
      </c>
      <c r="C1204" s="9" t="n">
        <v>45200</v>
      </c>
      <c r="D1204" s="7" t="n">
        <v>2023</v>
      </c>
      <c r="E1204" s="7" t="inlineStr">
        <is>
          <t>South</t>
        </is>
      </c>
      <c r="F1204" s="7" t="inlineStr">
        <is>
          <t>Furniture</t>
        </is>
      </c>
      <c r="G1204" s="7" t="inlineStr">
        <is>
          <t>Bookcase</t>
        </is>
      </c>
      <c r="H1204" s="7" t="inlineStr">
        <is>
          <t>Home Office</t>
        </is>
      </c>
      <c r="I1204" s="7" t="n">
        <v>3</v>
      </c>
      <c r="J1204" s="10" t="n">
        <v>176.95</v>
      </c>
      <c r="K1204" s="11" t="n">
        <v>0.05</v>
      </c>
      <c r="L1204" s="10">
        <f>I1204*J1204*(1-K1204)</f>
        <v/>
      </c>
      <c r="M1204" s="10" t="n">
        <v>432</v>
      </c>
      <c r="N1204" s="10">
        <f>L1204-M1204</f>
        <v/>
      </c>
    </row>
    <row r="1205">
      <c r="A1205" s="7" t="inlineStr">
        <is>
          <t>ORD-05840</t>
        </is>
      </c>
      <c r="B1205" s="8" t="n">
        <v>45216</v>
      </c>
      <c r="C1205" s="9" t="n">
        <v>45200</v>
      </c>
      <c r="D1205" s="7" t="n">
        <v>2023</v>
      </c>
      <c r="E1205" s="7" t="inlineStr">
        <is>
          <t>West</t>
        </is>
      </c>
      <c r="F1205" s="7" t="inlineStr">
        <is>
          <t>Technology</t>
        </is>
      </c>
      <c r="G1205" s="7" t="inlineStr">
        <is>
          <t>Laptop</t>
        </is>
      </c>
      <c r="H1205" s="7" t="inlineStr">
        <is>
          <t>Corporate</t>
        </is>
      </c>
      <c r="I1205" s="7" t="n">
        <v>3</v>
      </c>
      <c r="J1205" s="10" t="n">
        <v>934.89</v>
      </c>
      <c r="K1205" s="11" t="n">
        <v>0.1</v>
      </c>
      <c r="L1205" s="10">
        <f>I1205*J1205*(1-K1205)</f>
        <v/>
      </c>
      <c r="M1205" s="10" t="n">
        <v>2106</v>
      </c>
      <c r="N1205" s="10">
        <f>L1205-M1205</f>
        <v/>
      </c>
    </row>
    <row r="1206">
      <c r="A1206" s="7" t="inlineStr">
        <is>
          <t>ORD-02640</t>
        </is>
      </c>
      <c r="B1206" s="8" t="n">
        <v>45216</v>
      </c>
      <c r="C1206" s="9" t="n">
        <v>45200</v>
      </c>
      <c r="D1206" s="7" t="n">
        <v>2023</v>
      </c>
      <c r="E1206" s="7" t="inlineStr">
        <is>
          <t>West</t>
        </is>
      </c>
      <c r="F1206" s="7" t="inlineStr">
        <is>
          <t>Office Supplies</t>
        </is>
      </c>
      <c r="G1206" s="7" t="inlineStr">
        <is>
          <t>Paper</t>
        </is>
      </c>
      <c r="H1206" s="7" t="inlineStr">
        <is>
          <t>Home Office</t>
        </is>
      </c>
      <c r="I1206" s="7" t="n">
        <v>2</v>
      </c>
      <c r="J1206" s="10" t="n">
        <v>23.76</v>
      </c>
      <c r="K1206" s="11" t="n">
        <v>0</v>
      </c>
      <c r="L1206" s="10">
        <f>I1206*J1206*(1-K1206)</f>
        <v/>
      </c>
      <c r="M1206" s="10" t="n">
        <v>25</v>
      </c>
      <c r="N1206" s="10">
        <f>L1206-M1206</f>
        <v/>
      </c>
    </row>
    <row r="1207">
      <c r="A1207" s="7" t="inlineStr">
        <is>
          <t>ORD-01512</t>
        </is>
      </c>
      <c r="B1207" s="8" t="n">
        <v>45216</v>
      </c>
      <c r="C1207" s="9" t="n">
        <v>45200</v>
      </c>
      <c r="D1207" s="7" t="n">
        <v>2023</v>
      </c>
      <c r="E1207" s="7" t="inlineStr">
        <is>
          <t>East</t>
        </is>
      </c>
      <c r="F1207" s="7" t="inlineStr">
        <is>
          <t>Furniture</t>
        </is>
      </c>
      <c r="G1207" s="7" t="inlineStr">
        <is>
          <t>Desk</t>
        </is>
      </c>
      <c r="H1207" s="7" t="inlineStr">
        <is>
          <t>Consumer</t>
        </is>
      </c>
      <c r="I1207" s="7" t="n">
        <v>1</v>
      </c>
      <c r="J1207" s="10" t="n">
        <v>456.45</v>
      </c>
      <c r="K1207" s="11" t="n">
        <v>0</v>
      </c>
      <c r="L1207" s="10">
        <f>I1207*J1207*(1-K1207)</f>
        <v/>
      </c>
      <c r="M1207" s="10" t="n">
        <v>382.5</v>
      </c>
      <c r="N1207" s="10">
        <f>L1207-M1207</f>
        <v/>
      </c>
    </row>
    <row r="1208">
      <c r="A1208" s="7" t="inlineStr">
        <is>
          <t>ORD-05716</t>
        </is>
      </c>
      <c r="B1208" s="8" t="n">
        <v>45216</v>
      </c>
      <c r="C1208" s="9" t="n">
        <v>45200</v>
      </c>
      <c r="D1208" s="7" t="n">
        <v>2023</v>
      </c>
      <c r="E1208" s="7" t="inlineStr">
        <is>
          <t>North</t>
        </is>
      </c>
      <c r="F1208" s="7" t="inlineStr">
        <is>
          <t>Technology</t>
        </is>
      </c>
      <c r="G1208" s="7" t="inlineStr">
        <is>
          <t>Smartphone</t>
        </is>
      </c>
      <c r="H1208" s="7" t="inlineStr">
        <is>
          <t>Corporate</t>
        </is>
      </c>
      <c r="I1208" s="7" t="n">
        <v>1</v>
      </c>
      <c r="J1208" s="10" t="n">
        <v>596.64</v>
      </c>
      <c r="K1208" s="11" t="n">
        <v>0.05</v>
      </c>
      <c r="L1208" s="10">
        <f>I1208*J1208*(1-K1208)</f>
        <v/>
      </c>
      <c r="M1208" s="10" t="n">
        <v>450</v>
      </c>
      <c r="N1208" s="10">
        <f>L1208-M1208</f>
        <v/>
      </c>
    </row>
    <row r="1209">
      <c r="A1209" s="7" t="inlineStr">
        <is>
          <t>ORD-03609</t>
        </is>
      </c>
      <c r="B1209" s="8" t="n">
        <v>45216</v>
      </c>
      <c r="C1209" s="9" t="n">
        <v>45200</v>
      </c>
      <c r="D1209" s="7" t="n">
        <v>2023</v>
      </c>
      <c r="E1209" s="7" t="inlineStr">
        <is>
          <t>North</t>
        </is>
      </c>
      <c r="F1209" s="7" t="inlineStr">
        <is>
          <t>Office Supplies</t>
        </is>
      </c>
      <c r="G1209" s="7" t="inlineStr">
        <is>
          <t>Paper</t>
        </is>
      </c>
      <c r="H1209" s="7" t="inlineStr">
        <is>
          <t>Consumer</t>
        </is>
      </c>
      <c r="I1209" s="7" t="n">
        <v>12</v>
      </c>
      <c r="J1209" s="10" t="n">
        <v>26.15</v>
      </c>
      <c r="K1209" s="11" t="n">
        <v>0</v>
      </c>
      <c r="L1209" s="10">
        <f>I1209*J1209*(1-K1209)</f>
        <v/>
      </c>
      <c r="M1209" s="10" t="n">
        <v>150</v>
      </c>
      <c r="N1209" s="10">
        <f>L1209-M1209</f>
        <v/>
      </c>
    </row>
    <row r="1210">
      <c r="A1210" s="7" t="inlineStr">
        <is>
          <t>ORD-05285</t>
        </is>
      </c>
      <c r="B1210" s="8" t="n">
        <v>45217</v>
      </c>
      <c r="C1210" s="9" t="n">
        <v>45200</v>
      </c>
      <c r="D1210" s="7" t="n">
        <v>2023</v>
      </c>
      <c r="E1210" s="7" t="inlineStr">
        <is>
          <t>North</t>
        </is>
      </c>
      <c r="F1210" s="7" t="inlineStr">
        <is>
          <t>Technology</t>
        </is>
      </c>
      <c r="G1210" s="7" t="inlineStr">
        <is>
          <t>Headphones</t>
        </is>
      </c>
      <c r="H1210" s="7" t="inlineStr">
        <is>
          <t>Home Office</t>
        </is>
      </c>
      <c r="I1210" s="7" t="n">
        <v>1</v>
      </c>
      <c r="J1210" s="10" t="n">
        <v>124.55</v>
      </c>
      <c r="K1210" s="11" t="n">
        <v>0</v>
      </c>
      <c r="L1210" s="10">
        <f>I1210*J1210*(1-K1210)</f>
        <v/>
      </c>
      <c r="M1210" s="10" t="n">
        <v>72</v>
      </c>
      <c r="N1210" s="10">
        <f>L1210-M1210</f>
        <v/>
      </c>
    </row>
    <row r="1211">
      <c r="A1211" s="7" t="inlineStr">
        <is>
          <t>ORD-02289</t>
        </is>
      </c>
      <c r="B1211" s="8" t="n">
        <v>45217</v>
      </c>
      <c r="C1211" s="9" t="n">
        <v>45200</v>
      </c>
      <c r="D1211" s="7" t="n">
        <v>2023</v>
      </c>
      <c r="E1211" s="7" t="inlineStr">
        <is>
          <t>East</t>
        </is>
      </c>
      <c r="F1211" s="7" t="inlineStr">
        <is>
          <t>Office Supplies</t>
        </is>
      </c>
      <c r="G1211" s="7" t="inlineStr">
        <is>
          <t>Pens</t>
        </is>
      </c>
      <c r="H1211" s="7" t="inlineStr">
        <is>
          <t>Consumer</t>
        </is>
      </c>
      <c r="I1211" s="7" t="n">
        <v>7</v>
      </c>
      <c r="J1211" s="10" t="n">
        <v>11.63</v>
      </c>
      <c r="K1211" s="11" t="n">
        <v>0</v>
      </c>
      <c r="L1211" s="10">
        <f>I1211*J1211*(1-K1211)</f>
        <v/>
      </c>
      <c r="M1211" s="10" t="n">
        <v>37.8</v>
      </c>
      <c r="N1211" s="10">
        <f>L1211-M1211</f>
        <v/>
      </c>
    </row>
    <row r="1212">
      <c r="A1212" s="7" t="inlineStr">
        <is>
          <t>ORD-00213</t>
        </is>
      </c>
      <c r="B1212" s="8" t="n">
        <v>45217</v>
      </c>
      <c r="C1212" s="9" t="n">
        <v>45200</v>
      </c>
      <c r="D1212" s="7" t="n">
        <v>2023</v>
      </c>
      <c r="E1212" s="7" t="inlineStr">
        <is>
          <t>East</t>
        </is>
      </c>
      <c r="F1212" s="7" t="inlineStr">
        <is>
          <t>Technology</t>
        </is>
      </c>
      <c r="G1212" s="7" t="inlineStr">
        <is>
          <t>Headphones</t>
        </is>
      </c>
      <c r="H1212" s="7" t="inlineStr">
        <is>
          <t>Corporate</t>
        </is>
      </c>
      <c r="I1212" s="7" t="n">
        <v>1</v>
      </c>
      <c r="J1212" s="10" t="n">
        <v>123.37</v>
      </c>
      <c r="K1212" s="11" t="n">
        <v>0</v>
      </c>
      <c r="L1212" s="10">
        <f>I1212*J1212*(1-K1212)</f>
        <v/>
      </c>
      <c r="M1212" s="10" t="n">
        <v>72</v>
      </c>
      <c r="N1212" s="10">
        <f>L1212-M1212</f>
        <v/>
      </c>
    </row>
    <row r="1213">
      <c r="A1213" s="7" t="inlineStr">
        <is>
          <t>ORD-00852</t>
        </is>
      </c>
      <c r="B1213" s="8" t="n">
        <v>45217</v>
      </c>
      <c r="C1213" s="9" t="n">
        <v>45200</v>
      </c>
      <c r="D1213" s="7" t="n">
        <v>2023</v>
      </c>
      <c r="E1213" s="7" t="inlineStr">
        <is>
          <t>East</t>
        </is>
      </c>
      <c r="F1213" s="7" t="inlineStr">
        <is>
          <t>Office Supplies</t>
        </is>
      </c>
      <c r="G1213" s="7" t="inlineStr">
        <is>
          <t>Paper</t>
        </is>
      </c>
      <c r="H1213" s="7" t="inlineStr">
        <is>
          <t>Home Office</t>
        </is>
      </c>
      <c r="I1213" s="7" t="n">
        <v>11</v>
      </c>
      <c r="J1213" s="10" t="n">
        <v>24.79</v>
      </c>
      <c r="K1213" s="11" t="n">
        <v>0.2</v>
      </c>
      <c r="L1213" s="10">
        <f>I1213*J1213*(1-K1213)</f>
        <v/>
      </c>
      <c r="M1213" s="10" t="n">
        <v>137.5</v>
      </c>
      <c r="N1213" s="10">
        <f>L1213-M1213</f>
        <v/>
      </c>
    </row>
    <row r="1214">
      <c r="A1214" s="7" t="inlineStr">
        <is>
          <t>ORD-03750</t>
        </is>
      </c>
      <c r="B1214" s="8" t="n">
        <v>45218</v>
      </c>
      <c r="C1214" s="9" t="n">
        <v>45200</v>
      </c>
      <c r="D1214" s="7" t="n">
        <v>2023</v>
      </c>
      <c r="E1214" s="7" t="inlineStr">
        <is>
          <t>West</t>
        </is>
      </c>
      <c r="F1214" s="7" t="inlineStr">
        <is>
          <t>Office Supplies</t>
        </is>
      </c>
      <c r="G1214" s="7" t="inlineStr">
        <is>
          <t>Paper</t>
        </is>
      </c>
      <c r="H1214" s="7" t="inlineStr">
        <is>
          <t>Consumer</t>
        </is>
      </c>
      <c r="I1214" s="7" t="n">
        <v>7</v>
      </c>
      <c r="J1214" s="10" t="n">
        <v>24.59</v>
      </c>
      <c r="K1214" s="11" t="n">
        <v>0</v>
      </c>
      <c r="L1214" s="10">
        <f>I1214*J1214*(1-K1214)</f>
        <v/>
      </c>
      <c r="M1214" s="10" t="n">
        <v>87.5</v>
      </c>
      <c r="N1214" s="10">
        <f>L1214-M1214</f>
        <v/>
      </c>
    </row>
    <row r="1215">
      <c r="A1215" s="7" t="inlineStr">
        <is>
          <t>ORD-00051</t>
        </is>
      </c>
      <c r="B1215" s="8" t="n">
        <v>45218</v>
      </c>
      <c r="C1215" s="9" t="n">
        <v>45200</v>
      </c>
      <c r="D1215" s="7" t="n">
        <v>2023</v>
      </c>
      <c r="E1215" s="7" t="inlineStr">
        <is>
          <t>East</t>
        </is>
      </c>
      <c r="F1215" s="7" t="inlineStr">
        <is>
          <t>Office Supplies</t>
        </is>
      </c>
      <c r="G1215" s="7" t="inlineStr">
        <is>
          <t>Printer Ink</t>
        </is>
      </c>
      <c r="H1215" s="7" t="inlineStr">
        <is>
          <t>Corporate</t>
        </is>
      </c>
      <c r="I1215" s="7" t="n">
        <v>14</v>
      </c>
      <c r="J1215" s="10" t="n">
        <v>58.08</v>
      </c>
      <c r="K1215" s="11" t="n">
        <v>0.05</v>
      </c>
      <c r="L1215" s="10">
        <f>I1215*J1215*(1-K1215)</f>
        <v/>
      </c>
      <c r="M1215" s="10" t="n">
        <v>504</v>
      </c>
      <c r="N1215" s="10">
        <f>L1215-M1215</f>
        <v/>
      </c>
    </row>
    <row r="1216">
      <c r="A1216" s="7" t="inlineStr">
        <is>
          <t>ORD-04641</t>
        </is>
      </c>
      <c r="B1216" s="8" t="n">
        <v>45218</v>
      </c>
      <c r="C1216" s="9" t="n">
        <v>45200</v>
      </c>
      <c r="D1216" s="7" t="n">
        <v>2023</v>
      </c>
      <c r="E1216" s="7" t="inlineStr">
        <is>
          <t>South</t>
        </is>
      </c>
      <c r="F1216" s="7" t="inlineStr">
        <is>
          <t>Office Supplies</t>
        </is>
      </c>
      <c r="G1216" s="7" t="inlineStr">
        <is>
          <t>Pens</t>
        </is>
      </c>
      <c r="H1216" s="7" t="inlineStr">
        <is>
          <t>Consumer</t>
        </is>
      </c>
      <c r="I1216" s="7" t="n">
        <v>14</v>
      </c>
      <c r="J1216" s="10" t="n">
        <v>12.46</v>
      </c>
      <c r="K1216" s="11" t="n">
        <v>0</v>
      </c>
      <c r="L1216" s="10">
        <f>I1216*J1216*(1-K1216)</f>
        <v/>
      </c>
      <c r="M1216" s="10" t="n">
        <v>75.59999999999999</v>
      </c>
      <c r="N1216" s="10">
        <f>L1216-M1216</f>
        <v/>
      </c>
    </row>
    <row r="1217">
      <c r="A1217" s="7" t="inlineStr">
        <is>
          <t>ORD-02082</t>
        </is>
      </c>
      <c r="B1217" s="8" t="n">
        <v>45218</v>
      </c>
      <c r="C1217" s="9" t="n">
        <v>45200</v>
      </c>
      <c r="D1217" s="7" t="n">
        <v>2023</v>
      </c>
      <c r="E1217" s="7" t="inlineStr">
        <is>
          <t>South</t>
        </is>
      </c>
      <c r="F1217" s="7" t="inlineStr">
        <is>
          <t>Office Supplies</t>
        </is>
      </c>
      <c r="G1217" s="7" t="inlineStr">
        <is>
          <t>Binder</t>
        </is>
      </c>
      <c r="H1217" s="7" t="inlineStr">
        <is>
          <t>Consumer</t>
        </is>
      </c>
      <c r="I1217" s="7" t="n">
        <v>3</v>
      </c>
      <c r="J1217" s="10" t="n">
        <v>7.85</v>
      </c>
      <c r="K1217" s="11" t="n">
        <v>0.05</v>
      </c>
      <c r="L1217" s="10">
        <f>I1217*J1217*(1-K1217)</f>
        <v/>
      </c>
      <c r="M1217" s="10" t="n">
        <v>9.6</v>
      </c>
      <c r="N1217" s="10">
        <f>L1217-M1217</f>
        <v/>
      </c>
    </row>
    <row r="1218">
      <c r="A1218" s="7" t="inlineStr">
        <is>
          <t>ORD-01644</t>
        </is>
      </c>
      <c r="B1218" s="8" t="n">
        <v>45218</v>
      </c>
      <c r="C1218" s="9" t="n">
        <v>45200</v>
      </c>
      <c r="D1218" s="7" t="n">
        <v>2023</v>
      </c>
      <c r="E1218" s="7" t="inlineStr">
        <is>
          <t>South</t>
        </is>
      </c>
      <c r="F1218" s="7" t="inlineStr">
        <is>
          <t>Technology</t>
        </is>
      </c>
      <c r="G1218" s="7" t="inlineStr">
        <is>
          <t>Headphones</t>
        </is>
      </c>
      <c r="H1218" s="7" t="inlineStr">
        <is>
          <t>Consumer</t>
        </is>
      </c>
      <c r="I1218" s="7" t="n">
        <v>1</v>
      </c>
      <c r="J1218" s="10" t="n">
        <v>122.88</v>
      </c>
      <c r="K1218" s="11" t="n">
        <v>0.3</v>
      </c>
      <c r="L1218" s="10">
        <f>I1218*J1218*(1-K1218)</f>
        <v/>
      </c>
      <c r="M1218" s="10" t="n">
        <v>72</v>
      </c>
      <c r="N1218" s="10">
        <f>L1218-M1218</f>
        <v/>
      </c>
    </row>
    <row r="1219">
      <c r="A1219" s="7" t="inlineStr">
        <is>
          <t>ORD-01947</t>
        </is>
      </c>
      <c r="B1219" s="8" t="n">
        <v>45219</v>
      </c>
      <c r="C1219" s="9" t="n">
        <v>45200</v>
      </c>
      <c r="D1219" s="7" t="n">
        <v>2023</v>
      </c>
      <c r="E1219" s="7" t="inlineStr">
        <is>
          <t>North</t>
        </is>
      </c>
      <c r="F1219" s="7" t="inlineStr">
        <is>
          <t>Office Supplies</t>
        </is>
      </c>
      <c r="G1219" s="7" t="inlineStr">
        <is>
          <t>Binder</t>
        </is>
      </c>
      <c r="H1219" s="7" t="inlineStr">
        <is>
          <t>Home Office</t>
        </is>
      </c>
      <c r="I1219" s="7" t="n">
        <v>15</v>
      </c>
      <c r="J1219" s="10" t="n">
        <v>8.08</v>
      </c>
      <c r="K1219" s="11" t="n">
        <v>0</v>
      </c>
      <c r="L1219" s="10">
        <f>I1219*J1219*(1-K1219)</f>
        <v/>
      </c>
      <c r="M1219" s="10" t="n">
        <v>48</v>
      </c>
      <c r="N1219" s="10">
        <f>L1219-M1219</f>
        <v/>
      </c>
    </row>
    <row r="1220">
      <c r="A1220" s="7" t="inlineStr">
        <is>
          <t>ORD-05402</t>
        </is>
      </c>
      <c r="B1220" s="8" t="n">
        <v>45219</v>
      </c>
      <c r="C1220" s="9" t="n">
        <v>45200</v>
      </c>
      <c r="D1220" s="7" t="n">
        <v>2023</v>
      </c>
      <c r="E1220" s="7" t="inlineStr">
        <is>
          <t>East</t>
        </is>
      </c>
      <c r="F1220" s="7" t="inlineStr">
        <is>
          <t>Office Supplies</t>
        </is>
      </c>
      <c r="G1220" s="7" t="inlineStr">
        <is>
          <t>Printer Ink</t>
        </is>
      </c>
      <c r="H1220" s="7" t="inlineStr">
        <is>
          <t>Corporate</t>
        </is>
      </c>
      <c r="I1220" s="7" t="n">
        <v>2</v>
      </c>
      <c r="J1220" s="10" t="n">
        <v>58.01</v>
      </c>
      <c r="K1220" s="11" t="n">
        <v>0.05</v>
      </c>
      <c r="L1220" s="10">
        <f>I1220*J1220*(1-K1220)</f>
        <v/>
      </c>
      <c r="M1220" s="10" t="n">
        <v>72</v>
      </c>
      <c r="N1220" s="10">
        <f>L1220-M1220</f>
        <v/>
      </c>
    </row>
    <row r="1221">
      <c r="A1221" s="7" t="inlineStr">
        <is>
          <t>ORD-04391</t>
        </is>
      </c>
      <c r="B1221" s="8" t="n">
        <v>45219</v>
      </c>
      <c r="C1221" s="9" t="n">
        <v>45200</v>
      </c>
      <c r="D1221" s="7" t="n">
        <v>2023</v>
      </c>
      <c r="E1221" s="7" t="inlineStr">
        <is>
          <t>South</t>
        </is>
      </c>
      <c r="F1221" s="7" t="inlineStr">
        <is>
          <t>Furniture</t>
        </is>
      </c>
      <c r="G1221" s="7" t="inlineStr">
        <is>
          <t>Office Chair</t>
        </is>
      </c>
      <c r="H1221" s="7" t="inlineStr">
        <is>
          <t>Home Office</t>
        </is>
      </c>
      <c r="I1221" s="7" t="n">
        <v>3</v>
      </c>
      <c r="J1221" s="10" t="n">
        <v>223.48</v>
      </c>
      <c r="K1221" s="11" t="n">
        <v>0.2</v>
      </c>
      <c r="L1221" s="10">
        <f>I1221*J1221*(1-K1221)</f>
        <v/>
      </c>
      <c r="M1221" s="10" t="n">
        <v>541.2</v>
      </c>
      <c r="N1221" s="10">
        <f>L1221-M1221</f>
        <v/>
      </c>
    </row>
    <row r="1222">
      <c r="A1222" s="7" t="inlineStr">
        <is>
          <t>ORD-01752</t>
        </is>
      </c>
      <c r="B1222" s="8" t="n">
        <v>45219</v>
      </c>
      <c r="C1222" s="9" t="n">
        <v>45200</v>
      </c>
      <c r="D1222" s="7" t="n">
        <v>2023</v>
      </c>
      <c r="E1222" s="7" t="inlineStr">
        <is>
          <t>West</t>
        </is>
      </c>
      <c r="F1222" s="7" t="inlineStr">
        <is>
          <t>Office Supplies</t>
        </is>
      </c>
      <c r="G1222" s="7" t="inlineStr">
        <is>
          <t>Pens</t>
        </is>
      </c>
      <c r="H1222" s="7" t="inlineStr">
        <is>
          <t>Corporate</t>
        </is>
      </c>
      <c r="I1222" s="7" t="n">
        <v>14</v>
      </c>
      <c r="J1222" s="10" t="n">
        <v>12.42</v>
      </c>
      <c r="K1222" s="11" t="n">
        <v>0.1</v>
      </c>
      <c r="L1222" s="10">
        <f>I1222*J1222*(1-K1222)</f>
        <v/>
      </c>
      <c r="M1222" s="10" t="n">
        <v>75.59999999999999</v>
      </c>
      <c r="N1222" s="10">
        <f>L1222-M1222</f>
        <v/>
      </c>
    </row>
    <row r="1223">
      <c r="A1223" s="7" t="inlineStr">
        <is>
          <t>ORD-04325</t>
        </is>
      </c>
      <c r="B1223" s="8" t="n">
        <v>45219</v>
      </c>
      <c r="C1223" s="9" t="n">
        <v>45200</v>
      </c>
      <c r="D1223" s="7" t="n">
        <v>2023</v>
      </c>
      <c r="E1223" s="7" t="inlineStr">
        <is>
          <t>West</t>
        </is>
      </c>
      <c r="F1223" s="7" t="inlineStr">
        <is>
          <t>Office Supplies</t>
        </is>
      </c>
      <c r="G1223" s="7" t="inlineStr">
        <is>
          <t>Binder</t>
        </is>
      </c>
      <c r="H1223" s="7" t="inlineStr">
        <is>
          <t>Consumer</t>
        </is>
      </c>
      <c r="I1223" s="7" t="n">
        <v>12</v>
      </c>
      <c r="J1223" s="10" t="n">
        <v>8.279999999999999</v>
      </c>
      <c r="K1223" s="11" t="n">
        <v>0</v>
      </c>
      <c r="L1223" s="10">
        <f>I1223*J1223*(1-K1223)</f>
        <v/>
      </c>
      <c r="M1223" s="10" t="n">
        <v>38.4</v>
      </c>
      <c r="N1223" s="10">
        <f>L1223-M1223</f>
        <v/>
      </c>
    </row>
    <row r="1224">
      <c r="A1224" s="7" t="inlineStr">
        <is>
          <t>ORD-05248</t>
        </is>
      </c>
      <c r="B1224" s="8" t="n">
        <v>45219</v>
      </c>
      <c r="C1224" s="9" t="n">
        <v>45200</v>
      </c>
      <c r="D1224" s="7" t="n">
        <v>2023</v>
      </c>
      <c r="E1224" s="7" t="inlineStr">
        <is>
          <t>East</t>
        </is>
      </c>
      <c r="F1224" s="7" t="inlineStr">
        <is>
          <t>Office Supplies</t>
        </is>
      </c>
      <c r="G1224" s="7" t="inlineStr">
        <is>
          <t>Printer Ink</t>
        </is>
      </c>
      <c r="H1224" s="7" t="inlineStr">
        <is>
          <t>Consumer</t>
        </is>
      </c>
      <c r="I1224" s="7" t="n">
        <v>13</v>
      </c>
      <c r="J1224" s="10" t="n">
        <v>62.1</v>
      </c>
      <c r="K1224" s="11" t="n">
        <v>0</v>
      </c>
      <c r="L1224" s="10">
        <f>I1224*J1224*(1-K1224)</f>
        <v/>
      </c>
      <c r="M1224" s="10" t="n">
        <v>468</v>
      </c>
      <c r="N1224" s="10">
        <f>L1224-M1224</f>
        <v/>
      </c>
    </row>
    <row r="1225">
      <c r="A1225" s="7" t="inlineStr">
        <is>
          <t>ORD-03976</t>
        </is>
      </c>
      <c r="B1225" s="8" t="n">
        <v>45220</v>
      </c>
      <c r="C1225" s="9" t="n">
        <v>45200</v>
      </c>
      <c r="D1225" s="7" t="n">
        <v>2023</v>
      </c>
      <c r="E1225" s="7" t="inlineStr">
        <is>
          <t>West</t>
        </is>
      </c>
      <c r="F1225" s="7" t="inlineStr">
        <is>
          <t>Office Supplies</t>
        </is>
      </c>
      <c r="G1225" s="7" t="inlineStr">
        <is>
          <t>Pens</t>
        </is>
      </c>
      <c r="H1225" s="7" t="inlineStr">
        <is>
          <t>Corporate</t>
        </is>
      </c>
      <c r="I1225" s="7" t="n">
        <v>14</v>
      </c>
      <c r="J1225" s="10" t="n">
        <v>11.97</v>
      </c>
      <c r="K1225" s="11" t="n">
        <v>0.05</v>
      </c>
      <c r="L1225" s="10">
        <f>I1225*J1225*(1-K1225)</f>
        <v/>
      </c>
      <c r="M1225" s="10" t="n">
        <v>75.59999999999999</v>
      </c>
      <c r="N1225" s="10">
        <f>L1225-M1225</f>
        <v/>
      </c>
    </row>
    <row r="1226">
      <c r="A1226" s="7" t="inlineStr">
        <is>
          <t>ORD-04851</t>
        </is>
      </c>
      <c r="B1226" s="8" t="n">
        <v>45220</v>
      </c>
      <c r="C1226" s="9" t="n">
        <v>45200</v>
      </c>
      <c r="D1226" s="7" t="n">
        <v>2023</v>
      </c>
      <c r="E1226" s="7" t="inlineStr">
        <is>
          <t>East</t>
        </is>
      </c>
      <c r="F1226" s="7" t="inlineStr">
        <is>
          <t>Furniture</t>
        </is>
      </c>
      <c r="G1226" s="7" t="inlineStr">
        <is>
          <t>Desk</t>
        </is>
      </c>
      <c r="H1226" s="7" t="inlineStr">
        <is>
          <t>Corporate</t>
        </is>
      </c>
      <c r="I1226" s="7" t="n">
        <v>4</v>
      </c>
      <c r="J1226" s="10" t="n">
        <v>463.81</v>
      </c>
      <c r="K1226" s="11" t="n">
        <v>0</v>
      </c>
      <c r="L1226" s="10">
        <f>I1226*J1226*(1-K1226)</f>
        <v/>
      </c>
      <c r="M1226" s="10" t="n">
        <v>1530</v>
      </c>
      <c r="N1226" s="10">
        <f>L1226-M1226</f>
        <v/>
      </c>
    </row>
    <row r="1227">
      <c r="A1227" s="7" t="inlineStr">
        <is>
          <t>ORD-01450</t>
        </is>
      </c>
      <c r="B1227" s="8" t="n">
        <v>45220</v>
      </c>
      <c r="C1227" s="9" t="n">
        <v>45200</v>
      </c>
      <c r="D1227" s="7" t="n">
        <v>2023</v>
      </c>
      <c r="E1227" s="7" t="inlineStr">
        <is>
          <t>East</t>
        </is>
      </c>
      <c r="F1227" s="7" t="inlineStr">
        <is>
          <t>Office Supplies</t>
        </is>
      </c>
      <c r="G1227" s="7" t="inlineStr">
        <is>
          <t>Stapler</t>
        </is>
      </c>
      <c r="H1227" s="7" t="inlineStr">
        <is>
          <t>Consumer</t>
        </is>
      </c>
      <c r="I1227" s="7" t="n">
        <v>7</v>
      </c>
      <c r="J1227" s="10" t="n">
        <v>14.67</v>
      </c>
      <c r="K1227" s="11" t="n">
        <v>0.05</v>
      </c>
      <c r="L1227" s="10">
        <f>I1227*J1227*(1-K1227)</f>
        <v/>
      </c>
      <c r="M1227" s="10" t="n">
        <v>52.5</v>
      </c>
      <c r="N1227" s="10">
        <f>L1227-M1227</f>
        <v/>
      </c>
    </row>
    <row r="1228">
      <c r="A1228" s="7" t="inlineStr">
        <is>
          <t>ORD-00898</t>
        </is>
      </c>
      <c r="B1228" s="8" t="n">
        <v>45220</v>
      </c>
      <c r="C1228" s="9" t="n">
        <v>45200</v>
      </c>
      <c r="D1228" s="7" t="n">
        <v>2023</v>
      </c>
      <c r="E1228" s="7" t="inlineStr">
        <is>
          <t>West</t>
        </is>
      </c>
      <c r="F1228" s="7" t="inlineStr">
        <is>
          <t>Office Supplies</t>
        </is>
      </c>
      <c r="G1228" s="7" t="inlineStr">
        <is>
          <t>Printer Ink</t>
        </is>
      </c>
      <c r="H1228" s="7" t="inlineStr">
        <is>
          <t>Corporate</t>
        </is>
      </c>
      <c r="I1228" s="7" t="n">
        <v>13</v>
      </c>
      <c r="J1228" s="10" t="n">
        <v>62.58</v>
      </c>
      <c r="K1228" s="11" t="n">
        <v>0</v>
      </c>
      <c r="L1228" s="10">
        <f>I1228*J1228*(1-K1228)</f>
        <v/>
      </c>
      <c r="M1228" s="10" t="n">
        <v>468</v>
      </c>
      <c r="N1228" s="10">
        <f>L1228-M1228</f>
        <v/>
      </c>
    </row>
    <row r="1229">
      <c r="A1229" s="7" t="inlineStr">
        <is>
          <t>ORD-02443</t>
        </is>
      </c>
      <c r="B1229" s="8" t="n">
        <v>45220</v>
      </c>
      <c r="C1229" s="9" t="n">
        <v>45200</v>
      </c>
      <c r="D1229" s="7" t="n">
        <v>2023</v>
      </c>
      <c r="E1229" s="7" t="inlineStr">
        <is>
          <t>East</t>
        </is>
      </c>
      <c r="F1229" s="7" t="inlineStr">
        <is>
          <t>Office Supplies</t>
        </is>
      </c>
      <c r="G1229" s="7" t="inlineStr">
        <is>
          <t>Paper</t>
        </is>
      </c>
      <c r="H1229" s="7" t="inlineStr">
        <is>
          <t>Consumer</t>
        </is>
      </c>
      <c r="I1229" s="7" t="n">
        <v>15</v>
      </c>
      <c r="J1229" s="10" t="n">
        <v>26.08</v>
      </c>
      <c r="K1229" s="11" t="n">
        <v>0.05</v>
      </c>
      <c r="L1229" s="10">
        <f>I1229*J1229*(1-K1229)</f>
        <v/>
      </c>
      <c r="M1229" s="10" t="n">
        <v>187.5</v>
      </c>
      <c r="N1229" s="10">
        <f>L1229-M1229</f>
        <v/>
      </c>
    </row>
    <row r="1230">
      <c r="A1230" s="7" t="inlineStr">
        <is>
          <t>ORD-00436</t>
        </is>
      </c>
      <c r="B1230" s="8" t="n">
        <v>45220</v>
      </c>
      <c r="C1230" s="9" t="n">
        <v>45200</v>
      </c>
      <c r="D1230" s="7" t="n">
        <v>2023</v>
      </c>
      <c r="E1230" s="7" t="inlineStr">
        <is>
          <t>East</t>
        </is>
      </c>
      <c r="F1230" s="7" t="inlineStr">
        <is>
          <t>Office Supplies</t>
        </is>
      </c>
      <c r="G1230" s="7" t="inlineStr">
        <is>
          <t>Binder</t>
        </is>
      </c>
      <c r="H1230" s="7" t="inlineStr">
        <is>
          <t>Corporate</t>
        </is>
      </c>
      <c r="I1230" s="7" t="n">
        <v>9</v>
      </c>
      <c r="J1230" s="10" t="n">
        <v>8.07</v>
      </c>
      <c r="K1230" s="11" t="n">
        <v>0.1</v>
      </c>
      <c r="L1230" s="10">
        <f>I1230*J1230*(1-K1230)</f>
        <v/>
      </c>
      <c r="M1230" s="10" t="n">
        <v>28.8</v>
      </c>
      <c r="N1230" s="10">
        <f>L1230-M1230</f>
        <v/>
      </c>
    </row>
    <row r="1231">
      <c r="A1231" s="7" t="inlineStr">
        <is>
          <t>ORD-05818</t>
        </is>
      </c>
      <c r="B1231" s="8" t="n">
        <v>45220</v>
      </c>
      <c r="C1231" s="9" t="n">
        <v>45200</v>
      </c>
      <c r="D1231" s="7" t="n">
        <v>2023</v>
      </c>
      <c r="E1231" s="7" t="inlineStr">
        <is>
          <t>West</t>
        </is>
      </c>
      <c r="F1231" s="7" t="inlineStr">
        <is>
          <t>Technology</t>
        </is>
      </c>
      <c r="G1231" s="7" t="inlineStr">
        <is>
          <t>Keyboard</t>
        </is>
      </c>
      <c r="H1231" s="7" t="inlineStr">
        <is>
          <t>Consumer</t>
        </is>
      </c>
      <c r="I1231" s="7" t="n">
        <v>3</v>
      </c>
      <c r="J1231" s="10" t="n">
        <v>43.29</v>
      </c>
      <c r="K1231" s="11" t="n">
        <v>0</v>
      </c>
      <c r="L1231" s="10">
        <f>I1231*J1231*(1-K1231)</f>
        <v/>
      </c>
      <c r="M1231" s="10" t="n">
        <v>74.25</v>
      </c>
      <c r="N1231" s="10">
        <f>L1231-M1231</f>
        <v/>
      </c>
    </row>
    <row r="1232">
      <c r="A1232" s="7" t="inlineStr">
        <is>
          <t>ORD-02131</t>
        </is>
      </c>
      <c r="B1232" s="8" t="n">
        <v>45220</v>
      </c>
      <c r="C1232" s="9" t="n">
        <v>45200</v>
      </c>
      <c r="D1232" s="7" t="n">
        <v>2023</v>
      </c>
      <c r="E1232" s="7" t="inlineStr">
        <is>
          <t>South</t>
        </is>
      </c>
      <c r="F1232" s="7" t="inlineStr">
        <is>
          <t>Furniture</t>
        </is>
      </c>
      <c r="G1232" s="7" t="inlineStr">
        <is>
          <t>Bookcase</t>
        </is>
      </c>
      <c r="H1232" s="7" t="inlineStr">
        <is>
          <t>Home Office</t>
        </is>
      </c>
      <c r="I1232" s="7" t="n">
        <v>2</v>
      </c>
      <c r="J1232" s="10" t="n">
        <v>177.21</v>
      </c>
      <c r="K1232" s="11" t="n">
        <v>0.2</v>
      </c>
      <c r="L1232" s="10">
        <f>I1232*J1232*(1-K1232)</f>
        <v/>
      </c>
      <c r="M1232" s="10" t="n">
        <v>288</v>
      </c>
      <c r="N1232" s="10">
        <f>L1232-M1232</f>
        <v/>
      </c>
    </row>
    <row r="1233">
      <c r="A1233" s="7" t="inlineStr">
        <is>
          <t>ORD-00682</t>
        </is>
      </c>
      <c r="B1233" s="8" t="n">
        <v>45220</v>
      </c>
      <c r="C1233" s="9" t="n">
        <v>45200</v>
      </c>
      <c r="D1233" s="7" t="n">
        <v>2023</v>
      </c>
      <c r="E1233" s="7" t="inlineStr">
        <is>
          <t>North</t>
        </is>
      </c>
      <c r="F1233" s="7" t="inlineStr">
        <is>
          <t>Office Supplies</t>
        </is>
      </c>
      <c r="G1233" s="7" t="inlineStr">
        <is>
          <t>Binder</t>
        </is>
      </c>
      <c r="H1233" s="7" t="inlineStr">
        <is>
          <t>Consumer</t>
        </is>
      </c>
      <c r="I1233" s="7" t="n">
        <v>14</v>
      </c>
      <c r="J1233" s="10" t="n">
        <v>7.64</v>
      </c>
      <c r="K1233" s="11" t="n">
        <v>0</v>
      </c>
      <c r="L1233" s="10">
        <f>I1233*J1233*(1-K1233)</f>
        <v/>
      </c>
      <c r="M1233" s="10" t="n">
        <v>44.8</v>
      </c>
      <c r="N1233" s="10">
        <f>L1233-M1233</f>
        <v/>
      </c>
    </row>
    <row r="1234">
      <c r="A1234" s="7" t="inlineStr">
        <is>
          <t>ORD-00112</t>
        </is>
      </c>
      <c r="B1234" s="8" t="n">
        <v>45220</v>
      </c>
      <c r="C1234" s="9" t="n">
        <v>45200</v>
      </c>
      <c r="D1234" s="7" t="n">
        <v>2023</v>
      </c>
      <c r="E1234" s="7" t="inlineStr">
        <is>
          <t>East</t>
        </is>
      </c>
      <c r="F1234" s="7" t="inlineStr">
        <is>
          <t>Office Supplies</t>
        </is>
      </c>
      <c r="G1234" s="7" t="inlineStr">
        <is>
          <t>Stapler</t>
        </is>
      </c>
      <c r="H1234" s="7" t="inlineStr">
        <is>
          <t>Consumer</t>
        </is>
      </c>
      <c r="I1234" s="7" t="n">
        <v>5</v>
      </c>
      <c r="J1234" s="10" t="n">
        <v>15.55</v>
      </c>
      <c r="K1234" s="11" t="n">
        <v>0.1</v>
      </c>
      <c r="L1234" s="10">
        <f>I1234*J1234*(1-K1234)</f>
        <v/>
      </c>
      <c r="M1234" s="10" t="n">
        <v>37.5</v>
      </c>
      <c r="N1234" s="10">
        <f>L1234-M1234</f>
        <v/>
      </c>
    </row>
    <row r="1235">
      <c r="A1235" s="7" t="inlineStr">
        <is>
          <t>ORD-00332</t>
        </is>
      </c>
      <c r="B1235" s="8" t="n">
        <v>45220</v>
      </c>
      <c r="C1235" s="9" t="n">
        <v>45200</v>
      </c>
      <c r="D1235" s="7" t="n">
        <v>2023</v>
      </c>
      <c r="E1235" s="7" t="inlineStr">
        <is>
          <t>North</t>
        </is>
      </c>
      <c r="F1235" s="7" t="inlineStr">
        <is>
          <t>Office Supplies</t>
        </is>
      </c>
      <c r="G1235" s="7" t="inlineStr">
        <is>
          <t>Pens</t>
        </is>
      </c>
      <c r="H1235" s="7" t="inlineStr">
        <is>
          <t>Corporate</t>
        </is>
      </c>
      <c r="I1235" s="7" t="n">
        <v>4</v>
      </c>
      <c r="J1235" s="10" t="n">
        <v>12.19</v>
      </c>
      <c r="K1235" s="11" t="n">
        <v>0.05</v>
      </c>
      <c r="L1235" s="10">
        <f>I1235*J1235*(1-K1235)</f>
        <v/>
      </c>
      <c r="M1235" s="10" t="n">
        <v>21.6</v>
      </c>
      <c r="N1235" s="10">
        <f>L1235-M1235</f>
        <v/>
      </c>
    </row>
    <row r="1236">
      <c r="A1236" s="7" t="inlineStr">
        <is>
          <t>ORD-01916</t>
        </is>
      </c>
      <c r="B1236" s="8" t="n">
        <v>45221</v>
      </c>
      <c r="C1236" s="9" t="n">
        <v>45200</v>
      </c>
      <c r="D1236" s="7" t="n">
        <v>2023</v>
      </c>
      <c r="E1236" s="7" t="inlineStr">
        <is>
          <t>North</t>
        </is>
      </c>
      <c r="F1236" s="7" t="inlineStr">
        <is>
          <t>Office Supplies</t>
        </is>
      </c>
      <c r="G1236" s="7" t="inlineStr">
        <is>
          <t>Pens</t>
        </is>
      </c>
      <c r="H1236" s="7" t="inlineStr">
        <is>
          <t>Corporate</t>
        </is>
      </c>
      <c r="I1236" s="7" t="n">
        <v>6</v>
      </c>
      <c r="J1236" s="10" t="n">
        <v>11.88</v>
      </c>
      <c r="K1236" s="11" t="n">
        <v>0</v>
      </c>
      <c r="L1236" s="10">
        <f>I1236*J1236*(1-K1236)</f>
        <v/>
      </c>
      <c r="M1236" s="10" t="n">
        <v>32.4</v>
      </c>
      <c r="N1236" s="10">
        <f>L1236-M1236</f>
        <v/>
      </c>
    </row>
    <row r="1237">
      <c r="A1237" s="7" t="inlineStr">
        <is>
          <t>ORD-04210</t>
        </is>
      </c>
      <c r="B1237" s="8" t="n">
        <v>45221</v>
      </c>
      <c r="C1237" s="9" t="n">
        <v>45200</v>
      </c>
      <c r="D1237" s="7" t="n">
        <v>2023</v>
      </c>
      <c r="E1237" s="7" t="inlineStr">
        <is>
          <t>East</t>
        </is>
      </c>
      <c r="F1237" s="7" t="inlineStr">
        <is>
          <t>Office Supplies</t>
        </is>
      </c>
      <c r="G1237" s="7" t="inlineStr">
        <is>
          <t>Pens</t>
        </is>
      </c>
      <c r="H1237" s="7" t="inlineStr">
        <is>
          <t>Consumer</t>
        </is>
      </c>
      <c r="I1237" s="7" t="n">
        <v>5</v>
      </c>
      <c r="J1237" s="10" t="n">
        <v>11.71</v>
      </c>
      <c r="K1237" s="11" t="n">
        <v>0</v>
      </c>
      <c r="L1237" s="10">
        <f>I1237*J1237*(1-K1237)</f>
        <v/>
      </c>
      <c r="M1237" s="10" t="n">
        <v>27</v>
      </c>
      <c r="N1237" s="10">
        <f>L1237-M1237</f>
        <v/>
      </c>
    </row>
    <row r="1238">
      <c r="A1238" s="7" t="inlineStr">
        <is>
          <t>ORD-05656</t>
        </is>
      </c>
      <c r="B1238" s="8" t="n">
        <v>45221</v>
      </c>
      <c r="C1238" s="9" t="n">
        <v>45200</v>
      </c>
      <c r="D1238" s="7" t="n">
        <v>2023</v>
      </c>
      <c r="E1238" s="7" t="inlineStr">
        <is>
          <t>East</t>
        </is>
      </c>
      <c r="F1238" s="7" t="inlineStr">
        <is>
          <t>Technology</t>
        </is>
      </c>
      <c r="G1238" s="7" t="inlineStr">
        <is>
          <t>Smartphone</t>
        </is>
      </c>
      <c r="H1238" s="7" t="inlineStr">
        <is>
          <t>Corporate</t>
        </is>
      </c>
      <c r="I1238" s="7" t="n">
        <v>3</v>
      </c>
      <c r="J1238" s="10" t="n">
        <v>586.59</v>
      </c>
      <c r="K1238" s="11" t="n">
        <v>0</v>
      </c>
      <c r="L1238" s="10">
        <f>I1238*J1238*(1-K1238)</f>
        <v/>
      </c>
      <c r="M1238" s="10" t="n">
        <v>1350</v>
      </c>
      <c r="N1238" s="10">
        <f>L1238-M1238</f>
        <v/>
      </c>
    </row>
    <row r="1239">
      <c r="A1239" s="7" t="inlineStr">
        <is>
          <t>ORD-01058</t>
        </is>
      </c>
      <c r="B1239" s="8" t="n">
        <v>45221</v>
      </c>
      <c r="C1239" s="9" t="n">
        <v>45200</v>
      </c>
      <c r="D1239" s="7" t="n">
        <v>2023</v>
      </c>
      <c r="E1239" s="7" t="inlineStr">
        <is>
          <t>West</t>
        </is>
      </c>
      <c r="F1239" s="7" t="inlineStr">
        <is>
          <t>Furniture</t>
        </is>
      </c>
      <c r="G1239" s="7" t="inlineStr">
        <is>
          <t>Desk</t>
        </is>
      </c>
      <c r="H1239" s="7" t="inlineStr">
        <is>
          <t>Corporate</t>
        </is>
      </c>
      <c r="I1239" s="7" t="n">
        <v>2</v>
      </c>
      <c r="J1239" s="10" t="n">
        <v>450.82</v>
      </c>
      <c r="K1239" s="11" t="n">
        <v>0.1</v>
      </c>
      <c r="L1239" s="10">
        <f>I1239*J1239*(1-K1239)</f>
        <v/>
      </c>
      <c r="M1239" s="10" t="n">
        <v>765</v>
      </c>
      <c r="N1239" s="10">
        <f>L1239-M1239</f>
        <v/>
      </c>
    </row>
    <row r="1240">
      <c r="A1240" s="7" t="inlineStr">
        <is>
          <t>ORD-04594</t>
        </is>
      </c>
      <c r="B1240" s="8" t="n">
        <v>45221</v>
      </c>
      <c r="C1240" s="9" t="n">
        <v>45200</v>
      </c>
      <c r="D1240" s="7" t="n">
        <v>2023</v>
      </c>
      <c r="E1240" s="7" t="inlineStr">
        <is>
          <t>East</t>
        </is>
      </c>
      <c r="F1240" s="7" t="inlineStr">
        <is>
          <t>Office Supplies</t>
        </is>
      </c>
      <c r="G1240" s="7" t="inlineStr">
        <is>
          <t>Binder</t>
        </is>
      </c>
      <c r="H1240" s="7" t="inlineStr">
        <is>
          <t>Consumer</t>
        </is>
      </c>
      <c r="I1240" s="7" t="n">
        <v>14</v>
      </c>
      <c r="J1240" s="10" t="n">
        <v>8.32</v>
      </c>
      <c r="K1240" s="11" t="n">
        <v>0.2</v>
      </c>
      <c r="L1240" s="10">
        <f>I1240*J1240*(1-K1240)</f>
        <v/>
      </c>
      <c r="M1240" s="10" t="n">
        <v>44.8</v>
      </c>
      <c r="N1240" s="10">
        <f>L1240-M1240</f>
        <v/>
      </c>
    </row>
    <row r="1241">
      <c r="A1241" s="7" t="inlineStr">
        <is>
          <t>ORD-03385</t>
        </is>
      </c>
      <c r="B1241" s="8" t="n">
        <v>45221</v>
      </c>
      <c r="C1241" s="9" t="n">
        <v>45200</v>
      </c>
      <c r="D1241" s="7" t="n">
        <v>2023</v>
      </c>
      <c r="E1241" s="7" t="inlineStr">
        <is>
          <t>East</t>
        </is>
      </c>
      <c r="F1241" s="7" t="inlineStr">
        <is>
          <t>Furniture</t>
        </is>
      </c>
      <c r="G1241" s="7" t="inlineStr">
        <is>
          <t>Bookcase</t>
        </is>
      </c>
      <c r="H1241" s="7" t="inlineStr">
        <is>
          <t>Consumer</t>
        </is>
      </c>
      <c r="I1241" s="7" t="n">
        <v>2</v>
      </c>
      <c r="J1241" s="10" t="n">
        <v>186</v>
      </c>
      <c r="K1241" s="11" t="n">
        <v>0.3</v>
      </c>
      <c r="L1241" s="10">
        <f>I1241*J1241*(1-K1241)</f>
        <v/>
      </c>
      <c r="M1241" s="10" t="n">
        <v>288</v>
      </c>
      <c r="N1241" s="10">
        <f>L1241-M1241</f>
        <v/>
      </c>
    </row>
    <row r="1242">
      <c r="A1242" s="7" t="inlineStr">
        <is>
          <t>ORD-03654</t>
        </is>
      </c>
      <c r="B1242" s="8" t="n">
        <v>45221</v>
      </c>
      <c r="C1242" s="9" t="n">
        <v>45200</v>
      </c>
      <c r="D1242" s="7" t="n">
        <v>2023</v>
      </c>
      <c r="E1242" s="7" t="inlineStr">
        <is>
          <t>South</t>
        </is>
      </c>
      <c r="F1242" s="7" t="inlineStr">
        <is>
          <t>Office Supplies</t>
        </is>
      </c>
      <c r="G1242" s="7" t="inlineStr">
        <is>
          <t>Pens</t>
        </is>
      </c>
      <c r="H1242" s="7" t="inlineStr">
        <is>
          <t>Consumer</t>
        </is>
      </c>
      <c r="I1242" s="7" t="n">
        <v>2</v>
      </c>
      <c r="J1242" s="10" t="n">
        <v>11.79</v>
      </c>
      <c r="K1242" s="11" t="n">
        <v>0.05</v>
      </c>
      <c r="L1242" s="10">
        <f>I1242*J1242*(1-K1242)</f>
        <v/>
      </c>
      <c r="M1242" s="10" t="n">
        <v>10.8</v>
      </c>
      <c r="N1242" s="10">
        <f>L1242-M1242</f>
        <v/>
      </c>
    </row>
    <row r="1243">
      <c r="A1243" s="7" t="inlineStr">
        <is>
          <t>ORD-03872</t>
        </is>
      </c>
      <c r="B1243" s="8" t="n">
        <v>45222</v>
      </c>
      <c r="C1243" s="9" t="n">
        <v>45200</v>
      </c>
      <c r="D1243" s="7" t="n">
        <v>2023</v>
      </c>
      <c r="E1243" s="7" t="inlineStr">
        <is>
          <t>North</t>
        </is>
      </c>
      <c r="F1243" s="7" t="inlineStr">
        <is>
          <t>Office Supplies</t>
        </is>
      </c>
      <c r="G1243" s="7" t="inlineStr">
        <is>
          <t>Stapler</t>
        </is>
      </c>
      <c r="H1243" s="7" t="inlineStr">
        <is>
          <t>Home Office</t>
        </is>
      </c>
      <c r="I1243" s="7" t="n">
        <v>5</v>
      </c>
      <c r="J1243" s="10" t="n">
        <v>14.64</v>
      </c>
      <c r="K1243" s="11" t="n">
        <v>0</v>
      </c>
      <c r="L1243" s="10">
        <f>I1243*J1243*(1-K1243)</f>
        <v/>
      </c>
      <c r="M1243" s="10" t="n">
        <v>37.5</v>
      </c>
      <c r="N1243" s="10">
        <f>L1243-M1243</f>
        <v/>
      </c>
    </row>
    <row r="1244">
      <c r="A1244" s="7" t="inlineStr">
        <is>
          <t>ORD-05350</t>
        </is>
      </c>
      <c r="B1244" s="8" t="n">
        <v>45222</v>
      </c>
      <c r="C1244" s="9" t="n">
        <v>45200</v>
      </c>
      <c r="D1244" s="7" t="n">
        <v>2023</v>
      </c>
      <c r="E1244" s="7" t="inlineStr">
        <is>
          <t>North</t>
        </is>
      </c>
      <c r="F1244" s="7" t="inlineStr">
        <is>
          <t>Technology</t>
        </is>
      </c>
      <c r="G1244" s="7" t="inlineStr">
        <is>
          <t>Keyboard</t>
        </is>
      </c>
      <c r="H1244" s="7" t="inlineStr">
        <is>
          <t>Consumer</t>
        </is>
      </c>
      <c r="I1244" s="7" t="n">
        <v>3</v>
      </c>
      <c r="J1244" s="10" t="n">
        <v>46.38</v>
      </c>
      <c r="K1244" s="11" t="n">
        <v>0</v>
      </c>
      <c r="L1244" s="10">
        <f>I1244*J1244*(1-K1244)</f>
        <v/>
      </c>
      <c r="M1244" s="10" t="n">
        <v>74.25</v>
      </c>
      <c r="N1244" s="10">
        <f>L1244-M1244</f>
        <v/>
      </c>
    </row>
    <row r="1245">
      <c r="A1245" s="7" t="inlineStr">
        <is>
          <t>ORD-01868</t>
        </is>
      </c>
      <c r="B1245" s="8" t="n">
        <v>45222</v>
      </c>
      <c r="C1245" s="9" t="n">
        <v>45200</v>
      </c>
      <c r="D1245" s="7" t="n">
        <v>2023</v>
      </c>
      <c r="E1245" s="7" t="inlineStr">
        <is>
          <t>West</t>
        </is>
      </c>
      <c r="F1245" s="7" t="inlineStr">
        <is>
          <t>Technology</t>
        </is>
      </c>
      <c r="G1245" s="7" t="inlineStr">
        <is>
          <t>Keyboard</t>
        </is>
      </c>
      <c r="H1245" s="7" t="inlineStr">
        <is>
          <t>Home Office</t>
        </is>
      </c>
      <c r="I1245" s="7" t="n">
        <v>3</v>
      </c>
      <c r="J1245" s="10" t="n">
        <v>46.49</v>
      </c>
      <c r="K1245" s="11" t="n">
        <v>0</v>
      </c>
      <c r="L1245" s="10">
        <f>I1245*J1245*(1-K1245)</f>
        <v/>
      </c>
      <c r="M1245" s="10" t="n">
        <v>74.25</v>
      </c>
      <c r="N1245" s="10">
        <f>L1245-M1245</f>
        <v/>
      </c>
    </row>
    <row r="1246">
      <c r="A1246" s="7" t="inlineStr">
        <is>
          <t>ORD-02898</t>
        </is>
      </c>
      <c r="B1246" s="8" t="n">
        <v>45222</v>
      </c>
      <c r="C1246" s="9" t="n">
        <v>45200</v>
      </c>
      <c r="D1246" s="7" t="n">
        <v>2023</v>
      </c>
      <c r="E1246" s="7" t="inlineStr">
        <is>
          <t>West</t>
        </is>
      </c>
      <c r="F1246" s="7" t="inlineStr">
        <is>
          <t>Office Supplies</t>
        </is>
      </c>
      <c r="G1246" s="7" t="inlineStr">
        <is>
          <t>Binder</t>
        </is>
      </c>
      <c r="H1246" s="7" t="inlineStr">
        <is>
          <t>Consumer</t>
        </is>
      </c>
      <c r="I1246" s="7" t="n">
        <v>5</v>
      </c>
      <c r="J1246" s="10" t="n">
        <v>8.279999999999999</v>
      </c>
      <c r="K1246" s="11" t="n">
        <v>0.1</v>
      </c>
      <c r="L1246" s="10">
        <f>I1246*J1246*(1-K1246)</f>
        <v/>
      </c>
      <c r="M1246" s="10" t="n">
        <v>16</v>
      </c>
      <c r="N1246" s="10">
        <f>L1246-M1246</f>
        <v/>
      </c>
    </row>
    <row r="1247">
      <c r="A1247" s="7" t="inlineStr">
        <is>
          <t>ORD-00870</t>
        </is>
      </c>
      <c r="B1247" s="8" t="n">
        <v>45223</v>
      </c>
      <c r="C1247" s="9" t="n">
        <v>45200</v>
      </c>
      <c r="D1247" s="7" t="n">
        <v>2023</v>
      </c>
      <c r="E1247" s="7" t="inlineStr">
        <is>
          <t>East</t>
        </is>
      </c>
      <c r="F1247" s="7" t="inlineStr">
        <is>
          <t>Technology</t>
        </is>
      </c>
      <c r="G1247" s="7" t="inlineStr">
        <is>
          <t>Monitor</t>
        </is>
      </c>
      <c r="H1247" s="7" t="inlineStr">
        <is>
          <t>Consumer</t>
        </is>
      </c>
      <c r="I1247" s="7" t="n">
        <v>1</v>
      </c>
      <c r="J1247" s="10" t="n">
        <v>246.62</v>
      </c>
      <c r="K1247" s="11" t="n">
        <v>0</v>
      </c>
      <c r="L1247" s="10">
        <f>I1247*J1247*(1-K1247)</f>
        <v/>
      </c>
      <c r="M1247" s="10" t="n">
        <v>180</v>
      </c>
      <c r="N1247" s="10">
        <f>L1247-M1247</f>
        <v/>
      </c>
    </row>
    <row r="1248">
      <c r="A1248" s="7" t="inlineStr">
        <is>
          <t>ORD-05013</t>
        </is>
      </c>
      <c r="B1248" s="8" t="n">
        <v>45223</v>
      </c>
      <c r="C1248" s="9" t="n">
        <v>45200</v>
      </c>
      <c r="D1248" s="7" t="n">
        <v>2023</v>
      </c>
      <c r="E1248" s="7" t="inlineStr">
        <is>
          <t>South</t>
        </is>
      </c>
      <c r="F1248" s="7" t="inlineStr">
        <is>
          <t>Office Supplies</t>
        </is>
      </c>
      <c r="G1248" s="7" t="inlineStr">
        <is>
          <t>Pens</t>
        </is>
      </c>
      <c r="H1248" s="7" t="inlineStr">
        <is>
          <t>Home Office</t>
        </is>
      </c>
      <c r="I1248" s="7" t="n">
        <v>11</v>
      </c>
      <c r="J1248" s="10" t="n">
        <v>12.08</v>
      </c>
      <c r="K1248" s="11" t="n">
        <v>0</v>
      </c>
      <c r="L1248" s="10">
        <f>I1248*J1248*(1-K1248)</f>
        <v/>
      </c>
      <c r="M1248" s="10" t="n">
        <v>59.4</v>
      </c>
      <c r="N1248" s="10">
        <f>L1248-M1248</f>
        <v/>
      </c>
    </row>
    <row r="1249">
      <c r="A1249" s="7" t="inlineStr">
        <is>
          <t>ORD-02285</t>
        </is>
      </c>
      <c r="B1249" s="8" t="n">
        <v>45223</v>
      </c>
      <c r="C1249" s="9" t="n">
        <v>45200</v>
      </c>
      <c r="D1249" s="7" t="n">
        <v>2023</v>
      </c>
      <c r="E1249" s="7" t="inlineStr">
        <is>
          <t>West</t>
        </is>
      </c>
      <c r="F1249" s="7" t="inlineStr">
        <is>
          <t>Office Supplies</t>
        </is>
      </c>
      <c r="G1249" s="7" t="inlineStr">
        <is>
          <t>Binder</t>
        </is>
      </c>
      <c r="H1249" s="7" t="inlineStr">
        <is>
          <t>Corporate</t>
        </is>
      </c>
      <c r="I1249" s="7" t="n">
        <v>10</v>
      </c>
      <c r="J1249" s="10" t="n">
        <v>8.01</v>
      </c>
      <c r="K1249" s="11" t="n">
        <v>0.05</v>
      </c>
      <c r="L1249" s="10">
        <f>I1249*J1249*(1-K1249)</f>
        <v/>
      </c>
      <c r="M1249" s="10" t="n">
        <v>32</v>
      </c>
      <c r="N1249" s="10">
        <f>L1249-M1249</f>
        <v/>
      </c>
    </row>
    <row r="1250">
      <c r="A1250" s="7" t="inlineStr">
        <is>
          <t>ORD-05438</t>
        </is>
      </c>
      <c r="B1250" s="8" t="n">
        <v>45223</v>
      </c>
      <c r="C1250" s="9" t="n">
        <v>45200</v>
      </c>
      <c r="D1250" s="7" t="n">
        <v>2023</v>
      </c>
      <c r="E1250" s="7" t="inlineStr">
        <is>
          <t>West</t>
        </is>
      </c>
      <c r="F1250" s="7" t="inlineStr">
        <is>
          <t>Furniture</t>
        </is>
      </c>
      <c r="G1250" s="7" t="inlineStr">
        <is>
          <t>Desk</t>
        </is>
      </c>
      <c r="H1250" s="7" t="inlineStr">
        <is>
          <t>Consumer</t>
        </is>
      </c>
      <c r="I1250" s="7" t="n">
        <v>4</v>
      </c>
      <c r="J1250" s="10" t="n">
        <v>470.63</v>
      </c>
      <c r="K1250" s="11" t="n">
        <v>0.3</v>
      </c>
      <c r="L1250" s="10">
        <f>I1250*J1250*(1-K1250)</f>
        <v/>
      </c>
      <c r="M1250" s="10" t="n">
        <v>1530</v>
      </c>
      <c r="N1250" s="10">
        <f>L1250-M1250</f>
        <v/>
      </c>
    </row>
    <row r="1251">
      <c r="A1251" s="7" t="inlineStr">
        <is>
          <t>ORD-01248</t>
        </is>
      </c>
      <c r="B1251" s="8" t="n">
        <v>45224</v>
      </c>
      <c r="C1251" s="9" t="n">
        <v>45200</v>
      </c>
      <c r="D1251" s="7" t="n">
        <v>2023</v>
      </c>
      <c r="E1251" s="7" t="inlineStr">
        <is>
          <t>West</t>
        </is>
      </c>
      <c r="F1251" s="7" t="inlineStr">
        <is>
          <t>Office Supplies</t>
        </is>
      </c>
      <c r="G1251" s="7" t="inlineStr">
        <is>
          <t>Paper</t>
        </is>
      </c>
      <c r="H1251" s="7" t="inlineStr">
        <is>
          <t>Consumer</t>
        </is>
      </c>
      <c r="I1251" s="7" t="n">
        <v>10</v>
      </c>
      <c r="J1251" s="10" t="n">
        <v>24.9</v>
      </c>
      <c r="K1251" s="11" t="n">
        <v>0</v>
      </c>
      <c r="L1251" s="10">
        <f>I1251*J1251*(1-K1251)</f>
        <v/>
      </c>
      <c r="M1251" s="10" t="n">
        <v>125</v>
      </c>
      <c r="N1251" s="10">
        <f>L1251-M1251</f>
        <v/>
      </c>
    </row>
    <row r="1252">
      <c r="A1252" s="7" t="inlineStr">
        <is>
          <t>ORD-03087</t>
        </is>
      </c>
      <c r="B1252" s="8" t="n">
        <v>45224</v>
      </c>
      <c r="C1252" s="9" t="n">
        <v>45200</v>
      </c>
      <c r="D1252" s="7" t="n">
        <v>2023</v>
      </c>
      <c r="E1252" s="7" t="inlineStr">
        <is>
          <t>West</t>
        </is>
      </c>
      <c r="F1252" s="7" t="inlineStr">
        <is>
          <t>Office Supplies</t>
        </is>
      </c>
      <c r="G1252" s="7" t="inlineStr">
        <is>
          <t>Paper</t>
        </is>
      </c>
      <c r="H1252" s="7" t="inlineStr">
        <is>
          <t>Consumer</t>
        </is>
      </c>
      <c r="I1252" s="7" t="n">
        <v>12</v>
      </c>
      <c r="J1252" s="10" t="n">
        <v>24.44</v>
      </c>
      <c r="K1252" s="11" t="n">
        <v>0</v>
      </c>
      <c r="L1252" s="10">
        <f>I1252*J1252*(1-K1252)</f>
        <v/>
      </c>
      <c r="M1252" s="10" t="n">
        <v>150</v>
      </c>
      <c r="N1252" s="10">
        <f>L1252-M1252</f>
        <v/>
      </c>
    </row>
    <row r="1253">
      <c r="A1253" s="7" t="inlineStr">
        <is>
          <t>ORD-04201</t>
        </is>
      </c>
      <c r="B1253" s="8" t="n">
        <v>45224</v>
      </c>
      <c r="C1253" s="9" t="n">
        <v>45200</v>
      </c>
      <c r="D1253" s="7" t="n">
        <v>2023</v>
      </c>
      <c r="E1253" s="7" t="inlineStr">
        <is>
          <t>South</t>
        </is>
      </c>
      <c r="F1253" s="7" t="inlineStr">
        <is>
          <t>Office Supplies</t>
        </is>
      </c>
      <c r="G1253" s="7" t="inlineStr">
        <is>
          <t>Pens</t>
        </is>
      </c>
      <c r="H1253" s="7" t="inlineStr">
        <is>
          <t>Consumer</t>
        </is>
      </c>
      <c r="I1253" s="7" t="n">
        <v>9</v>
      </c>
      <c r="J1253" s="10" t="n">
        <v>11.65</v>
      </c>
      <c r="K1253" s="11" t="n">
        <v>0.2</v>
      </c>
      <c r="L1253" s="10">
        <f>I1253*J1253*(1-K1253)</f>
        <v/>
      </c>
      <c r="M1253" s="10" t="n">
        <v>48.6</v>
      </c>
      <c r="N1253" s="10">
        <f>L1253-M1253</f>
        <v/>
      </c>
    </row>
    <row r="1254">
      <c r="A1254" s="7" t="inlineStr">
        <is>
          <t>ORD-01435</t>
        </is>
      </c>
      <c r="B1254" s="8" t="n">
        <v>45225</v>
      </c>
      <c r="C1254" s="9" t="n">
        <v>45200</v>
      </c>
      <c r="D1254" s="7" t="n">
        <v>2023</v>
      </c>
      <c r="E1254" s="7" t="inlineStr">
        <is>
          <t>West</t>
        </is>
      </c>
      <c r="F1254" s="7" t="inlineStr">
        <is>
          <t>Office Supplies</t>
        </is>
      </c>
      <c r="G1254" s="7" t="inlineStr">
        <is>
          <t>Printer Ink</t>
        </is>
      </c>
      <c r="H1254" s="7" t="inlineStr">
        <is>
          <t>Home Office</t>
        </is>
      </c>
      <c r="I1254" s="7" t="n">
        <v>8</v>
      </c>
      <c r="J1254" s="10" t="n">
        <v>61.68</v>
      </c>
      <c r="K1254" s="11" t="n">
        <v>0</v>
      </c>
      <c r="L1254" s="10">
        <f>I1254*J1254*(1-K1254)</f>
        <v/>
      </c>
      <c r="M1254" s="10" t="n">
        <v>288</v>
      </c>
      <c r="N1254" s="10">
        <f>L1254-M1254</f>
        <v/>
      </c>
    </row>
    <row r="1255">
      <c r="A1255" s="7" t="inlineStr">
        <is>
          <t>ORD-02747</t>
        </is>
      </c>
      <c r="B1255" s="8" t="n">
        <v>45225</v>
      </c>
      <c r="C1255" s="9" t="n">
        <v>45200</v>
      </c>
      <c r="D1255" s="7" t="n">
        <v>2023</v>
      </c>
      <c r="E1255" s="7" t="inlineStr">
        <is>
          <t>South</t>
        </is>
      </c>
      <c r="F1255" s="7" t="inlineStr">
        <is>
          <t>Technology</t>
        </is>
      </c>
      <c r="G1255" s="7" t="inlineStr">
        <is>
          <t>Headphones</t>
        </is>
      </c>
      <c r="H1255" s="7" t="inlineStr">
        <is>
          <t>Consumer</t>
        </is>
      </c>
      <c r="I1255" s="7" t="n">
        <v>1</v>
      </c>
      <c r="J1255" s="10" t="n">
        <v>120.32</v>
      </c>
      <c r="K1255" s="11" t="n">
        <v>0.3</v>
      </c>
      <c r="L1255" s="10">
        <f>I1255*J1255*(1-K1255)</f>
        <v/>
      </c>
      <c r="M1255" s="10" t="n">
        <v>72</v>
      </c>
      <c r="N1255" s="10">
        <f>L1255-M1255</f>
        <v/>
      </c>
    </row>
    <row r="1256">
      <c r="A1256" s="7" t="inlineStr">
        <is>
          <t>ORD-00737</t>
        </is>
      </c>
      <c r="B1256" s="8" t="n">
        <v>45226</v>
      </c>
      <c r="C1256" s="9" t="n">
        <v>45200</v>
      </c>
      <c r="D1256" s="7" t="n">
        <v>2023</v>
      </c>
      <c r="E1256" s="7" t="inlineStr">
        <is>
          <t>West</t>
        </is>
      </c>
      <c r="F1256" s="7" t="inlineStr">
        <is>
          <t>Technology</t>
        </is>
      </c>
      <c r="G1256" s="7" t="inlineStr">
        <is>
          <t>Keyboard</t>
        </is>
      </c>
      <c r="H1256" s="7" t="inlineStr">
        <is>
          <t>Consumer</t>
        </is>
      </c>
      <c r="I1256" s="7" t="n">
        <v>2</v>
      </c>
      <c r="J1256" s="10" t="n">
        <v>44.29</v>
      </c>
      <c r="K1256" s="11" t="n">
        <v>0.05</v>
      </c>
      <c r="L1256" s="10">
        <f>I1256*J1256*(1-K1256)</f>
        <v/>
      </c>
      <c r="M1256" s="10" t="n">
        <v>49.5</v>
      </c>
      <c r="N1256" s="10">
        <f>L1256-M1256</f>
        <v/>
      </c>
    </row>
    <row r="1257">
      <c r="A1257" s="7" t="inlineStr">
        <is>
          <t>ORD-03802</t>
        </is>
      </c>
      <c r="B1257" s="8" t="n">
        <v>45226</v>
      </c>
      <c r="C1257" s="9" t="n">
        <v>45200</v>
      </c>
      <c r="D1257" s="7" t="n">
        <v>2023</v>
      </c>
      <c r="E1257" s="7" t="inlineStr">
        <is>
          <t>South</t>
        </is>
      </c>
      <c r="F1257" s="7" t="inlineStr">
        <is>
          <t>Office Supplies</t>
        </is>
      </c>
      <c r="G1257" s="7" t="inlineStr">
        <is>
          <t>Pens</t>
        </is>
      </c>
      <c r="H1257" s="7" t="inlineStr">
        <is>
          <t>Corporate</t>
        </is>
      </c>
      <c r="I1257" s="7" t="n">
        <v>9</v>
      </c>
      <c r="J1257" s="10" t="n">
        <v>11.45</v>
      </c>
      <c r="K1257" s="11" t="n">
        <v>0.2</v>
      </c>
      <c r="L1257" s="10">
        <f>I1257*J1257*(1-K1257)</f>
        <v/>
      </c>
      <c r="M1257" s="10" t="n">
        <v>48.6</v>
      </c>
      <c r="N1257" s="10">
        <f>L1257-M1257</f>
        <v/>
      </c>
    </row>
    <row r="1258">
      <c r="A1258" s="7" t="inlineStr">
        <is>
          <t>ORD-00936</t>
        </is>
      </c>
      <c r="B1258" s="8" t="n">
        <v>45226</v>
      </c>
      <c r="C1258" s="9" t="n">
        <v>45200</v>
      </c>
      <c r="D1258" s="7" t="n">
        <v>2023</v>
      </c>
      <c r="E1258" s="7" t="inlineStr">
        <is>
          <t>South</t>
        </is>
      </c>
      <c r="F1258" s="7" t="inlineStr">
        <is>
          <t>Office Supplies</t>
        </is>
      </c>
      <c r="G1258" s="7" t="inlineStr">
        <is>
          <t>Binder</t>
        </is>
      </c>
      <c r="H1258" s="7" t="inlineStr">
        <is>
          <t>Consumer</t>
        </is>
      </c>
      <c r="I1258" s="7" t="n">
        <v>14</v>
      </c>
      <c r="J1258" s="10" t="n">
        <v>7.66</v>
      </c>
      <c r="K1258" s="11" t="n">
        <v>0.05</v>
      </c>
      <c r="L1258" s="10">
        <f>I1258*J1258*(1-K1258)</f>
        <v/>
      </c>
      <c r="M1258" s="10" t="n">
        <v>44.8</v>
      </c>
      <c r="N1258" s="10">
        <f>L1258-M1258</f>
        <v/>
      </c>
    </row>
    <row r="1259">
      <c r="A1259" s="7" t="inlineStr">
        <is>
          <t>ORD-04160</t>
        </is>
      </c>
      <c r="B1259" s="8" t="n">
        <v>45226</v>
      </c>
      <c r="C1259" s="9" t="n">
        <v>45200</v>
      </c>
      <c r="D1259" s="7" t="n">
        <v>2023</v>
      </c>
      <c r="E1259" s="7" t="inlineStr">
        <is>
          <t>South</t>
        </is>
      </c>
      <c r="F1259" s="7" t="inlineStr">
        <is>
          <t>Office Supplies</t>
        </is>
      </c>
      <c r="G1259" s="7" t="inlineStr">
        <is>
          <t>Binder</t>
        </is>
      </c>
      <c r="H1259" s="7" t="inlineStr">
        <is>
          <t>Home Office</t>
        </is>
      </c>
      <c r="I1259" s="7" t="n">
        <v>2</v>
      </c>
      <c r="J1259" s="10" t="n">
        <v>8.32</v>
      </c>
      <c r="K1259" s="11" t="n">
        <v>0</v>
      </c>
      <c r="L1259" s="10">
        <f>I1259*J1259*(1-K1259)</f>
        <v/>
      </c>
      <c r="M1259" s="10" t="n">
        <v>6.4</v>
      </c>
      <c r="N1259" s="10">
        <f>L1259-M1259</f>
        <v/>
      </c>
    </row>
    <row r="1260">
      <c r="A1260" s="7" t="inlineStr">
        <is>
          <t>ORD-03925</t>
        </is>
      </c>
      <c r="B1260" s="8" t="n">
        <v>45226</v>
      </c>
      <c r="C1260" s="9" t="n">
        <v>45200</v>
      </c>
      <c r="D1260" s="7" t="n">
        <v>2023</v>
      </c>
      <c r="E1260" s="7" t="inlineStr">
        <is>
          <t>West</t>
        </is>
      </c>
      <c r="F1260" s="7" t="inlineStr">
        <is>
          <t>Office Supplies</t>
        </is>
      </c>
      <c r="G1260" s="7" t="inlineStr">
        <is>
          <t>Paper</t>
        </is>
      </c>
      <c r="H1260" s="7" t="inlineStr">
        <is>
          <t>Corporate</t>
        </is>
      </c>
      <c r="I1260" s="7" t="n">
        <v>4</v>
      </c>
      <c r="J1260" s="10" t="n">
        <v>25.09</v>
      </c>
      <c r="K1260" s="11" t="n">
        <v>0.1</v>
      </c>
      <c r="L1260" s="10">
        <f>I1260*J1260*(1-K1260)</f>
        <v/>
      </c>
      <c r="M1260" s="10" t="n">
        <v>50</v>
      </c>
      <c r="N1260" s="10">
        <f>L1260-M1260</f>
        <v/>
      </c>
    </row>
    <row r="1261">
      <c r="A1261" s="7" t="inlineStr">
        <is>
          <t>ORD-01237</t>
        </is>
      </c>
      <c r="B1261" s="8" t="n">
        <v>45226</v>
      </c>
      <c r="C1261" s="9" t="n">
        <v>45200</v>
      </c>
      <c r="D1261" s="7" t="n">
        <v>2023</v>
      </c>
      <c r="E1261" s="7" t="inlineStr">
        <is>
          <t>East</t>
        </is>
      </c>
      <c r="F1261" s="7" t="inlineStr">
        <is>
          <t>Office Supplies</t>
        </is>
      </c>
      <c r="G1261" s="7" t="inlineStr">
        <is>
          <t>Binder</t>
        </is>
      </c>
      <c r="H1261" s="7" t="inlineStr">
        <is>
          <t>Consumer</t>
        </is>
      </c>
      <c r="I1261" s="7" t="n">
        <v>3</v>
      </c>
      <c r="J1261" s="10" t="n">
        <v>8.18</v>
      </c>
      <c r="K1261" s="11" t="n">
        <v>0.1</v>
      </c>
      <c r="L1261" s="10">
        <f>I1261*J1261*(1-K1261)</f>
        <v/>
      </c>
      <c r="M1261" s="10" t="n">
        <v>9.6</v>
      </c>
      <c r="N1261" s="10">
        <f>L1261-M1261</f>
        <v/>
      </c>
    </row>
    <row r="1262">
      <c r="A1262" s="7" t="inlineStr">
        <is>
          <t>ORD-05474</t>
        </is>
      </c>
      <c r="B1262" s="8" t="n">
        <v>45227</v>
      </c>
      <c r="C1262" s="9" t="n">
        <v>45200</v>
      </c>
      <c r="D1262" s="7" t="n">
        <v>2023</v>
      </c>
      <c r="E1262" s="7" t="inlineStr">
        <is>
          <t>West</t>
        </is>
      </c>
      <c r="F1262" s="7" t="inlineStr">
        <is>
          <t>Office Supplies</t>
        </is>
      </c>
      <c r="G1262" s="7" t="inlineStr">
        <is>
          <t>Printer Ink</t>
        </is>
      </c>
      <c r="H1262" s="7" t="inlineStr">
        <is>
          <t>Corporate</t>
        </is>
      </c>
      <c r="I1262" s="7" t="n">
        <v>11</v>
      </c>
      <c r="J1262" s="10" t="n">
        <v>59.18</v>
      </c>
      <c r="K1262" s="11" t="n">
        <v>0.1</v>
      </c>
      <c r="L1262" s="10">
        <f>I1262*J1262*(1-K1262)</f>
        <v/>
      </c>
      <c r="M1262" s="10" t="n">
        <v>396</v>
      </c>
      <c r="N1262" s="10">
        <f>L1262-M1262</f>
        <v/>
      </c>
    </row>
    <row r="1263">
      <c r="A1263" s="7" t="inlineStr">
        <is>
          <t>ORD-00970</t>
        </is>
      </c>
      <c r="B1263" s="8" t="n">
        <v>45227</v>
      </c>
      <c r="C1263" s="9" t="n">
        <v>45200</v>
      </c>
      <c r="D1263" s="7" t="n">
        <v>2023</v>
      </c>
      <c r="E1263" s="7" t="inlineStr">
        <is>
          <t>East</t>
        </is>
      </c>
      <c r="F1263" s="7" t="inlineStr">
        <is>
          <t>Technology</t>
        </is>
      </c>
      <c r="G1263" s="7" t="inlineStr">
        <is>
          <t>Headphones</t>
        </is>
      </c>
      <c r="H1263" s="7" t="inlineStr">
        <is>
          <t>Consumer</t>
        </is>
      </c>
      <c r="I1263" s="7" t="n">
        <v>2</v>
      </c>
      <c r="J1263" s="10" t="n">
        <v>121.91</v>
      </c>
      <c r="K1263" s="11" t="n">
        <v>0</v>
      </c>
      <c r="L1263" s="10">
        <f>I1263*J1263*(1-K1263)</f>
        <v/>
      </c>
      <c r="M1263" s="10" t="n">
        <v>144</v>
      </c>
      <c r="N1263" s="10">
        <f>L1263-M1263</f>
        <v/>
      </c>
    </row>
    <row r="1264">
      <c r="A1264" s="7" t="inlineStr">
        <is>
          <t>ORD-01621</t>
        </is>
      </c>
      <c r="B1264" s="8" t="n">
        <v>45227</v>
      </c>
      <c r="C1264" s="9" t="n">
        <v>45200</v>
      </c>
      <c r="D1264" s="7" t="n">
        <v>2023</v>
      </c>
      <c r="E1264" s="7" t="inlineStr">
        <is>
          <t>West</t>
        </is>
      </c>
      <c r="F1264" s="7" t="inlineStr">
        <is>
          <t>Office Supplies</t>
        </is>
      </c>
      <c r="G1264" s="7" t="inlineStr">
        <is>
          <t>Binder</t>
        </is>
      </c>
      <c r="H1264" s="7" t="inlineStr">
        <is>
          <t>Corporate</t>
        </is>
      </c>
      <c r="I1264" s="7" t="n">
        <v>14</v>
      </c>
      <c r="J1264" s="10" t="n">
        <v>8.039999999999999</v>
      </c>
      <c r="K1264" s="11" t="n">
        <v>0.3</v>
      </c>
      <c r="L1264" s="10">
        <f>I1264*J1264*(1-K1264)</f>
        <v/>
      </c>
      <c r="M1264" s="10" t="n">
        <v>44.8</v>
      </c>
      <c r="N1264" s="10">
        <f>L1264-M1264</f>
        <v/>
      </c>
    </row>
    <row r="1265">
      <c r="A1265" s="7" t="inlineStr">
        <is>
          <t>ORD-02932</t>
        </is>
      </c>
      <c r="B1265" s="8" t="n">
        <v>45227</v>
      </c>
      <c r="C1265" s="9" t="n">
        <v>45200</v>
      </c>
      <c r="D1265" s="7" t="n">
        <v>2023</v>
      </c>
      <c r="E1265" s="7" t="inlineStr">
        <is>
          <t>West</t>
        </is>
      </c>
      <c r="F1265" s="7" t="inlineStr">
        <is>
          <t>Office Supplies</t>
        </is>
      </c>
      <c r="G1265" s="7" t="inlineStr">
        <is>
          <t>Printer Ink</t>
        </is>
      </c>
      <c r="H1265" s="7" t="inlineStr">
        <is>
          <t>Consumer</t>
        </is>
      </c>
      <c r="I1265" s="7" t="n">
        <v>6</v>
      </c>
      <c r="J1265" s="10" t="n">
        <v>60.61</v>
      </c>
      <c r="K1265" s="11" t="n">
        <v>0</v>
      </c>
      <c r="L1265" s="10">
        <f>I1265*J1265*(1-K1265)</f>
        <v/>
      </c>
      <c r="M1265" s="10" t="n">
        <v>216</v>
      </c>
      <c r="N1265" s="10">
        <f>L1265-M1265</f>
        <v/>
      </c>
    </row>
    <row r="1266">
      <c r="A1266" s="7" t="inlineStr">
        <is>
          <t>ORD-01180</t>
        </is>
      </c>
      <c r="B1266" s="8" t="n">
        <v>45228</v>
      </c>
      <c r="C1266" s="9" t="n">
        <v>45200</v>
      </c>
      <c r="D1266" s="7" t="n">
        <v>2023</v>
      </c>
      <c r="E1266" s="7" t="inlineStr">
        <is>
          <t>East</t>
        </is>
      </c>
      <c r="F1266" s="7" t="inlineStr">
        <is>
          <t>Technology</t>
        </is>
      </c>
      <c r="G1266" s="7" t="inlineStr">
        <is>
          <t>Keyboard</t>
        </is>
      </c>
      <c r="H1266" s="7" t="inlineStr">
        <is>
          <t>Home Office</t>
        </is>
      </c>
      <c r="I1266" s="7" t="n">
        <v>1</v>
      </c>
      <c r="J1266" s="10" t="n">
        <v>46.86</v>
      </c>
      <c r="K1266" s="11" t="n">
        <v>0.2</v>
      </c>
      <c r="L1266" s="10">
        <f>I1266*J1266*(1-K1266)</f>
        <v/>
      </c>
      <c r="M1266" s="10" t="n">
        <v>24.75</v>
      </c>
      <c r="N1266" s="10">
        <f>L1266-M1266</f>
        <v/>
      </c>
    </row>
    <row r="1267">
      <c r="A1267" s="7" t="inlineStr">
        <is>
          <t>ORD-00536</t>
        </is>
      </c>
      <c r="B1267" s="8" t="n">
        <v>45228</v>
      </c>
      <c r="C1267" s="9" t="n">
        <v>45200</v>
      </c>
      <c r="D1267" s="7" t="n">
        <v>2023</v>
      </c>
      <c r="E1267" s="7" t="inlineStr">
        <is>
          <t>West</t>
        </is>
      </c>
      <c r="F1267" s="7" t="inlineStr">
        <is>
          <t>Technology</t>
        </is>
      </c>
      <c r="G1267" s="7" t="inlineStr">
        <is>
          <t>Smartphone</t>
        </is>
      </c>
      <c r="H1267" s="7" t="inlineStr">
        <is>
          <t>Home Office</t>
        </is>
      </c>
      <c r="I1267" s="7" t="n">
        <v>2</v>
      </c>
      <c r="J1267" s="10" t="n">
        <v>582.89</v>
      </c>
      <c r="K1267" s="11" t="n">
        <v>0</v>
      </c>
      <c r="L1267" s="10">
        <f>I1267*J1267*(1-K1267)</f>
        <v/>
      </c>
      <c r="M1267" s="10" t="n">
        <v>900</v>
      </c>
      <c r="N1267" s="10">
        <f>L1267-M1267</f>
        <v/>
      </c>
    </row>
    <row r="1268">
      <c r="A1268" s="7" t="inlineStr">
        <is>
          <t>ORD-04978</t>
        </is>
      </c>
      <c r="B1268" s="8" t="n">
        <v>45228</v>
      </c>
      <c r="C1268" s="9" t="n">
        <v>45200</v>
      </c>
      <c r="D1268" s="7" t="n">
        <v>2023</v>
      </c>
      <c r="E1268" s="7" t="inlineStr">
        <is>
          <t>West</t>
        </is>
      </c>
      <c r="F1268" s="7" t="inlineStr">
        <is>
          <t>Furniture</t>
        </is>
      </c>
      <c r="G1268" s="7" t="inlineStr">
        <is>
          <t>Bookcase</t>
        </is>
      </c>
      <c r="H1268" s="7" t="inlineStr">
        <is>
          <t>Corporate</t>
        </is>
      </c>
      <c r="I1268" s="7" t="n">
        <v>2</v>
      </c>
      <c r="J1268" s="10" t="n">
        <v>177.38</v>
      </c>
      <c r="K1268" s="11" t="n">
        <v>0.3</v>
      </c>
      <c r="L1268" s="10">
        <f>I1268*J1268*(1-K1268)</f>
        <v/>
      </c>
      <c r="M1268" s="10" t="n">
        <v>288</v>
      </c>
      <c r="N1268" s="10">
        <f>L1268-M1268</f>
        <v/>
      </c>
    </row>
    <row r="1269">
      <c r="A1269" s="7" t="inlineStr">
        <is>
          <t>ORD-02327</t>
        </is>
      </c>
      <c r="B1269" s="8" t="n">
        <v>45228</v>
      </c>
      <c r="C1269" s="9" t="n">
        <v>45200</v>
      </c>
      <c r="D1269" s="7" t="n">
        <v>2023</v>
      </c>
      <c r="E1269" s="7" t="inlineStr">
        <is>
          <t>South</t>
        </is>
      </c>
      <c r="F1269" s="7" t="inlineStr">
        <is>
          <t>Technology</t>
        </is>
      </c>
      <c r="G1269" s="7" t="inlineStr">
        <is>
          <t>Monitor</t>
        </is>
      </c>
      <c r="H1269" s="7" t="inlineStr">
        <is>
          <t>Consumer</t>
        </is>
      </c>
      <c r="I1269" s="7" t="n">
        <v>2</v>
      </c>
      <c r="J1269" s="10" t="n">
        <v>252.18</v>
      </c>
      <c r="K1269" s="11" t="n">
        <v>0.2</v>
      </c>
      <c r="L1269" s="10">
        <f>I1269*J1269*(1-K1269)</f>
        <v/>
      </c>
      <c r="M1269" s="10" t="n">
        <v>360</v>
      </c>
      <c r="N1269" s="10">
        <f>L1269-M1269</f>
        <v/>
      </c>
    </row>
    <row r="1270">
      <c r="A1270" s="7" t="inlineStr">
        <is>
          <t>ORD-03489</t>
        </is>
      </c>
      <c r="B1270" s="8" t="n">
        <v>45228</v>
      </c>
      <c r="C1270" s="9" t="n">
        <v>45200</v>
      </c>
      <c r="D1270" s="7" t="n">
        <v>2023</v>
      </c>
      <c r="E1270" s="7" t="inlineStr">
        <is>
          <t>North</t>
        </is>
      </c>
      <c r="F1270" s="7" t="inlineStr">
        <is>
          <t>Technology</t>
        </is>
      </c>
      <c r="G1270" s="7" t="inlineStr">
        <is>
          <t>Headphones</t>
        </is>
      </c>
      <c r="H1270" s="7" t="inlineStr">
        <is>
          <t>Consumer</t>
        </is>
      </c>
      <c r="I1270" s="7" t="n">
        <v>2</v>
      </c>
      <c r="J1270" s="10" t="n">
        <v>122.15</v>
      </c>
      <c r="K1270" s="11" t="n">
        <v>0.05</v>
      </c>
      <c r="L1270" s="10">
        <f>I1270*J1270*(1-K1270)</f>
        <v/>
      </c>
      <c r="M1270" s="10" t="n">
        <v>144</v>
      </c>
      <c r="N1270" s="10">
        <f>L1270-M1270</f>
        <v/>
      </c>
    </row>
    <row r="1271">
      <c r="A1271" s="7" t="inlineStr">
        <is>
          <t>ORD-04802</t>
        </is>
      </c>
      <c r="B1271" s="8" t="n">
        <v>45228</v>
      </c>
      <c r="C1271" s="9" t="n">
        <v>45200</v>
      </c>
      <c r="D1271" s="7" t="n">
        <v>2023</v>
      </c>
      <c r="E1271" s="7" t="inlineStr">
        <is>
          <t>West</t>
        </is>
      </c>
      <c r="F1271" s="7" t="inlineStr">
        <is>
          <t>Office Supplies</t>
        </is>
      </c>
      <c r="G1271" s="7" t="inlineStr">
        <is>
          <t>Binder</t>
        </is>
      </c>
      <c r="H1271" s="7" t="inlineStr">
        <is>
          <t>Consumer</t>
        </is>
      </c>
      <c r="I1271" s="7" t="n">
        <v>13</v>
      </c>
      <c r="J1271" s="10" t="n">
        <v>7.67</v>
      </c>
      <c r="K1271" s="11" t="n">
        <v>0.1</v>
      </c>
      <c r="L1271" s="10">
        <f>I1271*J1271*(1-K1271)</f>
        <v/>
      </c>
      <c r="M1271" s="10" t="n">
        <v>41.6</v>
      </c>
      <c r="N1271" s="10">
        <f>L1271-M1271</f>
        <v/>
      </c>
    </row>
    <row r="1272">
      <c r="A1272" s="7" t="inlineStr">
        <is>
          <t>ORD-04741</t>
        </is>
      </c>
      <c r="B1272" s="8" t="n">
        <v>45229</v>
      </c>
      <c r="C1272" s="9" t="n">
        <v>45200</v>
      </c>
      <c r="D1272" s="7" t="n">
        <v>2023</v>
      </c>
      <c r="E1272" s="7" t="inlineStr">
        <is>
          <t>North</t>
        </is>
      </c>
      <c r="F1272" s="7" t="inlineStr">
        <is>
          <t>Office Supplies</t>
        </is>
      </c>
      <c r="G1272" s="7" t="inlineStr">
        <is>
          <t>Paper</t>
        </is>
      </c>
      <c r="H1272" s="7" t="inlineStr">
        <is>
          <t>Corporate</t>
        </is>
      </c>
      <c r="I1272" s="7" t="n">
        <v>13</v>
      </c>
      <c r="J1272" s="10" t="n">
        <v>25.67</v>
      </c>
      <c r="K1272" s="11" t="n">
        <v>0</v>
      </c>
      <c r="L1272" s="10">
        <f>I1272*J1272*(1-K1272)</f>
        <v/>
      </c>
      <c r="M1272" s="10" t="n">
        <v>162.5</v>
      </c>
      <c r="N1272" s="10">
        <f>L1272-M1272</f>
        <v/>
      </c>
    </row>
    <row r="1273">
      <c r="A1273" s="7" t="inlineStr">
        <is>
          <t>ORD-02638</t>
        </is>
      </c>
      <c r="B1273" s="8" t="n">
        <v>45229</v>
      </c>
      <c r="C1273" s="9" t="n">
        <v>45200</v>
      </c>
      <c r="D1273" s="7" t="n">
        <v>2023</v>
      </c>
      <c r="E1273" s="7" t="inlineStr">
        <is>
          <t>East</t>
        </is>
      </c>
      <c r="F1273" s="7" t="inlineStr">
        <is>
          <t>Technology</t>
        </is>
      </c>
      <c r="G1273" s="7" t="inlineStr">
        <is>
          <t>Smartphone</t>
        </is>
      </c>
      <c r="H1273" s="7" t="inlineStr">
        <is>
          <t>Corporate</t>
        </is>
      </c>
      <c r="I1273" s="7" t="n">
        <v>3</v>
      </c>
      <c r="J1273" s="10" t="n">
        <v>594.05</v>
      </c>
      <c r="K1273" s="11" t="n">
        <v>0.05</v>
      </c>
      <c r="L1273" s="10">
        <f>I1273*J1273*(1-K1273)</f>
        <v/>
      </c>
      <c r="M1273" s="10" t="n">
        <v>1350</v>
      </c>
      <c r="N1273" s="10">
        <f>L1273-M1273</f>
        <v/>
      </c>
    </row>
    <row r="1274">
      <c r="A1274" s="7" t="inlineStr">
        <is>
          <t>ORD-05665</t>
        </is>
      </c>
      <c r="B1274" s="8" t="n">
        <v>45229</v>
      </c>
      <c r="C1274" s="9" t="n">
        <v>45200</v>
      </c>
      <c r="D1274" s="7" t="n">
        <v>2023</v>
      </c>
      <c r="E1274" s="7" t="inlineStr">
        <is>
          <t>South</t>
        </is>
      </c>
      <c r="F1274" s="7" t="inlineStr">
        <is>
          <t>Technology</t>
        </is>
      </c>
      <c r="G1274" s="7" t="inlineStr">
        <is>
          <t>Laptop</t>
        </is>
      </c>
      <c r="H1274" s="7" t="inlineStr">
        <is>
          <t>Consumer</t>
        </is>
      </c>
      <c r="I1274" s="7" t="n">
        <v>2</v>
      </c>
      <c r="J1274" s="10" t="n">
        <v>907.4</v>
      </c>
      <c r="K1274" s="11" t="n">
        <v>0.3</v>
      </c>
      <c r="L1274" s="10">
        <f>I1274*J1274*(1-K1274)</f>
        <v/>
      </c>
      <c r="M1274" s="10" t="n">
        <v>1404</v>
      </c>
      <c r="N1274" s="10">
        <f>L1274-M1274</f>
        <v/>
      </c>
    </row>
    <row r="1275">
      <c r="A1275" s="7" t="inlineStr">
        <is>
          <t>ORD-05477</t>
        </is>
      </c>
      <c r="B1275" s="8" t="n">
        <v>45229</v>
      </c>
      <c r="C1275" s="9" t="n">
        <v>45200</v>
      </c>
      <c r="D1275" s="7" t="n">
        <v>2023</v>
      </c>
      <c r="E1275" s="7" t="inlineStr">
        <is>
          <t>West</t>
        </is>
      </c>
      <c r="F1275" s="7" t="inlineStr">
        <is>
          <t>Technology</t>
        </is>
      </c>
      <c r="G1275" s="7" t="inlineStr">
        <is>
          <t>Smartphone</t>
        </is>
      </c>
      <c r="H1275" s="7" t="inlineStr">
        <is>
          <t>Corporate</t>
        </is>
      </c>
      <c r="I1275" s="7" t="n">
        <v>2</v>
      </c>
      <c r="J1275" s="10" t="n">
        <v>577.0700000000001</v>
      </c>
      <c r="K1275" s="11" t="n">
        <v>0</v>
      </c>
      <c r="L1275" s="10">
        <f>I1275*J1275*(1-K1275)</f>
        <v/>
      </c>
      <c r="M1275" s="10" t="n">
        <v>900</v>
      </c>
      <c r="N1275" s="10">
        <f>L1275-M1275</f>
        <v/>
      </c>
    </row>
    <row r="1276">
      <c r="A1276" s="7" t="inlineStr">
        <is>
          <t>ORD-02845</t>
        </is>
      </c>
      <c r="B1276" s="8" t="n">
        <v>45229</v>
      </c>
      <c r="C1276" s="9" t="n">
        <v>45200</v>
      </c>
      <c r="D1276" s="7" t="n">
        <v>2023</v>
      </c>
      <c r="E1276" s="7" t="inlineStr">
        <is>
          <t>South</t>
        </is>
      </c>
      <c r="F1276" s="7" t="inlineStr">
        <is>
          <t>Furniture</t>
        </is>
      </c>
      <c r="G1276" s="7" t="inlineStr">
        <is>
          <t>Bookcase</t>
        </is>
      </c>
      <c r="H1276" s="7" t="inlineStr">
        <is>
          <t>Consumer</t>
        </is>
      </c>
      <c r="I1276" s="7" t="n">
        <v>2</v>
      </c>
      <c r="J1276" s="10" t="n">
        <v>172.57</v>
      </c>
      <c r="K1276" s="11" t="n">
        <v>0.1</v>
      </c>
      <c r="L1276" s="10">
        <f>I1276*J1276*(1-K1276)</f>
        <v/>
      </c>
      <c r="M1276" s="10" t="n">
        <v>288</v>
      </c>
      <c r="N1276" s="10">
        <f>L1276-M1276</f>
        <v/>
      </c>
    </row>
    <row r="1277">
      <c r="A1277" s="7" t="inlineStr">
        <is>
          <t>ORD-02998</t>
        </is>
      </c>
      <c r="B1277" s="8" t="n">
        <v>45230</v>
      </c>
      <c r="C1277" s="9" t="n">
        <v>45200</v>
      </c>
      <c r="D1277" s="7" t="n">
        <v>2023</v>
      </c>
      <c r="E1277" s="7" t="inlineStr">
        <is>
          <t>East</t>
        </is>
      </c>
      <c r="F1277" s="7" t="inlineStr">
        <is>
          <t>Office Supplies</t>
        </is>
      </c>
      <c r="G1277" s="7" t="inlineStr">
        <is>
          <t>Pens</t>
        </is>
      </c>
      <c r="H1277" s="7" t="inlineStr">
        <is>
          <t>Consumer</t>
        </is>
      </c>
      <c r="I1277" s="7" t="n">
        <v>9</v>
      </c>
      <c r="J1277" s="10" t="n">
        <v>11.5</v>
      </c>
      <c r="K1277" s="11" t="n">
        <v>0.05</v>
      </c>
      <c r="L1277" s="10">
        <f>I1277*J1277*(1-K1277)</f>
        <v/>
      </c>
      <c r="M1277" s="10" t="n">
        <v>48.6</v>
      </c>
      <c r="N1277" s="10">
        <f>L1277-M1277</f>
        <v/>
      </c>
    </row>
    <row r="1278">
      <c r="A1278" s="7" t="inlineStr">
        <is>
          <t>ORD-03652</t>
        </is>
      </c>
      <c r="B1278" s="8" t="n">
        <v>45230</v>
      </c>
      <c r="C1278" s="9" t="n">
        <v>45200</v>
      </c>
      <c r="D1278" s="7" t="n">
        <v>2023</v>
      </c>
      <c r="E1278" s="7" t="inlineStr">
        <is>
          <t>South</t>
        </is>
      </c>
      <c r="F1278" s="7" t="inlineStr">
        <is>
          <t>Office Supplies</t>
        </is>
      </c>
      <c r="G1278" s="7" t="inlineStr">
        <is>
          <t>Paper</t>
        </is>
      </c>
      <c r="H1278" s="7" t="inlineStr">
        <is>
          <t>Corporate</t>
        </is>
      </c>
      <c r="I1278" s="7" t="n">
        <v>3</v>
      </c>
      <c r="J1278" s="10" t="n">
        <v>26.12</v>
      </c>
      <c r="K1278" s="11" t="n">
        <v>0.2</v>
      </c>
      <c r="L1278" s="10">
        <f>I1278*J1278*(1-K1278)</f>
        <v/>
      </c>
      <c r="M1278" s="10" t="n">
        <v>37.5</v>
      </c>
      <c r="N1278" s="10">
        <f>L1278-M1278</f>
        <v/>
      </c>
    </row>
    <row r="1279">
      <c r="A1279" s="7" t="inlineStr">
        <is>
          <t>ORD-03741</t>
        </is>
      </c>
      <c r="B1279" s="8" t="n">
        <v>45231</v>
      </c>
      <c r="C1279" s="9" t="n">
        <v>45231</v>
      </c>
      <c r="D1279" s="7" t="n">
        <v>2023</v>
      </c>
      <c r="E1279" s="7" t="inlineStr">
        <is>
          <t>East</t>
        </is>
      </c>
      <c r="F1279" s="7" t="inlineStr">
        <is>
          <t>Furniture</t>
        </is>
      </c>
      <c r="G1279" s="7" t="inlineStr">
        <is>
          <t>Sofa</t>
        </is>
      </c>
      <c r="H1279" s="7" t="inlineStr">
        <is>
          <t>Corporate</t>
        </is>
      </c>
      <c r="I1279" s="7" t="n">
        <v>4</v>
      </c>
      <c r="J1279" s="10" t="n">
        <v>713.58</v>
      </c>
      <c r="K1279" s="11" t="n">
        <v>0</v>
      </c>
      <c r="L1279" s="10">
        <f>I1279*J1279*(1-K1279)</f>
        <v/>
      </c>
      <c r="M1279" s="10" t="n">
        <v>2464</v>
      </c>
      <c r="N1279" s="10">
        <f>L1279-M1279</f>
        <v/>
      </c>
    </row>
    <row r="1280">
      <c r="A1280" s="7" t="inlineStr">
        <is>
          <t>ORD-01763</t>
        </is>
      </c>
      <c r="B1280" s="8" t="n">
        <v>45231</v>
      </c>
      <c r="C1280" s="9" t="n">
        <v>45231</v>
      </c>
      <c r="D1280" s="7" t="n">
        <v>2023</v>
      </c>
      <c r="E1280" s="7" t="inlineStr">
        <is>
          <t>West</t>
        </is>
      </c>
      <c r="F1280" s="7" t="inlineStr">
        <is>
          <t>Office Supplies</t>
        </is>
      </c>
      <c r="G1280" s="7" t="inlineStr">
        <is>
          <t>Paper</t>
        </is>
      </c>
      <c r="H1280" s="7" t="inlineStr">
        <is>
          <t>Consumer</t>
        </is>
      </c>
      <c r="I1280" s="7" t="n">
        <v>3</v>
      </c>
      <c r="J1280" s="10" t="n">
        <v>23.82</v>
      </c>
      <c r="K1280" s="11" t="n">
        <v>0.1</v>
      </c>
      <c r="L1280" s="10">
        <f>I1280*J1280*(1-K1280)</f>
        <v/>
      </c>
      <c r="M1280" s="10" t="n">
        <v>37.5</v>
      </c>
      <c r="N1280" s="10">
        <f>L1280-M1280</f>
        <v/>
      </c>
    </row>
    <row r="1281">
      <c r="A1281" s="7" t="inlineStr">
        <is>
          <t>ORD-04275</t>
        </is>
      </c>
      <c r="B1281" s="8" t="n">
        <v>45231</v>
      </c>
      <c r="C1281" s="9" t="n">
        <v>45231</v>
      </c>
      <c r="D1281" s="7" t="n">
        <v>2023</v>
      </c>
      <c r="E1281" s="7" t="inlineStr">
        <is>
          <t>West</t>
        </is>
      </c>
      <c r="F1281" s="7" t="inlineStr">
        <is>
          <t>Technology</t>
        </is>
      </c>
      <c r="G1281" s="7" t="inlineStr">
        <is>
          <t>Keyboard</t>
        </is>
      </c>
      <c r="H1281" s="7" t="inlineStr">
        <is>
          <t>Consumer</t>
        </is>
      </c>
      <c r="I1281" s="7" t="n">
        <v>3</v>
      </c>
      <c r="J1281" s="10" t="n">
        <v>43.75</v>
      </c>
      <c r="K1281" s="11" t="n">
        <v>0</v>
      </c>
      <c r="L1281" s="10">
        <f>I1281*J1281*(1-K1281)</f>
        <v/>
      </c>
      <c r="M1281" s="10" t="n">
        <v>74.25</v>
      </c>
      <c r="N1281" s="10">
        <f>L1281-M1281</f>
        <v/>
      </c>
    </row>
    <row r="1282">
      <c r="A1282" s="7" t="inlineStr">
        <is>
          <t>ORD-01664</t>
        </is>
      </c>
      <c r="B1282" s="8" t="n">
        <v>45231</v>
      </c>
      <c r="C1282" s="9" t="n">
        <v>45231</v>
      </c>
      <c r="D1282" s="7" t="n">
        <v>2023</v>
      </c>
      <c r="E1282" s="7" t="inlineStr">
        <is>
          <t>North</t>
        </is>
      </c>
      <c r="F1282" s="7" t="inlineStr">
        <is>
          <t>Office Supplies</t>
        </is>
      </c>
      <c r="G1282" s="7" t="inlineStr">
        <is>
          <t>Paper</t>
        </is>
      </c>
      <c r="H1282" s="7" t="inlineStr">
        <is>
          <t>Consumer</t>
        </is>
      </c>
      <c r="I1282" s="7" t="n">
        <v>3</v>
      </c>
      <c r="J1282" s="10" t="n">
        <v>25.94</v>
      </c>
      <c r="K1282" s="11" t="n">
        <v>0</v>
      </c>
      <c r="L1282" s="10">
        <f>I1282*J1282*(1-K1282)</f>
        <v/>
      </c>
      <c r="M1282" s="10" t="n">
        <v>37.5</v>
      </c>
      <c r="N1282" s="10">
        <f>L1282-M1282</f>
        <v/>
      </c>
    </row>
    <row r="1283">
      <c r="A1283" s="7" t="inlineStr">
        <is>
          <t>ORD-02498</t>
        </is>
      </c>
      <c r="B1283" s="8" t="n">
        <v>45231</v>
      </c>
      <c r="C1283" s="9" t="n">
        <v>45231</v>
      </c>
      <c r="D1283" s="7" t="n">
        <v>2023</v>
      </c>
      <c r="E1283" s="7" t="inlineStr">
        <is>
          <t>North</t>
        </is>
      </c>
      <c r="F1283" s="7" t="inlineStr">
        <is>
          <t>Office Supplies</t>
        </is>
      </c>
      <c r="G1283" s="7" t="inlineStr">
        <is>
          <t>Pens</t>
        </is>
      </c>
      <c r="H1283" s="7" t="inlineStr">
        <is>
          <t>Consumer</t>
        </is>
      </c>
      <c r="I1283" s="7" t="n">
        <v>2</v>
      </c>
      <c r="J1283" s="10" t="n">
        <v>12.3</v>
      </c>
      <c r="K1283" s="11" t="n">
        <v>0</v>
      </c>
      <c r="L1283" s="10">
        <f>I1283*J1283*(1-K1283)</f>
        <v/>
      </c>
      <c r="M1283" s="10" t="n">
        <v>10.8</v>
      </c>
      <c r="N1283" s="10">
        <f>L1283-M1283</f>
        <v/>
      </c>
    </row>
    <row r="1284">
      <c r="A1284" s="7" t="inlineStr">
        <is>
          <t>ORD-03667</t>
        </is>
      </c>
      <c r="B1284" s="8" t="n">
        <v>45231</v>
      </c>
      <c r="C1284" s="9" t="n">
        <v>45231</v>
      </c>
      <c r="D1284" s="7" t="n">
        <v>2023</v>
      </c>
      <c r="E1284" s="7" t="inlineStr">
        <is>
          <t>North</t>
        </is>
      </c>
      <c r="F1284" s="7" t="inlineStr">
        <is>
          <t>Office Supplies</t>
        </is>
      </c>
      <c r="G1284" s="7" t="inlineStr">
        <is>
          <t>Paper</t>
        </is>
      </c>
      <c r="H1284" s="7" t="inlineStr">
        <is>
          <t>Corporate</t>
        </is>
      </c>
      <c r="I1284" s="7" t="n">
        <v>8</v>
      </c>
      <c r="J1284" s="10" t="n">
        <v>24.66</v>
      </c>
      <c r="K1284" s="11" t="n">
        <v>0</v>
      </c>
      <c r="L1284" s="10">
        <f>I1284*J1284*(1-K1284)</f>
        <v/>
      </c>
      <c r="M1284" s="10" t="n">
        <v>100</v>
      </c>
      <c r="N1284" s="10">
        <f>L1284-M1284</f>
        <v/>
      </c>
    </row>
    <row r="1285">
      <c r="A1285" s="7" t="inlineStr">
        <is>
          <t>ORD-04595</t>
        </is>
      </c>
      <c r="B1285" s="8" t="n">
        <v>45231</v>
      </c>
      <c r="C1285" s="9" t="n">
        <v>45231</v>
      </c>
      <c r="D1285" s="7" t="n">
        <v>2023</v>
      </c>
      <c r="E1285" s="7" t="inlineStr">
        <is>
          <t>South</t>
        </is>
      </c>
      <c r="F1285" s="7" t="inlineStr">
        <is>
          <t>Furniture</t>
        </is>
      </c>
      <c r="G1285" s="7" t="inlineStr">
        <is>
          <t>Bookcase</t>
        </is>
      </c>
      <c r="H1285" s="7" t="inlineStr">
        <is>
          <t>Corporate</t>
        </is>
      </c>
      <c r="I1285" s="7" t="n">
        <v>1</v>
      </c>
      <c r="J1285" s="10" t="n">
        <v>172.32</v>
      </c>
      <c r="K1285" s="11" t="n">
        <v>0.05</v>
      </c>
      <c r="L1285" s="10">
        <f>I1285*J1285*(1-K1285)</f>
        <v/>
      </c>
      <c r="M1285" s="10" t="n">
        <v>144</v>
      </c>
      <c r="N1285" s="10">
        <f>L1285-M1285</f>
        <v/>
      </c>
    </row>
    <row r="1286">
      <c r="A1286" s="7" t="inlineStr">
        <is>
          <t>ORD-01222</t>
        </is>
      </c>
      <c r="B1286" s="8" t="n">
        <v>45232</v>
      </c>
      <c r="C1286" s="9" t="n">
        <v>45231</v>
      </c>
      <c r="D1286" s="7" t="n">
        <v>2023</v>
      </c>
      <c r="E1286" s="7" t="inlineStr">
        <is>
          <t>West</t>
        </is>
      </c>
      <c r="F1286" s="7" t="inlineStr">
        <is>
          <t>Technology</t>
        </is>
      </c>
      <c r="G1286" s="7" t="inlineStr">
        <is>
          <t>Laptop</t>
        </is>
      </c>
      <c r="H1286" s="7" t="inlineStr">
        <is>
          <t>Corporate</t>
        </is>
      </c>
      <c r="I1286" s="7" t="n">
        <v>1</v>
      </c>
      <c r="J1286" s="10" t="n">
        <v>892.79</v>
      </c>
      <c r="K1286" s="11" t="n">
        <v>0</v>
      </c>
      <c r="L1286" s="10">
        <f>I1286*J1286*(1-K1286)</f>
        <v/>
      </c>
      <c r="M1286" s="10" t="n">
        <v>702</v>
      </c>
      <c r="N1286" s="10">
        <f>L1286-M1286</f>
        <v/>
      </c>
    </row>
    <row r="1287">
      <c r="A1287" s="7" t="inlineStr">
        <is>
          <t>ORD-00855</t>
        </is>
      </c>
      <c r="B1287" s="8" t="n">
        <v>45232</v>
      </c>
      <c r="C1287" s="9" t="n">
        <v>45231</v>
      </c>
      <c r="D1287" s="7" t="n">
        <v>2023</v>
      </c>
      <c r="E1287" s="7" t="inlineStr">
        <is>
          <t>West</t>
        </is>
      </c>
      <c r="F1287" s="7" t="inlineStr">
        <is>
          <t>Office Supplies</t>
        </is>
      </c>
      <c r="G1287" s="7" t="inlineStr">
        <is>
          <t>Pens</t>
        </is>
      </c>
      <c r="H1287" s="7" t="inlineStr">
        <is>
          <t>Home Office</t>
        </is>
      </c>
      <c r="I1287" s="7" t="n">
        <v>9</v>
      </c>
      <c r="J1287" s="10" t="n">
        <v>12.27</v>
      </c>
      <c r="K1287" s="11" t="n">
        <v>0.1</v>
      </c>
      <c r="L1287" s="10">
        <f>I1287*J1287*(1-K1287)</f>
        <v/>
      </c>
      <c r="M1287" s="10" t="n">
        <v>48.6</v>
      </c>
      <c r="N1287" s="10">
        <f>L1287-M1287</f>
        <v/>
      </c>
    </row>
    <row r="1288">
      <c r="A1288" s="7" t="inlineStr">
        <is>
          <t>ORD-03661</t>
        </is>
      </c>
      <c r="B1288" s="8" t="n">
        <v>45232</v>
      </c>
      <c r="C1288" s="9" t="n">
        <v>45231</v>
      </c>
      <c r="D1288" s="7" t="n">
        <v>2023</v>
      </c>
      <c r="E1288" s="7" t="inlineStr">
        <is>
          <t>East</t>
        </is>
      </c>
      <c r="F1288" s="7" t="inlineStr">
        <is>
          <t>Office Supplies</t>
        </is>
      </c>
      <c r="G1288" s="7" t="inlineStr">
        <is>
          <t>Paper</t>
        </is>
      </c>
      <c r="H1288" s="7" t="inlineStr">
        <is>
          <t>Home Office</t>
        </is>
      </c>
      <c r="I1288" s="7" t="n">
        <v>2</v>
      </c>
      <c r="J1288" s="10" t="n">
        <v>23.79</v>
      </c>
      <c r="K1288" s="11" t="n">
        <v>0.05</v>
      </c>
      <c r="L1288" s="10">
        <f>I1288*J1288*(1-K1288)</f>
        <v/>
      </c>
      <c r="M1288" s="10" t="n">
        <v>25</v>
      </c>
      <c r="N1288" s="10">
        <f>L1288-M1288</f>
        <v/>
      </c>
    </row>
    <row r="1289">
      <c r="A1289" s="7" t="inlineStr">
        <is>
          <t>ORD-00994</t>
        </is>
      </c>
      <c r="B1289" s="8" t="n">
        <v>45232</v>
      </c>
      <c r="C1289" s="9" t="n">
        <v>45231</v>
      </c>
      <c r="D1289" s="7" t="n">
        <v>2023</v>
      </c>
      <c r="E1289" s="7" t="inlineStr">
        <is>
          <t>East</t>
        </is>
      </c>
      <c r="F1289" s="7" t="inlineStr">
        <is>
          <t>Office Supplies</t>
        </is>
      </c>
      <c r="G1289" s="7" t="inlineStr">
        <is>
          <t>Pens</t>
        </is>
      </c>
      <c r="H1289" s="7" t="inlineStr">
        <is>
          <t>Consumer</t>
        </is>
      </c>
      <c r="I1289" s="7" t="n">
        <v>5</v>
      </c>
      <c r="J1289" s="10" t="n">
        <v>12.25</v>
      </c>
      <c r="K1289" s="11" t="n">
        <v>0.3</v>
      </c>
      <c r="L1289" s="10">
        <f>I1289*J1289*(1-K1289)</f>
        <v/>
      </c>
      <c r="M1289" s="10" t="n">
        <v>27</v>
      </c>
      <c r="N1289" s="10">
        <f>L1289-M1289</f>
        <v/>
      </c>
    </row>
    <row r="1290">
      <c r="A1290" s="7" t="inlineStr">
        <is>
          <t>ORD-01616</t>
        </is>
      </c>
      <c r="B1290" s="8" t="n">
        <v>45233</v>
      </c>
      <c r="C1290" s="9" t="n">
        <v>45231</v>
      </c>
      <c r="D1290" s="7" t="n">
        <v>2023</v>
      </c>
      <c r="E1290" s="7" t="inlineStr">
        <is>
          <t>South</t>
        </is>
      </c>
      <c r="F1290" s="7" t="inlineStr">
        <is>
          <t>Furniture</t>
        </is>
      </c>
      <c r="G1290" s="7" t="inlineStr">
        <is>
          <t>Office Chair</t>
        </is>
      </c>
      <c r="H1290" s="7" t="inlineStr">
        <is>
          <t>Consumer</t>
        </is>
      </c>
      <c r="I1290" s="7" t="n">
        <v>1</v>
      </c>
      <c r="J1290" s="10" t="n">
        <v>230.61</v>
      </c>
      <c r="K1290" s="11" t="n">
        <v>0.3</v>
      </c>
      <c r="L1290" s="10">
        <f>I1290*J1290*(1-K1290)</f>
        <v/>
      </c>
      <c r="M1290" s="10" t="n">
        <v>180.4</v>
      </c>
      <c r="N1290" s="10">
        <f>L1290-M1290</f>
        <v/>
      </c>
    </row>
    <row r="1291">
      <c r="A1291" s="7" t="inlineStr">
        <is>
          <t>ORD-05128</t>
        </is>
      </c>
      <c r="B1291" s="8" t="n">
        <v>45233</v>
      </c>
      <c r="C1291" s="9" t="n">
        <v>45231</v>
      </c>
      <c r="D1291" s="7" t="n">
        <v>2023</v>
      </c>
      <c r="E1291" s="7" t="inlineStr">
        <is>
          <t>West</t>
        </is>
      </c>
      <c r="F1291" s="7" t="inlineStr">
        <is>
          <t>Furniture</t>
        </is>
      </c>
      <c r="G1291" s="7" t="inlineStr">
        <is>
          <t>Sofa</t>
        </is>
      </c>
      <c r="H1291" s="7" t="inlineStr">
        <is>
          <t>Corporate</t>
        </is>
      </c>
      <c r="I1291" s="7" t="n">
        <v>2</v>
      </c>
      <c r="J1291" s="10" t="n">
        <v>699.0700000000001</v>
      </c>
      <c r="K1291" s="11" t="n">
        <v>0.1</v>
      </c>
      <c r="L1291" s="10">
        <f>I1291*J1291*(1-K1291)</f>
        <v/>
      </c>
      <c r="M1291" s="10" t="n">
        <v>1232</v>
      </c>
      <c r="N1291" s="10">
        <f>L1291-M1291</f>
        <v/>
      </c>
    </row>
    <row r="1292">
      <c r="A1292" s="7" t="inlineStr">
        <is>
          <t>ORD-02094</t>
        </is>
      </c>
      <c r="B1292" s="8" t="n">
        <v>45233</v>
      </c>
      <c r="C1292" s="9" t="n">
        <v>45231</v>
      </c>
      <c r="D1292" s="7" t="n">
        <v>2023</v>
      </c>
      <c r="E1292" s="7" t="inlineStr">
        <is>
          <t>North</t>
        </is>
      </c>
      <c r="F1292" s="7" t="inlineStr">
        <is>
          <t>Technology</t>
        </is>
      </c>
      <c r="G1292" s="7" t="inlineStr">
        <is>
          <t>Laptop</t>
        </is>
      </c>
      <c r="H1292" s="7" t="inlineStr">
        <is>
          <t>Corporate</t>
        </is>
      </c>
      <c r="I1292" s="7" t="n">
        <v>1</v>
      </c>
      <c r="J1292" s="10" t="n">
        <v>922.1900000000001</v>
      </c>
      <c r="K1292" s="11" t="n">
        <v>0</v>
      </c>
      <c r="L1292" s="10">
        <f>I1292*J1292*(1-K1292)</f>
        <v/>
      </c>
      <c r="M1292" s="10" t="n">
        <v>702</v>
      </c>
      <c r="N1292" s="10">
        <f>L1292-M1292</f>
        <v/>
      </c>
    </row>
    <row r="1293">
      <c r="A1293" s="7" t="inlineStr">
        <is>
          <t>ORD-00071</t>
        </is>
      </c>
      <c r="B1293" s="8" t="n">
        <v>45234</v>
      </c>
      <c r="C1293" s="9" t="n">
        <v>45231</v>
      </c>
      <c r="D1293" s="7" t="n">
        <v>2023</v>
      </c>
      <c r="E1293" s="7" t="inlineStr">
        <is>
          <t>North</t>
        </is>
      </c>
      <c r="F1293" s="7" t="inlineStr">
        <is>
          <t>Office Supplies</t>
        </is>
      </c>
      <c r="G1293" s="7" t="inlineStr">
        <is>
          <t>Binder</t>
        </is>
      </c>
      <c r="H1293" s="7" t="inlineStr">
        <is>
          <t>Corporate</t>
        </is>
      </c>
      <c r="I1293" s="7" t="n">
        <v>7</v>
      </c>
      <c r="J1293" s="10" t="n">
        <v>7.62</v>
      </c>
      <c r="K1293" s="11" t="n">
        <v>0</v>
      </c>
      <c r="L1293" s="10">
        <f>I1293*J1293*(1-K1293)</f>
        <v/>
      </c>
      <c r="M1293" s="10" t="n">
        <v>22.4</v>
      </c>
      <c r="N1293" s="10">
        <f>L1293-M1293</f>
        <v/>
      </c>
    </row>
    <row r="1294">
      <c r="A1294" s="7" t="inlineStr">
        <is>
          <t>ORD-01235</t>
        </is>
      </c>
      <c r="B1294" s="8" t="n">
        <v>45234</v>
      </c>
      <c r="C1294" s="9" t="n">
        <v>45231</v>
      </c>
      <c r="D1294" s="7" t="n">
        <v>2023</v>
      </c>
      <c r="E1294" s="7" t="inlineStr">
        <is>
          <t>South</t>
        </is>
      </c>
      <c r="F1294" s="7" t="inlineStr">
        <is>
          <t>Office Supplies</t>
        </is>
      </c>
      <c r="G1294" s="7" t="inlineStr">
        <is>
          <t>Stapler</t>
        </is>
      </c>
      <c r="H1294" s="7" t="inlineStr">
        <is>
          <t>Corporate</t>
        </is>
      </c>
      <c r="I1294" s="7" t="n">
        <v>14</v>
      </c>
      <c r="J1294" s="10" t="n">
        <v>14.58</v>
      </c>
      <c r="K1294" s="11" t="n">
        <v>0.2</v>
      </c>
      <c r="L1294" s="10">
        <f>I1294*J1294*(1-K1294)</f>
        <v/>
      </c>
      <c r="M1294" s="10" t="n">
        <v>105</v>
      </c>
      <c r="N1294" s="10">
        <f>L1294-M1294</f>
        <v/>
      </c>
    </row>
    <row r="1295">
      <c r="A1295" s="7" t="inlineStr">
        <is>
          <t>ORD-02520</t>
        </is>
      </c>
      <c r="B1295" s="8" t="n">
        <v>45234</v>
      </c>
      <c r="C1295" s="9" t="n">
        <v>45231</v>
      </c>
      <c r="D1295" s="7" t="n">
        <v>2023</v>
      </c>
      <c r="E1295" s="7" t="inlineStr">
        <is>
          <t>West</t>
        </is>
      </c>
      <c r="F1295" s="7" t="inlineStr">
        <is>
          <t>Office Supplies</t>
        </is>
      </c>
      <c r="G1295" s="7" t="inlineStr">
        <is>
          <t>Binder</t>
        </is>
      </c>
      <c r="H1295" s="7" t="inlineStr">
        <is>
          <t>Corporate</t>
        </is>
      </c>
      <c r="I1295" s="7" t="n">
        <v>6</v>
      </c>
      <c r="J1295" s="10" t="n">
        <v>7.6</v>
      </c>
      <c r="K1295" s="11" t="n">
        <v>0.3</v>
      </c>
      <c r="L1295" s="10">
        <f>I1295*J1295*(1-K1295)</f>
        <v/>
      </c>
      <c r="M1295" s="10" t="n">
        <v>19.2</v>
      </c>
      <c r="N1295" s="10">
        <f>L1295-M1295</f>
        <v/>
      </c>
    </row>
    <row r="1296">
      <c r="A1296" s="7" t="inlineStr">
        <is>
          <t>ORD-01301</t>
        </is>
      </c>
      <c r="B1296" s="8" t="n">
        <v>45234</v>
      </c>
      <c r="C1296" s="9" t="n">
        <v>45231</v>
      </c>
      <c r="D1296" s="7" t="n">
        <v>2023</v>
      </c>
      <c r="E1296" s="7" t="inlineStr">
        <is>
          <t>East</t>
        </is>
      </c>
      <c r="F1296" s="7" t="inlineStr">
        <is>
          <t>Office Supplies</t>
        </is>
      </c>
      <c r="G1296" s="7" t="inlineStr">
        <is>
          <t>Binder</t>
        </is>
      </c>
      <c r="H1296" s="7" t="inlineStr">
        <is>
          <t>Corporate</t>
        </is>
      </c>
      <c r="I1296" s="7" t="n">
        <v>12</v>
      </c>
      <c r="J1296" s="10" t="n">
        <v>7.68</v>
      </c>
      <c r="K1296" s="11" t="n">
        <v>0.05</v>
      </c>
      <c r="L1296" s="10">
        <f>I1296*J1296*(1-K1296)</f>
        <v/>
      </c>
      <c r="M1296" s="10" t="n">
        <v>38.4</v>
      </c>
      <c r="N1296" s="10">
        <f>L1296-M1296</f>
        <v/>
      </c>
    </row>
    <row r="1297">
      <c r="A1297" s="7" t="inlineStr">
        <is>
          <t>ORD-01367</t>
        </is>
      </c>
      <c r="B1297" s="8" t="n">
        <v>45234</v>
      </c>
      <c r="C1297" s="9" t="n">
        <v>45231</v>
      </c>
      <c r="D1297" s="7" t="n">
        <v>2023</v>
      </c>
      <c r="E1297" s="7" t="inlineStr">
        <is>
          <t>West</t>
        </is>
      </c>
      <c r="F1297" s="7" t="inlineStr">
        <is>
          <t>Technology</t>
        </is>
      </c>
      <c r="G1297" s="7" t="inlineStr">
        <is>
          <t>Keyboard</t>
        </is>
      </c>
      <c r="H1297" s="7" t="inlineStr">
        <is>
          <t>Consumer</t>
        </is>
      </c>
      <c r="I1297" s="7" t="n">
        <v>3</v>
      </c>
      <c r="J1297" s="10" t="n">
        <v>46.39</v>
      </c>
      <c r="K1297" s="11" t="n">
        <v>0.1</v>
      </c>
      <c r="L1297" s="10">
        <f>I1297*J1297*(1-K1297)</f>
        <v/>
      </c>
      <c r="M1297" s="10" t="n">
        <v>74.25</v>
      </c>
      <c r="N1297" s="10">
        <f>L1297-M1297</f>
        <v/>
      </c>
    </row>
    <row r="1298">
      <c r="A1298" s="7" t="inlineStr">
        <is>
          <t>ORD-04648</t>
        </is>
      </c>
      <c r="B1298" s="8" t="n">
        <v>45234</v>
      </c>
      <c r="C1298" s="9" t="n">
        <v>45231</v>
      </c>
      <c r="D1298" s="7" t="n">
        <v>2023</v>
      </c>
      <c r="E1298" s="7" t="inlineStr">
        <is>
          <t>South</t>
        </is>
      </c>
      <c r="F1298" s="7" t="inlineStr">
        <is>
          <t>Technology</t>
        </is>
      </c>
      <c r="G1298" s="7" t="inlineStr">
        <is>
          <t>Keyboard</t>
        </is>
      </c>
      <c r="H1298" s="7" t="inlineStr">
        <is>
          <t>Consumer</t>
        </is>
      </c>
      <c r="I1298" s="7" t="n">
        <v>1</v>
      </c>
      <c r="J1298" s="10" t="n">
        <v>46.58</v>
      </c>
      <c r="K1298" s="11" t="n">
        <v>0.2</v>
      </c>
      <c r="L1298" s="10">
        <f>I1298*J1298*(1-K1298)</f>
        <v/>
      </c>
      <c r="M1298" s="10" t="n">
        <v>24.75</v>
      </c>
      <c r="N1298" s="10">
        <f>L1298-M1298</f>
        <v/>
      </c>
    </row>
    <row r="1299">
      <c r="A1299" s="7" t="inlineStr">
        <is>
          <t>ORD-04769</t>
        </is>
      </c>
      <c r="B1299" s="8" t="n">
        <v>45234</v>
      </c>
      <c r="C1299" s="9" t="n">
        <v>45231</v>
      </c>
      <c r="D1299" s="7" t="n">
        <v>2023</v>
      </c>
      <c r="E1299" s="7" t="inlineStr">
        <is>
          <t>South</t>
        </is>
      </c>
      <c r="F1299" s="7" t="inlineStr">
        <is>
          <t>Office Supplies</t>
        </is>
      </c>
      <c r="G1299" s="7" t="inlineStr">
        <is>
          <t>Paper</t>
        </is>
      </c>
      <c r="H1299" s="7" t="inlineStr">
        <is>
          <t>Consumer</t>
        </is>
      </c>
      <c r="I1299" s="7" t="n">
        <v>13</v>
      </c>
      <c r="J1299" s="10" t="n">
        <v>23.83</v>
      </c>
      <c r="K1299" s="11" t="n">
        <v>0.05</v>
      </c>
      <c r="L1299" s="10">
        <f>I1299*J1299*(1-K1299)</f>
        <v/>
      </c>
      <c r="M1299" s="10" t="n">
        <v>162.5</v>
      </c>
      <c r="N1299" s="10">
        <f>L1299-M1299</f>
        <v/>
      </c>
    </row>
    <row r="1300">
      <c r="A1300" s="7" t="inlineStr">
        <is>
          <t>ORD-01231</t>
        </is>
      </c>
      <c r="B1300" s="8" t="n">
        <v>45235</v>
      </c>
      <c r="C1300" s="9" t="n">
        <v>45231</v>
      </c>
      <c r="D1300" s="7" t="n">
        <v>2023</v>
      </c>
      <c r="E1300" s="7" t="inlineStr">
        <is>
          <t>West</t>
        </is>
      </c>
      <c r="F1300" s="7" t="inlineStr">
        <is>
          <t>Office Supplies</t>
        </is>
      </c>
      <c r="G1300" s="7" t="inlineStr">
        <is>
          <t>Binder</t>
        </is>
      </c>
      <c r="H1300" s="7" t="inlineStr">
        <is>
          <t>Consumer</t>
        </is>
      </c>
      <c r="I1300" s="7" t="n">
        <v>9</v>
      </c>
      <c r="J1300" s="10" t="n">
        <v>7.98</v>
      </c>
      <c r="K1300" s="11" t="n">
        <v>0.05</v>
      </c>
      <c r="L1300" s="10">
        <f>I1300*J1300*(1-K1300)</f>
        <v/>
      </c>
      <c r="M1300" s="10" t="n">
        <v>28.8</v>
      </c>
      <c r="N1300" s="10">
        <f>L1300-M1300</f>
        <v/>
      </c>
    </row>
    <row r="1301">
      <c r="A1301" s="7" t="inlineStr">
        <is>
          <t>ORD-03059</t>
        </is>
      </c>
      <c r="B1301" s="8" t="n">
        <v>45235</v>
      </c>
      <c r="C1301" s="9" t="n">
        <v>45231</v>
      </c>
      <c r="D1301" s="7" t="n">
        <v>2023</v>
      </c>
      <c r="E1301" s="7" t="inlineStr">
        <is>
          <t>West</t>
        </is>
      </c>
      <c r="F1301" s="7" t="inlineStr">
        <is>
          <t>Office Supplies</t>
        </is>
      </c>
      <c r="G1301" s="7" t="inlineStr">
        <is>
          <t>Binder</t>
        </is>
      </c>
      <c r="H1301" s="7" t="inlineStr">
        <is>
          <t>Home Office</t>
        </is>
      </c>
      <c r="I1301" s="7" t="n">
        <v>12</v>
      </c>
      <c r="J1301" s="10" t="n">
        <v>8.109999999999999</v>
      </c>
      <c r="K1301" s="11" t="n">
        <v>0</v>
      </c>
      <c r="L1301" s="10">
        <f>I1301*J1301*(1-K1301)</f>
        <v/>
      </c>
      <c r="M1301" s="10" t="n">
        <v>38.4</v>
      </c>
      <c r="N1301" s="10">
        <f>L1301-M1301</f>
        <v/>
      </c>
    </row>
    <row r="1302">
      <c r="A1302" s="7" t="inlineStr">
        <is>
          <t>ORD-04927</t>
        </is>
      </c>
      <c r="B1302" s="8" t="n">
        <v>45235</v>
      </c>
      <c r="C1302" s="9" t="n">
        <v>45231</v>
      </c>
      <c r="D1302" s="7" t="n">
        <v>2023</v>
      </c>
      <c r="E1302" s="7" t="inlineStr">
        <is>
          <t>East</t>
        </is>
      </c>
      <c r="F1302" s="7" t="inlineStr">
        <is>
          <t>Technology</t>
        </is>
      </c>
      <c r="G1302" s="7" t="inlineStr">
        <is>
          <t>Smartphone</t>
        </is>
      </c>
      <c r="H1302" s="7" t="inlineStr">
        <is>
          <t>Home Office</t>
        </is>
      </c>
      <c r="I1302" s="7" t="n">
        <v>3</v>
      </c>
      <c r="J1302" s="10" t="n">
        <v>589.54</v>
      </c>
      <c r="K1302" s="11" t="n">
        <v>0.05</v>
      </c>
      <c r="L1302" s="10">
        <f>I1302*J1302*(1-K1302)</f>
        <v/>
      </c>
      <c r="M1302" s="10" t="n">
        <v>1350</v>
      </c>
      <c r="N1302" s="10">
        <f>L1302-M1302</f>
        <v/>
      </c>
    </row>
    <row r="1303">
      <c r="A1303" s="7" t="inlineStr">
        <is>
          <t>ORD-01980</t>
        </is>
      </c>
      <c r="B1303" s="8" t="n">
        <v>45235</v>
      </c>
      <c r="C1303" s="9" t="n">
        <v>45231</v>
      </c>
      <c r="D1303" s="7" t="n">
        <v>2023</v>
      </c>
      <c r="E1303" s="7" t="inlineStr">
        <is>
          <t>East</t>
        </is>
      </c>
      <c r="F1303" s="7" t="inlineStr">
        <is>
          <t>Furniture</t>
        </is>
      </c>
      <c r="G1303" s="7" t="inlineStr">
        <is>
          <t>Desk</t>
        </is>
      </c>
      <c r="H1303" s="7" t="inlineStr">
        <is>
          <t>Home Office</t>
        </is>
      </c>
      <c r="I1303" s="7" t="n">
        <v>1</v>
      </c>
      <c r="J1303" s="10" t="n">
        <v>453.07</v>
      </c>
      <c r="K1303" s="11" t="n">
        <v>0</v>
      </c>
      <c r="L1303" s="10">
        <f>I1303*J1303*(1-K1303)</f>
        <v/>
      </c>
      <c r="M1303" s="10" t="n">
        <v>382.5</v>
      </c>
      <c r="N1303" s="10">
        <f>L1303-M1303</f>
        <v/>
      </c>
    </row>
    <row r="1304">
      <c r="A1304" s="7" t="inlineStr">
        <is>
          <t>ORD-01738</t>
        </is>
      </c>
      <c r="B1304" s="8" t="n">
        <v>45235</v>
      </c>
      <c r="C1304" s="9" t="n">
        <v>45231</v>
      </c>
      <c r="D1304" s="7" t="n">
        <v>2023</v>
      </c>
      <c r="E1304" s="7" t="inlineStr">
        <is>
          <t>East</t>
        </is>
      </c>
      <c r="F1304" s="7" t="inlineStr">
        <is>
          <t>Office Supplies</t>
        </is>
      </c>
      <c r="G1304" s="7" t="inlineStr">
        <is>
          <t>Stapler</t>
        </is>
      </c>
      <c r="H1304" s="7" t="inlineStr">
        <is>
          <t>Consumer</t>
        </is>
      </c>
      <c r="I1304" s="7" t="n">
        <v>5</v>
      </c>
      <c r="J1304" s="10" t="n">
        <v>15.22</v>
      </c>
      <c r="K1304" s="11" t="n">
        <v>0.05</v>
      </c>
      <c r="L1304" s="10">
        <f>I1304*J1304*(1-K1304)</f>
        <v/>
      </c>
      <c r="M1304" s="10" t="n">
        <v>37.5</v>
      </c>
      <c r="N1304" s="10">
        <f>L1304-M1304</f>
        <v/>
      </c>
    </row>
    <row r="1305">
      <c r="A1305" s="7" t="inlineStr">
        <is>
          <t>ORD-01509</t>
        </is>
      </c>
      <c r="B1305" s="8" t="n">
        <v>45235</v>
      </c>
      <c r="C1305" s="9" t="n">
        <v>45231</v>
      </c>
      <c r="D1305" s="7" t="n">
        <v>2023</v>
      </c>
      <c r="E1305" s="7" t="inlineStr">
        <is>
          <t>South</t>
        </is>
      </c>
      <c r="F1305" s="7" t="inlineStr">
        <is>
          <t>Technology</t>
        </is>
      </c>
      <c r="G1305" s="7" t="inlineStr">
        <is>
          <t>Headphones</t>
        </is>
      </c>
      <c r="H1305" s="7" t="inlineStr">
        <is>
          <t>Consumer</t>
        </is>
      </c>
      <c r="I1305" s="7" t="n">
        <v>2</v>
      </c>
      <c r="J1305" s="10" t="n">
        <v>115.21</v>
      </c>
      <c r="K1305" s="11" t="n">
        <v>0.3</v>
      </c>
      <c r="L1305" s="10">
        <f>I1305*J1305*(1-K1305)</f>
        <v/>
      </c>
      <c r="M1305" s="10" t="n">
        <v>144</v>
      </c>
      <c r="N1305" s="10">
        <f>L1305-M1305</f>
        <v/>
      </c>
    </row>
    <row r="1306">
      <c r="A1306" s="7" t="inlineStr">
        <is>
          <t>ORD-04621</t>
        </is>
      </c>
      <c r="B1306" s="8" t="n">
        <v>45235</v>
      </c>
      <c r="C1306" s="9" t="n">
        <v>45231</v>
      </c>
      <c r="D1306" s="7" t="n">
        <v>2023</v>
      </c>
      <c r="E1306" s="7" t="inlineStr">
        <is>
          <t>East</t>
        </is>
      </c>
      <c r="F1306" s="7" t="inlineStr">
        <is>
          <t>Office Supplies</t>
        </is>
      </c>
      <c r="G1306" s="7" t="inlineStr">
        <is>
          <t>Paper</t>
        </is>
      </c>
      <c r="H1306" s="7" t="inlineStr">
        <is>
          <t>Corporate</t>
        </is>
      </c>
      <c r="I1306" s="7" t="n">
        <v>15</v>
      </c>
      <c r="J1306" s="10" t="n">
        <v>26.08</v>
      </c>
      <c r="K1306" s="11" t="n">
        <v>0</v>
      </c>
      <c r="L1306" s="10">
        <f>I1306*J1306*(1-K1306)</f>
        <v/>
      </c>
      <c r="M1306" s="10" t="n">
        <v>187.5</v>
      </c>
      <c r="N1306" s="10">
        <f>L1306-M1306</f>
        <v/>
      </c>
    </row>
    <row r="1307">
      <c r="A1307" s="7" t="inlineStr">
        <is>
          <t>ORD-04910</t>
        </is>
      </c>
      <c r="B1307" s="8" t="n">
        <v>45236</v>
      </c>
      <c r="C1307" s="9" t="n">
        <v>45231</v>
      </c>
      <c r="D1307" s="7" t="n">
        <v>2023</v>
      </c>
      <c r="E1307" s="7" t="inlineStr">
        <is>
          <t>North</t>
        </is>
      </c>
      <c r="F1307" s="7" t="inlineStr">
        <is>
          <t>Furniture</t>
        </is>
      </c>
      <c r="G1307" s="7" t="inlineStr">
        <is>
          <t>Bookcase</t>
        </is>
      </c>
      <c r="H1307" s="7" t="inlineStr">
        <is>
          <t>Corporate</t>
        </is>
      </c>
      <c r="I1307" s="7" t="n">
        <v>2</v>
      </c>
      <c r="J1307" s="10" t="n">
        <v>171.81</v>
      </c>
      <c r="K1307" s="11" t="n">
        <v>0.05</v>
      </c>
      <c r="L1307" s="10">
        <f>I1307*J1307*(1-K1307)</f>
        <v/>
      </c>
      <c r="M1307" s="10" t="n">
        <v>288</v>
      </c>
      <c r="N1307" s="10">
        <f>L1307-M1307</f>
        <v/>
      </c>
    </row>
    <row r="1308">
      <c r="A1308" s="7" t="inlineStr">
        <is>
          <t>ORD-02785</t>
        </is>
      </c>
      <c r="B1308" s="8" t="n">
        <v>45236</v>
      </c>
      <c r="C1308" s="9" t="n">
        <v>45231</v>
      </c>
      <c r="D1308" s="7" t="n">
        <v>2023</v>
      </c>
      <c r="E1308" s="7" t="inlineStr">
        <is>
          <t>South</t>
        </is>
      </c>
      <c r="F1308" s="7" t="inlineStr">
        <is>
          <t>Office Supplies</t>
        </is>
      </c>
      <c r="G1308" s="7" t="inlineStr">
        <is>
          <t>Binder</t>
        </is>
      </c>
      <c r="H1308" s="7" t="inlineStr">
        <is>
          <t>Consumer</t>
        </is>
      </c>
      <c r="I1308" s="7" t="n">
        <v>15</v>
      </c>
      <c r="J1308" s="10" t="n">
        <v>8.33</v>
      </c>
      <c r="K1308" s="11" t="n">
        <v>0.2</v>
      </c>
      <c r="L1308" s="10">
        <f>I1308*J1308*(1-K1308)</f>
        <v/>
      </c>
      <c r="M1308" s="10" t="n">
        <v>48</v>
      </c>
      <c r="N1308" s="10">
        <f>L1308-M1308</f>
        <v/>
      </c>
    </row>
    <row r="1309">
      <c r="A1309" s="7" t="inlineStr">
        <is>
          <t>ORD-01793</t>
        </is>
      </c>
      <c r="B1309" s="8" t="n">
        <v>45236</v>
      </c>
      <c r="C1309" s="9" t="n">
        <v>45231</v>
      </c>
      <c r="D1309" s="7" t="n">
        <v>2023</v>
      </c>
      <c r="E1309" s="7" t="inlineStr">
        <is>
          <t>West</t>
        </is>
      </c>
      <c r="F1309" s="7" t="inlineStr">
        <is>
          <t>Office Supplies</t>
        </is>
      </c>
      <c r="G1309" s="7" t="inlineStr">
        <is>
          <t>Stapler</t>
        </is>
      </c>
      <c r="H1309" s="7" t="inlineStr">
        <is>
          <t>Consumer</t>
        </is>
      </c>
      <c r="I1309" s="7" t="n">
        <v>10</v>
      </c>
      <c r="J1309" s="10" t="n">
        <v>15.67</v>
      </c>
      <c r="K1309" s="11" t="n">
        <v>0.05</v>
      </c>
      <c r="L1309" s="10">
        <f>I1309*J1309*(1-K1309)</f>
        <v/>
      </c>
      <c r="M1309" s="10" t="n">
        <v>75</v>
      </c>
      <c r="N1309" s="10">
        <f>L1309-M1309</f>
        <v/>
      </c>
    </row>
    <row r="1310">
      <c r="A1310" s="7" t="inlineStr">
        <is>
          <t>ORD-05154</t>
        </is>
      </c>
      <c r="B1310" s="8" t="n">
        <v>45236</v>
      </c>
      <c r="C1310" s="9" t="n">
        <v>45231</v>
      </c>
      <c r="D1310" s="7" t="n">
        <v>2023</v>
      </c>
      <c r="E1310" s="7" t="inlineStr">
        <is>
          <t>South</t>
        </is>
      </c>
      <c r="F1310" s="7" t="inlineStr">
        <is>
          <t>Office Supplies</t>
        </is>
      </c>
      <c r="G1310" s="7" t="inlineStr">
        <is>
          <t>Printer Ink</t>
        </is>
      </c>
      <c r="H1310" s="7" t="inlineStr">
        <is>
          <t>Consumer</t>
        </is>
      </c>
      <c r="I1310" s="7" t="n">
        <v>8</v>
      </c>
      <c r="J1310" s="10" t="n">
        <v>62.06</v>
      </c>
      <c r="K1310" s="11" t="n">
        <v>0</v>
      </c>
      <c r="L1310" s="10">
        <f>I1310*J1310*(1-K1310)</f>
        <v/>
      </c>
      <c r="M1310" s="10" t="n">
        <v>288</v>
      </c>
      <c r="N1310" s="10">
        <f>L1310-M1310</f>
        <v/>
      </c>
    </row>
    <row r="1311">
      <c r="A1311" s="7" t="inlineStr">
        <is>
          <t>ORD-02876</t>
        </is>
      </c>
      <c r="B1311" s="8" t="n">
        <v>45236</v>
      </c>
      <c r="C1311" s="9" t="n">
        <v>45231</v>
      </c>
      <c r="D1311" s="7" t="n">
        <v>2023</v>
      </c>
      <c r="E1311" s="7" t="inlineStr">
        <is>
          <t>West</t>
        </is>
      </c>
      <c r="F1311" s="7" t="inlineStr">
        <is>
          <t>Furniture</t>
        </is>
      </c>
      <c r="G1311" s="7" t="inlineStr">
        <is>
          <t>Bookcase</t>
        </is>
      </c>
      <c r="H1311" s="7" t="inlineStr">
        <is>
          <t>Corporate</t>
        </is>
      </c>
      <c r="I1311" s="7" t="n">
        <v>2</v>
      </c>
      <c r="J1311" s="10" t="n">
        <v>179.41</v>
      </c>
      <c r="K1311" s="11" t="n">
        <v>0.2</v>
      </c>
      <c r="L1311" s="10">
        <f>I1311*J1311*(1-K1311)</f>
        <v/>
      </c>
      <c r="M1311" s="10" t="n">
        <v>288</v>
      </c>
      <c r="N1311" s="10">
        <f>L1311-M1311</f>
        <v/>
      </c>
    </row>
    <row r="1312">
      <c r="A1312" s="7" t="inlineStr">
        <is>
          <t>ORD-00791</t>
        </is>
      </c>
      <c r="B1312" s="8" t="n">
        <v>45236</v>
      </c>
      <c r="C1312" s="9" t="n">
        <v>45231</v>
      </c>
      <c r="D1312" s="7" t="n">
        <v>2023</v>
      </c>
      <c r="E1312" s="7" t="inlineStr">
        <is>
          <t>East</t>
        </is>
      </c>
      <c r="F1312" s="7" t="inlineStr">
        <is>
          <t>Office Supplies</t>
        </is>
      </c>
      <c r="G1312" s="7" t="inlineStr">
        <is>
          <t>Paper</t>
        </is>
      </c>
      <c r="H1312" s="7" t="inlineStr">
        <is>
          <t>Corporate</t>
        </is>
      </c>
      <c r="I1312" s="7" t="n">
        <v>6</v>
      </c>
      <c r="J1312" s="10" t="n">
        <v>24.47</v>
      </c>
      <c r="K1312" s="11" t="n">
        <v>0.3</v>
      </c>
      <c r="L1312" s="10">
        <f>I1312*J1312*(1-K1312)</f>
        <v/>
      </c>
      <c r="M1312" s="10" t="n">
        <v>75</v>
      </c>
      <c r="N1312" s="10">
        <f>L1312-M1312</f>
        <v/>
      </c>
    </row>
    <row r="1313">
      <c r="A1313" s="7" t="inlineStr">
        <is>
          <t>ORD-04288</t>
        </is>
      </c>
      <c r="B1313" s="8" t="n">
        <v>45236</v>
      </c>
      <c r="C1313" s="9" t="n">
        <v>45231</v>
      </c>
      <c r="D1313" s="7" t="n">
        <v>2023</v>
      </c>
      <c r="E1313" s="7" t="inlineStr">
        <is>
          <t>North</t>
        </is>
      </c>
      <c r="F1313" s="7" t="inlineStr">
        <is>
          <t>Technology</t>
        </is>
      </c>
      <c r="G1313" s="7" t="inlineStr">
        <is>
          <t>Laptop</t>
        </is>
      </c>
      <c r="H1313" s="7" t="inlineStr">
        <is>
          <t>Corporate</t>
        </is>
      </c>
      <c r="I1313" s="7" t="n">
        <v>2</v>
      </c>
      <c r="J1313" s="10" t="n">
        <v>938.41</v>
      </c>
      <c r="K1313" s="11" t="n">
        <v>0</v>
      </c>
      <c r="L1313" s="10">
        <f>I1313*J1313*(1-K1313)</f>
        <v/>
      </c>
      <c r="M1313" s="10" t="n">
        <v>1404</v>
      </c>
      <c r="N1313" s="10">
        <f>L1313-M1313</f>
        <v/>
      </c>
    </row>
    <row r="1314">
      <c r="A1314" s="7" t="inlineStr">
        <is>
          <t>ORD-02278</t>
        </is>
      </c>
      <c r="B1314" s="8" t="n">
        <v>45236</v>
      </c>
      <c r="C1314" s="9" t="n">
        <v>45231</v>
      </c>
      <c r="D1314" s="7" t="n">
        <v>2023</v>
      </c>
      <c r="E1314" s="7" t="inlineStr">
        <is>
          <t>South</t>
        </is>
      </c>
      <c r="F1314" s="7" t="inlineStr">
        <is>
          <t>Technology</t>
        </is>
      </c>
      <c r="G1314" s="7" t="inlineStr">
        <is>
          <t>Headphones</t>
        </is>
      </c>
      <c r="H1314" s="7" t="inlineStr">
        <is>
          <t>Consumer</t>
        </is>
      </c>
      <c r="I1314" s="7" t="n">
        <v>3</v>
      </c>
      <c r="J1314" s="10" t="n">
        <v>117.45</v>
      </c>
      <c r="K1314" s="11" t="n">
        <v>0</v>
      </c>
      <c r="L1314" s="10">
        <f>I1314*J1314*(1-K1314)</f>
        <v/>
      </c>
      <c r="M1314" s="10" t="n">
        <v>216</v>
      </c>
      <c r="N1314" s="10">
        <f>L1314-M1314</f>
        <v/>
      </c>
    </row>
    <row r="1315">
      <c r="A1315" s="7" t="inlineStr">
        <is>
          <t>ORD-01835</t>
        </is>
      </c>
      <c r="B1315" s="8" t="n">
        <v>45236</v>
      </c>
      <c r="C1315" s="9" t="n">
        <v>45231</v>
      </c>
      <c r="D1315" s="7" t="n">
        <v>2023</v>
      </c>
      <c r="E1315" s="7" t="inlineStr">
        <is>
          <t>South</t>
        </is>
      </c>
      <c r="F1315" s="7" t="inlineStr">
        <is>
          <t>Office Supplies</t>
        </is>
      </c>
      <c r="G1315" s="7" t="inlineStr">
        <is>
          <t>Pens</t>
        </is>
      </c>
      <c r="H1315" s="7" t="inlineStr">
        <is>
          <t>Corporate</t>
        </is>
      </c>
      <c r="I1315" s="7" t="n">
        <v>12</v>
      </c>
      <c r="J1315" s="10" t="n">
        <v>12.45</v>
      </c>
      <c r="K1315" s="11" t="n">
        <v>0.3</v>
      </c>
      <c r="L1315" s="10">
        <f>I1315*J1315*(1-K1315)</f>
        <v/>
      </c>
      <c r="M1315" s="10" t="n">
        <v>64.8</v>
      </c>
      <c r="N1315" s="10">
        <f>L1315-M1315</f>
        <v/>
      </c>
    </row>
    <row r="1316">
      <c r="A1316" s="7" t="inlineStr">
        <is>
          <t>ORD-05379</t>
        </is>
      </c>
      <c r="B1316" s="8" t="n">
        <v>45236</v>
      </c>
      <c r="C1316" s="9" t="n">
        <v>45231</v>
      </c>
      <c r="D1316" s="7" t="n">
        <v>2023</v>
      </c>
      <c r="E1316" s="7" t="inlineStr">
        <is>
          <t>East</t>
        </is>
      </c>
      <c r="F1316" s="7" t="inlineStr">
        <is>
          <t>Furniture</t>
        </is>
      </c>
      <c r="G1316" s="7" t="inlineStr">
        <is>
          <t>Office Chair</t>
        </is>
      </c>
      <c r="H1316" s="7" t="inlineStr">
        <is>
          <t>Corporate</t>
        </is>
      </c>
      <c r="I1316" s="7" t="n">
        <v>3</v>
      </c>
      <c r="J1316" s="10" t="n">
        <v>211.74</v>
      </c>
      <c r="K1316" s="11" t="n">
        <v>0</v>
      </c>
      <c r="L1316" s="10">
        <f>I1316*J1316*(1-K1316)</f>
        <v/>
      </c>
      <c r="M1316" s="10" t="n">
        <v>541.2</v>
      </c>
      <c r="N1316" s="10">
        <f>L1316-M1316</f>
        <v/>
      </c>
    </row>
    <row r="1317">
      <c r="A1317" s="7" t="inlineStr">
        <is>
          <t>ORD-03638</t>
        </is>
      </c>
      <c r="B1317" s="8" t="n">
        <v>45236</v>
      </c>
      <c r="C1317" s="9" t="n">
        <v>45231</v>
      </c>
      <c r="D1317" s="7" t="n">
        <v>2023</v>
      </c>
      <c r="E1317" s="7" t="inlineStr">
        <is>
          <t>South</t>
        </is>
      </c>
      <c r="F1317" s="7" t="inlineStr">
        <is>
          <t>Office Supplies</t>
        </is>
      </c>
      <c r="G1317" s="7" t="inlineStr">
        <is>
          <t>Pens</t>
        </is>
      </c>
      <c r="H1317" s="7" t="inlineStr">
        <is>
          <t>Consumer</t>
        </is>
      </c>
      <c r="I1317" s="7" t="n">
        <v>3</v>
      </c>
      <c r="J1317" s="10" t="n">
        <v>12.5</v>
      </c>
      <c r="K1317" s="11" t="n">
        <v>0</v>
      </c>
      <c r="L1317" s="10">
        <f>I1317*J1317*(1-K1317)</f>
        <v/>
      </c>
      <c r="M1317" s="10" t="n">
        <v>16.2</v>
      </c>
      <c r="N1317" s="10">
        <f>L1317-M1317</f>
        <v/>
      </c>
    </row>
    <row r="1318">
      <c r="A1318" s="7" t="inlineStr">
        <is>
          <t>ORD-04225</t>
        </is>
      </c>
      <c r="B1318" s="8" t="n">
        <v>45237</v>
      </c>
      <c r="C1318" s="9" t="n">
        <v>45231</v>
      </c>
      <c r="D1318" s="7" t="n">
        <v>2023</v>
      </c>
      <c r="E1318" s="7" t="inlineStr">
        <is>
          <t>South</t>
        </is>
      </c>
      <c r="F1318" s="7" t="inlineStr">
        <is>
          <t>Furniture</t>
        </is>
      </c>
      <c r="G1318" s="7" t="inlineStr">
        <is>
          <t>Office Chair</t>
        </is>
      </c>
      <c r="H1318" s="7" t="inlineStr">
        <is>
          <t>Consumer</t>
        </is>
      </c>
      <c r="I1318" s="7" t="n">
        <v>3</v>
      </c>
      <c r="J1318" s="10" t="n">
        <v>228.61</v>
      </c>
      <c r="K1318" s="11" t="n">
        <v>0.05</v>
      </c>
      <c r="L1318" s="10">
        <f>I1318*J1318*(1-K1318)</f>
        <v/>
      </c>
      <c r="M1318" s="10" t="n">
        <v>541.2</v>
      </c>
      <c r="N1318" s="10">
        <f>L1318-M1318</f>
        <v/>
      </c>
    </row>
    <row r="1319">
      <c r="A1319" s="7" t="inlineStr">
        <is>
          <t>ORD-04608</t>
        </is>
      </c>
      <c r="B1319" s="8" t="n">
        <v>45237</v>
      </c>
      <c r="C1319" s="9" t="n">
        <v>45231</v>
      </c>
      <c r="D1319" s="7" t="n">
        <v>2023</v>
      </c>
      <c r="E1319" s="7" t="inlineStr">
        <is>
          <t>North</t>
        </is>
      </c>
      <c r="F1319" s="7" t="inlineStr">
        <is>
          <t>Office Supplies</t>
        </is>
      </c>
      <c r="G1319" s="7" t="inlineStr">
        <is>
          <t>Printer Ink</t>
        </is>
      </c>
      <c r="H1319" s="7" t="inlineStr">
        <is>
          <t>Consumer</t>
        </is>
      </c>
      <c r="I1319" s="7" t="n">
        <v>10</v>
      </c>
      <c r="J1319" s="10" t="n">
        <v>61.06</v>
      </c>
      <c r="K1319" s="11" t="n">
        <v>0</v>
      </c>
      <c r="L1319" s="10">
        <f>I1319*J1319*(1-K1319)</f>
        <v/>
      </c>
      <c r="M1319" s="10" t="n">
        <v>360</v>
      </c>
      <c r="N1319" s="10">
        <f>L1319-M1319</f>
        <v/>
      </c>
    </row>
    <row r="1320">
      <c r="A1320" s="7" t="inlineStr">
        <is>
          <t>ORD-00482</t>
        </is>
      </c>
      <c r="B1320" s="8" t="n">
        <v>45237</v>
      </c>
      <c r="C1320" s="9" t="n">
        <v>45231</v>
      </c>
      <c r="D1320" s="7" t="n">
        <v>2023</v>
      </c>
      <c r="E1320" s="7" t="inlineStr">
        <is>
          <t>East</t>
        </is>
      </c>
      <c r="F1320" s="7" t="inlineStr">
        <is>
          <t>Furniture</t>
        </is>
      </c>
      <c r="G1320" s="7" t="inlineStr">
        <is>
          <t>Bookcase</t>
        </is>
      </c>
      <c r="H1320" s="7" t="inlineStr">
        <is>
          <t>Corporate</t>
        </is>
      </c>
      <c r="I1320" s="7" t="n">
        <v>4</v>
      </c>
      <c r="J1320" s="10" t="n">
        <v>188.69</v>
      </c>
      <c r="K1320" s="11" t="n">
        <v>0.2</v>
      </c>
      <c r="L1320" s="10">
        <f>I1320*J1320*(1-K1320)</f>
        <v/>
      </c>
      <c r="M1320" s="10" t="n">
        <v>576</v>
      </c>
      <c r="N1320" s="10">
        <f>L1320-M1320</f>
        <v/>
      </c>
    </row>
    <row r="1321">
      <c r="A1321" s="7" t="inlineStr">
        <is>
          <t>ORD-03921</t>
        </is>
      </c>
      <c r="B1321" s="8" t="n">
        <v>45237</v>
      </c>
      <c r="C1321" s="9" t="n">
        <v>45231</v>
      </c>
      <c r="D1321" s="7" t="n">
        <v>2023</v>
      </c>
      <c r="E1321" s="7" t="inlineStr">
        <is>
          <t>West</t>
        </is>
      </c>
      <c r="F1321" s="7" t="inlineStr">
        <is>
          <t>Technology</t>
        </is>
      </c>
      <c r="G1321" s="7" t="inlineStr">
        <is>
          <t>Keyboard</t>
        </is>
      </c>
      <c r="H1321" s="7" t="inlineStr">
        <is>
          <t>Consumer</t>
        </is>
      </c>
      <c r="I1321" s="7" t="n">
        <v>2</v>
      </c>
      <c r="J1321" s="10" t="n">
        <v>42.93</v>
      </c>
      <c r="K1321" s="11" t="n">
        <v>0</v>
      </c>
      <c r="L1321" s="10">
        <f>I1321*J1321*(1-K1321)</f>
        <v/>
      </c>
      <c r="M1321" s="10" t="n">
        <v>49.5</v>
      </c>
      <c r="N1321" s="10">
        <f>L1321-M1321</f>
        <v/>
      </c>
    </row>
    <row r="1322">
      <c r="A1322" s="7" t="inlineStr">
        <is>
          <t>ORD-05001</t>
        </is>
      </c>
      <c r="B1322" s="8" t="n">
        <v>45237</v>
      </c>
      <c r="C1322" s="9" t="n">
        <v>45231</v>
      </c>
      <c r="D1322" s="7" t="n">
        <v>2023</v>
      </c>
      <c r="E1322" s="7" t="inlineStr">
        <is>
          <t>South</t>
        </is>
      </c>
      <c r="F1322" s="7" t="inlineStr">
        <is>
          <t>Office Supplies</t>
        </is>
      </c>
      <c r="G1322" s="7" t="inlineStr">
        <is>
          <t>Printer Ink</t>
        </is>
      </c>
      <c r="H1322" s="7" t="inlineStr">
        <is>
          <t>Corporate</t>
        </is>
      </c>
      <c r="I1322" s="7" t="n">
        <v>12</v>
      </c>
      <c r="J1322" s="10" t="n">
        <v>59.6</v>
      </c>
      <c r="K1322" s="11" t="n">
        <v>0</v>
      </c>
      <c r="L1322" s="10">
        <f>I1322*J1322*(1-K1322)</f>
        <v/>
      </c>
      <c r="M1322" s="10" t="n">
        <v>432</v>
      </c>
      <c r="N1322" s="10">
        <f>L1322-M1322</f>
        <v/>
      </c>
    </row>
    <row r="1323">
      <c r="A1323" s="7" t="inlineStr">
        <is>
          <t>ORD-05848</t>
        </is>
      </c>
      <c r="B1323" s="8" t="n">
        <v>45238</v>
      </c>
      <c r="C1323" s="9" t="n">
        <v>45231</v>
      </c>
      <c r="D1323" s="7" t="n">
        <v>2023</v>
      </c>
      <c r="E1323" s="7" t="inlineStr">
        <is>
          <t>East</t>
        </is>
      </c>
      <c r="F1323" s="7" t="inlineStr">
        <is>
          <t>Technology</t>
        </is>
      </c>
      <c r="G1323" s="7" t="inlineStr">
        <is>
          <t>Laptop</t>
        </is>
      </c>
      <c r="H1323" s="7" t="inlineStr">
        <is>
          <t>Consumer</t>
        </is>
      </c>
      <c r="I1323" s="7" t="n">
        <v>3</v>
      </c>
      <c r="J1323" s="10" t="n">
        <v>891.02</v>
      </c>
      <c r="K1323" s="11" t="n">
        <v>0</v>
      </c>
      <c r="L1323" s="10">
        <f>I1323*J1323*(1-K1323)</f>
        <v/>
      </c>
      <c r="M1323" s="10" t="n">
        <v>2106</v>
      </c>
      <c r="N1323" s="10">
        <f>L1323-M1323</f>
        <v/>
      </c>
    </row>
    <row r="1324">
      <c r="A1324" s="7" t="inlineStr">
        <is>
          <t>ORD-04095</t>
        </is>
      </c>
      <c r="B1324" s="8" t="n">
        <v>45238</v>
      </c>
      <c r="C1324" s="9" t="n">
        <v>45231</v>
      </c>
      <c r="D1324" s="7" t="n">
        <v>2023</v>
      </c>
      <c r="E1324" s="7" t="inlineStr">
        <is>
          <t>North</t>
        </is>
      </c>
      <c r="F1324" s="7" t="inlineStr">
        <is>
          <t>Office Supplies</t>
        </is>
      </c>
      <c r="G1324" s="7" t="inlineStr">
        <is>
          <t>Pens</t>
        </is>
      </c>
      <c r="H1324" s="7" t="inlineStr">
        <is>
          <t>Home Office</t>
        </is>
      </c>
      <c r="I1324" s="7" t="n">
        <v>13</v>
      </c>
      <c r="J1324" s="10" t="n">
        <v>11.59</v>
      </c>
      <c r="K1324" s="11" t="n">
        <v>0.2</v>
      </c>
      <c r="L1324" s="10">
        <f>I1324*J1324*(1-K1324)</f>
        <v/>
      </c>
      <c r="M1324" s="10" t="n">
        <v>70.2</v>
      </c>
      <c r="N1324" s="10">
        <f>L1324-M1324</f>
        <v/>
      </c>
    </row>
    <row r="1325">
      <c r="A1325" s="7" t="inlineStr">
        <is>
          <t>ORD-01097</t>
        </is>
      </c>
      <c r="B1325" s="8" t="n">
        <v>45238</v>
      </c>
      <c r="C1325" s="9" t="n">
        <v>45231</v>
      </c>
      <c r="D1325" s="7" t="n">
        <v>2023</v>
      </c>
      <c r="E1325" s="7" t="inlineStr">
        <is>
          <t>East</t>
        </is>
      </c>
      <c r="F1325" s="7" t="inlineStr">
        <is>
          <t>Office Supplies</t>
        </is>
      </c>
      <c r="G1325" s="7" t="inlineStr">
        <is>
          <t>Paper</t>
        </is>
      </c>
      <c r="H1325" s="7" t="inlineStr">
        <is>
          <t>Consumer</t>
        </is>
      </c>
      <c r="I1325" s="7" t="n">
        <v>7</v>
      </c>
      <c r="J1325" s="10" t="n">
        <v>24.38</v>
      </c>
      <c r="K1325" s="11" t="n">
        <v>0.05</v>
      </c>
      <c r="L1325" s="10">
        <f>I1325*J1325*(1-K1325)</f>
        <v/>
      </c>
      <c r="M1325" s="10" t="n">
        <v>87.5</v>
      </c>
      <c r="N1325" s="10">
        <f>L1325-M1325</f>
        <v/>
      </c>
    </row>
    <row r="1326">
      <c r="A1326" s="7" t="inlineStr">
        <is>
          <t>ORD-01437</t>
        </is>
      </c>
      <c r="B1326" s="8" t="n">
        <v>45238</v>
      </c>
      <c r="C1326" s="9" t="n">
        <v>45231</v>
      </c>
      <c r="D1326" s="7" t="n">
        <v>2023</v>
      </c>
      <c r="E1326" s="7" t="inlineStr">
        <is>
          <t>West</t>
        </is>
      </c>
      <c r="F1326" s="7" t="inlineStr">
        <is>
          <t>Office Supplies</t>
        </is>
      </c>
      <c r="G1326" s="7" t="inlineStr">
        <is>
          <t>Binder</t>
        </is>
      </c>
      <c r="H1326" s="7" t="inlineStr">
        <is>
          <t>Consumer</t>
        </is>
      </c>
      <c r="I1326" s="7" t="n">
        <v>14</v>
      </c>
      <c r="J1326" s="10" t="n">
        <v>7.67</v>
      </c>
      <c r="K1326" s="11" t="n">
        <v>0.3</v>
      </c>
      <c r="L1326" s="10">
        <f>I1326*J1326*(1-K1326)</f>
        <v/>
      </c>
      <c r="M1326" s="10" t="n">
        <v>44.8</v>
      </c>
      <c r="N1326" s="10">
        <f>L1326-M1326</f>
        <v/>
      </c>
    </row>
    <row r="1327">
      <c r="A1327" s="7" t="inlineStr">
        <is>
          <t>ORD-05133</t>
        </is>
      </c>
      <c r="B1327" s="8" t="n">
        <v>45238</v>
      </c>
      <c r="C1327" s="9" t="n">
        <v>45231</v>
      </c>
      <c r="D1327" s="7" t="n">
        <v>2023</v>
      </c>
      <c r="E1327" s="7" t="inlineStr">
        <is>
          <t>West</t>
        </is>
      </c>
      <c r="F1327" s="7" t="inlineStr">
        <is>
          <t>Office Supplies</t>
        </is>
      </c>
      <c r="G1327" s="7" t="inlineStr">
        <is>
          <t>Binder</t>
        </is>
      </c>
      <c r="H1327" s="7" t="inlineStr">
        <is>
          <t>Home Office</t>
        </is>
      </c>
      <c r="I1327" s="7" t="n">
        <v>15</v>
      </c>
      <c r="J1327" s="10" t="n">
        <v>8.19</v>
      </c>
      <c r="K1327" s="11" t="n">
        <v>0</v>
      </c>
      <c r="L1327" s="10">
        <f>I1327*J1327*(1-K1327)</f>
        <v/>
      </c>
      <c r="M1327" s="10" t="n">
        <v>48</v>
      </c>
      <c r="N1327" s="10">
        <f>L1327-M1327</f>
        <v/>
      </c>
    </row>
    <row r="1328">
      <c r="A1328" s="7" t="inlineStr">
        <is>
          <t>ORD-05381</t>
        </is>
      </c>
      <c r="B1328" s="8" t="n">
        <v>45238</v>
      </c>
      <c r="C1328" s="9" t="n">
        <v>45231</v>
      </c>
      <c r="D1328" s="7" t="n">
        <v>2023</v>
      </c>
      <c r="E1328" s="7" t="inlineStr">
        <is>
          <t>South</t>
        </is>
      </c>
      <c r="F1328" s="7" t="inlineStr">
        <is>
          <t>Office Supplies</t>
        </is>
      </c>
      <c r="G1328" s="7" t="inlineStr">
        <is>
          <t>Binder</t>
        </is>
      </c>
      <c r="H1328" s="7" t="inlineStr">
        <is>
          <t>Home Office</t>
        </is>
      </c>
      <c r="I1328" s="7" t="n">
        <v>8</v>
      </c>
      <c r="J1328" s="10" t="n">
        <v>8.32</v>
      </c>
      <c r="K1328" s="11" t="n">
        <v>0</v>
      </c>
      <c r="L1328" s="10">
        <f>I1328*J1328*(1-K1328)</f>
        <v/>
      </c>
      <c r="M1328" s="10" t="n">
        <v>25.6</v>
      </c>
      <c r="N1328" s="10">
        <f>L1328-M1328</f>
        <v/>
      </c>
    </row>
    <row r="1329">
      <c r="A1329" s="7" t="inlineStr">
        <is>
          <t>ORD-01179</t>
        </is>
      </c>
      <c r="B1329" s="8" t="n">
        <v>45238</v>
      </c>
      <c r="C1329" s="9" t="n">
        <v>45231</v>
      </c>
      <c r="D1329" s="7" t="n">
        <v>2023</v>
      </c>
      <c r="E1329" s="7" t="inlineStr">
        <is>
          <t>North</t>
        </is>
      </c>
      <c r="F1329" s="7" t="inlineStr">
        <is>
          <t>Office Supplies</t>
        </is>
      </c>
      <c r="G1329" s="7" t="inlineStr">
        <is>
          <t>Pens</t>
        </is>
      </c>
      <c r="H1329" s="7" t="inlineStr">
        <is>
          <t>Consumer</t>
        </is>
      </c>
      <c r="I1329" s="7" t="n">
        <v>9</v>
      </c>
      <c r="J1329" s="10" t="n">
        <v>12.51</v>
      </c>
      <c r="K1329" s="11" t="n">
        <v>0</v>
      </c>
      <c r="L1329" s="10">
        <f>I1329*J1329*(1-K1329)</f>
        <v/>
      </c>
      <c r="M1329" s="10" t="n">
        <v>48.6</v>
      </c>
      <c r="N1329" s="10">
        <f>L1329-M1329</f>
        <v/>
      </c>
    </row>
    <row r="1330">
      <c r="A1330" s="7" t="inlineStr">
        <is>
          <t>ORD-01976</t>
        </is>
      </c>
      <c r="B1330" s="8" t="n">
        <v>45239</v>
      </c>
      <c r="C1330" s="9" t="n">
        <v>45231</v>
      </c>
      <c r="D1330" s="7" t="n">
        <v>2023</v>
      </c>
      <c r="E1330" s="7" t="inlineStr">
        <is>
          <t>North</t>
        </is>
      </c>
      <c r="F1330" s="7" t="inlineStr">
        <is>
          <t>Furniture</t>
        </is>
      </c>
      <c r="G1330" s="7" t="inlineStr">
        <is>
          <t>Desk</t>
        </is>
      </c>
      <c r="H1330" s="7" t="inlineStr">
        <is>
          <t>Home Office</t>
        </is>
      </c>
      <c r="I1330" s="7" t="n">
        <v>4</v>
      </c>
      <c r="J1330" s="10" t="n">
        <v>461.86</v>
      </c>
      <c r="K1330" s="11" t="n">
        <v>0.2</v>
      </c>
      <c r="L1330" s="10">
        <f>I1330*J1330*(1-K1330)</f>
        <v/>
      </c>
      <c r="M1330" s="10" t="n">
        <v>1530</v>
      </c>
      <c r="N1330" s="10">
        <f>L1330-M1330</f>
        <v/>
      </c>
    </row>
    <row r="1331">
      <c r="A1331" s="7" t="inlineStr">
        <is>
          <t>ORD-03856</t>
        </is>
      </c>
      <c r="B1331" s="8" t="n">
        <v>45239</v>
      </c>
      <c r="C1331" s="9" t="n">
        <v>45231</v>
      </c>
      <c r="D1331" s="7" t="n">
        <v>2023</v>
      </c>
      <c r="E1331" s="7" t="inlineStr">
        <is>
          <t>West</t>
        </is>
      </c>
      <c r="F1331" s="7" t="inlineStr">
        <is>
          <t>Office Supplies</t>
        </is>
      </c>
      <c r="G1331" s="7" t="inlineStr">
        <is>
          <t>Pens</t>
        </is>
      </c>
      <c r="H1331" s="7" t="inlineStr">
        <is>
          <t>Home Office</t>
        </is>
      </c>
      <c r="I1331" s="7" t="n">
        <v>3</v>
      </c>
      <c r="J1331" s="10" t="n">
        <v>12.04</v>
      </c>
      <c r="K1331" s="11" t="n">
        <v>0.1</v>
      </c>
      <c r="L1331" s="10">
        <f>I1331*J1331*(1-K1331)</f>
        <v/>
      </c>
      <c r="M1331" s="10" t="n">
        <v>16.2</v>
      </c>
      <c r="N1331" s="10">
        <f>L1331-M1331</f>
        <v/>
      </c>
    </row>
    <row r="1332">
      <c r="A1332" s="7" t="inlineStr">
        <is>
          <t>ORD-03604</t>
        </is>
      </c>
      <c r="B1332" s="8" t="n">
        <v>45239</v>
      </c>
      <c r="C1332" s="9" t="n">
        <v>45231</v>
      </c>
      <c r="D1332" s="7" t="n">
        <v>2023</v>
      </c>
      <c r="E1332" s="7" t="inlineStr">
        <is>
          <t>East</t>
        </is>
      </c>
      <c r="F1332" s="7" t="inlineStr">
        <is>
          <t>Furniture</t>
        </is>
      </c>
      <c r="G1332" s="7" t="inlineStr">
        <is>
          <t>Desk</t>
        </is>
      </c>
      <c r="H1332" s="7" t="inlineStr">
        <is>
          <t>Consumer</t>
        </is>
      </c>
      <c r="I1332" s="7" t="n">
        <v>3</v>
      </c>
      <c r="J1332" s="10" t="n">
        <v>430.36</v>
      </c>
      <c r="K1332" s="11" t="n">
        <v>0</v>
      </c>
      <c r="L1332" s="10">
        <f>I1332*J1332*(1-K1332)</f>
        <v/>
      </c>
      <c r="M1332" s="10" t="n">
        <v>1147.5</v>
      </c>
      <c r="N1332" s="10">
        <f>L1332-M1332</f>
        <v/>
      </c>
    </row>
    <row r="1333">
      <c r="A1333" s="7" t="inlineStr">
        <is>
          <t>ORD-02828</t>
        </is>
      </c>
      <c r="B1333" s="8" t="n">
        <v>45239</v>
      </c>
      <c r="C1333" s="9" t="n">
        <v>45231</v>
      </c>
      <c r="D1333" s="7" t="n">
        <v>2023</v>
      </c>
      <c r="E1333" s="7" t="inlineStr">
        <is>
          <t>North</t>
        </is>
      </c>
      <c r="F1333" s="7" t="inlineStr">
        <is>
          <t>Office Supplies</t>
        </is>
      </c>
      <c r="G1333" s="7" t="inlineStr">
        <is>
          <t>Pens</t>
        </is>
      </c>
      <c r="H1333" s="7" t="inlineStr">
        <is>
          <t>Consumer</t>
        </is>
      </c>
      <c r="I1333" s="7" t="n">
        <v>12</v>
      </c>
      <c r="J1333" s="10" t="n">
        <v>12.18</v>
      </c>
      <c r="K1333" s="11" t="n">
        <v>0.2</v>
      </c>
      <c r="L1333" s="10">
        <f>I1333*J1333*(1-K1333)</f>
        <v/>
      </c>
      <c r="M1333" s="10" t="n">
        <v>64.8</v>
      </c>
      <c r="N1333" s="10">
        <f>L1333-M1333</f>
        <v/>
      </c>
    </row>
    <row r="1334">
      <c r="A1334" s="7" t="inlineStr">
        <is>
          <t>ORD-03987</t>
        </is>
      </c>
      <c r="B1334" s="8" t="n">
        <v>45239</v>
      </c>
      <c r="C1334" s="9" t="n">
        <v>45231</v>
      </c>
      <c r="D1334" s="7" t="n">
        <v>2023</v>
      </c>
      <c r="E1334" s="7" t="inlineStr">
        <is>
          <t>North</t>
        </is>
      </c>
      <c r="F1334" s="7" t="inlineStr">
        <is>
          <t>Technology</t>
        </is>
      </c>
      <c r="G1334" s="7" t="inlineStr">
        <is>
          <t>Laptop</t>
        </is>
      </c>
      <c r="H1334" s="7" t="inlineStr">
        <is>
          <t>Corporate</t>
        </is>
      </c>
      <c r="I1334" s="7" t="n">
        <v>1</v>
      </c>
      <c r="J1334" s="10" t="n">
        <v>885.58</v>
      </c>
      <c r="K1334" s="11" t="n">
        <v>0.05</v>
      </c>
      <c r="L1334" s="10">
        <f>I1334*J1334*(1-K1334)</f>
        <v/>
      </c>
      <c r="M1334" s="10" t="n">
        <v>702</v>
      </c>
      <c r="N1334" s="10">
        <f>L1334-M1334</f>
        <v/>
      </c>
    </row>
    <row r="1335">
      <c r="A1335" s="7" t="inlineStr">
        <is>
          <t>ORD-01722</t>
        </is>
      </c>
      <c r="B1335" s="8" t="n">
        <v>45239</v>
      </c>
      <c r="C1335" s="9" t="n">
        <v>45231</v>
      </c>
      <c r="D1335" s="7" t="n">
        <v>2023</v>
      </c>
      <c r="E1335" s="7" t="inlineStr">
        <is>
          <t>North</t>
        </is>
      </c>
      <c r="F1335" s="7" t="inlineStr">
        <is>
          <t>Office Supplies</t>
        </is>
      </c>
      <c r="G1335" s="7" t="inlineStr">
        <is>
          <t>Pens</t>
        </is>
      </c>
      <c r="H1335" s="7" t="inlineStr">
        <is>
          <t>Consumer</t>
        </is>
      </c>
      <c r="I1335" s="7" t="n">
        <v>11</v>
      </c>
      <c r="J1335" s="10" t="n">
        <v>12.21</v>
      </c>
      <c r="K1335" s="11" t="n">
        <v>0</v>
      </c>
      <c r="L1335" s="10">
        <f>I1335*J1335*(1-K1335)</f>
        <v/>
      </c>
      <c r="M1335" s="10" t="n">
        <v>59.4</v>
      </c>
      <c r="N1335" s="10">
        <f>L1335-M1335</f>
        <v/>
      </c>
    </row>
    <row r="1336">
      <c r="A1336" s="7" t="inlineStr">
        <is>
          <t>ORD-04021</t>
        </is>
      </c>
      <c r="B1336" s="8" t="n">
        <v>45240</v>
      </c>
      <c r="C1336" s="9" t="n">
        <v>45231</v>
      </c>
      <c r="D1336" s="7" t="n">
        <v>2023</v>
      </c>
      <c r="E1336" s="7" t="inlineStr">
        <is>
          <t>West</t>
        </is>
      </c>
      <c r="F1336" s="7" t="inlineStr">
        <is>
          <t>Technology</t>
        </is>
      </c>
      <c r="G1336" s="7" t="inlineStr">
        <is>
          <t>Laptop</t>
        </is>
      </c>
      <c r="H1336" s="7" t="inlineStr">
        <is>
          <t>Consumer</t>
        </is>
      </c>
      <c r="I1336" s="7" t="n">
        <v>3</v>
      </c>
      <c r="J1336" s="10" t="n">
        <v>858.11</v>
      </c>
      <c r="K1336" s="11" t="n">
        <v>0.05</v>
      </c>
      <c r="L1336" s="10">
        <f>I1336*J1336*(1-K1336)</f>
        <v/>
      </c>
      <c r="M1336" s="10" t="n">
        <v>2106</v>
      </c>
      <c r="N1336" s="10">
        <f>L1336-M1336</f>
        <v/>
      </c>
    </row>
    <row r="1337">
      <c r="A1337" s="7" t="inlineStr">
        <is>
          <t>ORD-01197</t>
        </is>
      </c>
      <c r="B1337" s="8" t="n">
        <v>45240</v>
      </c>
      <c r="C1337" s="9" t="n">
        <v>45231</v>
      </c>
      <c r="D1337" s="7" t="n">
        <v>2023</v>
      </c>
      <c r="E1337" s="7" t="inlineStr">
        <is>
          <t>West</t>
        </is>
      </c>
      <c r="F1337" s="7" t="inlineStr">
        <is>
          <t>Technology</t>
        </is>
      </c>
      <c r="G1337" s="7" t="inlineStr">
        <is>
          <t>Monitor</t>
        </is>
      </c>
      <c r="H1337" s="7" t="inlineStr">
        <is>
          <t>Home Office</t>
        </is>
      </c>
      <c r="I1337" s="7" t="n">
        <v>3</v>
      </c>
      <c r="J1337" s="10" t="n">
        <v>242.63</v>
      </c>
      <c r="K1337" s="11" t="n">
        <v>0</v>
      </c>
      <c r="L1337" s="10">
        <f>I1337*J1337*(1-K1337)</f>
        <v/>
      </c>
      <c r="M1337" s="10" t="n">
        <v>540</v>
      </c>
      <c r="N1337" s="10">
        <f>L1337-M1337</f>
        <v/>
      </c>
    </row>
    <row r="1338">
      <c r="A1338" s="7" t="inlineStr">
        <is>
          <t>ORD-05976</t>
        </is>
      </c>
      <c r="B1338" s="8" t="n">
        <v>45240</v>
      </c>
      <c r="C1338" s="9" t="n">
        <v>45231</v>
      </c>
      <c r="D1338" s="7" t="n">
        <v>2023</v>
      </c>
      <c r="E1338" s="7" t="inlineStr">
        <is>
          <t>West</t>
        </is>
      </c>
      <c r="F1338" s="7" t="inlineStr">
        <is>
          <t>Technology</t>
        </is>
      </c>
      <c r="G1338" s="7" t="inlineStr">
        <is>
          <t>Monitor</t>
        </is>
      </c>
      <c r="H1338" s="7" t="inlineStr">
        <is>
          <t>Home Office</t>
        </is>
      </c>
      <c r="I1338" s="7" t="n">
        <v>3</v>
      </c>
      <c r="J1338" s="10" t="n">
        <v>257.61</v>
      </c>
      <c r="K1338" s="11" t="n">
        <v>0</v>
      </c>
      <c r="L1338" s="10">
        <f>I1338*J1338*(1-K1338)</f>
        <v/>
      </c>
      <c r="M1338" s="10" t="n">
        <v>540</v>
      </c>
      <c r="N1338" s="10">
        <f>L1338-M1338</f>
        <v/>
      </c>
    </row>
    <row r="1339">
      <c r="A1339" s="7" t="inlineStr">
        <is>
          <t>ORD-04640</t>
        </is>
      </c>
      <c r="B1339" s="8" t="n">
        <v>45240</v>
      </c>
      <c r="C1339" s="9" t="n">
        <v>45231</v>
      </c>
      <c r="D1339" s="7" t="n">
        <v>2023</v>
      </c>
      <c r="E1339" s="7" t="inlineStr">
        <is>
          <t>West</t>
        </is>
      </c>
      <c r="F1339" s="7" t="inlineStr">
        <is>
          <t>Office Supplies</t>
        </is>
      </c>
      <c r="G1339" s="7" t="inlineStr">
        <is>
          <t>Pens</t>
        </is>
      </c>
      <c r="H1339" s="7" t="inlineStr">
        <is>
          <t>Consumer</t>
        </is>
      </c>
      <c r="I1339" s="7" t="n">
        <v>4</v>
      </c>
      <c r="J1339" s="10" t="n">
        <v>12.37</v>
      </c>
      <c r="K1339" s="11" t="n">
        <v>0.1</v>
      </c>
      <c r="L1339" s="10">
        <f>I1339*J1339*(1-K1339)</f>
        <v/>
      </c>
      <c r="M1339" s="10" t="n">
        <v>21.6</v>
      </c>
      <c r="N1339" s="10">
        <f>L1339-M1339</f>
        <v/>
      </c>
    </row>
    <row r="1340">
      <c r="A1340" s="7" t="inlineStr">
        <is>
          <t>ORD-03791</t>
        </is>
      </c>
      <c r="B1340" s="8" t="n">
        <v>45240</v>
      </c>
      <c r="C1340" s="9" t="n">
        <v>45231</v>
      </c>
      <c r="D1340" s="7" t="n">
        <v>2023</v>
      </c>
      <c r="E1340" s="7" t="inlineStr">
        <is>
          <t>West</t>
        </is>
      </c>
      <c r="F1340" s="7" t="inlineStr">
        <is>
          <t>Office Supplies</t>
        </is>
      </c>
      <c r="G1340" s="7" t="inlineStr">
        <is>
          <t>Paper</t>
        </is>
      </c>
      <c r="H1340" s="7" t="inlineStr">
        <is>
          <t>Corporate</t>
        </is>
      </c>
      <c r="I1340" s="7" t="n">
        <v>8</v>
      </c>
      <c r="J1340" s="10" t="n">
        <v>24.63</v>
      </c>
      <c r="K1340" s="11" t="n">
        <v>0.3</v>
      </c>
      <c r="L1340" s="10">
        <f>I1340*J1340*(1-K1340)</f>
        <v/>
      </c>
      <c r="M1340" s="10" t="n">
        <v>100</v>
      </c>
      <c r="N1340" s="10">
        <f>L1340-M1340</f>
        <v/>
      </c>
    </row>
    <row r="1341">
      <c r="A1341" s="7" t="inlineStr">
        <is>
          <t>ORD-04897</t>
        </is>
      </c>
      <c r="B1341" s="8" t="n">
        <v>45240</v>
      </c>
      <c r="C1341" s="9" t="n">
        <v>45231</v>
      </c>
      <c r="D1341" s="7" t="n">
        <v>2023</v>
      </c>
      <c r="E1341" s="7" t="inlineStr">
        <is>
          <t>West</t>
        </is>
      </c>
      <c r="F1341" s="7" t="inlineStr">
        <is>
          <t>Furniture</t>
        </is>
      </c>
      <c r="G1341" s="7" t="inlineStr">
        <is>
          <t>Office Chair</t>
        </is>
      </c>
      <c r="H1341" s="7" t="inlineStr">
        <is>
          <t>Corporate</t>
        </is>
      </c>
      <c r="I1341" s="7" t="n">
        <v>3</v>
      </c>
      <c r="J1341" s="10" t="n">
        <v>229.29</v>
      </c>
      <c r="K1341" s="11" t="n">
        <v>0.1</v>
      </c>
      <c r="L1341" s="10">
        <f>I1341*J1341*(1-K1341)</f>
        <v/>
      </c>
      <c r="M1341" s="10" t="n">
        <v>541.2</v>
      </c>
      <c r="N1341" s="10">
        <f>L1341-M1341</f>
        <v/>
      </c>
    </row>
    <row r="1342">
      <c r="A1342" s="7" t="inlineStr">
        <is>
          <t>ORD-04877</t>
        </is>
      </c>
      <c r="B1342" s="8" t="n">
        <v>45241</v>
      </c>
      <c r="C1342" s="9" t="n">
        <v>45231</v>
      </c>
      <c r="D1342" s="7" t="n">
        <v>2023</v>
      </c>
      <c r="E1342" s="7" t="inlineStr">
        <is>
          <t>West</t>
        </is>
      </c>
      <c r="F1342" s="7" t="inlineStr">
        <is>
          <t>Technology</t>
        </is>
      </c>
      <c r="G1342" s="7" t="inlineStr">
        <is>
          <t>Monitor</t>
        </is>
      </c>
      <c r="H1342" s="7" t="inlineStr">
        <is>
          <t>Corporate</t>
        </is>
      </c>
      <c r="I1342" s="7" t="n">
        <v>1</v>
      </c>
      <c r="J1342" s="10" t="n">
        <v>241.95</v>
      </c>
      <c r="K1342" s="11" t="n">
        <v>0.3</v>
      </c>
      <c r="L1342" s="10">
        <f>I1342*J1342*(1-K1342)</f>
        <v/>
      </c>
      <c r="M1342" s="10" t="n">
        <v>180</v>
      </c>
      <c r="N1342" s="10">
        <f>L1342-M1342</f>
        <v/>
      </c>
    </row>
    <row r="1343">
      <c r="A1343" s="7" t="inlineStr">
        <is>
          <t>ORD-02831</t>
        </is>
      </c>
      <c r="B1343" s="8" t="n">
        <v>45241</v>
      </c>
      <c r="C1343" s="9" t="n">
        <v>45231</v>
      </c>
      <c r="D1343" s="7" t="n">
        <v>2023</v>
      </c>
      <c r="E1343" s="7" t="inlineStr">
        <is>
          <t>West</t>
        </is>
      </c>
      <c r="F1343" s="7" t="inlineStr">
        <is>
          <t>Furniture</t>
        </is>
      </c>
      <c r="G1343" s="7" t="inlineStr">
        <is>
          <t>Bookcase</t>
        </is>
      </c>
      <c r="H1343" s="7" t="inlineStr">
        <is>
          <t>Consumer</t>
        </is>
      </c>
      <c r="I1343" s="7" t="n">
        <v>4</v>
      </c>
      <c r="J1343" s="10" t="n">
        <v>187.33</v>
      </c>
      <c r="K1343" s="11" t="n">
        <v>0</v>
      </c>
      <c r="L1343" s="10">
        <f>I1343*J1343*(1-K1343)</f>
        <v/>
      </c>
      <c r="M1343" s="10" t="n">
        <v>576</v>
      </c>
      <c r="N1343" s="10">
        <f>L1343-M1343</f>
        <v/>
      </c>
    </row>
    <row r="1344">
      <c r="A1344" s="7" t="inlineStr">
        <is>
          <t>ORD-02942</t>
        </is>
      </c>
      <c r="B1344" s="8" t="n">
        <v>45241</v>
      </c>
      <c r="C1344" s="9" t="n">
        <v>45231</v>
      </c>
      <c r="D1344" s="7" t="n">
        <v>2023</v>
      </c>
      <c r="E1344" s="7" t="inlineStr">
        <is>
          <t>West</t>
        </is>
      </c>
      <c r="F1344" s="7" t="inlineStr">
        <is>
          <t>Office Supplies</t>
        </is>
      </c>
      <c r="G1344" s="7" t="inlineStr">
        <is>
          <t>Paper</t>
        </is>
      </c>
      <c r="H1344" s="7" t="inlineStr">
        <is>
          <t>Home Office</t>
        </is>
      </c>
      <c r="I1344" s="7" t="n">
        <v>14</v>
      </c>
      <c r="J1344" s="10" t="n">
        <v>25.68</v>
      </c>
      <c r="K1344" s="11" t="n">
        <v>0</v>
      </c>
      <c r="L1344" s="10">
        <f>I1344*J1344*(1-K1344)</f>
        <v/>
      </c>
      <c r="M1344" s="10" t="n">
        <v>175</v>
      </c>
      <c r="N1344" s="10">
        <f>L1344-M1344</f>
        <v/>
      </c>
    </row>
    <row r="1345">
      <c r="A1345" s="7" t="inlineStr">
        <is>
          <t>ORD-01811</t>
        </is>
      </c>
      <c r="B1345" s="8" t="n">
        <v>45241</v>
      </c>
      <c r="C1345" s="9" t="n">
        <v>45231</v>
      </c>
      <c r="D1345" s="7" t="n">
        <v>2023</v>
      </c>
      <c r="E1345" s="7" t="inlineStr">
        <is>
          <t>West</t>
        </is>
      </c>
      <c r="F1345" s="7" t="inlineStr">
        <is>
          <t>Furniture</t>
        </is>
      </c>
      <c r="G1345" s="7" t="inlineStr">
        <is>
          <t>Bookcase</t>
        </is>
      </c>
      <c r="H1345" s="7" t="inlineStr">
        <is>
          <t>Consumer</t>
        </is>
      </c>
      <c r="I1345" s="7" t="n">
        <v>4</v>
      </c>
      <c r="J1345" s="10" t="n">
        <v>171.33</v>
      </c>
      <c r="K1345" s="11" t="n">
        <v>0</v>
      </c>
      <c r="L1345" s="10">
        <f>I1345*J1345*(1-K1345)</f>
        <v/>
      </c>
      <c r="M1345" s="10" t="n">
        <v>576</v>
      </c>
      <c r="N1345" s="10">
        <f>L1345-M1345</f>
        <v/>
      </c>
    </row>
    <row r="1346">
      <c r="A1346" s="7" t="inlineStr">
        <is>
          <t>ORD-02465</t>
        </is>
      </c>
      <c r="B1346" s="8" t="n">
        <v>45241</v>
      </c>
      <c r="C1346" s="9" t="n">
        <v>45231</v>
      </c>
      <c r="D1346" s="7" t="n">
        <v>2023</v>
      </c>
      <c r="E1346" s="7" t="inlineStr">
        <is>
          <t>South</t>
        </is>
      </c>
      <c r="F1346" s="7" t="inlineStr">
        <is>
          <t>Technology</t>
        </is>
      </c>
      <c r="G1346" s="7" t="inlineStr">
        <is>
          <t>Smartphone</t>
        </is>
      </c>
      <c r="H1346" s="7" t="inlineStr">
        <is>
          <t>Corporate</t>
        </is>
      </c>
      <c r="I1346" s="7" t="n">
        <v>2</v>
      </c>
      <c r="J1346" s="10" t="n">
        <v>584.37</v>
      </c>
      <c r="K1346" s="11" t="n">
        <v>0.1</v>
      </c>
      <c r="L1346" s="10">
        <f>I1346*J1346*(1-K1346)</f>
        <v/>
      </c>
      <c r="M1346" s="10" t="n">
        <v>900</v>
      </c>
      <c r="N1346" s="10">
        <f>L1346-M1346</f>
        <v/>
      </c>
    </row>
    <row r="1347">
      <c r="A1347" s="7" t="inlineStr">
        <is>
          <t>ORD-02886</t>
        </is>
      </c>
      <c r="B1347" s="8" t="n">
        <v>45241</v>
      </c>
      <c r="C1347" s="9" t="n">
        <v>45231</v>
      </c>
      <c r="D1347" s="7" t="n">
        <v>2023</v>
      </c>
      <c r="E1347" s="7" t="inlineStr">
        <is>
          <t>West</t>
        </is>
      </c>
      <c r="F1347" s="7" t="inlineStr">
        <is>
          <t>Furniture</t>
        </is>
      </c>
      <c r="G1347" s="7" t="inlineStr">
        <is>
          <t>Office Chair</t>
        </is>
      </c>
      <c r="H1347" s="7" t="inlineStr">
        <is>
          <t>Corporate</t>
        </is>
      </c>
      <c r="I1347" s="7" t="n">
        <v>3</v>
      </c>
      <c r="J1347" s="10" t="n">
        <v>215.08</v>
      </c>
      <c r="K1347" s="11" t="n">
        <v>0.3</v>
      </c>
      <c r="L1347" s="10">
        <f>I1347*J1347*(1-K1347)</f>
        <v/>
      </c>
      <c r="M1347" s="10" t="n">
        <v>541.2</v>
      </c>
      <c r="N1347" s="10">
        <f>L1347-M1347</f>
        <v/>
      </c>
    </row>
    <row r="1348">
      <c r="A1348" s="7" t="inlineStr">
        <is>
          <t>ORD-03081</t>
        </is>
      </c>
      <c r="B1348" s="8" t="n">
        <v>45241</v>
      </c>
      <c r="C1348" s="9" t="n">
        <v>45231</v>
      </c>
      <c r="D1348" s="7" t="n">
        <v>2023</v>
      </c>
      <c r="E1348" s="7" t="inlineStr">
        <is>
          <t>East</t>
        </is>
      </c>
      <c r="F1348" s="7" t="inlineStr">
        <is>
          <t>Furniture</t>
        </is>
      </c>
      <c r="G1348" s="7" t="inlineStr">
        <is>
          <t>Sofa</t>
        </is>
      </c>
      <c r="H1348" s="7" t="inlineStr">
        <is>
          <t>Consumer</t>
        </is>
      </c>
      <c r="I1348" s="7" t="n">
        <v>4</v>
      </c>
      <c r="J1348" s="10" t="n">
        <v>723.7</v>
      </c>
      <c r="K1348" s="11" t="n">
        <v>0.05</v>
      </c>
      <c r="L1348" s="10">
        <f>I1348*J1348*(1-K1348)</f>
        <v/>
      </c>
      <c r="M1348" s="10" t="n">
        <v>2464</v>
      </c>
      <c r="N1348" s="10">
        <f>L1348-M1348</f>
        <v/>
      </c>
    </row>
    <row r="1349">
      <c r="A1349" s="7" t="inlineStr">
        <is>
          <t>ORD-01941</t>
        </is>
      </c>
      <c r="B1349" s="8" t="n">
        <v>45242</v>
      </c>
      <c r="C1349" s="9" t="n">
        <v>45231</v>
      </c>
      <c r="D1349" s="7" t="n">
        <v>2023</v>
      </c>
      <c r="E1349" s="7" t="inlineStr">
        <is>
          <t>West</t>
        </is>
      </c>
      <c r="F1349" s="7" t="inlineStr">
        <is>
          <t>Office Supplies</t>
        </is>
      </c>
      <c r="G1349" s="7" t="inlineStr">
        <is>
          <t>Stapler</t>
        </is>
      </c>
      <c r="H1349" s="7" t="inlineStr">
        <is>
          <t>Corporate</t>
        </is>
      </c>
      <c r="I1349" s="7" t="n">
        <v>6</v>
      </c>
      <c r="J1349" s="10" t="n">
        <v>15.08</v>
      </c>
      <c r="K1349" s="11" t="n">
        <v>0</v>
      </c>
      <c r="L1349" s="10">
        <f>I1349*J1349*(1-K1349)</f>
        <v/>
      </c>
      <c r="M1349" s="10" t="n">
        <v>45</v>
      </c>
      <c r="N1349" s="10">
        <f>L1349-M1349</f>
        <v/>
      </c>
    </row>
    <row r="1350">
      <c r="A1350" s="7" t="inlineStr">
        <is>
          <t>ORD-05076</t>
        </is>
      </c>
      <c r="B1350" s="8" t="n">
        <v>45242</v>
      </c>
      <c r="C1350" s="9" t="n">
        <v>45231</v>
      </c>
      <c r="D1350" s="7" t="n">
        <v>2023</v>
      </c>
      <c r="E1350" s="7" t="inlineStr">
        <is>
          <t>West</t>
        </is>
      </c>
      <c r="F1350" s="7" t="inlineStr">
        <is>
          <t>Office Supplies</t>
        </is>
      </c>
      <c r="G1350" s="7" t="inlineStr">
        <is>
          <t>Stapler</t>
        </is>
      </c>
      <c r="H1350" s="7" t="inlineStr">
        <is>
          <t>Corporate</t>
        </is>
      </c>
      <c r="I1350" s="7" t="n">
        <v>11</v>
      </c>
      <c r="J1350" s="10" t="n">
        <v>14.48</v>
      </c>
      <c r="K1350" s="11" t="n">
        <v>0</v>
      </c>
      <c r="L1350" s="10">
        <f>I1350*J1350*(1-K1350)</f>
        <v/>
      </c>
      <c r="M1350" s="10" t="n">
        <v>82.5</v>
      </c>
      <c r="N1350" s="10">
        <f>L1350-M1350</f>
        <v/>
      </c>
    </row>
    <row r="1351">
      <c r="A1351" s="7" t="inlineStr">
        <is>
          <t>ORD-05775</t>
        </is>
      </c>
      <c r="B1351" s="8" t="n">
        <v>45242</v>
      </c>
      <c r="C1351" s="9" t="n">
        <v>45231</v>
      </c>
      <c r="D1351" s="7" t="n">
        <v>2023</v>
      </c>
      <c r="E1351" s="7" t="inlineStr">
        <is>
          <t>West</t>
        </is>
      </c>
      <c r="F1351" s="7" t="inlineStr">
        <is>
          <t>Technology</t>
        </is>
      </c>
      <c r="G1351" s="7" t="inlineStr">
        <is>
          <t>Smartphone</t>
        </is>
      </c>
      <c r="H1351" s="7" t="inlineStr">
        <is>
          <t>Home Office</t>
        </is>
      </c>
      <c r="I1351" s="7" t="n">
        <v>2</v>
      </c>
      <c r="J1351" s="10" t="n">
        <v>583.1799999999999</v>
      </c>
      <c r="K1351" s="11" t="n">
        <v>0.05</v>
      </c>
      <c r="L1351" s="10">
        <f>I1351*J1351*(1-K1351)</f>
        <v/>
      </c>
      <c r="M1351" s="10" t="n">
        <v>900</v>
      </c>
      <c r="N1351" s="10">
        <f>L1351-M1351</f>
        <v/>
      </c>
    </row>
    <row r="1352">
      <c r="A1352" s="7" t="inlineStr">
        <is>
          <t>ORD-05882</t>
        </is>
      </c>
      <c r="B1352" s="8" t="n">
        <v>45242</v>
      </c>
      <c r="C1352" s="9" t="n">
        <v>45231</v>
      </c>
      <c r="D1352" s="7" t="n">
        <v>2023</v>
      </c>
      <c r="E1352" s="7" t="inlineStr">
        <is>
          <t>North</t>
        </is>
      </c>
      <c r="F1352" s="7" t="inlineStr">
        <is>
          <t>Technology</t>
        </is>
      </c>
      <c r="G1352" s="7" t="inlineStr">
        <is>
          <t>Monitor</t>
        </is>
      </c>
      <c r="H1352" s="7" t="inlineStr">
        <is>
          <t>Consumer</t>
        </is>
      </c>
      <c r="I1352" s="7" t="n">
        <v>1</v>
      </c>
      <c r="J1352" s="10" t="n">
        <v>261.03</v>
      </c>
      <c r="K1352" s="11" t="n">
        <v>0</v>
      </c>
      <c r="L1352" s="10">
        <f>I1352*J1352*(1-K1352)</f>
        <v/>
      </c>
      <c r="M1352" s="10" t="n">
        <v>180</v>
      </c>
      <c r="N1352" s="10">
        <f>L1352-M1352</f>
        <v/>
      </c>
    </row>
    <row r="1353">
      <c r="A1353" s="7" t="inlineStr">
        <is>
          <t>ORD-03330</t>
        </is>
      </c>
      <c r="B1353" s="8" t="n">
        <v>45242</v>
      </c>
      <c r="C1353" s="9" t="n">
        <v>45231</v>
      </c>
      <c r="D1353" s="7" t="n">
        <v>2023</v>
      </c>
      <c r="E1353" s="7" t="inlineStr">
        <is>
          <t>South</t>
        </is>
      </c>
      <c r="F1353" s="7" t="inlineStr">
        <is>
          <t>Furniture</t>
        </is>
      </c>
      <c r="G1353" s="7" t="inlineStr">
        <is>
          <t>Bookcase</t>
        </is>
      </c>
      <c r="H1353" s="7" t="inlineStr">
        <is>
          <t>Consumer</t>
        </is>
      </c>
      <c r="I1353" s="7" t="n">
        <v>4</v>
      </c>
      <c r="J1353" s="10" t="n">
        <v>176.69</v>
      </c>
      <c r="K1353" s="11" t="n">
        <v>0.3</v>
      </c>
      <c r="L1353" s="10">
        <f>I1353*J1353*(1-K1353)</f>
        <v/>
      </c>
      <c r="M1353" s="10" t="n">
        <v>576</v>
      </c>
      <c r="N1353" s="10">
        <f>L1353-M1353</f>
        <v/>
      </c>
    </row>
    <row r="1354">
      <c r="A1354" s="7" t="inlineStr">
        <is>
          <t>ORD-04996</t>
        </is>
      </c>
      <c r="B1354" s="8" t="n">
        <v>45242</v>
      </c>
      <c r="C1354" s="9" t="n">
        <v>45231</v>
      </c>
      <c r="D1354" s="7" t="n">
        <v>2023</v>
      </c>
      <c r="E1354" s="7" t="inlineStr">
        <is>
          <t>North</t>
        </is>
      </c>
      <c r="F1354" s="7" t="inlineStr">
        <is>
          <t>Furniture</t>
        </is>
      </c>
      <c r="G1354" s="7" t="inlineStr">
        <is>
          <t>Bookcase</t>
        </is>
      </c>
      <c r="H1354" s="7" t="inlineStr">
        <is>
          <t>Consumer</t>
        </is>
      </c>
      <c r="I1354" s="7" t="n">
        <v>4</v>
      </c>
      <c r="J1354" s="10" t="n">
        <v>180.97</v>
      </c>
      <c r="K1354" s="11" t="n">
        <v>0.1</v>
      </c>
      <c r="L1354" s="10">
        <f>I1354*J1354*(1-K1354)</f>
        <v/>
      </c>
      <c r="M1354" s="10" t="n">
        <v>576</v>
      </c>
      <c r="N1354" s="10">
        <f>L1354-M1354</f>
        <v/>
      </c>
    </row>
    <row r="1355">
      <c r="A1355" s="7" t="inlineStr">
        <is>
          <t>ORD-01657</t>
        </is>
      </c>
      <c r="B1355" s="8" t="n">
        <v>45243</v>
      </c>
      <c r="C1355" s="9" t="n">
        <v>45231</v>
      </c>
      <c r="D1355" s="7" t="n">
        <v>2023</v>
      </c>
      <c r="E1355" s="7" t="inlineStr">
        <is>
          <t>South</t>
        </is>
      </c>
      <c r="F1355" s="7" t="inlineStr">
        <is>
          <t>Office Supplies</t>
        </is>
      </c>
      <c r="G1355" s="7" t="inlineStr">
        <is>
          <t>Binder</t>
        </is>
      </c>
      <c r="H1355" s="7" t="inlineStr">
        <is>
          <t>Home Office</t>
        </is>
      </c>
      <c r="I1355" s="7" t="n">
        <v>7</v>
      </c>
      <c r="J1355" s="10" t="n">
        <v>7.9</v>
      </c>
      <c r="K1355" s="11" t="n">
        <v>0.3</v>
      </c>
      <c r="L1355" s="10">
        <f>I1355*J1355*(1-K1355)</f>
        <v/>
      </c>
      <c r="M1355" s="10" t="n">
        <v>22.4</v>
      </c>
      <c r="N1355" s="10">
        <f>L1355-M1355</f>
        <v/>
      </c>
    </row>
    <row r="1356">
      <c r="A1356" s="7" t="inlineStr">
        <is>
          <t>ORD-01925</t>
        </is>
      </c>
      <c r="B1356" s="8" t="n">
        <v>45243</v>
      </c>
      <c r="C1356" s="9" t="n">
        <v>45231</v>
      </c>
      <c r="D1356" s="7" t="n">
        <v>2023</v>
      </c>
      <c r="E1356" s="7" t="inlineStr">
        <is>
          <t>North</t>
        </is>
      </c>
      <c r="F1356" s="7" t="inlineStr">
        <is>
          <t>Technology</t>
        </is>
      </c>
      <c r="G1356" s="7" t="inlineStr">
        <is>
          <t>Laptop</t>
        </is>
      </c>
      <c r="H1356" s="7" t="inlineStr">
        <is>
          <t>Corporate</t>
        </is>
      </c>
      <c r="I1356" s="7" t="n">
        <v>3</v>
      </c>
      <c r="J1356" s="10" t="n">
        <v>916.77</v>
      </c>
      <c r="K1356" s="11" t="n">
        <v>0</v>
      </c>
      <c r="L1356" s="10">
        <f>I1356*J1356*(1-K1356)</f>
        <v/>
      </c>
      <c r="M1356" s="10" t="n">
        <v>2106</v>
      </c>
      <c r="N1356" s="10">
        <f>L1356-M1356</f>
        <v/>
      </c>
    </row>
    <row r="1357">
      <c r="A1357" s="7" t="inlineStr">
        <is>
          <t>ORD-01857</t>
        </is>
      </c>
      <c r="B1357" s="8" t="n">
        <v>45243</v>
      </c>
      <c r="C1357" s="9" t="n">
        <v>45231</v>
      </c>
      <c r="D1357" s="7" t="n">
        <v>2023</v>
      </c>
      <c r="E1357" s="7" t="inlineStr">
        <is>
          <t>West</t>
        </is>
      </c>
      <c r="F1357" s="7" t="inlineStr">
        <is>
          <t>Office Supplies</t>
        </is>
      </c>
      <c r="G1357" s="7" t="inlineStr">
        <is>
          <t>Binder</t>
        </is>
      </c>
      <c r="H1357" s="7" t="inlineStr">
        <is>
          <t>Home Office</t>
        </is>
      </c>
      <c r="I1357" s="7" t="n">
        <v>3</v>
      </c>
      <c r="J1357" s="10" t="n">
        <v>7.66</v>
      </c>
      <c r="K1357" s="11" t="n">
        <v>0</v>
      </c>
      <c r="L1357" s="10">
        <f>I1357*J1357*(1-K1357)</f>
        <v/>
      </c>
      <c r="M1357" s="10" t="n">
        <v>9.6</v>
      </c>
      <c r="N1357" s="10">
        <f>L1357-M1357</f>
        <v/>
      </c>
    </row>
    <row r="1358">
      <c r="A1358" s="7" t="inlineStr">
        <is>
          <t>ORD-04982</t>
        </is>
      </c>
      <c r="B1358" s="8" t="n">
        <v>45243</v>
      </c>
      <c r="C1358" s="9" t="n">
        <v>45231</v>
      </c>
      <c r="D1358" s="7" t="n">
        <v>2023</v>
      </c>
      <c r="E1358" s="7" t="inlineStr">
        <is>
          <t>West</t>
        </is>
      </c>
      <c r="F1358" s="7" t="inlineStr">
        <is>
          <t>Office Supplies</t>
        </is>
      </c>
      <c r="G1358" s="7" t="inlineStr">
        <is>
          <t>Binder</t>
        </is>
      </c>
      <c r="H1358" s="7" t="inlineStr">
        <is>
          <t>Consumer</t>
        </is>
      </c>
      <c r="I1358" s="7" t="n">
        <v>2</v>
      </c>
      <c r="J1358" s="10" t="n">
        <v>7.94</v>
      </c>
      <c r="K1358" s="11" t="n">
        <v>0.1</v>
      </c>
      <c r="L1358" s="10">
        <f>I1358*J1358*(1-K1358)</f>
        <v/>
      </c>
      <c r="M1358" s="10" t="n">
        <v>6.4</v>
      </c>
      <c r="N1358" s="10">
        <f>L1358-M1358</f>
        <v/>
      </c>
    </row>
    <row r="1359">
      <c r="A1359" s="7" t="inlineStr">
        <is>
          <t>ORD-00488</t>
        </is>
      </c>
      <c r="B1359" s="8" t="n">
        <v>45244</v>
      </c>
      <c r="C1359" s="9" t="n">
        <v>45231</v>
      </c>
      <c r="D1359" s="7" t="n">
        <v>2023</v>
      </c>
      <c r="E1359" s="7" t="inlineStr">
        <is>
          <t>South</t>
        </is>
      </c>
      <c r="F1359" s="7" t="inlineStr">
        <is>
          <t>Technology</t>
        </is>
      </c>
      <c r="G1359" s="7" t="inlineStr">
        <is>
          <t>Keyboard</t>
        </is>
      </c>
      <c r="H1359" s="7" t="inlineStr">
        <is>
          <t>Consumer</t>
        </is>
      </c>
      <c r="I1359" s="7" t="n">
        <v>1</v>
      </c>
      <c r="J1359" s="10" t="n">
        <v>43.82</v>
      </c>
      <c r="K1359" s="11" t="n">
        <v>0.1</v>
      </c>
      <c r="L1359" s="10">
        <f>I1359*J1359*(1-K1359)</f>
        <v/>
      </c>
      <c r="M1359" s="10" t="n">
        <v>24.75</v>
      </c>
      <c r="N1359" s="10">
        <f>L1359-M1359</f>
        <v/>
      </c>
    </row>
    <row r="1360">
      <c r="A1360" s="7" t="inlineStr">
        <is>
          <t>ORD-03544</t>
        </is>
      </c>
      <c r="B1360" s="8" t="n">
        <v>45244</v>
      </c>
      <c r="C1360" s="9" t="n">
        <v>45231</v>
      </c>
      <c r="D1360" s="7" t="n">
        <v>2023</v>
      </c>
      <c r="E1360" s="7" t="inlineStr">
        <is>
          <t>East</t>
        </is>
      </c>
      <c r="F1360" s="7" t="inlineStr">
        <is>
          <t>Technology</t>
        </is>
      </c>
      <c r="G1360" s="7" t="inlineStr">
        <is>
          <t>Smartphone</t>
        </is>
      </c>
      <c r="H1360" s="7" t="inlineStr">
        <is>
          <t>Corporate</t>
        </is>
      </c>
      <c r="I1360" s="7" t="n">
        <v>3</v>
      </c>
      <c r="J1360" s="10" t="n">
        <v>601.64</v>
      </c>
      <c r="K1360" s="11" t="n">
        <v>0.05</v>
      </c>
      <c r="L1360" s="10">
        <f>I1360*J1360*(1-K1360)</f>
        <v/>
      </c>
      <c r="M1360" s="10" t="n">
        <v>1350</v>
      </c>
      <c r="N1360" s="10">
        <f>L1360-M1360</f>
        <v/>
      </c>
    </row>
    <row r="1361">
      <c r="A1361" s="7" t="inlineStr">
        <is>
          <t>ORD-04383</t>
        </is>
      </c>
      <c r="B1361" s="8" t="n">
        <v>45244</v>
      </c>
      <c r="C1361" s="9" t="n">
        <v>45231</v>
      </c>
      <c r="D1361" s="7" t="n">
        <v>2023</v>
      </c>
      <c r="E1361" s="7" t="inlineStr">
        <is>
          <t>West</t>
        </is>
      </c>
      <c r="F1361" s="7" t="inlineStr">
        <is>
          <t>Office Supplies</t>
        </is>
      </c>
      <c r="G1361" s="7" t="inlineStr">
        <is>
          <t>Paper</t>
        </is>
      </c>
      <c r="H1361" s="7" t="inlineStr">
        <is>
          <t>Home Office</t>
        </is>
      </c>
      <c r="I1361" s="7" t="n">
        <v>11</v>
      </c>
      <c r="J1361" s="10" t="n">
        <v>24.54</v>
      </c>
      <c r="K1361" s="11" t="n">
        <v>0</v>
      </c>
      <c r="L1361" s="10">
        <f>I1361*J1361*(1-K1361)</f>
        <v/>
      </c>
      <c r="M1361" s="10" t="n">
        <v>137.5</v>
      </c>
      <c r="N1361" s="10">
        <f>L1361-M1361</f>
        <v/>
      </c>
    </row>
    <row r="1362">
      <c r="A1362" s="7" t="inlineStr">
        <is>
          <t>ORD-01457</t>
        </is>
      </c>
      <c r="B1362" s="8" t="n">
        <v>45244</v>
      </c>
      <c r="C1362" s="9" t="n">
        <v>45231</v>
      </c>
      <c r="D1362" s="7" t="n">
        <v>2023</v>
      </c>
      <c r="E1362" s="7" t="inlineStr">
        <is>
          <t>South</t>
        </is>
      </c>
      <c r="F1362" s="7" t="inlineStr">
        <is>
          <t>Furniture</t>
        </is>
      </c>
      <c r="G1362" s="7" t="inlineStr">
        <is>
          <t>Bookcase</t>
        </is>
      </c>
      <c r="H1362" s="7" t="inlineStr">
        <is>
          <t>Consumer</t>
        </is>
      </c>
      <c r="I1362" s="7" t="n">
        <v>4</v>
      </c>
      <c r="J1362" s="10" t="n">
        <v>177.92</v>
      </c>
      <c r="K1362" s="11" t="n">
        <v>0.3</v>
      </c>
      <c r="L1362" s="10">
        <f>I1362*J1362*(1-K1362)</f>
        <v/>
      </c>
      <c r="M1362" s="10" t="n">
        <v>576</v>
      </c>
      <c r="N1362" s="10">
        <f>L1362-M1362</f>
        <v/>
      </c>
    </row>
    <row r="1363">
      <c r="A1363" s="7" t="inlineStr">
        <is>
          <t>ORD-05051</t>
        </is>
      </c>
      <c r="B1363" s="8" t="n">
        <v>45244</v>
      </c>
      <c r="C1363" s="9" t="n">
        <v>45231</v>
      </c>
      <c r="D1363" s="7" t="n">
        <v>2023</v>
      </c>
      <c r="E1363" s="7" t="inlineStr">
        <is>
          <t>West</t>
        </is>
      </c>
      <c r="F1363" s="7" t="inlineStr">
        <is>
          <t>Furniture</t>
        </is>
      </c>
      <c r="G1363" s="7" t="inlineStr">
        <is>
          <t>Bookcase</t>
        </is>
      </c>
      <c r="H1363" s="7" t="inlineStr">
        <is>
          <t>Corporate</t>
        </is>
      </c>
      <c r="I1363" s="7" t="n">
        <v>2</v>
      </c>
      <c r="J1363" s="10" t="n">
        <v>181.4</v>
      </c>
      <c r="K1363" s="11" t="n">
        <v>0.3</v>
      </c>
      <c r="L1363" s="10">
        <f>I1363*J1363*(1-K1363)</f>
        <v/>
      </c>
      <c r="M1363" s="10" t="n">
        <v>288</v>
      </c>
      <c r="N1363" s="10">
        <f>L1363-M1363</f>
        <v/>
      </c>
    </row>
    <row r="1364">
      <c r="A1364" s="7" t="inlineStr">
        <is>
          <t>ORD-02660</t>
        </is>
      </c>
      <c r="B1364" s="8" t="n">
        <v>45244</v>
      </c>
      <c r="C1364" s="9" t="n">
        <v>45231</v>
      </c>
      <c r="D1364" s="7" t="n">
        <v>2023</v>
      </c>
      <c r="E1364" s="7" t="inlineStr">
        <is>
          <t>East</t>
        </is>
      </c>
      <c r="F1364" s="7" t="inlineStr">
        <is>
          <t>Office Supplies</t>
        </is>
      </c>
      <c r="G1364" s="7" t="inlineStr">
        <is>
          <t>Binder</t>
        </is>
      </c>
      <c r="H1364" s="7" t="inlineStr">
        <is>
          <t>Consumer</t>
        </is>
      </c>
      <c r="I1364" s="7" t="n">
        <v>11</v>
      </c>
      <c r="J1364" s="10" t="n">
        <v>8.01</v>
      </c>
      <c r="K1364" s="11" t="n">
        <v>0.2</v>
      </c>
      <c r="L1364" s="10">
        <f>I1364*J1364*(1-K1364)</f>
        <v/>
      </c>
      <c r="M1364" s="10" t="n">
        <v>35.2</v>
      </c>
      <c r="N1364" s="10">
        <f>L1364-M1364</f>
        <v/>
      </c>
    </row>
    <row r="1365">
      <c r="A1365" s="7" t="inlineStr">
        <is>
          <t>ORD-03610</t>
        </is>
      </c>
      <c r="B1365" s="8" t="n">
        <v>45244</v>
      </c>
      <c r="C1365" s="9" t="n">
        <v>45231</v>
      </c>
      <c r="D1365" s="7" t="n">
        <v>2023</v>
      </c>
      <c r="E1365" s="7" t="inlineStr">
        <is>
          <t>East</t>
        </is>
      </c>
      <c r="F1365" s="7" t="inlineStr">
        <is>
          <t>Office Supplies</t>
        </is>
      </c>
      <c r="G1365" s="7" t="inlineStr">
        <is>
          <t>Paper</t>
        </is>
      </c>
      <c r="H1365" s="7" t="inlineStr">
        <is>
          <t>Corporate</t>
        </is>
      </c>
      <c r="I1365" s="7" t="n">
        <v>9</v>
      </c>
      <c r="J1365" s="10" t="n">
        <v>26.18</v>
      </c>
      <c r="K1365" s="11" t="n">
        <v>0</v>
      </c>
      <c r="L1365" s="10">
        <f>I1365*J1365*(1-K1365)</f>
        <v/>
      </c>
      <c r="M1365" s="10" t="n">
        <v>112.5</v>
      </c>
      <c r="N1365" s="10">
        <f>L1365-M1365</f>
        <v/>
      </c>
    </row>
    <row r="1366">
      <c r="A1366" s="7" t="inlineStr">
        <is>
          <t>ORD-04742</t>
        </is>
      </c>
      <c r="B1366" s="8" t="n">
        <v>45244</v>
      </c>
      <c r="C1366" s="9" t="n">
        <v>45231</v>
      </c>
      <c r="D1366" s="7" t="n">
        <v>2023</v>
      </c>
      <c r="E1366" s="7" t="inlineStr">
        <is>
          <t>South</t>
        </is>
      </c>
      <c r="F1366" s="7" t="inlineStr">
        <is>
          <t>Office Supplies</t>
        </is>
      </c>
      <c r="G1366" s="7" t="inlineStr">
        <is>
          <t>Paper</t>
        </is>
      </c>
      <c r="H1366" s="7" t="inlineStr">
        <is>
          <t>Corporate</t>
        </is>
      </c>
      <c r="I1366" s="7" t="n">
        <v>9</v>
      </c>
      <c r="J1366" s="10" t="n">
        <v>24.36</v>
      </c>
      <c r="K1366" s="11" t="n">
        <v>0.3</v>
      </c>
      <c r="L1366" s="10">
        <f>I1366*J1366*(1-K1366)</f>
        <v/>
      </c>
      <c r="M1366" s="10" t="n">
        <v>112.5</v>
      </c>
      <c r="N1366" s="10">
        <f>L1366-M1366</f>
        <v/>
      </c>
    </row>
    <row r="1367">
      <c r="A1367" s="7" t="inlineStr">
        <is>
          <t>ORD-01576</t>
        </is>
      </c>
      <c r="B1367" s="8" t="n">
        <v>45244</v>
      </c>
      <c r="C1367" s="9" t="n">
        <v>45231</v>
      </c>
      <c r="D1367" s="7" t="n">
        <v>2023</v>
      </c>
      <c r="E1367" s="7" t="inlineStr">
        <is>
          <t>North</t>
        </is>
      </c>
      <c r="F1367" s="7" t="inlineStr">
        <is>
          <t>Technology</t>
        </is>
      </c>
      <c r="G1367" s="7" t="inlineStr">
        <is>
          <t>Monitor</t>
        </is>
      </c>
      <c r="H1367" s="7" t="inlineStr">
        <is>
          <t>Home Office</t>
        </is>
      </c>
      <c r="I1367" s="7" t="n">
        <v>1</v>
      </c>
      <c r="J1367" s="10" t="n">
        <v>253.36</v>
      </c>
      <c r="K1367" s="11" t="n">
        <v>0.1</v>
      </c>
      <c r="L1367" s="10">
        <f>I1367*J1367*(1-K1367)</f>
        <v/>
      </c>
      <c r="M1367" s="10" t="n">
        <v>180</v>
      </c>
      <c r="N1367" s="10">
        <f>L1367-M1367</f>
        <v/>
      </c>
    </row>
    <row r="1368">
      <c r="A1368" s="7" t="inlineStr">
        <is>
          <t>ORD-04891</t>
        </is>
      </c>
      <c r="B1368" s="8" t="n">
        <v>45244</v>
      </c>
      <c r="C1368" s="9" t="n">
        <v>45231</v>
      </c>
      <c r="D1368" s="7" t="n">
        <v>2023</v>
      </c>
      <c r="E1368" s="7" t="inlineStr">
        <is>
          <t>West</t>
        </is>
      </c>
      <c r="F1368" s="7" t="inlineStr">
        <is>
          <t>Office Supplies</t>
        </is>
      </c>
      <c r="G1368" s="7" t="inlineStr">
        <is>
          <t>Paper</t>
        </is>
      </c>
      <c r="H1368" s="7" t="inlineStr">
        <is>
          <t>Consumer</t>
        </is>
      </c>
      <c r="I1368" s="7" t="n">
        <v>7</v>
      </c>
      <c r="J1368" s="10" t="n">
        <v>24</v>
      </c>
      <c r="K1368" s="11" t="n">
        <v>0</v>
      </c>
      <c r="L1368" s="10">
        <f>I1368*J1368*(1-K1368)</f>
        <v/>
      </c>
      <c r="M1368" s="10" t="n">
        <v>87.5</v>
      </c>
      <c r="N1368" s="10">
        <f>L1368-M1368</f>
        <v/>
      </c>
    </row>
    <row r="1369">
      <c r="A1369" s="7" t="inlineStr">
        <is>
          <t>ORD-02751</t>
        </is>
      </c>
      <c r="B1369" s="8" t="n">
        <v>45244</v>
      </c>
      <c r="C1369" s="9" t="n">
        <v>45231</v>
      </c>
      <c r="D1369" s="7" t="n">
        <v>2023</v>
      </c>
      <c r="E1369" s="7" t="inlineStr">
        <is>
          <t>South</t>
        </is>
      </c>
      <c r="F1369" s="7" t="inlineStr">
        <is>
          <t>Office Supplies</t>
        </is>
      </c>
      <c r="G1369" s="7" t="inlineStr">
        <is>
          <t>Paper</t>
        </is>
      </c>
      <c r="H1369" s="7" t="inlineStr">
        <is>
          <t>Consumer</t>
        </is>
      </c>
      <c r="I1369" s="7" t="n">
        <v>3</v>
      </c>
      <c r="J1369" s="10" t="n">
        <v>25.22</v>
      </c>
      <c r="K1369" s="11" t="n">
        <v>0.3</v>
      </c>
      <c r="L1369" s="10">
        <f>I1369*J1369*(1-K1369)</f>
        <v/>
      </c>
      <c r="M1369" s="10" t="n">
        <v>37.5</v>
      </c>
      <c r="N1369" s="10">
        <f>L1369-M1369</f>
        <v/>
      </c>
    </row>
    <row r="1370">
      <c r="A1370" s="7" t="inlineStr">
        <is>
          <t>ORD-05616</t>
        </is>
      </c>
      <c r="B1370" s="8" t="n">
        <v>45245</v>
      </c>
      <c r="C1370" s="9" t="n">
        <v>45231</v>
      </c>
      <c r="D1370" s="7" t="n">
        <v>2023</v>
      </c>
      <c r="E1370" s="7" t="inlineStr">
        <is>
          <t>West</t>
        </is>
      </c>
      <c r="F1370" s="7" t="inlineStr">
        <is>
          <t>Office Supplies</t>
        </is>
      </c>
      <c r="G1370" s="7" t="inlineStr">
        <is>
          <t>Pens</t>
        </is>
      </c>
      <c r="H1370" s="7" t="inlineStr">
        <is>
          <t>Corporate</t>
        </is>
      </c>
      <c r="I1370" s="7" t="n">
        <v>7</v>
      </c>
      <c r="J1370" s="10" t="n">
        <v>12.38</v>
      </c>
      <c r="K1370" s="11" t="n">
        <v>0</v>
      </c>
      <c r="L1370" s="10">
        <f>I1370*J1370*(1-K1370)</f>
        <v/>
      </c>
      <c r="M1370" s="10" t="n">
        <v>37.8</v>
      </c>
      <c r="N1370" s="10">
        <f>L1370-M1370</f>
        <v/>
      </c>
    </row>
    <row r="1371">
      <c r="A1371" s="7" t="inlineStr">
        <is>
          <t>ORD-02518</t>
        </is>
      </c>
      <c r="B1371" s="8" t="n">
        <v>45245</v>
      </c>
      <c r="C1371" s="9" t="n">
        <v>45231</v>
      </c>
      <c r="D1371" s="7" t="n">
        <v>2023</v>
      </c>
      <c r="E1371" s="7" t="inlineStr">
        <is>
          <t>West</t>
        </is>
      </c>
      <c r="F1371" s="7" t="inlineStr">
        <is>
          <t>Office Supplies</t>
        </is>
      </c>
      <c r="G1371" s="7" t="inlineStr">
        <is>
          <t>Stapler</t>
        </is>
      </c>
      <c r="H1371" s="7" t="inlineStr">
        <is>
          <t>Consumer</t>
        </is>
      </c>
      <c r="I1371" s="7" t="n">
        <v>11</v>
      </c>
      <c r="J1371" s="10" t="n">
        <v>14.31</v>
      </c>
      <c r="K1371" s="11" t="n">
        <v>0</v>
      </c>
      <c r="L1371" s="10">
        <f>I1371*J1371*(1-K1371)</f>
        <v/>
      </c>
      <c r="M1371" s="10" t="n">
        <v>82.5</v>
      </c>
      <c r="N1371" s="10">
        <f>L1371-M1371</f>
        <v/>
      </c>
    </row>
    <row r="1372">
      <c r="A1372" s="7" t="inlineStr">
        <is>
          <t>ORD-00039</t>
        </is>
      </c>
      <c r="B1372" s="8" t="n">
        <v>45245</v>
      </c>
      <c r="C1372" s="9" t="n">
        <v>45231</v>
      </c>
      <c r="D1372" s="7" t="n">
        <v>2023</v>
      </c>
      <c r="E1372" s="7" t="inlineStr">
        <is>
          <t>West</t>
        </is>
      </c>
      <c r="F1372" s="7" t="inlineStr">
        <is>
          <t>Office Supplies</t>
        </is>
      </c>
      <c r="G1372" s="7" t="inlineStr">
        <is>
          <t>Printer Ink</t>
        </is>
      </c>
      <c r="H1372" s="7" t="inlineStr">
        <is>
          <t>Corporate</t>
        </is>
      </c>
      <c r="I1372" s="7" t="n">
        <v>3</v>
      </c>
      <c r="J1372" s="10" t="n">
        <v>59.08</v>
      </c>
      <c r="K1372" s="11" t="n">
        <v>0</v>
      </c>
      <c r="L1372" s="10">
        <f>I1372*J1372*(1-K1372)</f>
        <v/>
      </c>
      <c r="M1372" s="10" t="n">
        <v>108</v>
      </c>
      <c r="N1372" s="10">
        <f>L1372-M1372</f>
        <v/>
      </c>
    </row>
    <row r="1373">
      <c r="A1373" s="7" t="inlineStr">
        <is>
          <t>ORD-05409</t>
        </is>
      </c>
      <c r="B1373" s="8" t="n">
        <v>45245</v>
      </c>
      <c r="C1373" s="9" t="n">
        <v>45231</v>
      </c>
      <c r="D1373" s="7" t="n">
        <v>2023</v>
      </c>
      <c r="E1373" s="7" t="inlineStr">
        <is>
          <t>East</t>
        </is>
      </c>
      <c r="F1373" s="7" t="inlineStr">
        <is>
          <t>Office Supplies</t>
        </is>
      </c>
      <c r="G1373" s="7" t="inlineStr">
        <is>
          <t>Binder</t>
        </is>
      </c>
      <c r="H1373" s="7" t="inlineStr">
        <is>
          <t>Home Office</t>
        </is>
      </c>
      <c r="I1373" s="7" t="n">
        <v>14</v>
      </c>
      <c r="J1373" s="10" t="n">
        <v>8.31</v>
      </c>
      <c r="K1373" s="11" t="n">
        <v>0</v>
      </c>
      <c r="L1373" s="10">
        <f>I1373*J1373*(1-K1373)</f>
        <v/>
      </c>
      <c r="M1373" s="10" t="n">
        <v>44.8</v>
      </c>
      <c r="N1373" s="10">
        <f>L1373-M1373</f>
        <v/>
      </c>
    </row>
    <row r="1374">
      <c r="A1374" s="7" t="inlineStr">
        <is>
          <t>ORD-03784</t>
        </is>
      </c>
      <c r="B1374" s="8" t="n">
        <v>45245</v>
      </c>
      <c r="C1374" s="9" t="n">
        <v>45231</v>
      </c>
      <c r="D1374" s="7" t="n">
        <v>2023</v>
      </c>
      <c r="E1374" s="7" t="inlineStr">
        <is>
          <t>West</t>
        </is>
      </c>
      <c r="F1374" s="7" t="inlineStr">
        <is>
          <t>Office Supplies</t>
        </is>
      </c>
      <c r="G1374" s="7" t="inlineStr">
        <is>
          <t>Pens</t>
        </is>
      </c>
      <c r="H1374" s="7" t="inlineStr">
        <is>
          <t>Consumer</t>
        </is>
      </c>
      <c r="I1374" s="7" t="n">
        <v>6</v>
      </c>
      <c r="J1374" s="10" t="n">
        <v>11.73</v>
      </c>
      <c r="K1374" s="11" t="n">
        <v>0.2</v>
      </c>
      <c r="L1374" s="10">
        <f>I1374*J1374*(1-K1374)</f>
        <v/>
      </c>
      <c r="M1374" s="10" t="n">
        <v>32.4</v>
      </c>
      <c r="N1374" s="10">
        <f>L1374-M1374</f>
        <v/>
      </c>
    </row>
    <row r="1375">
      <c r="A1375" s="7" t="inlineStr">
        <is>
          <t>ORD-02716</t>
        </is>
      </c>
      <c r="B1375" s="8" t="n">
        <v>45245</v>
      </c>
      <c r="C1375" s="9" t="n">
        <v>45231</v>
      </c>
      <c r="D1375" s="7" t="n">
        <v>2023</v>
      </c>
      <c r="E1375" s="7" t="inlineStr">
        <is>
          <t>West</t>
        </is>
      </c>
      <c r="F1375" s="7" t="inlineStr">
        <is>
          <t>Technology</t>
        </is>
      </c>
      <c r="G1375" s="7" t="inlineStr">
        <is>
          <t>Smartphone</t>
        </is>
      </c>
      <c r="H1375" s="7" t="inlineStr">
        <is>
          <t>Consumer</t>
        </is>
      </c>
      <c r="I1375" s="7" t="n">
        <v>2</v>
      </c>
      <c r="J1375" s="10" t="n">
        <v>575.55</v>
      </c>
      <c r="K1375" s="11" t="n">
        <v>0</v>
      </c>
      <c r="L1375" s="10">
        <f>I1375*J1375*(1-K1375)</f>
        <v/>
      </c>
      <c r="M1375" s="10" t="n">
        <v>900</v>
      </c>
      <c r="N1375" s="10">
        <f>L1375-M1375</f>
        <v/>
      </c>
    </row>
    <row r="1376">
      <c r="A1376" s="7" t="inlineStr">
        <is>
          <t>ORD-01668</t>
        </is>
      </c>
      <c r="B1376" s="8" t="n">
        <v>45246</v>
      </c>
      <c r="C1376" s="9" t="n">
        <v>45231</v>
      </c>
      <c r="D1376" s="7" t="n">
        <v>2023</v>
      </c>
      <c r="E1376" s="7" t="inlineStr">
        <is>
          <t>East</t>
        </is>
      </c>
      <c r="F1376" s="7" t="inlineStr">
        <is>
          <t>Furniture</t>
        </is>
      </c>
      <c r="G1376" s="7" t="inlineStr">
        <is>
          <t>Office Chair</t>
        </is>
      </c>
      <c r="H1376" s="7" t="inlineStr">
        <is>
          <t>Home Office</t>
        </is>
      </c>
      <c r="I1376" s="7" t="n">
        <v>1</v>
      </c>
      <c r="J1376" s="10" t="n">
        <v>219.79</v>
      </c>
      <c r="K1376" s="11" t="n">
        <v>0.1</v>
      </c>
      <c r="L1376" s="10">
        <f>I1376*J1376*(1-K1376)</f>
        <v/>
      </c>
      <c r="M1376" s="10" t="n">
        <v>180.4</v>
      </c>
      <c r="N1376" s="10">
        <f>L1376-M1376</f>
        <v/>
      </c>
    </row>
    <row r="1377">
      <c r="A1377" s="7" t="inlineStr">
        <is>
          <t>ORD-04951</t>
        </is>
      </c>
      <c r="B1377" s="8" t="n">
        <v>45246</v>
      </c>
      <c r="C1377" s="9" t="n">
        <v>45231</v>
      </c>
      <c r="D1377" s="7" t="n">
        <v>2023</v>
      </c>
      <c r="E1377" s="7" t="inlineStr">
        <is>
          <t>East</t>
        </is>
      </c>
      <c r="F1377" s="7" t="inlineStr">
        <is>
          <t>Office Supplies</t>
        </is>
      </c>
      <c r="G1377" s="7" t="inlineStr">
        <is>
          <t>Pens</t>
        </is>
      </c>
      <c r="H1377" s="7" t="inlineStr">
        <is>
          <t>Home Office</t>
        </is>
      </c>
      <c r="I1377" s="7" t="n">
        <v>8</v>
      </c>
      <c r="J1377" s="10" t="n">
        <v>12.37</v>
      </c>
      <c r="K1377" s="11" t="n">
        <v>0</v>
      </c>
      <c r="L1377" s="10">
        <f>I1377*J1377*(1-K1377)</f>
        <v/>
      </c>
      <c r="M1377" s="10" t="n">
        <v>43.2</v>
      </c>
      <c r="N1377" s="10">
        <f>L1377-M1377</f>
        <v/>
      </c>
    </row>
    <row r="1378">
      <c r="A1378" s="7" t="inlineStr">
        <is>
          <t>ORD-04955</t>
        </is>
      </c>
      <c r="B1378" s="8" t="n">
        <v>45246</v>
      </c>
      <c r="C1378" s="9" t="n">
        <v>45231</v>
      </c>
      <c r="D1378" s="7" t="n">
        <v>2023</v>
      </c>
      <c r="E1378" s="7" t="inlineStr">
        <is>
          <t>North</t>
        </is>
      </c>
      <c r="F1378" s="7" t="inlineStr">
        <is>
          <t>Office Supplies</t>
        </is>
      </c>
      <c r="G1378" s="7" t="inlineStr">
        <is>
          <t>Paper</t>
        </is>
      </c>
      <c r="H1378" s="7" t="inlineStr">
        <is>
          <t>Corporate</t>
        </is>
      </c>
      <c r="I1378" s="7" t="n">
        <v>7</v>
      </c>
      <c r="J1378" s="10" t="n">
        <v>25.91</v>
      </c>
      <c r="K1378" s="11" t="n">
        <v>0.3</v>
      </c>
      <c r="L1378" s="10">
        <f>I1378*J1378*(1-K1378)</f>
        <v/>
      </c>
      <c r="M1378" s="10" t="n">
        <v>87.5</v>
      </c>
      <c r="N1378" s="10">
        <f>L1378-M1378</f>
        <v/>
      </c>
    </row>
    <row r="1379">
      <c r="A1379" s="7" t="inlineStr">
        <is>
          <t>ORD-03266</t>
        </is>
      </c>
      <c r="B1379" s="8" t="n">
        <v>45246</v>
      </c>
      <c r="C1379" s="9" t="n">
        <v>45231</v>
      </c>
      <c r="D1379" s="7" t="n">
        <v>2023</v>
      </c>
      <c r="E1379" s="7" t="inlineStr">
        <is>
          <t>South</t>
        </is>
      </c>
      <c r="F1379" s="7" t="inlineStr">
        <is>
          <t>Office Supplies</t>
        </is>
      </c>
      <c r="G1379" s="7" t="inlineStr">
        <is>
          <t>Paper</t>
        </is>
      </c>
      <c r="H1379" s="7" t="inlineStr">
        <is>
          <t>Consumer</t>
        </is>
      </c>
      <c r="I1379" s="7" t="n">
        <v>7</v>
      </c>
      <c r="J1379" s="10" t="n">
        <v>24.02</v>
      </c>
      <c r="K1379" s="11" t="n">
        <v>0</v>
      </c>
      <c r="L1379" s="10">
        <f>I1379*J1379*(1-K1379)</f>
        <v/>
      </c>
      <c r="M1379" s="10" t="n">
        <v>87.5</v>
      </c>
      <c r="N1379" s="10">
        <f>L1379-M1379</f>
        <v/>
      </c>
    </row>
    <row r="1380">
      <c r="A1380" s="7" t="inlineStr">
        <is>
          <t>ORD-01891</t>
        </is>
      </c>
      <c r="B1380" s="8" t="n">
        <v>45246</v>
      </c>
      <c r="C1380" s="9" t="n">
        <v>45231</v>
      </c>
      <c r="D1380" s="7" t="n">
        <v>2023</v>
      </c>
      <c r="E1380" s="7" t="inlineStr">
        <is>
          <t>East</t>
        </is>
      </c>
      <c r="F1380" s="7" t="inlineStr">
        <is>
          <t>Office Supplies</t>
        </is>
      </c>
      <c r="G1380" s="7" t="inlineStr">
        <is>
          <t>Paper</t>
        </is>
      </c>
      <c r="H1380" s="7" t="inlineStr">
        <is>
          <t>Home Office</t>
        </is>
      </c>
      <c r="I1380" s="7" t="n">
        <v>15</v>
      </c>
      <c r="J1380" s="10" t="n">
        <v>24.03</v>
      </c>
      <c r="K1380" s="11" t="n">
        <v>0.05</v>
      </c>
      <c r="L1380" s="10">
        <f>I1380*J1380*(1-K1380)</f>
        <v/>
      </c>
      <c r="M1380" s="10" t="n">
        <v>187.5</v>
      </c>
      <c r="N1380" s="10">
        <f>L1380-M1380</f>
        <v/>
      </c>
    </row>
    <row r="1381">
      <c r="A1381" s="7" t="inlineStr">
        <is>
          <t>ORD-01484</t>
        </is>
      </c>
      <c r="B1381" s="8" t="n">
        <v>45246</v>
      </c>
      <c r="C1381" s="9" t="n">
        <v>45231</v>
      </c>
      <c r="D1381" s="7" t="n">
        <v>2023</v>
      </c>
      <c r="E1381" s="7" t="inlineStr">
        <is>
          <t>South</t>
        </is>
      </c>
      <c r="F1381" s="7" t="inlineStr">
        <is>
          <t>Office Supplies</t>
        </is>
      </c>
      <c r="G1381" s="7" t="inlineStr">
        <is>
          <t>Printer Ink</t>
        </is>
      </c>
      <c r="H1381" s="7" t="inlineStr">
        <is>
          <t>Consumer</t>
        </is>
      </c>
      <c r="I1381" s="7" t="n">
        <v>3</v>
      </c>
      <c r="J1381" s="10" t="n">
        <v>62.99</v>
      </c>
      <c r="K1381" s="11" t="n">
        <v>0</v>
      </c>
      <c r="L1381" s="10">
        <f>I1381*J1381*(1-K1381)</f>
        <v/>
      </c>
      <c r="M1381" s="10" t="n">
        <v>108</v>
      </c>
      <c r="N1381" s="10">
        <f>L1381-M1381</f>
        <v/>
      </c>
    </row>
    <row r="1382">
      <c r="A1382" s="7" t="inlineStr">
        <is>
          <t>ORD-05139</t>
        </is>
      </c>
      <c r="B1382" s="8" t="n">
        <v>45246</v>
      </c>
      <c r="C1382" s="9" t="n">
        <v>45231</v>
      </c>
      <c r="D1382" s="7" t="n">
        <v>2023</v>
      </c>
      <c r="E1382" s="7" t="inlineStr">
        <is>
          <t>East</t>
        </is>
      </c>
      <c r="F1382" s="7" t="inlineStr">
        <is>
          <t>Technology</t>
        </is>
      </c>
      <c r="G1382" s="7" t="inlineStr">
        <is>
          <t>Monitor</t>
        </is>
      </c>
      <c r="H1382" s="7" t="inlineStr">
        <is>
          <t>Corporate</t>
        </is>
      </c>
      <c r="I1382" s="7" t="n">
        <v>1</v>
      </c>
      <c r="J1382" s="10" t="n">
        <v>247.63</v>
      </c>
      <c r="K1382" s="11" t="n">
        <v>0.1</v>
      </c>
      <c r="L1382" s="10">
        <f>I1382*J1382*(1-K1382)</f>
        <v/>
      </c>
      <c r="M1382" s="10" t="n">
        <v>180</v>
      </c>
      <c r="N1382" s="10">
        <f>L1382-M1382</f>
        <v/>
      </c>
    </row>
    <row r="1383">
      <c r="A1383" s="7" t="inlineStr">
        <is>
          <t>ORD-00016</t>
        </is>
      </c>
      <c r="B1383" s="8" t="n">
        <v>45246</v>
      </c>
      <c r="C1383" s="9" t="n">
        <v>45231</v>
      </c>
      <c r="D1383" s="7" t="n">
        <v>2023</v>
      </c>
      <c r="E1383" s="7" t="inlineStr">
        <is>
          <t>West</t>
        </is>
      </c>
      <c r="F1383" s="7" t="inlineStr">
        <is>
          <t>Office Supplies</t>
        </is>
      </c>
      <c r="G1383" s="7" t="inlineStr">
        <is>
          <t>Binder</t>
        </is>
      </c>
      <c r="H1383" s="7" t="inlineStr">
        <is>
          <t>Consumer</t>
        </is>
      </c>
      <c r="I1383" s="7" t="n">
        <v>13</v>
      </c>
      <c r="J1383" s="10" t="n">
        <v>8.27</v>
      </c>
      <c r="K1383" s="11" t="n">
        <v>0</v>
      </c>
      <c r="L1383" s="10">
        <f>I1383*J1383*(1-K1383)</f>
        <v/>
      </c>
      <c r="M1383" s="10" t="n">
        <v>41.6</v>
      </c>
      <c r="N1383" s="10">
        <f>L1383-M1383</f>
        <v/>
      </c>
    </row>
    <row r="1384">
      <c r="A1384" s="7" t="inlineStr">
        <is>
          <t>ORD-00756</t>
        </is>
      </c>
      <c r="B1384" s="8" t="n">
        <v>45246</v>
      </c>
      <c r="C1384" s="9" t="n">
        <v>45231</v>
      </c>
      <c r="D1384" s="7" t="n">
        <v>2023</v>
      </c>
      <c r="E1384" s="7" t="inlineStr">
        <is>
          <t>West</t>
        </is>
      </c>
      <c r="F1384" s="7" t="inlineStr">
        <is>
          <t>Office Supplies</t>
        </is>
      </c>
      <c r="G1384" s="7" t="inlineStr">
        <is>
          <t>Binder</t>
        </is>
      </c>
      <c r="H1384" s="7" t="inlineStr">
        <is>
          <t>Corporate</t>
        </is>
      </c>
      <c r="I1384" s="7" t="n">
        <v>12</v>
      </c>
      <c r="J1384" s="10" t="n">
        <v>8.199999999999999</v>
      </c>
      <c r="K1384" s="11" t="n">
        <v>0</v>
      </c>
      <c r="L1384" s="10">
        <f>I1384*J1384*(1-K1384)</f>
        <v/>
      </c>
      <c r="M1384" s="10" t="n">
        <v>38.4</v>
      </c>
      <c r="N1384" s="10">
        <f>L1384-M1384</f>
        <v/>
      </c>
    </row>
    <row r="1385">
      <c r="A1385" s="7" t="inlineStr">
        <is>
          <t>ORD-05646</t>
        </is>
      </c>
      <c r="B1385" s="8" t="n">
        <v>45246</v>
      </c>
      <c r="C1385" s="9" t="n">
        <v>45231</v>
      </c>
      <c r="D1385" s="7" t="n">
        <v>2023</v>
      </c>
      <c r="E1385" s="7" t="inlineStr">
        <is>
          <t>West</t>
        </is>
      </c>
      <c r="F1385" s="7" t="inlineStr">
        <is>
          <t>Furniture</t>
        </is>
      </c>
      <c r="G1385" s="7" t="inlineStr">
        <is>
          <t>Bookcase</t>
        </is>
      </c>
      <c r="H1385" s="7" t="inlineStr">
        <is>
          <t>Consumer</t>
        </is>
      </c>
      <c r="I1385" s="7" t="n">
        <v>2</v>
      </c>
      <c r="J1385" s="10" t="n">
        <v>175.53</v>
      </c>
      <c r="K1385" s="11" t="n">
        <v>0.3</v>
      </c>
      <c r="L1385" s="10">
        <f>I1385*J1385*(1-K1385)</f>
        <v/>
      </c>
      <c r="M1385" s="10" t="n">
        <v>288</v>
      </c>
      <c r="N1385" s="10">
        <f>L1385-M1385</f>
        <v/>
      </c>
    </row>
    <row r="1386">
      <c r="A1386" s="7" t="inlineStr">
        <is>
          <t>ORD-02623</t>
        </is>
      </c>
      <c r="B1386" s="8" t="n">
        <v>45247</v>
      </c>
      <c r="C1386" s="9" t="n">
        <v>45231</v>
      </c>
      <c r="D1386" s="7" t="n">
        <v>2023</v>
      </c>
      <c r="E1386" s="7" t="inlineStr">
        <is>
          <t>West</t>
        </is>
      </c>
      <c r="F1386" s="7" t="inlineStr">
        <is>
          <t>Office Supplies</t>
        </is>
      </c>
      <c r="G1386" s="7" t="inlineStr">
        <is>
          <t>Binder</t>
        </is>
      </c>
      <c r="H1386" s="7" t="inlineStr">
        <is>
          <t>Home Office</t>
        </is>
      </c>
      <c r="I1386" s="7" t="n">
        <v>8</v>
      </c>
      <c r="J1386" s="10" t="n">
        <v>8.24</v>
      </c>
      <c r="K1386" s="11" t="n">
        <v>0.1</v>
      </c>
      <c r="L1386" s="10">
        <f>I1386*J1386*(1-K1386)</f>
        <v/>
      </c>
      <c r="M1386" s="10" t="n">
        <v>25.6</v>
      </c>
      <c r="N1386" s="10">
        <f>L1386-M1386</f>
        <v/>
      </c>
    </row>
    <row r="1387">
      <c r="A1387" s="7" t="inlineStr">
        <is>
          <t>ORD-04424</t>
        </is>
      </c>
      <c r="B1387" s="8" t="n">
        <v>45247</v>
      </c>
      <c r="C1387" s="9" t="n">
        <v>45231</v>
      </c>
      <c r="D1387" s="7" t="n">
        <v>2023</v>
      </c>
      <c r="E1387" s="7" t="inlineStr">
        <is>
          <t>West</t>
        </is>
      </c>
      <c r="F1387" s="7" t="inlineStr">
        <is>
          <t>Office Supplies</t>
        </is>
      </c>
      <c r="G1387" s="7" t="inlineStr">
        <is>
          <t>Paper</t>
        </is>
      </c>
      <c r="H1387" s="7" t="inlineStr">
        <is>
          <t>Consumer</t>
        </is>
      </c>
      <c r="I1387" s="7" t="n">
        <v>3</v>
      </c>
      <c r="J1387" s="10" t="n">
        <v>26.16</v>
      </c>
      <c r="K1387" s="11" t="n">
        <v>0.05</v>
      </c>
      <c r="L1387" s="10">
        <f>I1387*J1387*(1-K1387)</f>
        <v/>
      </c>
      <c r="M1387" s="10" t="n">
        <v>37.5</v>
      </c>
      <c r="N1387" s="10">
        <f>L1387-M1387</f>
        <v/>
      </c>
    </row>
    <row r="1388">
      <c r="A1388" s="7" t="inlineStr">
        <is>
          <t>ORD-01468</t>
        </is>
      </c>
      <c r="B1388" s="8" t="n">
        <v>45247</v>
      </c>
      <c r="C1388" s="9" t="n">
        <v>45231</v>
      </c>
      <c r="D1388" s="7" t="n">
        <v>2023</v>
      </c>
      <c r="E1388" s="7" t="inlineStr">
        <is>
          <t>West</t>
        </is>
      </c>
      <c r="F1388" s="7" t="inlineStr">
        <is>
          <t>Office Supplies</t>
        </is>
      </c>
      <c r="G1388" s="7" t="inlineStr">
        <is>
          <t>Stapler</t>
        </is>
      </c>
      <c r="H1388" s="7" t="inlineStr">
        <is>
          <t>Corporate</t>
        </is>
      </c>
      <c r="I1388" s="7" t="n">
        <v>9</v>
      </c>
      <c r="J1388" s="10" t="n">
        <v>15.67</v>
      </c>
      <c r="K1388" s="11" t="n">
        <v>0.1</v>
      </c>
      <c r="L1388" s="10">
        <f>I1388*J1388*(1-K1388)</f>
        <v/>
      </c>
      <c r="M1388" s="10" t="n">
        <v>67.5</v>
      </c>
      <c r="N1388" s="10">
        <f>L1388-M1388</f>
        <v/>
      </c>
    </row>
    <row r="1389">
      <c r="A1389" s="7" t="inlineStr">
        <is>
          <t>ORD-03537</t>
        </is>
      </c>
      <c r="B1389" s="8" t="n">
        <v>45247</v>
      </c>
      <c r="C1389" s="9" t="n">
        <v>45231</v>
      </c>
      <c r="D1389" s="7" t="n">
        <v>2023</v>
      </c>
      <c r="E1389" s="7" t="inlineStr">
        <is>
          <t>North</t>
        </is>
      </c>
      <c r="F1389" s="7" t="inlineStr">
        <is>
          <t>Furniture</t>
        </is>
      </c>
      <c r="G1389" s="7" t="inlineStr">
        <is>
          <t>Desk</t>
        </is>
      </c>
      <c r="H1389" s="7" t="inlineStr">
        <is>
          <t>Corporate</t>
        </is>
      </c>
      <c r="I1389" s="7" t="n">
        <v>1</v>
      </c>
      <c r="J1389" s="10" t="n">
        <v>461.47</v>
      </c>
      <c r="K1389" s="11" t="n">
        <v>0.05</v>
      </c>
      <c r="L1389" s="10">
        <f>I1389*J1389*(1-K1389)</f>
        <v/>
      </c>
      <c r="M1389" s="10" t="n">
        <v>382.5</v>
      </c>
      <c r="N1389" s="10">
        <f>L1389-M1389</f>
        <v/>
      </c>
    </row>
    <row r="1390">
      <c r="A1390" s="7" t="inlineStr">
        <is>
          <t>ORD-03034</t>
        </is>
      </c>
      <c r="B1390" s="8" t="n">
        <v>45248</v>
      </c>
      <c r="C1390" s="9" t="n">
        <v>45231</v>
      </c>
      <c r="D1390" s="7" t="n">
        <v>2023</v>
      </c>
      <c r="E1390" s="7" t="inlineStr">
        <is>
          <t>North</t>
        </is>
      </c>
      <c r="F1390" s="7" t="inlineStr">
        <is>
          <t>Office Supplies</t>
        </is>
      </c>
      <c r="G1390" s="7" t="inlineStr">
        <is>
          <t>Pens</t>
        </is>
      </c>
      <c r="H1390" s="7" t="inlineStr">
        <is>
          <t>Consumer</t>
        </is>
      </c>
      <c r="I1390" s="7" t="n">
        <v>14</v>
      </c>
      <c r="J1390" s="10" t="n">
        <v>12.59</v>
      </c>
      <c r="K1390" s="11" t="n">
        <v>0.05</v>
      </c>
      <c r="L1390" s="10">
        <f>I1390*J1390*(1-K1390)</f>
        <v/>
      </c>
      <c r="M1390" s="10" t="n">
        <v>75.59999999999999</v>
      </c>
      <c r="N1390" s="10">
        <f>L1390-M1390</f>
        <v/>
      </c>
    </row>
    <row r="1391">
      <c r="A1391" s="7" t="inlineStr">
        <is>
          <t>ORD-05047</t>
        </is>
      </c>
      <c r="B1391" s="8" t="n">
        <v>45248</v>
      </c>
      <c r="C1391" s="9" t="n">
        <v>45231</v>
      </c>
      <c r="D1391" s="7" t="n">
        <v>2023</v>
      </c>
      <c r="E1391" s="7" t="inlineStr">
        <is>
          <t>North</t>
        </is>
      </c>
      <c r="F1391" s="7" t="inlineStr">
        <is>
          <t>Technology</t>
        </is>
      </c>
      <c r="G1391" s="7" t="inlineStr">
        <is>
          <t>Headphones</t>
        </is>
      </c>
      <c r="H1391" s="7" t="inlineStr">
        <is>
          <t>Consumer</t>
        </is>
      </c>
      <c r="I1391" s="7" t="n">
        <v>3</v>
      </c>
      <c r="J1391" s="10" t="n">
        <v>119.77</v>
      </c>
      <c r="K1391" s="11" t="n">
        <v>0</v>
      </c>
      <c r="L1391" s="10">
        <f>I1391*J1391*(1-K1391)</f>
        <v/>
      </c>
      <c r="M1391" s="10" t="n">
        <v>216</v>
      </c>
      <c r="N1391" s="10">
        <f>L1391-M1391</f>
        <v/>
      </c>
    </row>
    <row r="1392">
      <c r="A1392" s="7" t="inlineStr">
        <is>
          <t>ORD-00163</t>
        </is>
      </c>
      <c r="B1392" s="8" t="n">
        <v>45248</v>
      </c>
      <c r="C1392" s="9" t="n">
        <v>45231</v>
      </c>
      <c r="D1392" s="7" t="n">
        <v>2023</v>
      </c>
      <c r="E1392" s="7" t="inlineStr">
        <is>
          <t>East</t>
        </is>
      </c>
      <c r="F1392" s="7" t="inlineStr">
        <is>
          <t>Office Supplies</t>
        </is>
      </c>
      <c r="G1392" s="7" t="inlineStr">
        <is>
          <t>Stapler</t>
        </is>
      </c>
      <c r="H1392" s="7" t="inlineStr">
        <is>
          <t>Consumer</t>
        </is>
      </c>
      <c r="I1392" s="7" t="n">
        <v>14</v>
      </c>
      <c r="J1392" s="10" t="n">
        <v>14.87</v>
      </c>
      <c r="K1392" s="11" t="n">
        <v>0</v>
      </c>
      <c r="L1392" s="10">
        <f>I1392*J1392*(1-K1392)</f>
        <v/>
      </c>
      <c r="M1392" s="10" t="n">
        <v>105</v>
      </c>
      <c r="N1392" s="10">
        <f>L1392-M1392</f>
        <v/>
      </c>
    </row>
    <row r="1393">
      <c r="A1393" s="7" t="inlineStr">
        <is>
          <t>ORD-02708</t>
        </is>
      </c>
      <c r="B1393" s="8" t="n">
        <v>45248</v>
      </c>
      <c r="C1393" s="9" t="n">
        <v>45231</v>
      </c>
      <c r="D1393" s="7" t="n">
        <v>2023</v>
      </c>
      <c r="E1393" s="7" t="inlineStr">
        <is>
          <t>West</t>
        </is>
      </c>
      <c r="F1393" s="7" t="inlineStr">
        <is>
          <t>Technology</t>
        </is>
      </c>
      <c r="G1393" s="7" t="inlineStr">
        <is>
          <t>Monitor</t>
        </is>
      </c>
      <c r="H1393" s="7" t="inlineStr">
        <is>
          <t>Consumer</t>
        </is>
      </c>
      <c r="I1393" s="7" t="n">
        <v>2</v>
      </c>
      <c r="J1393" s="10" t="n">
        <v>240.99</v>
      </c>
      <c r="K1393" s="11" t="n">
        <v>0</v>
      </c>
      <c r="L1393" s="10">
        <f>I1393*J1393*(1-K1393)</f>
        <v/>
      </c>
      <c r="M1393" s="10" t="n">
        <v>360</v>
      </c>
      <c r="N1393" s="10">
        <f>L1393-M1393</f>
        <v/>
      </c>
    </row>
    <row r="1394">
      <c r="A1394" s="7" t="inlineStr">
        <is>
          <t>ORD-01851</t>
        </is>
      </c>
      <c r="B1394" s="8" t="n">
        <v>45249</v>
      </c>
      <c r="C1394" s="9" t="n">
        <v>45231</v>
      </c>
      <c r="D1394" s="7" t="n">
        <v>2023</v>
      </c>
      <c r="E1394" s="7" t="inlineStr">
        <is>
          <t>East</t>
        </is>
      </c>
      <c r="F1394" s="7" t="inlineStr">
        <is>
          <t>Office Supplies</t>
        </is>
      </c>
      <c r="G1394" s="7" t="inlineStr">
        <is>
          <t>Binder</t>
        </is>
      </c>
      <c r="H1394" s="7" t="inlineStr">
        <is>
          <t>Consumer</t>
        </is>
      </c>
      <c r="I1394" s="7" t="n">
        <v>7</v>
      </c>
      <c r="J1394" s="10" t="n">
        <v>7.68</v>
      </c>
      <c r="K1394" s="11" t="n">
        <v>0</v>
      </c>
      <c r="L1394" s="10">
        <f>I1394*J1394*(1-K1394)</f>
        <v/>
      </c>
      <c r="M1394" s="10" t="n">
        <v>22.4</v>
      </c>
      <c r="N1394" s="10">
        <f>L1394-M1394</f>
        <v/>
      </c>
    </row>
    <row r="1395">
      <c r="A1395" s="7" t="inlineStr">
        <is>
          <t>ORD-01742</t>
        </is>
      </c>
      <c r="B1395" s="8" t="n">
        <v>45249</v>
      </c>
      <c r="C1395" s="9" t="n">
        <v>45231</v>
      </c>
      <c r="D1395" s="7" t="n">
        <v>2023</v>
      </c>
      <c r="E1395" s="7" t="inlineStr">
        <is>
          <t>East</t>
        </is>
      </c>
      <c r="F1395" s="7" t="inlineStr">
        <is>
          <t>Office Supplies</t>
        </is>
      </c>
      <c r="G1395" s="7" t="inlineStr">
        <is>
          <t>Pens</t>
        </is>
      </c>
      <c r="H1395" s="7" t="inlineStr">
        <is>
          <t>Corporate</t>
        </is>
      </c>
      <c r="I1395" s="7" t="n">
        <v>5</v>
      </c>
      <c r="J1395" s="10" t="n">
        <v>11.93</v>
      </c>
      <c r="K1395" s="11" t="n">
        <v>0</v>
      </c>
      <c r="L1395" s="10">
        <f>I1395*J1395*(1-K1395)</f>
        <v/>
      </c>
      <c r="M1395" s="10" t="n">
        <v>27</v>
      </c>
      <c r="N1395" s="10">
        <f>L1395-M1395</f>
        <v/>
      </c>
    </row>
    <row r="1396">
      <c r="A1396" s="7" t="inlineStr">
        <is>
          <t>ORD-00828</t>
        </is>
      </c>
      <c r="B1396" s="8" t="n">
        <v>45249</v>
      </c>
      <c r="C1396" s="9" t="n">
        <v>45231</v>
      </c>
      <c r="D1396" s="7" t="n">
        <v>2023</v>
      </c>
      <c r="E1396" s="7" t="inlineStr">
        <is>
          <t>North</t>
        </is>
      </c>
      <c r="F1396" s="7" t="inlineStr">
        <is>
          <t>Furniture</t>
        </is>
      </c>
      <c r="G1396" s="7" t="inlineStr">
        <is>
          <t>Bookcase</t>
        </is>
      </c>
      <c r="H1396" s="7" t="inlineStr">
        <is>
          <t>Consumer</t>
        </is>
      </c>
      <c r="I1396" s="7" t="n">
        <v>3</v>
      </c>
      <c r="J1396" s="10" t="n">
        <v>183.28</v>
      </c>
      <c r="K1396" s="11" t="n">
        <v>0.05</v>
      </c>
      <c r="L1396" s="10">
        <f>I1396*J1396*(1-K1396)</f>
        <v/>
      </c>
      <c r="M1396" s="10" t="n">
        <v>432</v>
      </c>
      <c r="N1396" s="10">
        <f>L1396-M1396</f>
        <v/>
      </c>
    </row>
    <row r="1397">
      <c r="A1397" s="7" t="inlineStr">
        <is>
          <t>ORD-00313</t>
        </is>
      </c>
      <c r="B1397" s="8" t="n">
        <v>45250</v>
      </c>
      <c r="C1397" s="9" t="n">
        <v>45231</v>
      </c>
      <c r="D1397" s="7" t="n">
        <v>2023</v>
      </c>
      <c r="E1397" s="7" t="inlineStr">
        <is>
          <t>North</t>
        </is>
      </c>
      <c r="F1397" s="7" t="inlineStr">
        <is>
          <t>Office Supplies</t>
        </is>
      </c>
      <c r="G1397" s="7" t="inlineStr">
        <is>
          <t>Binder</t>
        </is>
      </c>
      <c r="H1397" s="7" t="inlineStr">
        <is>
          <t>Consumer</t>
        </is>
      </c>
      <c r="I1397" s="7" t="n">
        <v>6</v>
      </c>
      <c r="J1397" s="10" t="n">
        <v>8.26</v>
      </c>
      <c r="K1397" s="11" t="n">
        <v>0.2</v>
      </c>
      <c r="L1397" s="10">
        <f>I1397*J1397*(1-K1397)</f>
        <v/>
      </c>
      <c r="M1397" s="10" t="n">
        <v>19.2</v>
      </c>
      <c r="N1397" s="10">
        <f>L1397-M1397</f>
        <v/>
      </c>
    </row>
    <row r="1398">
      <c r="A1398" s="7" t="inlineStr">
        <is>
          <t>ORD-02847</t>
        </is>
      </c>
      <c r="B1398" s="8" t="n">
        <v>45250</v>
      </c>
      <c r="C1398" s="9" t="n">
        <v>45231</v>
      </c>
      <c r="D1398" s="7" t="n">
        <v>2023</v>
      </c>
      <c r="E1398" s="7" t="inlineStr">
        <is>
          <t>South</t>
        </is>
      </c>
      <c r="F1398" s="7" t="inlineStr">
        <is>
          <t>Office Supplies</t>
        </is>
      </c>
      <c r="G1398" s="7" t="inlineStr">
        <is>
          <t>Binder</t>
        </is>
      </c>
      <c r="H1398" s="7" t="inlineStr">
        <is>
          <t>Consumer</t>
        </is>
      </c>
      <c r="I1398" s="7" t="n">
        <v>10</v>
      </c>
      <c r="J1398" s="10" t="n">
        <v>7.88</v>
      </c>
      <c r="K1398" s="11" t="n">
        <v>0.05</v>
      </c>
      <c r="L1398" s="10">
        <f>I1398*J1398*(1-K1398)</f>
        <v/>
      </c>
      <c r="M1398" s="10" t="n">
        <v>32</v>
      </c>
      <c r="N1398" s="10">
        <f>L1398-M1398</f>
        <v/>
      </c>
    </row>
    <row r="1399">
      <c r="A1399" s="7" t="inlineStr">
        <is>
          <t>ORD-03416</t>
        </is>
      </c>
      <c r="B1399" s="8" t="n">
        <v>45250</v>
      </c>
      <c r="C1399" s="9" t="n">
        <v>45231</v>
      </c>
      <c r="D1399" s="7" t="n">
        <v>2023</v>
      </c>
      <c r="E1399" s="7" t="inlineStr">
        <is>
          <t>East</t>
        </is>
      </c>
      <c r="F1399" s="7" t="inlineStr">
        <is>
          <t>Office Supplies</t>
        </is>
      </c>
      <c r="G1399" s="7" t="inlineStr">
        <is>
          <t>Paper</t>
        </is>
      </c>
      <c r="H1399" s="7" t="inlineStr">
        <is>
          <t>Consumer</t>
        </is>
      </c>
      <c r="I1399" s="7" t="n">
        <v>2</v>
      </c>
      <c r="J1399" s="10" t="n">
        <v>25.28</v>
      </c>
      <c r="K1399" s="11" t="n">
        <v>0</v>
      </c>
      <c r="L1399" s="10">
        <f>I1399*J1399*(1-K1399)</f>
        <v/>
      </c>
      <c r="M1399" s="10" t="n">
        <v>25</v>
      </c>
      <c r="N1399" s="10">
        <f>L1399-M1399</f>
        <v/>
      </c>
    </row>
    <row r="1400">
      <c r="A1400" s="7" t="inlineStr">
        <is>
          <t>ORD-02608</t>
        </is>
      </c>
      <c r="B1400" s="8" t="n">
        <v>45250</v>
      </c>
      <c r="C1400" s="9" t="n">
        <v>45231</v>
      </c>
      <c r="D1400" s="7" t="n">
        <v>2023</v>
      </c>
      <c r="E1400" s="7" t="inlineStr">
        <is>
          <t>South</t>
        </is>
      </c>
      <c r="F1400" s="7" t="inlineStr">
        <is>
          <t>Technology</t>
        </is>
      </c>
      <c r="G1400" s="7" t="inlineStr">
        <is>
          <t>Keyboard</t>
        </is>
      </c>
      <c r="H1400" s="7" t="inlineStr">
        <is>
          <t>Corporate</t>
        </is>
      </c>
      <c r="I1400" s="7" t="n">
        <v>1</v>
      </c>
      <c r="J1400" s="10" t="n">
        <v>44.05</v>
      </c>
      <c r="K1400" s="11" t="n">
        <v>0</v>
      </c>
      <c r="L1400" s="10">
        <f>I1400*J1400*(1-K1400)</f>
        <v/>
      </c>
      <c r="M1400" s="10" t="n">
        <v>24.75</v>
      </c>
      <c r="N1400" s="10">
        <f>L1400-M1400</f>
        <v/>
      </c>
    </row>
    <row r="1401">
      <c r="A1401" s="7" t="inlineStr">
        <is>
          <t>ORD-00556</t>
        </is>
      </c>
      <c r="B1401" s="8" t="n">
        <v>45251</v>
      </c>
      <c r="C1401" s="9" t="n">
        <v>45231</v>
      </c>
      <c r="D1401" s="7" t="n">
        <v>2023</v>
      </c>
      <c r="E1401" s="7" t="inlineStr">
        <is>
          <t>East</t>
        </is>
      </c>
      <c r="F1401" s="7" t="inlineStr">
        <is>
          <t>Office Supplies</t>
        </is>
      </c>
      <c r="G1401" s="7" t="inlineStr">
        <is>
          <t>Pens</t>
        </is>
      </c>
      <c r="H1401" s="7" t="inlineStr">
        <is>
          <t>Consumer</t>
        </is>
      </c>
      <c r="I1401" s="7" t="n">
        <v>11</v>
      </c>
      <c r="J1401" s="10" t="n">
        <v>12</v>
      </c>
      <c r="K1401" s="11" t="n">
        <v>0</v>
      </c>
      <c r="L1401" s="10">
        <f>I1401*J1401*(1-K1401)</f>
        <v/>
      </c>
      <c r="M1401" s="10" t="n">
        <v>59.4</v>
      </c>
      <c r="N1401" s="10">
        <f>L1401-M1401</f>
        <v/>
      </c>
    </row>
    <row r="1402">
      <c r="A1402" s="7" t="inlineStr">
        <is>
          <t>ORD-02515</t>
        </is>
      </c>
      <c r="B1402" s="8" t="n">
        <v>45251</v>
      </c>
      <c r="C1402" s="9" t="n">
        <v>45231</v>
      </c>
      <c r="D1402" s="7" t="n">
        <v>2023</v>
      </c>
      <c r="E1402" s="7" t="inlineStr">
        <is>
          <t>East</t>
        </is>
      </c>
      <c r="F1402" s="7" t="inlineStr">
        <is>
          <t>Office Supplies</t>
        </is>
      </c>
      <c r="G1402" s="7" t="inlineStr">
        <is>
          <t>Printer Ink</t>
        </is>
      </c>
      <c r="H1402" s="7" t="inlineStr">
        <is>
          <t>Corporate</t>
        </is>
      </c>
      <c r="I1402" s="7" t="n">
        <v>8</v>
      </c>
      <c r="J1402" s="10" t="n">
        <v>62.03</v>
      </c>
      <c r="K1402" s="11" t="n">
        <v>0</v>
      </c>
      <c r="L1402" s="10">
        <f>I1402*J1402*(1-K1402)</f>
        <v/>
      </c>
      <c r="M1402" s="10" t="n">
        <v>288</v>
      </c>
      <c r="N1402" s="10">
        <f>L1402-M1402</f>
        <v/>
      </c>
    </row>
    <row r="1403">
      <c r="A1403" s="7" t="inlineStr">
        <is>
          <t>ORD-02353</t>
        </is>
      </c>
      <c r="B1403" s="8" t="n">
        <v>45252</v>
      </c>
      <c r="C1403" s="9" t="n">
        <v>45231</v>
      </c>
      <c r="D1403" s="7" t="n">
        <v>2023</v>
      </c>
      <c r="E1403" s="7" t="inlineStr">
        <is>
          <t>South</t>
        </is>
      </c>
      <c r="F1403" s="7" t="inlineStr">
        <is>
          <t>Furniture</t>
        </is>
      </c>
      <c r="G1403" s="7" t="inlineStr">
        <is>
          <t>Desk</t>
        </is>
      </c>
      <c r="H1403" s="7" t="inlineStr">
        <is>
          <t>Corporate</t>
        </is>
      </c>
      <c r="I1403" s="7" t="n">
        <v>4</v>
      </c>
      <c r="J1403" s="10" t="n">
        <v>450.27</v>
      </c>
      <c r="K1403" s="11" t="n">
        <v>0.2</v>
      </c>
      <c r="L1403" s="10">
        <f>I1403*J1403*(1-K1403)</f>
        <v/>
      </c>
      <c r="M1403" s="10" t="n">
        <v>1530</v>
      </c>
      <c r="N1403" s="10">
        <f>L1403-M1403</f>
        <v/>
      </c>
    </row>
    <row r="1404">
      <c r="A1404" s="7" t="inlineStr">
        <is>
          <t>ORD-03984</t>
        </is>
      </c>
      <c r="B1404" s="8" t="n">
        <v>45252</v>
      </c>
      <c r="C1404" s="9" t="n">
        <v>45231</v>
      </c>
      <c r="D1404" s="7" t="n">
        <v>2023</v>
      </c>
      <c r="E1404" s="7" t="inlineStr">
        <is>
          <t>East</t>
        </is>
      </c>
      <c r="F1404" s="7" t="inlineStr">
        <is>
          <t>Office Supplies</t>
        </is>
      </c>
      <c r="G1404" s="7" t="inlineStr">
        <is>
          <t>Pens</t>
        </is>
      </c>
      <c r="H1404" s="7" t="inlineStr">
        <is>
          <t>Consumer</t>
        </is>
      </c>
      <c r="I1404" s="7" t="n">
        <v>10</v>
      </c>
      <c r="J1404" s="10" t="n">
        <v>11.44</v>
      </c>
      <c r="K1404" s="11" t="n">
        <v>0</v>
      </c>
      <c r="L1404" s="10">
        <f>I1404*J1404*(1-K1404)</f>
        <v/>
      </c>
      <c r="M1404" s="10" t="n">
        <v>54</v>
      </c>
      <c r="N1404" s="10">
        <f>L1404-M1404</f>
        <v/>
      </c>
    </row>
    <row r="1405">
      <c r="A1405" s="7" t="inlineStr">
        <is>
          <t>ORD-00644</t>
        </is>
      </c>
      <c r="B1405" s="8" t="n">
        <v>45252</v>
      </c>
      <c r="C1405" s="9" t="n">
        <v>45231</v>
      </c>
      <c r="D1405" s="7" t="n">
        <v>2023</v>
      </c>
      <c r="E1405" s="7" t="inlineStr">
        <is>
          <t>East</t>
        </is>
      </c>
      <c r="F1405" s="7" t="inlineStr">
        <is>
          <t>Furniture</t>
        </is>
      </c>
      <c r="G1405" s="7" t="inlineStr">
        <is>
          <t>Office Chair</t>
        </is>
      </c>
      <c r="H1405" s="7" t="inlineStr">
        <is>
          <t>Consumer</t>
        </is>
      </c>
      <c r="I1405" s="7" t="n">
        <v>3</v>
      </c>
      <c r="J1405" s="10" t="n">
        <v>210.9</v>
      </c>
      <c r="K1405" s="11" t="n">
        <v>0.3</v>
      </c>
      <c r="L1405" s="10">
        <f>I1405*J1405*(1-K1405)</f>
        <v/>
      </c>
      <c r="M1405" s="10" t="n">
        <v>541.2</v>
      </c>
      <c r="N1405" s="10">
        <f>L1405-M1405</f>
        <v/>
      </c>
    </row>
    <row r="1406">
      <c r="A1406" s="7" t="inlineStr">
        <is>
          <t>ORD-00074</t>
        </is>
      </c>
      <c r="B1406" s="8" t="n">
        <v>45252</v>
      </c>
      <c r="C1406" s="9" t="n">
        <v>45231</v>
      </c>
      <c r="D1406" s="7" t="n">
        <v>2023</v>
      </c>
      <c r="E1406" s="7" t="inlineStr">
        <is>
          <t>West</t>
        </is>
      </c>
      <c r="F1406" s="7" t="inlineStr">
        <is>
          <t>Furniture</t>
        </is>
      </c>
      <c r="G1406" s="7" t="inlineStr">
        <is>
          <t>Bookcase</t>
        </is>
      </c>
      <c r="H1406" s="7" t="inlineStr">
        <is>
          <t>Consumer</t>
        </is>
      </c>
      <c r="I1406" s="7" t="n">
        <v>1</v>
      </c>
      <c r="J1406" s="10" t="n">
        <v>188.74</v>
      </c>
      <c r="K1406" s="11" t="n">
        <v>0.2</v>
      </c>
      <c r="L1406" s="10">
        <f>I1406*J1406*(1-K1406)</f>
        <v/>
      </c>
      <c r="M1406" s="10" t="n">
        <v>144</v>
      </c>
      <c r="N1406" s="10">
        <f>L1406-M1406</f>
        <v/>
      </c>
    </row>
    <row r="1407">
      <c r="A1407" s="7" t="inlineStr">
        <is>
          <t>ORD-03020</t>
        </is>
      </c>
      <c r="B1407" s="8" t="n">
        <v>45252</v>
      </c>
      <c r="C1407" s="9" t="n">
        <v>45231</v>
      </c>
      <c r="D1407" s="7" t="n">
        <v>2023</v>
      </c>
      <c r="E1407" s="7" t="inlineStr">
        <is>
          <t>South</t>
        </is>
      </c>
      <c r="F1407" s="7" t="inlineStr">
        <is>
          <t>Furniture</t>
        </is>
      </c>
      <c r="G1407" s="7" t="inlineStr">
        <is>
          <t>Office Chair</t>
        </is>
      </c>
      <c r="H1407" s="7" t="inlineStr">
        <is>
          <t>Consumer</t>
        </is>
      </c>
      <c r="I1407" s="7" t="n">
        <v>2</v>
      </c>
      <c r="J1407" s="10" t="n">
        <v>218.25</v>
      </c>
      <c r="K1407" s="11" t="n">
        <v>0.2</v>
      </c>
      <c r="L1407" s="10">
        <f>I1407*J1407*(1-K1407)</f>
        <v/>
      </c>
      <c r="M1407" s="10" t="n">
        <v>360.8</v>
      </c>
      <c r="N1407" s="10">
        <f>L1407-M1407</f>
        <v/>
      </c>
    </row>
    <row r="1408">
      <c r="A1408" s="7" t="inlineStr">
        <is>
          <t>ORD-04529</t>
        </is>
      </c>
      <c r="B1408" s="8" t="n">
        <v>45252</v>
      </c>
      <c r="C1408" s="9" t="n">
        <v>45231</v>
      </c>
      <c r="D1408" s="7" t="n">
        <v>2023</v>
      </c>
      <c r="E1408" s="7" t="inlineStr">
        <is>
          <t>West</t>
        </is>
      </c>
      <c r="F1408" s="7" t="inlineStr">
        <is>
          <t>Technology</t>
        </is>
      </c>
      <c r="G1408" s="7" t="inlineStr">
        <is>
          <t>Smartphone</t>
        </is>
      </c>
      <c r="H1408" s="7" t="inlineStr">
        <is>
          <t>Consumer</t>
        </is>
      </c>
      <c r="I1408" s="7" t="n">
        <v>1</v>
      </c>
      <c r="J1408" s="10" t="n">
        <v>607.48</v>
      </c>
      <c r="K1408" s="11" t="n">
        <v>0</v>
      </c>
      <c r="L1408" s="10">
        <f>I1408*J1408*(1-K1408)</f>
        <v/>
      </c>
      <c r="M1408" s="10" t="n">
        <v>450</v>
      </c>
      <c r="N1408" s="10">
        <f>L1408-M1408</f>
        <v/>
      </c>
    </row>
    <row r="1409">
      <c r="A1409" s="7" t="inlineStr">
        <is>
          <t>ORD-04344</t>
        </is>
      </c>
      <c r="B1409" s="8" t="n">
        <v>45252</v>
      </c>
      <c r="C1409" s="9" t="n">
        <v>45231</v>
      </c>
      <c r="D1409" s="7" t="n">
        <v>2023</v>
      </c>
      <c r="E1409" s="7" t="inlineStr">
        <is>
          <t>North</t>
        </is>
      </c>
      <c r="F1409" s="7" t="inlineStr">
        <is>
          <t>Office Supplies</t>
        </is>
      </c>
      <c r="G1409" s="7" t="inlineStr">
        <is>
          <t>Pens</t>
        </is>
      </c>
      <c r="H1409" s="7" t="inlineStr">
        <is>
          <t>Consumer</t>
        </is>
      </c>
      <c r="I1409" s="7" t="n">
        <v>11</v>
      </c>
      <c r="J1409" s="10" t="n">
        <v>11.9</v>
      </c>
      <c r="K1409" s="11" t="n">
        <v>0</v>
      </c>
      <c r="L1409" s="10">
        <f>I1409*J1409*(1-K1409)</f>
        <v/>
      </c>
      <c r="M1409" s="10" t="n">
        <v>59.4</v>
      </c>
      <c r="N1409" s="10">
        <f>L1409-M1409</f>
        <v/>
      </c>
    </row>
    <row r="1410">
      <c r="A1410" s="7" t="inlineStr">
        <is>
          <t>ORD-02482</t>
        </is>
      </c>
      <c r="B1410" s="8" t="n">
        <v>45252</v>
      </c>
      <c r="C1410" s="9" t="n">
        <v>45231</v>
      </c>
      <c r="D1410" s="7" t="n">
        <v>2023</v>
      </c>
      <c r="E1410" s="7" t="inlineStr">
        <is>
          <t>West</t>
        </is>
      </c>
      <c r="F1410" s="7" t="inlineStr">
        <is>
          <t>Furniture</t>
        </is>
      </c>
      <c r="G1410" s="7" t="inlineStr">
        <is>
          <t>Office Chair</t>
        </is>
      </c>
      <c r="H1410" s="7" t="inlineStr">
        <is>
          <t>Corporate</t>
        </is>
      </c>
      <c r="I1410" s="7" t="n">
        <v>4</v>
      </c>
      <c r="J1410" s="10" t="n">
        <v>230.87</v>
      </c>
      <c r="K1410" s="11" t="n">
        <v>0.3</v>
      </c>
      <c r="L1410" s="10">
        <f>I1410*J1410*(1-K1410)</f>
        <v/>
      </c>
      <c r="M1410" s="10" t="n">
        <v>721.6</v>
      </c>
      <c r="N1410" s="10">
        <f>L1410-M1410</f>
        <v/>
      </c>
    </row>
    <row r="1411">
      <c r="A1411" s="7" t="inlineStr">
        <is>
          <t>ORD-05011</t>
        </is>
      </c>
      <c r="B1411" s="8" t="n">
        <v>45253</v>
      </c>
      <c r="C1411" s="9" t="n">
        <v>45231</v>
      </c>
      <c r="D1411" s="7" t="n">
        <v>2023</v>
      </c>
      <c r="E1411" s="7" t="inlineStr">
        <is>
          <t>East</t>
        </is>
      </c>
      <c r="F1411" s="7" t="inlineStr">
        <is>
          <t>Technology</t>
        </is>
      </c>
      <c r="G1411" s="7" t="inlineStr">
        <is>
          <t>Keyboard</t>
        </is>
      </c>
      <c r="H1411" s="7" t="inlineStr">
        <is>
          <t>Consumer</t>
        </is>
      </c>
      <c r="I1411" s="7" t="n">
        <v>1</v>
      </c>
      <c r="J1411" s="10" t="n">
        <v>46.69</v>
      </c>
      <c r="K1411" s="11" t="n">
        <v>0.05</v>
      </c>
      <c r="L1411" s="10">
        <f>I1411*J1411*(1-K1411)</f>
        <v/>
      </c>
      <c r="M1411" s="10" t="n">
        <v>24.75</v>
      </c>
      <c r="N1411" s="10">
        <f>L1411-M1411</f>
        <v/>
      </c>
    </row>
    <row r="1412">
      <c r="A1412" s="7" t="inlineStr">
        <is>
          <t>ORD-01605</t>
        </is>
      </c>
      <c r="B1412" s="8" t="n">
        <v>45253</v>
      </c>
      <c r="C1412" s="9" t="n">
        <v>45231</v>
      </c>
      <c r="D1412" s="7" t="n">
        <v>2023</v>
      </c>
      <c r="E1412" s="7" t="inlineStr">
        <is>
          <t>North</t>
        </is>
      </c>
      <c r="F1412" s="7" t="inlineStr">
        <is>
          <t>Technology</t>
        </is>
      </c>
      <c r="G1412" s="7" t="inlineStr">
        <is>
          <t>Smartphone</t>
        </is>
      </c>
      <c r="H1412" s="7" t="inlineStr">
        <is>
          <t>Consumer</t>
        </is>
      </c>
      <c r="I1412" s="7" t="n">
        <v>2</v>
      </c>
      <c r="J1412" s="10" t="n">
        <v>578.26</v>
      </c>
      <c r="K1412" s="11" t="n">
        <v>0</v>
      </c>
      <c r="L1412" s="10">
        <f>I1412*J1412*(1-K1412)</f>
        <v/>
      </c>
      <c r="M1412" s="10" t="n">
        <v>900</v>
      </c>
      <c r="N1412" s="10">
        <f>L1412-M1412</f>
        <v/>
      </c>
    </row>
    <row r="1413">
      <c r="A1413" s="7" t="inlineStr">
        <is>
          <t>ORD-04470</t>
        </is>
      </c>
      <c r="B1413" s="8" t="n">
        <v>45253</v>
      </c>
      <c r="C1413" s="9" t="n">
        <v>45231</v>
      </c>
      <c r="D1413" s="7" t="n">
        <v>2023</v>
      </c>
      <c r="E1413" s="7" t="inlineStr">
        <is>
          <t>West</t>
        </is>
      </c>
      <c r="F1413" s="7" t="inlineStr">
        <is>
          <t>Office Supplies</t>
        </is>
      </c>
      <c r="G1413" s="7" t="inlineStr">
        <is>
          <t>Paper</t>
        </is>
      </c>
      <c r="H1413" s="7" t="inlineStr">
        <is>
          <t>Consumer</t>
        </is>
      </c>
      <c r="I1413" s="7" t="n">
        <v>5</v>
      </c>
      <c r="J1413" s="10" t="n">
        <v>24.49</v>
      </c>
      <c r="K1413" s="11" t="n">
        <v>0.2</v>
      </c>
      <c r="L1413" s="10">
        <f>I1413*J1413*(1-K1413)</f>
        <v/>
      </c>
      <c r="M1413" s="10" t="n">
        <v>62.5</v>
      </c>
      <c r="N1413" s="10">
        <f>L1413-M1413</f>
        <v/>
      </c>
    </row>
    <row r="1414">
      <c r="A1414" s="7" t="inlineStr">
        <is>
          <t>ORD-05230</t>
        </is>
      </c>
      <c r="B1414" s="8" t="n">
        <v>45253</v>
      </c>
      <c r="C1414" s="9" t="n">
        <v>45231</v>
      </c>
      <c r="D1414" s="7" t="n">
        <v>2023</v>
      </c>
      <c r="E1414" s="7" t="inlineStr">
        <is>
          <t>South</t>
        </is>
      </c>
      <c r="F1414" s="7" t="inlineStr">
        <is>
          <t>Technology</t>
        </is>
      </c>
      <c r="G1414" s="7" t="inlineStr">
        <is>
          <t>Headphones</t>
        </is>
      </c>
      <c r="H1414" s="7" t="inlineStr">
        <is>
          <t>Corporate</t>
        </is>
      </c>
      <c r="I1414" s="7" t="n">
        <v>2</v>
      </c>
      <c r="J1414" s="10" t="n">
        <v>118.69</v>
      </c>
      <c r="K1414" s="11" t="n">
        <v>0</v>
      </c>
      <c r="L1414" s="10">
        <f>I1414*J1414*(1-K1414)</f>
        <v/>
      </c>
      <c r="M1414" s="10" t="n">
        <v>144</v>
      </c>
      <c r="N1414" s="10">
        <f>L1414-M1414</f>
        <v/>
      </c>
    </row>
    <row r="1415">
      <c r="A1415" s="7" t="inlineStr">
        <is>
          <t>ORD-04965</t>
        </is>
      </c>
      <c r="B1415" s="8" t="n">
        <v>45253</v>
      </c>
      <c r="C1415" s="9" t="n">
        <v>45231</v>
      </c>
      <c r="D1415" s="7" t="n">
        <v>2023</v>
      </c>
      <c r="E1415" s="7" t="inlineStr">
        <is>
          <t>East</t>
        </is>
      </c>
      <c r="F1415" s="7" t="inlineStr">
        <is>
          <t>Furniture</t>
        </is>
      </c>
      <c r="G1415" s="7" t="inlineStr">
        <is>
          <t>Desk</t>
        </is>
      </c>
      <c r="H1415" s="7" t="inlineStr">
        <is>
          <t>Corporate</t>
        </is>
      </c>
      <c r="I1415" s="7" t="n">
        <v>4</v>
      </c>
      <c r="J1415" s="10" t="n">
        <v>450.3</v>
      </c>
      <c r="K1415" s="11" t="n">
        <v>0.3</v>
      </c>
      <c r="L1415" s="10">
        <f>I1415*J1415*(1-K1415)</f>
        <v/>
      </c>
      <c r="M1415" s="10" t="n">
        <v>1530</v>
      </c>
      <c r="N1415" s="10">
        <f>L1415-M1415</f>
        <v/>
      </c>
    </row>
    <row r="1416">
      <c r="A1416" s="7" t="inlineStr">
        <is>
          <t>ORD-00693</t>
        </is>
      </c>
      <c r="B1416" s="8" t="n">
        <v>45253</v>
      </c>
      <c r="C1416" s="9" t="n">
        <v>45231</v>
      </c>
      <c r="D1416" s="7" t="n">
        <v>2023</v>
      </c>
      <c r="E1416" s="7" t="inlineStr">
        <is>
          <t>North</t>
        </is>
      </c>
      <c r="F1416" s="7" t="inlineStr">
        <is>
          <t>Office Supplies</t>
        </is>
      </c>
      <c r="G1416" s="7" t="inlineStr">
        <is>
          <t>Binder</t>
        </is>
      </c>
      <c r="H1416" s="7" t="inlineStr">
        <is>
          <t>Home Office</t>
        </is>
      </c>
      <c r="I1416" s="7" t="n">
        <v>6</v>
      </c>
      <c r="J1416" s="10" t="n">
        <v>8.220000000000001</v>
      </c>
      <c r="K1416" s="11" t="n">
        <v>0</v>
      </c>
      <c r="L1416" s="10">
        <f>I1416*J1416*(1-K1416)</f>
        <v/>
      </c>
      <c r="M1416" s="10" t="n">
        <v>19.2</v>
      </c>
      <c r="N1416" s="10">
        <f>L1416-M1416</f>
        <v/>
      </c>
    </row>
    <row r="1417">
      <c r="A1417" s="7" t="inlineStr">
        <is>
          <t>ORD-04591</t>
        </is>
      </c>
      <c r="B1417" s="8" t="n">
        <v>45253</v>
      </c>
      <c r="C1417" s="9" t="n">
        <v>45231</v>
      </c>
      <c r="D1417" s="7" t="n">
        <v>2023</v>
      </c>
      <c r="E1417" s="7" t="inlineStr">
        <is>
          <t>West</t>
        </is>
      </c>
      <c r="F1417" s="7" t="inlineStr">
        <is>
          <t>Technology</t>
        </is>
      </c>
      <c r="G1417" s="7" t="inlineStr">
        <is>
          <t>Smartphone</t>
        </is>
      </c>
      <c r="H1417" s="7" t="inlineStr">
        <is>
          <t>Home Office</t>
        </is>
      </c>
      <c r="I1417" s="7" t="n">
        <v>3</v>
      </c>
      <c r="J1417" s="10" t="n">
        <v>606.98</v>
      </c>
      <c r="K1417" s="11" t="n">
        <v>0.2</v>
      </c>
      <c r="L1417" s="10">
        <f>I1417*J1417*(1-K1417)</f>
        <v/>
      </c>
      <c r="M1417" s="10" t="n">
        <v>1350</v>
      </c>
      <c r="N1417" s="10">
        <f>L1417-M1417</f>
        <v/>
      </c>
    </row>
    <row r="1418">
      <c r="A1418" s="7" t="inlineStr">
        <is>
          <t>ORD-01555</t>
        </is>
      </c>
      <c r="B1418" s="8" t="n">
        <v>45254</v>
      </c>
      <c r="C1418" s="9" t="n">
        <v>45231</v>
      </c>
      <c r="D1418" s="7" t="n">
        <v>2023</v>
      </c>
      <c r="E1418" s="7" t="inlineStr">
        <is>
          <t>South</t>
        </is>
      </c>
      <c r="F1418" s="7" t="inlineStr">
        <is>
          <t>Technology</t>
        </is>
      </c>
      <c r="G1418" s="7" t="inlineStr">
        <is>
          <t>Headphones</t>
        </is>
      </c>
      <c r="H1418" s="7" t="inlineStr">
        <is>
          <t>Home Office</t>
        </is>
      </c>
      <c r="I1418" s="7" t="n">
        <v>1</v>
      </c>
      <c r="J1418" s="10" t="n">
        <v>119.47</v>
      </c>
      <c r="K1418" s="11" t="n">
        <v>0</v>
      </c>
      <c r="L1418" s="10">
        <f>I1418*J1418*(1-K1418)</f>
        <v/>
      </c>
      <c r="M1418" s="10" t="n">
        <v>72</v>
      </c>
      <c r="N1418" s="10">
        <f>L1418-M1418</f>
        <v/>
      </c>
    </row>
    <row r="1419">
      <c r="A1419" s="7" t="inlineStr">
        <is>
          <t>ORD-01441</t>
        </is>
      </c>
      <c r="B1419" s="8" t="n">
        <v>45254</v>
      </c>
      <c r="C1419" s="9" t="n">
        <v>45231</v>
      </c>
      <c r="D1419" s="7" t="n">
        <v>2023</v>
      </c>
      <c r="E1419" s="7" t="inlineStr">
        <is>
          <t>North</t>
        </is>
      </c>
      <c r="F1419" s="7" t="inlineStr">
        <is>
          <t>Technology</t>
        </is>
      </c>
      <c r="G1419" s="7" t="inlineStr">
        <is>
          <t>Laptop</t>
        </is>
      </c>
      <c r="H1419" s="7" t="inlineStr">
        <is>
          <t>Corporate</t>
        </is>
      </c>
      <c r="I1419" s="7" t="n">
        <v>3</v>
      </c>
      <c r="J1419" s="10" t="n">
        <v>912.92</v>
      </c>
      <c r="K1419" s="11" t="n">
        <v>0.1</v>
      </c>
      <c r="L1419" s="10">
        <f>I1419*J1419*(1-K1419)</f>
        <v/>
      </c>
      <c r="M1419" s="10" t="n">
        <v>2106</v>
      </c>
      <c r="N1419" s="10">
        <f>L1419-M1419</f>
        <v/>
      </c>
    </row>
    <row r="1420">
      <c r="A1420" s="7" t="inlineStr">
        <is>
          <t>ORD-04817</t>
        </is>
      </c>
      <c r="B1420" s="8" t="n">
        <v>45254</v>
      </c>
      <c r="C1420" s="9" t="n">
        <v>45231</v>
      </c>
      <c r="D1420" s="7" t="n">
        <v>2023</v>
      </c>
      <c r="E1420" s="7" t="inlineStr">
        <is>
          <t>South</t>
        </is>
      </c>
      <c r="F1420" s="7" t="inlineStr">
        <is>
          <t>Technology</t>
        </is>
      </c>
      <c r="G1420" s="7" t="inlineStr">
        <is>
          <t>Headphones</t>
        </is>
      </c>
      <c r="H1420" s="7" t="inlineStr">
        <is>
          <t>Home Office</t>
        </is>
      </c>
      <c r="I1420" s="7" t="n">
        <v>3</v>
      </c>
      <c r="J1420" s="10" t="n">
        <v>115.65</v>
      </c>
      <c r="K1420" s="11" t="n">
        <v>0</v>
      </c>
      <c r="L1420" s="10">
        <f>I1420*J1420*(1-K1420)</f>
        <v/>
      </c>
      <c r="M1420" s="10" t="n">
        <v>216</v>
      </c>
      <c r="N1420" s="10">
        <f>L1420-M1420</f>
        <v/>
      </c>
    </row>
    <row r="1421">
      <c r="A1421" s="7" t="inlineStr">
        <is>
          <t>ORD-04734</t>
        </is>
      </c>
      <c r="B1421" s="8" t="n">
        <v>45254</v>
      </c>
      <c r="C1421" s="9" t="n">
        <v>45231</v>
      </c>
      <c r="D1421" s="7" t="n">
        <v>2023</v>
      </c>
      <c r="E1421" s="7" t="inlineStr">
        <is>
          <t>North</t>
        </is>
      </c>
      <c r="F1421" s="7" t="inlineStr">
        <is>
          <t>Furniture</t>
        </is>
      </c>
      <c r="G1421" s="7" t="inlineStr">
        <is>
          <t>Bookcase</t>
        </is>
      </c>
      <c r="H1421" s="7" t="inlineStr">
        <is>
          <t>Consumer</t>
        </is>
      </c>
      <c r="I1421" s="7" t="n">
        <v>2</v>
      </c>
      <c r="J1421" s="10" t="n">
        <v>177.05</v>
      </c>
      <c r="K1421" s="11" t="n">
        <v>0.2</v>
      </c>
      <c r="L1421" s="10">
        <f>I1421*J1421*(1-K1421)</f>
        <v/>
      </c>
      <c r="M1421" s="10" t="n">
        <v>288</v>
      </c>
      <c r="N1421" s="10">
        <f>L1421-M1421</f>
        <v/>
      </c>
    </row>
    <row r="1422">
      <c r="A1422" s="7" t="inlineStr">
        <is>
          <t>ORD-00283</t>
        </is>
      </c>
      <c r="B1422" s="8" t="n">
        <v>45254</v>
      </c>
      <c r="C1422" s="9" t="n">
        <v>45231</v>
      </c>
      <c r="D1422" s="7" t="n">
        <v>2023</v>
      </c>
      <c r="E1422" s="7" t="inlineStr">
        <is>
          <t>East</t>
        </is>
      </c>
      <c r="F1422" s="7" t="inlineStr">
        <is>
          <t>Office Supplies</t>
        </is>
      </c>
      <c r="G1422" s="7" t="inlineStr">
        <is>
          <t>Stapler</t>
        </is>
      </c>
      <c r="H1422" s="7" t="inlineStr">
        <is>
          <t>Home Office</t>
        </is>
      </c>
      <c r="I1422" s="7" t="n">
        <v>10</v>
      </c>
      <c r="J1422" s="10" t="n">
        <v>14.99</v>
      </c>
      <c r="K1422" s="11" t="n">
        <v>0</v>
      </c>
      <c r="L1422" s="10">
        <f>I1422*J1422*(1-K1422)</f>
        <v/>
      </c>
      <c r="M1422" s="10" t="n">
        <v>75</v>
      </c>
      <c r="N1422" s="10">
        <f>L1422-M1422</f>
        <v/>
      </c>
    </row>
    <row r="1423">
      <c r="A1423" s="7" t="inlineStr">
        <is>
          <t>ORD-02417</t>
        </is>
      </c>
      <c r="B1423" s="8" t="n">
        <v>45254</v>
      </c>
      <c r="C1423" s="9" t="n">
        <v>45231</v>
      </c>
      <c r="D1423" s="7" t="n">
        <v>2023</v>
      </c>
      <c r="E1423" s="7" t="inlineStr">
        <is>
          <t>North</t>
        </is>
      </c>
      <c r="F1423" s="7" t="inlineStr">
        <is>
          <t>Office Supplies</t>
        </is>
      </c>
      <c r="G1423" s="7" t="inlineStr">
        <is>
          <t>Pens</t>
        </is>
      </c>
      <c r="H1423" s="7" t="inlineStr">
        <is>
          <t>Home Office</t>
        </is>
      </c>
      <c r="I1423" s="7" t="n">
        <v>6</v>
      </c>
      <c r="J1423" s="10" t="n">
        <v>11.45</v>
      </c>
      <c r="K1423" s="11" t="n">
        <v>0.1</v>
      </c>
      <c r="L1423" s="10">
        <f>I1423*J1423*(1-K1423)</f>
        <v/>
      </c>
      <c r="M1423" s="10" t="n">
        <v>32.4</v>
      </c>
      <c r="N1423" s="10">
        <f>L1423-M1423</f>
        <v/>
      </c>
    </row>
    <row r="1424">
      <c r="A1424" s="7" t="inlineStr">
        <is>
          <t>ORD-03849</t>
        </is>
      </c>
      <c r="B1424" s="8" t="n">
        <v>45254</v>
      </c>
      <c r="C1424" s="9" t="n">
        <v>45231</v>
      </c>
      <c r="D1424" s="7" t="n">
        <v>2023</v>
      </c>
      <c r="E1424" s="7" t="inlineStr">
        <is>
          <t>East</t>
        </is>
      </c>
      <c r="F1424" s="7" t="inlineStr">
        <is>
          <t>Technology</t>
        </is>
      </c>
      <c r="G1424" s="7" t="inlineStr">
        <is>
          <t>Keyboard</t>
        </is>
      </c>
      <c r="H1424" s="7" t="inlineStr">
        <is>
          <t>Home Office</t>
        </is>
      </c>
      <c r="I1424" s="7" t="n">
        <v>1</v>
      </c>
      <c r="J1424" s="10" t="n">
        <v>47.1</v>
      </c>
      <c r="K1424" s="11" t="n">
        <v>0.1</v>
      </c>
      <c r="L1424" s="10">
        <f>I1424*J1424*(1-K1424)</f>
        <v/>
      </c>
      <c r="M1424" s="10" t="n">
        <v>24.75</v>
      </c>
      <c r="N1424" s="10">
        <f>L1424-M1424</f>
        <v/>
      </c>
    </row>
    <row r="1425">
      <c r="A1425" s="7" t="inlineStr">
        <is>
          <t>ORD-04429</t>
        </is>
      </c>
      <c r="B1425" s="8" t="n">
        <v>45254</v>
      </c>
      <c r="C1425" s="9" t="n">
        <v>45231</v>
      </c>
      <c r="D1425" s="7" t="n">
        <v>2023</v>
      </c>
      <c r="E1425" s="7" t="inlineStr">
        <is>
          <t>East</t>
        </is>
      </c>
      <c r="F1425" s="7" t="inlineStr">
        <is>
          <t>Office Supplies</t>
        </is>
      </c>
      <c r="G1425" s="7" t="inlineStr">
        <is>
          <t>Binder</t>
        </is>
      </c>
      <c r="H1425" s="7" t="inlineStr">
        <is>
          <t>Consumer</t>
        </is>
      </c>
      <c r="I1425" s="7" t="n">
        <v>4</v>
      </c>
      <c r="J1425" s="10" t="n">
        <v>8.23</v>
      </c>
      <c r="K1425" s="11" t="n">
        <v>0.2</v>
      </c>
      <c r="L1425" s="10">
        <f>I1425*J1425*(1-K1425)</f>
        <v/>
      </c>
      <c r="M1425" s="10" t="n">
        <v>12.8</v>
      </c>
      <c r="N1425" s="10">
        <f>L1425-M1425</f>
        <v/>
      </c>
    </row>
    <row r="1426">
      <c r="A1426" s="7" t="inlineStr">
        <is>
          <t>ORD-04956</t>
        </is>
      </c>
      <c r="B1426" s="8" t="n">
        <v>45254</v>
      </c>
      <c r="C1426" s="9" t="n">
        <v>45231</v>
      </c>
      <c r="D1426" s="7" t="n">
        <v>2023</v>
      </c>
      <c r="E1426" s="7" t="inlineStr">
        <is>
          <t>North</t>
        </is>
      </c>
      <c r="F1426" s="7" t="inlineStr">
        <is>
          <t>Office Supplies</t>
        </is>
      </c>
      <c r="G1426" s="7" t="inlineStr">
        <is>
          <t>Binder</t>
        </is>
      </c>
      <c r="H1426" s="7" t="inlineStr">
        <is>
          <t>Consumer</t>
        </is>
      </c>
      <c r="I1426" s="7" t="n">
        <v>12</v>
      </c>
      <c r="J1426" s="10" t="n">
        <v>7.97</v>
      </c>
      <c r="K1426" s="11" t="n">
        <v>0</v>
      </c>
      <c r="L1426" s="10">
        <f>I1426*J1426*(1-K1426)</f>
        <v/>
      </c>
      <c r="M1426" s="10" t="n">
        <v>38.4</v>
      </c>
      <c r="N1426" s="10">
        <f>L1426-M1426</f>
        <v/>
      </c>
    </row>
    <row r="1427">
      <c r="A1427" s="7" t="inlineStr">
        <is>
          <t>ORD-00255</t>
        </is>
      </c>
      <c r="B1427" s="8" t="n">
        <v>45254</v>
      </c>
      <c r="C1427" s="9" t="n">
        <v>45231</v>
      </c>
      <c r="D1427" s="7" t="n">
        <v>2023</v>
      </c>
      <c r="E1427" s="7" t="inlineStr">
        <is>
          <t>North</t>
        </is>
      </c>
      <c r="F1427" s="7" t="inlineStr">
        <is>
          <t>Office Supplies</t>
        </is>
      </c>
      <c r="G1427" s="7" t="inlineStr">
        <is>
          <t>Printer Ink</t>
        </is>
      </c>
      <c r="H1427" s="7" t="inlineStr">
        <is>
          <t>Consumer</t>
        </is>
      </c>
      <c r="I1427" s="7" t="n">
        <v>3</v>
      </c>
      <c r="J1427" s="10" t="n">
        <v>59.63</v>
      </c>
      <c r="K1427" s="11" t="n">
        <v>0</v>
      </c>
      <c r="L1427" s="10">
        <f>I1427*J1427*(1-K1427)</f>
        <v/>
      </c>
      <c r="M1427" s="10" t="n">
        <v>108</v>
      </c>
      <c r="N1427" s="10">
        <f>L1427-M1427</f>
        <v/>
      </c>
    </row>
    <row r="1428">
      <c r="A1428" s="7" t="inlineStr">
        <is>
          <t>ORD-04478</t>
        </is>
      </c>
      <c r="B1428" s="8" t="n">
        <v>45255</v>
      </c>
      <c r="C1428" s="9" t="n">
        <v>45231</v>
      </c>
      <c r="D1428" s="7" t="n">
        <v>2023</v>
      </c>
      <c r="E1428" s="7" t="inlineStr">
        <is>
          <t>East</t>
        </is>
      </c>
      <c r="F1428" s="7" t="inlineStr">
        <is>
          <t>Office Supplies</t>
        </is>
      </c>
      <c r="G1428" s="7" t="inlineStr">
        <is>
          <t>Paper</t>
        </is>
      </c>
      <c r="H1428" s="7" t="inlineStr">
        <is>
          <t>Consumer</t>
        </is>
      </c>
      <c r="I1428" s="7" t="n">
        <v>6</v>
      </c>
      <c r="J1428" s="10" t="n">
        <v>25.69</v>
      </c>
      <c r="K1428" s="11" t="n">
        <v>0.1</v>
      </c>
      <c r="L1428" s="10">
        <f>I1428*J1428*(1-K1428)</f>
        <v/>
      </c>
      <c r="M1428" s="10" t="n">
        <v>75</v>
      </c>
      <c r="N1428" s="10">
        <f>L1428-M1428</f>
        <v/>
      </c>
    </row>
    <row r="1429">
      <c r="A1429" s="7" t="inlineStr">
        <is>
          <t>ORD-05385</t>
        </is>
      </c>
      <c r="B1429" s="8" t="n">
        <v>45255</v>
      </c>
      <c r="C1429" s="9" t="n">
        <v>45231</v>
      </c>
      <c r="D1429" s="7" t="n">
        <v>2023</v>
      </c>
      <c r="E1429" s="7" t="inlineStr">
        <is>
          <t>East</t>
        </is>
      </c>
      <c r="F1429" s="7" t="inlineStr">
        <is>
          <t>Office Supplies</t>
        </is>
      </c>
      <c r="G1429" s="7" t="inlineStr">
        <is>
          <t>Stapler</t>
        </is>
      </c>
      <c r="H1429" s="7" t="inlineStr">
        <is>
          <t>Consumer</t>
        </is>
      </c>
      <c r="I1429" s="7" t="n">
        <v>3</v>
      </c>
      <c r="J1429" s="10" t="n">
        <v>14.76</v>
      </c>
      <c r="K1429" s="11" t="n">
        <v>0.3</v>
      </c>
      <c r="L1429" s="10">
        <f>I1429*J1429*(1-K1429)</f>
        <v/>
      </c>
      <c r="M1429" s="10" t="n">
        <v>22.5</v>
      </c>
      <c r="N1429" s="10">
        <f>L1429-M1429</f>
        <v/>
      </c>
    </row>
    <row r="1430">
      <c r="A1430" s="7" t="inlineStr">
        <is>
          <t>ORD-05493</t>
        </is>
      </c>
      <c r="B1430" s="8" t="n">
        <v>45255</v>
      </c>
      <c r="C1430" s="9" t="n">
        <v>45231</v>
      </c>
      <c r="D1430" s="7" t="n">
        <v>2023</v>
      </c>
      <c r="E1430" s="7" t="inlineStr">
        <is>
          <t>West</t>
        </is>
      </c>
      <c r="F1430" s="7" t="inlineStr">
        <is>
          <t>Technology</t>
        </is>
      </c>
      <c r="G1430" s="7" t="inlineStr">
        <is>
          <t>Headphones</t>
        </is>
      </c>
      <c r="H1430" s="7" t="inlineStr">
        <is>
          <t>Corporate</t>
        </is>
      </c>
      <c r="I1430" s="7" t="n">
        <v>1</v>
      </c>
      <c r="J1430" s="10" t="n">
        <v>123.88</v>
      </c>
      <c r="K1430" s="11" t="n">
        <v>0.1</v>
      </c>
      <c r="L1430" s="10">
        <f>I1430*J1430*(1-K1430)</f>
        <v/>
      </c>
      <c r="M1430" s="10" t="n">
        <v>72</v>
      </c>
      <c r="N1430" s="10">
        <f>L1430-M1430</f>
        <v/>
      </c>
    </row>
    <row r="1431">
      <c r="A1431" s="7" t="inlineStr">
        <is>
          <t>ORD-04868</t>
        </is>
      </c>
      <c r="B1431" s="8" t="n">
        <v>45255</v>
      </c>
      <c r="C1431" s="9" t="n">
        <v>45231</v>
      </c>
      <c r="D1431" s="7" t="n">
        <v>2023</v>
      </c>
      <c r="E1431" s="7" t="inlineStr">
        <is>
          <t>West</t>
        </is>
      </c>
      <c r="F1431" s="7" t="inlineStr">
        <is>
          <t>Office Supplies</t>
        </is>
      </c>
      <c r="G1431" s="7" t="inlineStr">
        <is>
          <t>Binder</t>
        </is>
      </c>
      <c r="H1431" s="7" t="inlineStr">
        <is>
          <t>Corporate</t>
        </is>
      </c>
      <c r="I1431" s="7" t="n">
        <v>14</v>
      </c>
      <c r="J1431" s="10" t="n">
        <v>8.210000000000001</v>
      </c>
      <c r="K1431" s="11" t="n">
        <v>0.1</v>
      </c>
      <c r="L1431" s="10">
        <f>I1431*J1431*(1-K1431)</f>
        <v/>
      </c>
      <c r="M1431" s="10" t="n">
        <v>44.8</v>
      </c>
      <c r="N1431" s="10">
        <f>L1431-M1431</f>
        <v/>
      </c>
    </row>
    <row r="1432">
      <c r="A1432" s="7" t="inlineStr">
        <is>
          <t>ORD-04953</t>
        </is>
      </c>
      <c r="B1432" s="8" t="n">
        <v>45255</v>
      </c>
      <c r="C1432" s="9" t="n">
        <v>45231</v>
      </c>
      <c r="D1432" s="7" t="n">
        <v>2023</v>
      </c>
      <c r="E1432" s="7" t="inlineStr">
        <is>
          <t>East</t>
        </is>
      </c>
      <c r="F1432" s="7" t="inlineStr">
        <is>
          <t>Office Supplies</t>
        </is>
      </c>
      <c r="G1432" s="7" t="inlineStr">
        <is>
          <t>Pens</t>
        </is>
      </c>
      <c r="H1432" s="7" t="inlineStr">
        <is>
          <t>Home Office</t>
        </is>
      </c>
      <c r="I1432" s="7" t="n">
        <v>15</v>
      </c>
      <c r="J1432" s="10" t="n">
        <v>12.54</v>
      </c>
      <c r="K1432" s="11" t="n">
        <v>0</v>
      </c>
      <c r="L1432" s="10">
        <f>I1432*J1432*(1-K1432)</f>
        <v/>
      </c>
      <c r="M1432" s="10" t="n">
        <v>81</v>
      </c>
      <c r="N1432" s="10">
        <f>L1432-M1432</f>
        <v/>
      </c>
    </row>
    <row r="1433">
      <c r="A1433" s="7" t="inlineStr">
        <is>
          <t>ORD-00654</t>
        </is>
      </c>
      <c r="B1433" s="8" t="n">
        <v>45255</v>
      </c>
      <c r="C1433" s="9" t="n">
        <v>45231</v>
      </c>
      <c r="D1433" s="7" t="n">
        <v>2023</v>
      </c>
      <c r="E1433" s="7" t="inlineStr">
        <is>
          <t>East</t>
        </is>
      </c>
      <c r="F1433" s="7" t="inlineStr">
        <is>
          <t>Technology</t>
        </is>
      </c>
      <c r="G1433" s="7" t="inlineStr">
        <is>
          <t>Keyboard</t>
        </is>
      </c>
      <c r="H1433" s="7" t="inlineStr">
        <is>
          <t>Corporate</t>
        </is>
      </c>
      <c r="I1433" s="7" t="n">
        <v>1</v>
      </c>
      <c r="J1433" s="10" t="n">
        <v>43</v>
      </c>
      <c r="K1433" s="11" t="n">
        <v>0.05</v>
      </c>
      <c r="L1433" s="10">
        <f>I1433*J1433*(1-K1433)</f>
        <v/>
      </c>
      <c r="M1433" s="10" t="n">
        <v>24.75</v>
      </c>
      <c r="N1433" s="10">
        <f>L1433-M1433</f>
        <v/>
      </c>
    </row>
    <row r="1434">
      <c r="A1434" s="7" t="inlineStr">
        <is>
          <t>ORD-02382</t>
        </is>
      </c>
      <c r="B1434" s="8" t="n">
        <v>45255</v>
      </c>
      <c r="C1434" s="9" t="n">
        <v>45231</v>
      </c>
      <c r="D1434" s="7" t="n">
        <v>2023</v>
      </c>
      <c r="E1434" s="7" t="inlineStr">
        <is>
          <t>East</t>
        </is>
      </c>
      <c r="F1434" s="7" t="inlineStr">
        <is>
          <t>Office Supplies</t>
        </is>
      </c>
      <c r="G1434" s="7" t="inlineStr">
        <is>
          <t>Pens</t>
        </is>
      </c>
      <c r="H1434" s="7" t="inlineStr">
        <is>
          <t>Consumer</t>
        </is>
      </c>
      <c r="I1434" s="7" t="n">
        <v>3</v>
      </c>
      <c r="J1434" s="10" t="n">
        <v>11.62</v>
      </c>
      <c r="K1434" s="11" t="n">
        <v>0.3</v>
      </c>
      <c r="L1434" s="10">
        <f>I1434*J1434*(1-K1434)</f>
        <v/>
      </c>
      <c r="M1434" s="10" t="n">
        <v>16.2</v>
      </c>
      <c r="N1434" s="10">
        <f>L1434-M1434</f>
        <v/>
      </c>
    </row>
    <row r="1435">
      <c r="A1435" s="7" t="inlineStr">
        <is>
          <t>ORD-01814</t>
        </is>
      </c>
      <c r="B1435" s="8" t="n">
        <v>45255</v>
      </c>
      <c r="C1435" s="9" t="n">
        <v>45231</v>
      </c>
      <c r="D1435" s="7" t="n">
        <v>2023</v>
      </c>
      <c r="E1435" s="7" t="inlineStr">
        <is>
          <t>West</t>
        </is>
      </c>
      <c r="F1435" s="7" t="inlineStr">
        <is>
          <t>Technology</t>
        </is>
      </c>
      <c r="G1435" s="7" t="inlineStr">
        <is>
          <t>Smartphone</t>
        </is>
      </c>
      <c r="H1435" s="7" t="inlineStr">
        <is>
          <t>Corporate</t>
        </is>
      </c>
      <c r="I1435" s="7" t="n">
        <v>1</v>
      </c>
      <c r="J1435" s="10" t="n">
        <v>588.4299999999999</v>
      </c>
      <c r="K1435" s="11" t="n">
        <v>0</v>
      </c>
      <c r="L1435" s="10">
        <f>I1435*J1435*(1-K1435)</f>
        <v/>
      </c>
      <c r="M1435" s="10" t="n">
        <v>450</v>
      </c>
      <c r="N1435" s="10">
        <f>L1435-M1435</f>
        <v/>
      </c>
    </row>
    <row r="1436">
      <c r="A1436" s="7" t="inlineStr">
        <is>
          <t>ORD-03995</t>
        </is>
      </c>
      <c r="B1436" s="8" t="n">
        <v>45255</v>
      </c>
      <c r="C1436" s="9" t="n">
        <v>45231</v>
      </c>
      <c r="D1436" s="7" t="n">
        <v>2023</v>
      </c>
      <c r="E1436" s="7" t="inlineStr">
        <is>
          <t>East</t>
        </is>
      </c>
      <c r="F1436" s="7" t="inlineStr">
        <is>
          <t>Office Supplies</t>
        </is>
      </c>
      <c r="G1436" s="7" t="inlineStr">
        <is>
          <t>Stapler</t>
        </is>
      </c>
      <c r="H1436" s="7" t="inlineStr">
        <is>
          <t>Consumer</t>
        </is>
      </c>
      <c r="I1436" s="7" t="n">
        <v>4</v>
      </c>
      <c r="J1436" s="10" t="n">
        <v>14.59</v>
      </c>
      <c r="K1436" s="11" t="n">
        <v>0</v>
      </c>
      <c r="L1436" s="10">
        <f>I1436*J1436*(1-K1436)</f>
        <v/>
      </c>
      <c r="M1436" s="10" t="n">
        <v>30</v>
      </c>
      <c r="N1436" s="10">
        <f>L1436-M1436</f>
        <v/>
      </c>
    </row>
    <row r="1437">
      <c r="A1437" s="7" t="inlineStr">
        <is>
          <t>ORD-01686</t>
        </is>
      </c>
      <c r="B1437" s="8" t="n">
        <v>45256</v>
      </c>
      <c r="C1437" s="9" t="n">
        <v>45231</v>
      </c>
      <c r="D1437" s="7" t="n">
        <v>2023</v>
      </c>
      <c r="E1437" s="7" t="inlineStr">
        <is>
          <t>North</t>
        </is>
      </c>
      <c r="F1437" s="7" t="inlineStr">
        <is>
          <t>Technology</t>
        </is>
      </c>
      <c r="G1437" s="7" t="inlineStr">
        <is>
          <t>Smartphone</t>
        </is>
      </c>
      <c r="H1437" s="7" t="inlineStr">
        <is>
          <t>Consumer</t>
        </is>
      </c>
      <c r="I1437" s="7" t="n">
        <v>2</v>
      </c>
      <c r="J1437" s="10" t="n">
        <v>578.12</v>
      </c>
      <c r="K1437" s="11" t="n">
        <v>0</v>
      </c>
      <c r="L1437" s="10">
        <f>I1437*J1437*(1-K1437)</f>
        <v/>
      </c>
      <c r="M1437" s="10" t="n">
        <v>900</v>
      </c>
      <c r="N1437" s="10">
        <f>L1437-M1437</f>
        <v/>
      </c>
    </row>
    <row r="1438">
      <c r="A1438" s="7" t="inlineStr">
        <is>
          <t>ORD-02100</t>
        </is>
      </c>
      <c r="B1438" s="8" t="n">
        <v>45256</v>
      </c>
      <c r="C1438" s="9" t="n">
        <v>45231</v>
      </c>
      <c r="D1438" s="7" t="n">
        <v>2023</v>
      </c>
      <c r="E1438" s="7" t="inlineStr">
        <is>
          <t>North</t>
        </is>
      </c>
      <c r="F1438" s="7" t="inlineStr">
        <is>
          <t>Furniture</t>
        </is>
      </c>
      <c r="G1438" s="7" t="inlineStr">
        <is>
          <t>Desk</t>
        </is>
      </c>
      <c r="H1438" s="7" t="inlineStr">
        <is>
          <t>Corporate</t>
        </is>
      </c>
      <c r="I1438" s="7" t="n">
        <v>3</v>
      </c>
      <c r="J1438" s="10" t="n">
        <v>456.95</v>
      </c>
      <c r="K1438" s="11" t="n">
        <v>0.05</v>
      </c>
      <c r="L1438" s="10">
        <f>I1438*J1438*(1-K1438)</f>
        <v/>
      </c>
      <c r="M1438" s="10" t="n">
        <v>1147.5</v>
      </c>
      <c r="N1438" s="10">
        <f>L1438-M1438</f>
        <v/>
      </c>
    </row>
    <row r="1439">
      <c r="A1439" s="7" t="inlineStr">
        <is>
          <t>ORD-02687</t>
        </is>
      </c>
      <c r="B1439" s="8" t="n">
        <v>45256</v>
      </c>
      <c r="C1439" s="9" t="n">
        <v>45231</v>
      </c>
      <c r="D1439" s="7" t="n">
        <v>2023</v>
      </c>
      <c r="E1439" s="7" t="inlineStr">
        <is>
          <t>South</t>
        </is>
      </c>
      <c r="F1439" s="7" t="inlineStr">
        <is>
          <t>Office Supplies</t>
        </is>
      </c>
      <c r="G1439" s="7" t="inlineStr">
        <is>
          <t>Stapler</t>
        </is>
      </c>
      <c r="H1439" s="7" t="inlineStr">
        <is>
          <t>Consumer</t>
        </is>
      </c>
      <c r="I1439" s="7" t="n">
        <v>12</v>
      </c>
      <c r="J1439" s="10" t="n">
        <v>14.5</v>
      </c>
      <c r="K1439" s="11" t="n">
        <v>0</v>
      </c>
      <c r="L1439" s="10">
        <f>I1439*J1439*(1-K1439)</f>
        <v/>
      </c>
      <c r="M1439" s="10" t="n">
        <v>90</v>
      </c>
      <c r="N1439" s="10">
        <f>L1439-M1439</f>
        <v/>
      </c>
    </row>
    <row r="1440">
      <c r="A1440" s="7" t="inlineStr">
        <is>
          <t>ORD-00427</t>
        </is>
      </c>
      <c r="B1440" s="8" t="n">
        <v>45256</v>
      </c>
      <c r="C1440" s="9" t="n">
        <v>45231</v>
      </c>
      <c r="D1440" s="7" t="n">
        <v>2023</v>
      </c>
      <c r="E1440" s="7" t="inlineStr">
        <is>
          <t>West</t>
        </is>
      </c>
      <c r="F1440" s="7" t="inlineStr">
        <is>
          <t>Office Supplies</t>
        </is>
      </c>
      <c r="G1440" s="7" t="inlineStr">
        <is>
          <t>Stapler</t>
        </is>
      </c>
      <c r="H1440" s="7" t="inlineStr">
        <is>
          <t>Corporate</t>
        </is>
      </c>
      <c r="I1440" s="7" t="n">
        <v>4</v>
      </c>
      <c r="J1440" s="10" t="n">
        <v>14.52</v>
      </c>
      <c r="K1440" s="11" t="n">
        <v>0</v>
      </c>
      <c r="L1440" s="10">
        <f>I1440*J1440*(1-K1440)</f>
        <v/>
      </c>
      <c r="M1440" s="10" t="n">
        <v>30</v>
      </c>
      <c r="N1440" s="10">
        <f>L1440-M1440</f>
        <v/>
      </c>
    </row>
    <row r="1441">
      <c r="A1441" s="7" t="inlineStr">
        <is>
          <t>ORD-02120</t>
        </is>
      </c>
      <c r="B1441" s="8" t="n">
        <v>45257</v>
      </c>
      <c r="C1441" s="9" t="n">
        <v>45231</v>
      </c>
      <c r="D1441" s="7" t="n">
        <v>2023</v>
      </c>
      <c r="E1441" s="7" t="inlineStr">
        <is>
          <t>South</t>
        </is>
      </c>
      <c r="F1441" s="7" t="inlineStr">
        <is>
          <t>Technology</t>
        </is>
      </c>
      <c r="G1441" s="7" t="inlineStr">
        <is>
          <t>Monitor</t>
        </is>
      </c>
      <c r="H1441" s="7" t="inlineStr">
        <is>
          <t>Consumer</t>
        </is>
      </c>
      <c r="I1441" s="7" t="n">
        <v>1</v>
      </c>
      <c r="J1441" s="10" t="n">
        <v>240.03</v>
      </c>
      <c r="K1441" s="11" t="n">
        <v>0.3</v>
      </c>
      <c r="L1441" s="10">
        <f>I1441*J1441*(1-K1441)</f>
        <v/>
      </c>
      <c r="M1441" s="10" t="n">
        <v>180</v>
      </c>
      <c r="N1441" s="10">
        <f>L1441-M1441</f>
        <v/>
      </c>
    </row>
    <row r="1442">
      <c r="A1442" s="7" t="inlineStr">
        <is>
          <t>ORD-05937</t>
        </is>
      </c>
      <c r="B1442" s="8" t="n">
        <v>45257</v>
      </c>
      <c r="C1442" s="9" t="n">
        <v>45231</v>
      </c>
      <c r="D1442" s="7" t="n">
        <v>2023</v>
      </c>
      <c r="E1442" s="7" t="inlineStr">
        <is>
          <t>North</t>
        </is>
      </c>
      <c r="F1442" s="7" t="inlineStr">
        <is>
          <t>Office Supplies</t>
        </is>
      </c>
      <c r="G1442" s="7" t="inlineStr">
        <is>
          <t>Binder</t>
        </is>
      </c>
      <c r="H1442" s="7" t="inlineStr">
        <is>
          <t>Consumer</t>
        </is>
      </c>
      <c r="I1442" s="7" t="n">
        <v>15</v>
      </c>
      <c r="J1442" s="10" t="n">
        <v>8.039999999999999</v>
      </c>
      <c r="K1442" s="11" t="n">
        <v>0</v>
      </c>
      <c r="L1442" s="10">
        <f>I1442*J1442*(1-K1442)</f>
        <v/>
      </c>
      <c r="M1442" s="10" t="n">
        <v>48</v>
      </c>
      <c r="N1442" s="10">
        <f>L1442-M1442</f>
        <v/>
      </c>
    </row>
    <row r="1443">
      <c r="A1443" s="7" t="inlineStr">
        <is>
          <t>ORD-05759</t>
        </is>
      </c>
      <c r="B1443" s="8" t="n">
        <v>45257</v>
      </c>
      <c r="C1443" s="9" t="n">
        <v>45231</v>
      </c>
      <c r="D1443" s="7" t="n">
        <v>2023</v>
      </c>
      <c r="E1443" s="7" t="inlineStr">
        <is>
          <t>West</t>
        </is>
      </c>
      <c r="F1443" s="7" t="inlineStr">
        <is>
          <t>Technology</t>
        </is>
      </c>
      <c r="G1443" s="7" t="inlineStr">
        <is>
          <t>Keyboard</t>
        </is>
      </c>
      <c r="H1443" s="7" t="inlineStr">
        <is>
          <t>Consumer</t>
        </is>
      </c>
      <c r="I1443" s="7" t="n">
        <v>2</v>
      </c>
      <c r="J1443" s="10" t="n">
        <v>46.24</v>
      </c>
      <c r="K1443" s="11" t="n">
        <v>0.1</v>
      </c>
      <c r="L1443" s="10">
        <f>I1443*J1443*(1-K1443)</f>
        <v/>
      </c>
      <c r="M1443" s="10" t="n">
        <v>49.5</v>
      </c>
      <c r="N1443" s="10">
        <f>L1443-M1443</f>
        <v/>
      </c>
    </row>
    <row r="1444">
      <c r="A1444" s="7" t="inlineStr">
        <is>
          <t>ORD-01091</t>
        </is>
      </c>
      <c r="B1444" s="8" t="n">
        <v>45257</v>
      </c>
      <c r="C1444" s="9" t="n">
        <v>45231</v>
      </c>
      <c r="D1444" s="7" t="n">
        <v>2023</v>
      </c>
      <c r="E1444" s="7" t="inlineStr">
        <is>
          <t>East</t>
        </is>
      </c>
      <c r="F1444" s="7" t="inlineStr">
        <is>
          <t>Office Supplies</t>
        </is>
      </c>
      <c r="G1444" s="7" t="inlineStr">
        <is>
          <t>Pens</t>
        </is>
      </c>
      <c r="H1444" s="7" t="inlineStr">
        <is>
          <t>Consumer</t>
        </is>
      </c>
      <c r="I1444" s="7" t="n">
        <v>4</v>
      </c>
      <c r="J1444" s="10" t="n">
        <v>12.27</v>
      </c>
      <c r="K1444" s="11" t="n">
        <v>0.1</v>
      </c>
      <c r="L1444" s="10">
        <f>I1444*J1444*(1-K1444)</f>
        <v/>
      </c>
      <c r="M1444" s="10" t="n">
        <v>21.6</v>
      </c>
      <c r="N1444" s="10">
        <f>L1444-M1444</f>
        <v/>
      </c>
    </row>
    <row r="1445">
      <c r="A1445" s="7" t="inlineStr">
        <is>
          <t>ORD-04004</t>
        </is>
      </c>
      <c r="B1445" s="8" t="n">
        <v>45258</v>
      </c>
      <c r="C1445" s="9" t="n">
        <v>45231</v>
      </c>
      <c r="D1445" s="7" t="n">
        <v>2023</v>
      </c>
      <c r="E1445" s="7" t="inlineStr">
        <is>
          <t>West</t>
        </is>
      </c>
      <c r="F1445" s="7" t="inlineStr">
        <is>
          <t>Technology</t>
        </is>
      </c>
      <c r="G1445" s="7" t="inlineStr">
        <is>
          <t>Laptop</t>
        </is>
      </c>
      <c r="H1445" s="7" t="inlineStr">
        <is>
          <t>Consumer</t>
        </is>
      </c>
      <c r="I1445" s="7" t="n">
        <v>3</v>
      </c>
      <c r="J1445" s="10" t="n">
        <v>865.21</v>
      </c>
      <c r="K1445" s="11" t="n">
        <v>0.05</v>
      </c>
      <c r="L1445" s="10">
        <f>I1445*J1445*(1-K1445)</f>
        <v/>
      </c>
      <c r="M1445" s="10" t="n">
        <v>2106</v>
      </c>
      <c r="N1445" s="10">
        <f>L1445-M1445</f>
        <v/>
      </c>
    </row>
    <row r="1446">
      <c r="A1446" s="7" t="inlineStr">
        <is>
          <t>ORD-00416</t>
        </is>
      </c>
      <c r="B1446" s="8" t="n">
        <v>45258</v>
      </c>
      <c r="C1446" s="9" t="n">
        <v>45231</v>
      </c>
      <c r="D1446" s="7" t="n">
        <v>2023</v>
      </c>
      <c r="E1446" s="7" t="inlineStr">
        <is>
          <t>West</t>
        </is>
      </c>
      <c r="F1446" s="7" t="inlineStr">
        <is>
          <t>Office Supplies</t>
        </is>
      </c>
      <c r="G1446" s="7" t="inlineStr">
        <is>
          <t>Paper</t>
        </is>
      </c>
      <c r="H1446" s="7" t="inlineStr">
        <is>
          <t>Home Office</t>
        </is>
      </c>
      <c r="I1446" s="7" t="n">
        <v>13</v>
      </c>
      <c r="J1446" s="10" t="n">
        <v>25.11</v>
      </c>
      <c r="K1446" s="11" t="n">
        <v>0.2</v>
      </c>
      <c r="L1446" s="10">
        <f>I1446*J1446*(1-K1446)</f>
        <v/>
      </c>
      <c r="M1446" s="10" t="n">
        <v>162.5</v>
      </c>
      <c r="N1446" s="10">
        <f>L1446-M1446</f>
        <v/>
      </c>
    </row>
    <row r="1447">
      <c r="A1447" s="7" t="inlineStr">
        <is>
          <t>ORD-02986</t>
        </is>
      </c>
      <c r="B1447" s="8" t="n">
        <v>45258</v>
      </c>
      <c r="C1447" s="9" t="n">
        <v>45231</v>
      </c>
      <c r="D1447" s="7" t="n">
        <v>2023</v>
      </c>
      <c r="E1447" s="7" t="inlineStr">
        <is>
          <t>South</t>
        </is>
      </c>
      <c r="F1447" s="7" t="inlineStr">
        <is>
          <t>Office Supplies</t>
        </is>
      </c>
      <c r="G1447" s="7" t="inlineStr">
        <is>
          <t>Binder</t>
        </is>
      </c>
      <c r="H1447" s="7" t="inlineStr">
        <is>
          <t>Home Office</t>
        </is>
      </c>
      <c r="I1447" s="7" t="n">
        <v>15</v>
      </c>
      <c r="J1447" s="10" t="n">
        <v>7.89</v>
      </c>
      <c r="K1447" s="11" t="n">
        <v>0</v>
      </c>
      <c r="L1447" s="10">
        <f>I1447*J1447*(1-K1447)</f>
        <v/>
      </c>
      <c r="M1447" s="10" t="n">
        <v>48</v>
      </c>
      <c r="N1447" s="10">
        <f>L1447-M1447</f>
        <v/>
      </c>
    </row>
    <row r="1448">
      <c r="A1448" s="7" t="inlineStr">
        <is>
          <t>ORD-01542</t>
        </is>
      </c>
      <c r="B1448" s="8" t="n">
        <v>45258</v>
      </c>
      <c r="C1448" s="9" t="n">
        <v>45231</v>
      </c>
      <c r="D1448" s="7" t="n">
        <v>2023</v>
      </c>
      <c r="E1448" s="7" t="inlineStr">
        <is>
          <t>East</t>
        </is>
      </c>
      <c r="F1448" s="7" t="inlineStr">
        <is>
          <t>Office Supplies</t>
        </is>
      </c>
      <c r="G1448" s="7" t="inlineStr">
        <is>
          <t>Binder</t>
        </is>
      </c>
      <c r="H1448" s="7" t="inlineStr">
        <is>
          <t>Home Office</t>
        </is>
      </c>
      <c r="I1448" s="7" t="n">
        <v>15</v>
      </c>
      <c r="J1448" s="10" t="n">
        <v>8</v>
      </c>
      <c r="K1448" s="11" t="n">
        <v>0</v>
      </c>
      <c r="L1448" s="10">
        <f>I1448*J1448*(1-K1448)</f>
        <v/>
      </c>
      <c r="M1448" s="10" t="n">
        <v>48</v>
      </c>
      <c r="N1448" s="10">
        <f>L1448-M1448</f>
        <v/>
      </c>
    </row>
    <row r="1449">
      <c r="A1449" s="7" t="inlineStr">
        <is>
          <t>ORD-05966</t>
        </is>
      </c>
      <c r="B1449" s="8" t="n">
        <v>45258</v>
      </c>
      <c r="C1449" s="9" t="n">
        <v>45231</v>
      </c>
      <c r="D1449" s="7" t="n">
        <v>2023</v>
      </c>
      <c r="E1449" s="7" t="inlineStr">
        <is>
          <t>West</t>
        </is>
      </c>
      <c r="F1449" s="7" t="inlineStr">
        <is>
          <t>Office Supplies</t>
        </is>
      </c>
      <c r="G1449" s="7" t="inlineStr">
        <is>
          <t>Binder</t>
        </is>
      </c>
      <c r="H1449" s="7" t="inlineStr">
        <is>
          <t>Corporate</t>
        </is>
      </c>
      <c r="I1449" s="7" t="n">
        <v>4</v>
      </c>
      <c r="J1449" s="10" t="n">
        <v>8.109999999999999</v>
      </c>
      <c r="K1449" s="11" t="n">
        <v>0</v>
      </c>
      <c r="L1449" s="10">
        <f>I1449*J1449*(1-K1449)</f>
        <v/>
      </c>
      <c r="M1449" s="10" t="n">
        <v>12.8</v>
      </c>
      <c r="N1449" s="10">
        <f>L1449-M1449</f>
        <v/>
      </c>
    </row>
    <row r="1450">
      <c r="A1450" s="7" t="inlineStr">
        <is>
          <t>ORD-02630</t>
        </is>
      </c>
      <c r="B1450" s="8" t="n">
        <v>45258</v>
      </c>
      <c r="C1450" s="9" t="n">
        <v>45231</v>
      </c>
      <c r="D1450" s="7" t="n">
        <v>2023</v>
      </c>
      <c r="E1450" s="7" t="inlineStr">
        <is>
          <t>North</t>
        </is>
      </c>
      <c r="F1450" s="7" t="inlineStr">
        <is>
          <t>Office Supplies</t>
        </is>
      </c>
      <c r="G1450" s="7" t="inlineStr">
        <is>
          <t>Stapler</t>
        </is>
      </c>
      <c r="H1450" s="7" t="inlineStr">
        <is>
          <t>Consumer</t>
        </is>
      </c>
      <c r="I1450" s="7" t="n">
        <v>10</v>
      </c>
      <c r="J1450" s="10" t="n">
        <v>15.53</v>
      </c>
      <c r="K1450" s="11" t="n">
        <v>0.2</v>
      </c>
      <c r="L1450" s="10">
        <f>I1450*J1450*(1-K1450)</f>
        <v/>
      </c>
      <c r="M1450" s="10" t="n">
        <v>75</v>
      </c>
      <c r="N1450" s="10">
        <f>L1450-M1450</f>
        <v/>
      </c>
    </row>
    <row r="1451">
      <c r="A1451" s="7" t="inlineStr">
        <is>
          <t>ORD-05041</t>
        </is>
      </c>
      <c r="B1451" s="8" t="n">
        <v>45258</v>
      </c>
      <c r="C1451" s="9" t="n">
        <v>45231</v>
      </c>
      <c r="D1451" s="7" t="n">
        <v>2023</v>
      </c>
      <c r="E1451" s="7" t="inlineStr">
        <is>
          <t>North</t>
        </is>
      </c>
      <c r="F1451" s="7" t="inlineStr">
        <is>
          <t>Technology</t>
        </is>
      </c>
      <c r="G1451" s="7" t="inlineStr">
        <is>
          <t>Keyboard</t>
        </is>
      </c>
      <c r="H1451" s="7" t="inlineStr">
        <is>
          <t>Consumer</t>
        </is>
      </c>
      <c r="I1451" s="7" t="n">
        <v>2</v>
      </c>
      <c r="J1451" s="10" t="n">
        <v>46.7</v>
      </c>
      <c r="K1451" s="11" t="n">
        <v>0</v>
      </c>
      <c r="L1451" s="10">
        <f>I1451*J1451*(1-K1451)</f>
        <v/>
      </c>
      <c r="M1451" s="10" t="n">
        <v>49.5</v>
      </c>
      <c r="N1451" s="10">
        <f>L1451-M1451</f>
        <v/>
      </c>
    </row>
    <row r="1452">
      <c r="A1452" s="7" t="inlineStr">
        <is>
          <t>ORD-01547</t>
        </is>
      </c>
      <c r="B1452" s="8" t="n">
        <v>45258</v>
      </c>
      <c r="C1452" s="9" t="n">
        <v>45231</v>
      </c>
      <c r="D1452" s="7" t="n">
        <v>2023</v>
      </c>
      <c r="E1452" s="7" t="inlineStr">
        <is>
          <t>East</t>
        </is>
      </c>
      <c r="F1452" s="7" t="inlineStr">
        <is>
          <t>Office Supplies</t>
        </is>
      </c>
      <c r="G1452" s="7" t="inlineStr">
        <is>
          <t>Binder</t>
        </is>
      </c>
      <c r="H1452" s="7" t="inlineStr">
        <is>
          <t>Home Office</t>
        </is>
      </c>
      <c r="I1452" s="7" t="n">
        <v>14</v>
      </c>
      <c r="J1452" s="10" t="n">
        <v>8.24</v>
      </c>
      <c r="K1452" s="11" t="n">
        <v>0.2</v>
      </c>
      <c r="L1452" s="10">
        <f>I1452*J1452*(1-K1452)</f>
        <v/>
      </c>
      <c r="M1452" s="10" t="n">
        <v>44.8</v>
      </c>
      <c r="N1452" s="10">
        <f>L1452-M1452</f>
        <v/>
      </c>
    </row>
    <row r="1453">
      <c r="A1453" s="7" t="inlineStr">
        <is>
          <t>ORD-03665</t>
        </is>
      </c>
      <c r="B1453" s="8" t="n">
        <v>45258</v>
      </c>
      <c r="C1453" s="9" t="n">
        <v>45231</v>
      </c>
      <c r="D1453" s="7" t="n">
        <v>2023</v>
      </c>
      <c r="E1453" s="7" t="inlineStr">
        <is>
          <t>West</t>
        </is>
      </c>
      <c r="F1453" s="7" t="inlineStr">
        <is>
          <t>Technology</t>
        </is>
      </c>
      <c r="G1453" s="7" t="inlineStr">
        <is>
          <t>Headphones</t>
        </is>
      </c>
      <c r="H1453" s="7" t="inlineStr">
        <is>
          <t>Consumer</t>
        </is>
      </c>
      <c r="I1453" s="7" t="n">
        <v>1</v>
      </c>
      <c r="J1453" s="10" t="n">
        <v>121.41</v>
      </c>
      <c r="K1453" s="11" t="n">
        <v>0</v>
      </c>
      <c r="L1453" s="10">
        <f>I1453*J1453*(1-K1453)</f>
        <v/>
      </c>
      <c r="M1453" s="10" t="n">
        <v>72</v>
      </c>
      <c r="N1453" s="10">
        <f>L1453-M1453</f>
        <v/>
      </c>
    </row>
    <row r="1454">
      <c r="A1454" s="7" t="inlineStr">
        <is>
          <t>ORD-00192</t>
        </is>
      </c>
      <c r="B1454" s="8" t="n">
        <v>45258</v>
      </c>
      <c r="C1454" s="9" t="n">
        <v>45231</v>
      </c>
      <c r="D1454" s="7" t="n">
        <v>2023</v>
      </c>
      <c r="E1454" s="7" t="inlineStr">
        <is>
          <t>West</t>
        </is>
      </c>
      <c r="F1454" s="7" t="inlineStr">
        <is>
          <t>Technology</t>
        </is>
      </c>
      <c r="G1454" s="7" t="inlineStr">
        <is>
          <t>Smartphone</t>
        </is>
      </c>
      <c r="H1454" s="7" t="inlineStr">
        <is>
          <t>Consumer</t>
        </is>
      </c>
      <c r="I1454" s="7" t="n">
        <v>3</v>
      </c>
      <c r="J1454" s="10" t="n">
        <v>581.23</v>
      </c>
      <c r="K1454" s="11" t="n">
        <v>0.1</v>
      </c>
      <c r="L1454" s="10">
        <f>I1454*J1454*(1-K1454)</f>
        <v/>
      </c>
      <c r="M1454" s="10" t="n">
        <v>1350</v>
      </c>
      <c r="N1454" s="10">
        <f>L1454-M1454</f>
        <v/>
      </c>
    </row>
    <row r="1455">
      <c r="A1455" s="7" t="inlineStr">
        <is>
          <t>ORD-00701</t>
        </is>
      </c>
      <c r="B1455" s="8" t="n">
        <v>45258</v>
      </c>
      <c r="C1455" s="9" t="n">
        <v>45231</v>
      </c>
      <c r="D1455" s="7" t="n">
        <v>2023</v>
      </c>
      <c r="E1455" s="7" t="inlineStr">
        <is>
          <t>West</t>
        </is>
      </c>
      <c r="F1455" s="7" t="inlineStr">
        <is>
          <t>Office Supplies</t>
        </is>
      </c>
      <c r="G1455" s="7" t="inlineStr">
        <is>
          <t>Paper</t>
        </is>
      </c>
      <c r="H1455" s="7" t="inlineStr">
        <is>
          <t>Corporate</t>
        </is>
      </c>
      <c r="I1455" s="7" t="n">
        <v>12</v>
      </c>
      <c r="J1455" s="10" t="n">
        <v>25.59</v>
      </c>
      <c r="K1455" s="11" t="n">
        <v>0.2</v>
      </c>
      <c r="L1455" s="10">
        <f>I1455*J1455*(1-K1455)</f>
        <v/>
      </c>
      <c r="M1455" s="10" t="n">
        <v>150</v>
      </c>
      <c r="N1455" s="10">
        <f>L1455-M1455</f>
        <v/>
      </c>
    </row>
    <row r="1456">
      <c r="A1456" s="7" t="inlineStr">
        <is>
          <t>ORD-01984</t>
        </is>
      </c>
      <c r="B1456" s="8" t="n">
        <v>45259</v>
      </c>
      <c r="C1456" s="9" t="n">
        <v>45231</v>
      </c>
      <c r="D1456" s="7" t="n">
        <v>2023</v>
      </c>
      <c r="E1456" s="7" t="inlineStr">
        <is>
          <t>North</t>
        </is>
      </c>
      <c r="F1456" s="7" t="inlineStr">
        <is>
          <t>Office Supplies</t>
        </is>
      </c>
      <c r="G1456" s="7" t="inlineStr">
        <is>
          <t>Paper</t>
        </is>
      </c>
      <c r="H1456" s="7" t="inlineStr">
        <is>
          <t>Corporate</t>
        </is>
      </c>
      <c r="I1456" s="7" t="n">
        <v>12</v>
      </c>
      <c r="J1456" s="10" t="n">
        <v>24.35</v>
      </c>
      <c r="K1456" s="11" t="n">
        <v>0.05</v>
      </c>
      <c r="L1456" s="10">
        <f>I1456*J1456*(1-K1456)</f>
        <v/>
      </c>
      <c r="M1456" s="10" t="n">
        <v>150</v>
      </c>
      <c r="N1456" s="10">
        <f>L1456-M1456</f>
        <v/>
      </c>
    </row>
    <row r="1457">
      <c r="A1457" s="7" t="inlineStr">
        <is>
          <t>ORD-00753</t>
        </is>
      </c>
      <c r="B1457" s="8" t="n">
        <v>45259</v>
      </c>
      <c r="C1457" s="9" t="n">
        <v>45231</v>
      </c>
      <c r="D1457" s="7" t="n">
        <v>2023</v>
      </c>
      <c r="E1457" s="7" t="inlineStr">
        <is>
          <t>South</t>
        </is>
      </c>
      <c r="F1457" s="7" t="inlineStr">
        <is>
          <t>Office Supplies</t>
        </is>
      </c>
      <c r="G1457" s="7" t="inlineStr">
        <is>
          <t>Printer Ink</t>
        </is>
      </c>
      <c r="H1457" s="7" t="inlineStr">
        <is>
          <t>Corporate</t>
        </is>
      </c>
      <c r="I1457" s="7" t="n">
        <v>14</v>
      </c>
      <c r="J1457" s="10" t="n">
        <v>61.62</v>
      </c>
      <c r="K1457" s="11" t="n">
        <v>0</v>
      </c>
      <c r="L1457" s="10">
        <f>I1457*J1457*(1-K1457)</f>
        <v/>
      </c>
      <c r="M1457" s="10" t="n">
        <v>504</v>
      </c>
      <c r="N1457" s="10">
        <f>L1457-M1457</f>
        <v/>
      </c>
    </row>
    <row r="1458">
      <c r="A1458" s="7" t="inlineStr">
        <is>
          <t>ORD-04484</t>
        </is>
      </c>
      <c r="B1458" s="8" t="n">
        <v>45259</v>
      </c>
      <c r="C1458" s="9" t="n">
        <v>45231</v>
      </c>
      <c r="D1458" s="7" t="n">
        <v>2023</v>
      </c>
      <c r="E1458" s="7" t="inlineStr">
        <is>
          <t>South</t>
        </is>
      </c>
      <c r="F1458" s="7" t="inlineStr">
        <is>
          <t>Office Supplies</t>
        </is>
      </c>
      <c r="G1458" s="7" t="inlineStr">
        <is>
          <t>Pens</t>
        </is>
      </c>
      <c r="H1458" s="7" t="inlineStr">
        <is>
          <t>Consumer</t>
        </is>
      </c>
      <c r="I1458" s="7" t="n">
        <v>15</v>
      </c>
      <c r="J1458" s="10" t="n">
        <v>12.08</v>
      </c>
      <c r="K1458" s="11" t="n">
        <v>0.05</v>
      </c>
      <c r="L1458" s="10">
        <f>I1458*J1458*(1-K1458)</f>
        <v/>
      </c>
      <c r="M1458" s="10" t="n">
        <v>81</v>
      </c>
      <c r="N1458" s="10">
        <f>L1458-M1458</f>
        <v/>
      </c>
    </row>
    <row r="1459">
      <c r="A1459" s="7" t="inlineStr">
        <is>
          <t>ORD-05298</t>
        </is>
      </c>
      <c r="B1459" s="8" t="n">
        <v>45259</v>
      </c>
      <c r="C1459" s="9" t="n">
        <v>45231</v>
      </c>
      <c r="D1459" s="7" t="n">
        <v>2023</v>
      </c>
      <c r="E1459" s="7" t="inlineStr">
        <is>
          <t>North</t>
        </is>
      </c>
      <c r="F1459" s="7" t="inlineStr">
        <is>
          <t>Technology</t>
        </is>
      </c>
      <c r="G1459" s="7" t="inlineStr">
        <is>
          <t>Keyboard</t>
        </is>
      </c>
      <c r="H1459" s="7" t="inlineStr">
        <is>
          <t>Consumer</t>
        </is>
      </c>
      <c r="I1459" s="7" t="n">
        <v>3</v>
      </c>
      <c r="J1459" s="10" t="n">
        <v>46.56</v>
      </c>
      <c r="K1459" s="11" t="n">
        <v>0</v>
      </c>
      <c r="L1459" s="10">
        <f>I1459*J1459*(1-K1459)</f>
        <v/>
      </c>
      <c r="M1459" s="10" t="n">
        <v>74.25</v>
      </c>
      <c r="N1459" s="10">
        <f>L1459-M1459</f>
        <v/>
      </c>
    </row>
    <row r="1460">
      <c r="A1460" s="7" t="inlineStr">
        <is>
          <t>ORD-04047</t>
        </is>
      </c>
      <c r="B1460" s="8" t="n">
        <v>45259</v>
      </c>
      <c r="C1460" s="9" t="n">
        <v>45231</v>
      </c>
      <c r="D1460" s="7" t="n">
        <v>2023</v>
      </c>
      <c r="E1460" s="7" t="inlineStr">
        <is>
          <t>South</t>
        </is>
      </c>
      <c r="F1460" s="7" t="inlineStr">
        <is>
          <t>Furniture</t>
        </is>
      </c>
      <c r="G1460" s="7" t="inlineStr">
        <is>
          <t>Desk</t>
        </is>
      </c>
      <c r="H1460" s="7" t="inlineStr">
        <is>
          <t>Consumer</t>
        </is>
      </c>
      <c r="I1460" s="7" t="n">
        <v>1</v>
      </c>
      <c r="J1460" s="10" t="n">
        <v>459.07</v>
      </c>
      <c r="K1460" s="11" t="n">
        <v>0</v>
      </c>
      <c r="L1460" s="10">
        <f>I1460*J1460*(1-K1460)</f>
        <v/>
      </c>
      <c r="M1460" s="10" t="n">
        <v>382.5</v>
      </c>
      <c r="N1460" s="10">
        <f>L1460-M1460</f>
        <v/>
      </c>
    </row>
    <row r="1461">
      <c r="A1461" s="7" t="inlineStr">
        <is>
          <t>ORD-00771</t>
        </is>
      </c>
      <c r="B1461" s="8" t="n">
        <v>45259</v>
      </c>
      <c r="C1461" s="9" t="n">
        <v>45231</v>
      </c>
      <c r="D1461" s="7" t="n">
        <v>2023</v>
      </c>
      <c r="E1461" s="7" t="inlineStr">
        <is>
          <t>East</t>
        </is>
      </c>
      <c r="F1461" s="7" t="inlineStr">
        <is>
          <t>Office Supplies</t>
        </is>
      </c>
      <c r="G1461" s="7" t="inlineStr">
        <is>
          <t>Paper</t>
        </is>
      </c>
      <c r="H1461" s="7" t="inlineStr">
        <is>
          <t>Corporate</t>
        </is>
      </c>
      <c r="I1461" s="7" t="n">
        <v>6</v>
      </c>
      <c r="J1461" s="10" t="n">
        <v>25.03</v>
      </c>
      <c r="K1461" s="11" t="n">
        <v>0.05</v>
      </c>
      <c r="L1461" s="10">
        <f>I1461*J1461*(1-K1461)</f>
        <v/>
      </c>
      <c r="M1461" s="10" t="n">
        <v>75</v>
      </c>
      <c r="N1461" s="10">
        <f>L1461-M1461</f>
        <v/>
      </c>
    </row>
    <row r="1462">
      <c r="A1462" s="7" t="inlineStr">
        <is>
          <t>ORD-04361</t>
        </is>
      </c>
      <c r="B1462" s="8" t="n">
        <v>45260</v>
      </c>
      <c r="C1462" s="9" t="n">
        <v>45231</v>
      </c>
      <c r="D1462" s="7" t="n">
        <v>2023</v>
      </c>
      <c r="E1462" s="7" t="inlineStr">
        <is>
          <t>North</t>
        </is>
      </c>
      <c r="F1462" s="7" t="inlineStr">
        <is>
          <t>Office Supplies</t>
        </is>
      </c>
      <c r="G1462" s="7" t="inlineStr">
        <is>
          <t>Paper</t>
        </is>
      </c>
      <c r="H1462" s="7" t="inlineStr">
        <is>
          <t>Consumer</t>
        </is>
      </c>
      <c r="I1462" s="7" t="n">
        <v>3</v>
      </c>
      <c r="J1462" s="10" t="n">
        <v>24.01</v>
      </c>
      <c r="K1462" s="11" t="n">
        <v>0</v>
      </c>
      <c r="L1462" s="10">
        <f>I1462*J1462*(1-K1462)</f>
        <v/>
      </c>
      <c r="M1462" s="10" t="n">
        <v>37.5</v>
      </c>
      <c r="N1462" s="10">
        <f>L1462-M1462</f>
        <v/>
      </c>
    </row>
    <row r="1463">
      <c r="A1463" s="7" t="inlineStr">
        <is>
          <t>ORD-04562</t>
        </is>
      </c>
      <c r="B1463" s="8" t="n">
        <v>45260</v>
      </c>
      <c r="C1463" s="9" t="n">
        <v>45231</v>
      </c>
      <c r="D1463" s="7" t="n">
        <v>2023</v>
      </c>
      <c r="E1463" s="7" t="inlineStr">
        <is>
          <t>East</t>
        </is>
      </c>
      <c r="F1463" s="7" t="inlineStr">
        <is>
          <t>Office Supplies</t>
        </is>
      </c>
      <c r="G1463" s="7" t="inlineStr">
        <is>
          <t>Paper</t>
        </is>
      </c>
      <c r="H1463" s="7" t="inlineStr">
        <is>
          <t>Consumer</t>
        </is>
      </c>
      <c r="I1463" s="7" t="n">
        <v>13</v>
      </c>
      <c r="J1463" s="10" t="n">
        <v>25.88</v>
      </c>
      <c r="K1463" s="11" t="n">
        <v>0.2</v>
      </c>
      <c r="L1463" s="10">
        <f>I1463*J1463*(1-K1463)</f>
        <v/>
      </c>
      <c r="M1463" s="10" t="n">
        <v>162.5</v>
      </c>
      <c r="N1463" s="10">
        <f>L1463-M1463</f>
        <v/>
      </c>
    </row>
    <row r="1464">
      <c r="A1464" s="7" t="inlineStr">
        <is>
          <t>ORD-03334</t>
        </is>
      </c>
      <c r="B1464" s="8" t="n">
        <v>45260</v>
      </c>
      <c r="C1464" s="9" t="n">
        <v>45231</v>
      </c>
      <c r="D1464" s="7" t="n">
        <v>2023</v>
      </c>
      <c r="E1464" s="7" t="inlineStr">
        <is>
          <t>South</t>
        </is>
      </c>
      <c r="F1464" s="7" t="inlineStr">
        <is>
          <t>Office Supplies</t>
        </is>
      </c>
      <c r="G1464" s="7" t="inlineStr">
        <is>
          <t>Stapler</t>
        </is>
      </c>
      <c r="H1464" s="7" t="inlineStr">
        <is>
          <t>Corporate</t>
        </is>
      </c>
      <c r="I1464" s="7" t="n">
        <v>11</v>
      </c>
      <c r="J1464" s="10" t="n">
        <v>14.29</v>
      </c>
      <c r="K1464" s="11" t="n">
        <v>0.2</v>
      </c>
      <c r="L1464" s="10">
        <f>I1464*J1464*(1-K1464)</f>
        <v/>
      </c>
      <c r="M1464" s="10" t="n">
        <v>82.5</v>
      </c>
      <c r="N1464" s="10">
        <f>L1464-M1464</f>
        <v/>
      </c>
    </row>
    <row r="1465">
      <c r="A1465" s="7" t="inlineStr">
        <is>
          <t>ORD-05773</t>
        </is>
      </c>
      <c r="B1465" s="8" t="n">
        <v>45260</v>
      </c>
      <c r="C1465" s="9" t="n">
        <v>45231</v>
      </c>
      <c r="D1465" s="7" t="n">
        <v>2023</v>
      </c>
      <c r="E1465" s="7" t="inlineStr">
        <is>
          <t>East</t>
        </is>
      </c>
      <c r="F1465" s="7" t="inlineStr">
        <is>
          <t>Furniture</t>
        </is>
      </c>
      <c r="G1465" s="7" t="inlineStr">
        <is>
          <t>Desk</t>
        </is>
      </c>
      <c r="H1465" s="7" t="inlineStr">
        <is>
          <t>Corporate</t>
        </is>
      </c>
      <c r="I1465" s="7" t="n">
        <v>2</v>
      </c>
      <c r="J1465" s="10" t="n">
        <v>429.62</v>
      </c>
      <c r="K1465" s="11" t="n">
        <v>0.2</v>
      </c>
      <c r="L1465" s="10">
        <f>I1465*J1465*(1-K1465)</f>
        <v/>
      </c>
      <c r="M1465" s="10" t="n">
        <v>765</v>
      </c>
      <c r="N1465" s="10">
        <f>L1465-M1465</f>
        <v/>
      </c>
    </row>
    <row r="1466">
      <c r="A1466" s="7" t="inlineStr">
        <is>
          <t>ORD-05785</t>
        </is>
      </c>
      <c r="B1466" s="8" t="n">
        <v>45260</v>
      </c>
      <c r="C1466" s="9" t="n">
        <v>45231</v>
      </c>
      <c r="D1466" s="7" t="n">
        <v>2023</v>
      </c>
      <c r="E1466" s="7" t="inlineStr">
        <is>
          <t>South</t>
        </is>
      </c>
      <c r="F1466" s="7" t="inlineStr">
        <is>
          <t>Office Supplies</t>
        </is>
      </c>
      <c r="G1466" s="7" t="inlineStr">
        <is>
          <t>Binder</t>
        </is>
      </c>
      <c r="H1466" s="7" t="inlineStr">
        <is>
          <t>Consumer</t>
        </is>
      </c>
      <c r="I1466" s="7" t="n">
        <v>11</v>
      </c>
      <c r="J1466" s="10" t="n">
        <v>8.25</v>
      </c>
      <c r="K1466" s="11" t="n">
        <v>0.1</v>
      </c>
      <c r="L1466" s="10">
        <f>I1466*J1466*(1-K1466)</f>
        <v/>
      </c>
      <c r="M1466" s="10" t="n">
        <v>35.2</v>
      </c>
      <c r="N1466" s="10">
        <f>L1466-M1466</f>
        <v/>
      </c>
    </row>
    <row r="1467">
      <c r="A1467" s="7" t="inlineStr">
        <is>
          <t>ORD-04958</t>
        </is>
      </c>
      <c r="B1467" s="8" t="n">
        <v>45260</v>
      </c>
      <c r="C1467" s="9" t="n">
        <v>45231</v>
      </c>
      <c r="D1467" s="7" t="n">
        <v>2023</v>
      </c>
      <c r="E1467" s="7" t="inlineStr">
        <is>
          <t>East</t>
        </is>
      </c>
      <c r="F1467" s="7" t="inlineStr">
        <is>
          <t>Technology</t>
        </is>
      </c>
      <c r="G1467" s="7" t="inlineStr">
        <is>
          <t>Headphones</t>
        </is>
      </c>
      <c r="H1467" s="7" t="inlineStr">
        <is>
          <t>Consumer</t>
        </is>
      </c>
      <c r="I1467" s="7" t="n">
        <v>3</v>
      </c>
      <c r="J1467" s="10" t="n">
        <v>124.81</v>
      </c>
      <c r="K1467" s="11" t="n">
        <v>0</v>
      </c>
      <c r="L1467" s="10">
        <f>I1467*J1467*(1-K1467)</f>
        <v/>
      </c>
      <c r="M1467" s="10" t="n">
        <v>216</v>
      </c>
      <c r="N1467" s="10">
        <f>L1467-M1467</f>
        <v/>
      </c>
    </row>
    <row r="1468">
      <c r="A1468" s="7" t="inlineStr">
        <is>
          <t>ORD-04964</t>
        </is>
      </c>
      <c r="B1468" s="8" t="n">
        <v>45261</v>
      </c>
      <c r="C1468" s="9" t="n">
        <v>45261</v>
      </c>
      <c r="D1468" s="7" t="n">
        <v>2023</v>
      </c>
      <c r="E1468" s="7" t="inlineStr">
        <is>
          <t>South</t>
        </is>
      </c>
      <c r="F1468" s="7" t="inlineStr">
        <is>
          <t>Technology</t>
        </is>
      </c>
      <c r="G1468" s="7" t="inlineStr">
        <is>
          <t>Headphones</t>
        </is>
      </c>
      <c r="H1468" s="7" t="inlineStr">
        <is>
          <t>Home Office</t>
        </is>
      </c>
      <c r="I1468" s="7" t="n">
        <v>2</v>
      </c>
      <c r="J1468" s="10" t="n">
        <v>118.66</v>
      </c>
      <c r="K1468" s="11" t="n">
        <v>0.2</v>
      </c>
      <c r="L1468" s="10">
        <f>I1468*J1468*(1-K1468)</f>
        <v/>
      </c>
      <c r="M1468" s="10" t="n">
        <v>144</v>
      </c>
      <c r="N1468" s="10">
        <f>L1468-M1468</f>
        <v/>
      </c>
    </row>
    <row r="1469">
      <c r="A1469" s="7" t="inlineStr">
        <is>
          <t>ORD-01081</t>
        </is>
      </c>
      <c r="B1469" s="8" t="n">
        <v>45261</v>
      </c>
      <c r="C1469" s="9" t="n">
        <v>45261</v>
      </c>
      <c r="D1469" s="7" t="n">
        <v>2023</v>
      </c>
      <c r="E1469" s="7" t="inlineStr">
        <is>
          <t>South</t>
        </is>
      </c>
      <c r="F1469" s="7" t="inlineStr">
        <is>
          <t>Office Supplies</t>
        </is>
      </c>
      <c r="G1469" s="7" t="inlineStr">
        <is>
          <t>Paper</t>
        </is>
      </c>
      <c r="H1469" s="7" t="inlineStr">
        <is>
          <t>Consumer</t>
        </is>
      </c>
      <c r="I1469" s="7" t="n">
        <v>13</v>
      </c>
      <c r="J1469" s="10" t="n">
        <v>24.01</v>
      </c>
      <c r="K1469" s="11" t="n">
        <v>0</v>
      </c>
      <c r="L1469" s="10">
        <f>I1469*J1469*(1-K1469)</f>
        <v/>
      </c>
      <c r="M1469" s="10" t="n">
        <v>162.5</v>
      </c>
      <c r="N1469" s="10">
        <f>L1469-M1469</f>
        <v/>
      </c>
    </row>
    <row r="1470">
      <c r="A1470" s="7" t="inlineStr">
        <is>
          <t>ORD-02939</t>
        </is>
      </c>
      <c r="B1470" s="8" t="n">
        <v>45261</v>
      </c>
      <c r="C1470" s="9" t="n">
        <v>45261</v>
      </c>
      <c r="D1470" s="7" t="n">
        <v>2023</v>
      </c>
      <c r="E1470" s="7" t="inlineStr">
        <is>
          <t>East</t>
        </is>
      </c>
      <c r="F1470" s="7" t="inlineStr">
        <is>
          <t>Office Supplies</t>
        </is>
      </c>
      <c r="G1470" s="7" t="inlineStr">
        <is>
          <t>Paper</t>
        </is>
      </c>
      <c r="H1470" s="7" t="inlineStr">
        <is>
          <t>Corporate</t>
        </is>
      </c>
      <c r="I1470" s="7" t="n">
        <v>3</v>
      </c>
      <c r="J1470" s="10" t="n">
        <v>24.06</v>
      </c>
      <c r="K1470" s="11" t="n">
        <v>0.2</v>
      </c>
      <c r="L1470" s="10">
        <f>I1470*J1470*(1-K1470)</f>
        <v/>
      </c>
      <c r="M1470" s="10" t="n">
        <v>37.5</v>
      </c>
      <c r="N1470" s="10">
        <f>L1470-M1470</f>
        <v/>
      </c>
    </row>
    <row r="1471">
      <c r="A1471" s="7" t="inlineStr">
        <is>
          <t>ORD-03063</t>
        </is>
      </c>
      <c r="B1471" s="8" t="n">
        <v>45261</v>
      </c>
      <c r="C1471" s="9" t="n">
        <v>45261</v>
      </c>
      <c r="D1471" s="7" t="n">
        <v>2023</v>
      </c>
      <c r="E1471" s="7" t="inlineStr">
        <is>
          <t>East</t>
        </is>
      </c>
      <c r="F1471" s="7" t="inlineStr">
        <is>
          <t>Office Supplies</t>
        </is>
      </c>
      <c r="G1471" s="7" t="inlineStr">
        <is>
          <t>Paper</t>
        </is>
      </c>
      <c r="H1471" s="7" t="inlineStr">
        <is>
          <t>Corporate</t>
        </is>
      </c>
      <c r="I1471" s="7" t="n">
        <v>9</v>
      </c>
      <c r="J1471" s="10" t="n">
        <v>26.22</v>
      </c>
      <c r="K1471" s="11" t="n">
        <v>0.1</v>
      </c>
      <c r="L1471" s="10">
        <f>I1471*J1471*(1-K1471)</f>
        <v/>
      </c>
      <c r="M1471" s="10" t="n">
        <v>112.5</v>
      </c>
      <c r="N1471" s="10">
        <f>L1471-M1471</f>
        <v/>
      </c>
    </row>
    <row r="1472">
      <c r="A1472" s="7" t="inlineStr">
        <is>
          <t>ORD-04692</t>
        </is>
      </c>
      <c r="B1472" s="8" t="n">
        <v>45261</v>
      </c>
      <c r="C1472" s="9" t="n">
        <v>45261</v>
      </c>
      <c r="D1472" s="7" t="n">
        <v>2023</v>
      </c>
      <c r="E1472" s="7" t="inlineStr">
        <is>
          <t>East</t>
        </is>
      </c>
      <c r="F1472" s="7" t="inlineStr">
        <is>
          <t>Office Supplies</t>
        </is>
      </c>
      <c r="G1472" s="7" t="inlineStr">
        <is>
          <t>Binder</t>
        </is>
      </c>
      <c r="H1472" s="7" t="inlineStr">
        <is>
          <t>Corporate</t>
        </is>
      </c>
      <c r="I1472" s="7" t="n">
        <v>14</v>
      </c>
      <c r="J1472" s="10" t="n">
        <v>8.140000000000001</v>
      </c>
      <c r="K1472" s="11" t="n">
        <v>0.3</v>
      </c>
      <c r="L1472" s="10">
        <f>I1472*J1472*(1-K1472)</f>
        <v/>
      </c>
      <c r="M1472" s="10" t="n">
        <v>44.8</v>
      </c>
      <c r="N1472" s="10">
        <f>L1472-M1472</f>
        <v/>
      </c>
    </row>
    <row r="1473">
      <c r="A1473" s="7" t="inlineStr">
        <is>
          <t>ORD-03702</t>
        </is>
      </c>
      <c r="B1473" s="8" t="n">
        <v>45261</v>
      </c>
      <c r="C1473" s="9" t="n">
        <v>45261</v>
      </c>
      <c r="D1473" s="7" t="n">
        <v>2023</v>
      </c>
      <c r="E1473" s="7" t="inlineStr">
        <is>
          <t>West</t>
        </is>
      </c>
      <c r="F1473" s="7" t="inlineStr">
        <is>
          <t>Office Supplies</t>
        </is>
      </c>
      <c r="G1473" s="7" t="inlineStr">
        <is>
          <t>Pens</t>
        </is>
      </c>
      <c r="H1473" s="7" t="inlineStr">
        <is>
          <t>Home Office</t>
        </is>
      </c>
      <c r="I1473" s="7" t="n">
        <v>3</v>
      </c>
      <c r="J1473" s="10" t="n">
        <v>11.8</v>
      </c>
      <c r="K1473" s="11" t="n">
        <v>0.05</v>
      </c>
      <c r="L1473" s="10">
        <f>I1473*J1473*(1-K1473)</f>
        <v/>
      </c>
      <c r="M1473" s="10" t="n">
        <v>16.2</v>
      </c>
      <c r="N1473" s="10">
        <f>L1473-M1473</f>
        <v/>
      </c>
    </row>
    <row r="1474">
      <c r="A1474" s="7" t="inlineStr">
        <is>
          <t>ORD-02917</t>
        </is>
      </c>
      <c r="B1474" s="8" t="n">
        <v>45261</v>
      </c>
      <c r="C1474" s="9" t="n">
        <v>45261</v>
      </c>
      <c r="D1474" s="7" t="n">
        <v>2023</v>
      </c>
      <c r="E1474" s="7" t="inlineStr">
        <is>
          <t>East</t>
        </is>
      </c>
      <c r="F1474" s="7" t="inlineStr">
        <is>
          <t>Office Supplies</t>
        </is>
      </c>
      <c r="G1474" s="7" t="inlineStr">
        <is>
          <t>Pens</t>
        </is>
      </c>
      <c r="H1474" s="7" t="inlineStr">
        <is>
          <t>Corporate</t>
        </is>
      </c>
      <c r="I1474" s="7" t="n">
        <v>13</v>
      </c>
      <c r="J1474" s="10" t="n">
        <v>11.61</v>
      </c>
      <c r="K1474" s="11" t="n">
        <v>0.05</v>
      </c>
      <c r="L1474" s="10">
        <f>I1474*J1474*(1-K1474)</f>
        <v/>
      </c>
      <c r="M1474" s="10" t="n">
        <v>70.2</v>
      </c>
      <c r="N1474" s="10">
        <f>L1474-M1474</f>
        <v/>
      </c>
    </row>
    <row r="1475">
      <c r="A1475" s="7" t="inlineStr">
        <is>
          <t>ORD-00893</t>
        </is>
      </c>
      <c r="B1475" s="8" t="n">
        <v>45261</v>
      </c>
      <c r="C1475" s="9" t="n">
        <v>45261</v>
      </c>
      <c r="D1475" s="7" t="n">
        <v>2023</v>
      </c>
      <c r="E1475" s="7" t="inlineStr">
        <is>
          <t>West</t>
        </is>
      </c>
      <c r="F1475" s="7" t="inlineStr">
        <is>
          <t>Office Supplies</t>
        </is>
      </c>
      <c r="G1475" s="7" t="inlineStr">
        <is>
          <t>Pens</t>
        </is>
      </c>
      <c r="H1475" s="7" t="inlineStr">
        <is>
          <t>Consumer</t>
        </is>
      </c>
      <c r="I1475" s="7" t="n">
        <v>5</v>
      </c>
      <c r="J1475" s="10" t="n">
        <v>12.31</v>
      </c>
      <c r="K1475" s="11" t="n">
        <v>0.05</v>
      </c>
      <c r="L1475" s="10">
        <f>I1475*J1475*(1-K1475)</f>
        <v/>
      </c>
      <c r="M1475" s="10" t="n">
        <v>27</v>
      </c>
      <c r="N1475" s="10">
        <f>L1475-M1475</f>
        <v/>
      </c>
    </row>
    <row r="1476">
      <c r="A1476" s="7" t="inlineStr">
        <is>
          <t>ORD-04872</t>
        </is>
      </c>
      <c r="B1476" s="8" t="n">
        <v>45261</v>
      </c>
      <c r="C1476" s="9" t="n">
        <v>45261</v>
      </c>
      <c r="D1476" s="7" t="n">
        <v>2023</v>
      </c>
      <c r="E1476" s="7" t="inlineStr">
        <is>
          <t>West</t>
        </is>
      </c>
      <c r="F1476" s="7" t="inlineStr">
        <is>
          <t>Office Supplies</t>
        </is>
      </c>
      <c r="G1476" s="7" t="inlineStr">
        <is>
          <t>Paper</t>
        </is>
      </c>
      <c r="H1476" s="7" t="inlineStr">
        <is>
          <t>Corporate</t>
        </is>
      </c>
      <c r="I1476" s="7" t="n">
        <v>6</v>
      </c>
      <c r="J1476" s="10" t="n">
        <v>25.5</v>
      </c>
      <c r="K1476" s="11" t="n">
        <v>0</v>
      </c>
      <c r="L1476" s="10">
        <f>I1476*J1476*(1-K1476)</f>
        <v/>
      </c>
      <c r="M1476" s="10" t="n">
        <v>75</v>
      </c>
      <c r="N1476" s="10">
        <f>L1476-M1476</f>
        <v/>
      </c>
    </row>
    <row r="1477">
      <c r="A1477" s="7" t="inlineStr">
        <is>
          <t>ORD-00562</t>
        </is>
      </c>
      <c r="B1477" s="8" t="n">
        <v>45261</v>
      </c>
      <c r="C1477" s="9" t="n">
        <v>45261</v>
      </c>
      <c r="D1477" s="7" t="n">
        <v>2023</v>
      </c>
      <c r="E1477" s="7" t="inlineStr">
        <is>
          <t>East</t>
        </is>
      </c>
      <c r="F1477" s="7" t="inlineStr">
        <is>
          <t>Office Supplies</t>
        </is>
      </c>
      <c r="G1477" s="7" t="inlineStr">
        <is>
          <t>Pens</t>
        </is>
      </c>
      <c r="H1477" s="7" t="inlineStr">
        <is>
          <t>Consumer</t>
        </is>
      </c>
      <c r="I1477" s="7" t="n">
        <v>4</v>
      </c>
      <c r="J1477" s="10" t="n">
        <v>11.4</v>
      </c>
      <c r="K1477" s="11" t="n">
        <v>0</v>
      </c>
      <c r="L1477" s="10">
        <f>I1477*J1477*(1-K1477)</f>
        <v/>
      </c>
      <c r="M1477" s="10" t="n">
        <v>21.6</v>
      </c>
      <c r="N1477" s="10">
        <f>L1477-M1477</f>
        <v/>
      </c>
    </row>
    <row r="1478">
      <c r="A1478" s="7" t="inlineStr">
        <is>
          <t>ORD-05212</t>
        </is>
      </c>
      <c r="B1478" s="8" t="n">
        <v>45262</v>
      </c>
      <c r="C1478" s="9" t="n">
        <v>45261</v>
      </c>
      <c r="D1478" s="7" t="n">
        <v>2023</v>
      </c>
      <c r="E1478" s="7" t="inlineStr">
        <is>
          <t>South</t>
        </is>
      </c>
      <c r="F1478" s="7" t="inlineStr">
        <is>
          <t>Office Supplies</t>
        </is>
      </c>
      <c r="G1478" s="7" t="inlineStr">
        <is>
          <t>Binder</t>
        </is>
      </c>
      <c r="H1478" s="7" t="inlineStr">
        <is>
          <t>Corporate</t>
        </is>
      </c>
      <c r="I1478" s="7" t="n">
        <v>12</v>
      </c>
      <c r="J1478" s="10" t="n">
        <v>8.08</v>
      </c>
      <c r="K1478" s="11" t="n">
        <v>0.2</v>
      </c>
      <c r="L1478" s="10">
        <f>I1478*J1478*(1-K1478)</f>
        <v/>
      </c>
      <c r="M1478" s="10" t="n">
        <v>38.4</v>
      </c>
      <c r="N1478" s="10">
        <f>L1478-M1478</f>
        <v/>
      </c>
    </row>
    <row r="1479">
      <c r="A1479" s="7" t="inlineStr">
        <is>
          <t>ORD-01939</t>
        </is>
      </c>
      <c r="B1479" s="8" t="n">
        <v>45262</v>
      </c>
      <c r="C1479" s="9" t="n">
        <v>45261</v>
      </c>
      <c r="D1479" s="7" t="n">
        <v>2023</v>
      </c>
      <c r="E1479" s="7" t="inlineStr">
        <is>
          <t>West</t>
        </is>
      </c>
      <c r="F1479" s="7" t="inlineStr">
        <is>
          <t>Furniture</t>
        </is>
      </c>
      <c r="G1479" s="7" t="inlineStr">
        <is>
          <t>Desk</t>
        </is>
      </c>
      <c r="H1479" s="7" t="inlineStr">
        <is>
          <t>Corporate</t>
        </is>
      </c>
      <c r="I1479" s="7" t="n">
        <v>3</v>
      </c>
      <c r="J1479" s="10" t="n">
        <v>447.56</v>
      </c>
      <c r="K1479" s="11" t="n">
        <v>0</v>
      </c>
      <c r="L1479" s="10">
        <f>I1479*J1479*(1-K1479)</f>
        <v/>
      </c>
      <c r="M1479" s="10" t="n">
        <v>1147.5</v>
      </c>
      <c r="N1479" s="10">
        <f>L1479-M1479</f>
        <v/>
      </c>
    </row>
    <row r="1480">
      <c r="A1480" s="7" t="inlineStr">
        <is>
          <t>ORD-04520</t>
        </is>
      </c>
      <c r="B1480" s="8" t="n">
        <v>45262</v>
      </c>
      <c r="C1480" s="9" t="n">
        <v>45261</v>
      </c>
      <c r="D1480" s="7" t="n">
        <v>2023</v>
      </c>
      <c r="E1480" s="7" t="inlineStr">
        <is>
          <t>North</t>
        </is>
      </c>
      <c r="F1480" s="7" t="inlineStr">
        <is>
          <t>Furniture</t>
        </is>
      </c>
      <c r="G1480" s="7" t="inlineStr">
        <is>
          <t>Bookcase</t>
        </is>
      </c>
      <c r="H1480" s="7" t="inlineStr">
        <is>
          <t>Corporate</t>
        </is>
      </c>
      <c r="I1480" s="7" t="n">
        <v>3</v>
      </c>
      <c r="J1480" s="10" t="n">
        <v>171.89</v>
      </c>
      <c r="K1480" s="11" t="n">
        <v>0.1</v>
      </c>
      <c r="L1480" s="10">
        <f>I1480*J1480*(1-K1480)</f>
        <v/>
      </c>
      <c r="M1480" s="10" t="n">
        <v>432</v>
      </c>
      <c r="N1480" s="10">
        <f>L1480-M1480</f>
        <v/>
      </c>
    </row>
    <row r="1481">
      <c r="A1481" s="7" t="inlineStr">
        <is>
          <t>ORD-02844</t>
        </is>
      </c>
      <c r="B1481" s="8" t="n">
        <v>45262</v>
      </c>
      <c r="C1481" s="9" t="n">
        <v>45261</v>
      </c>
      <c r="D1481" s="7" t="n">
        <v>2023</v>
      </c>
      <c r="E1481" s="7" t="inlineStr">
        <is>
          <t>East</t>
        </is>
      </c>
      <c r="F1481" s="7" t="inlineStr">
        <is>
          <t>Office Supplies</t>
        </is>
      </c>
      <c r="G1481" s="7" t="inlineStr">
        <is>
          <t>Binder</t>
        </is>
      </c>
      <c r="H1481" s="7" t="inlineStr">
        <is>
          <t>Corporate</t>
        </is>
      </c>
      <c r="I1481" s="7" t="n">
        <v>12</v>
      </c>
      <c r="J1481" s="10" t="n">
        <v>7.77</v>
      </c>
      <c r="K1481" s="11" t="n">
        <v>0.3</v>
      </c>
      <c r="L1481" s="10">
        <f>I1481*J1481*(1-K1481)</f>
        <v/>
      </c>
      <c r="M1481" s="10" t="n">
        <v>38.4</v>
      </c>
      <c r="N1481" s="10">
        <f>L1481-M1481</f>
        <v/>
      </c>
    </row>
    <row r="1482">
      <c r="A1482" s="7" t="inlineStr">
        <is>
          <t>ORD-03003</t>
        </is>
      </c>
      <c r="B1482" s="8" t="n">
        <v>45262</v>
      </c>
      <c r="C1482" s="9" t="n">
        <v>45261</v>
      </c>
      <c r="D1482" s="7" t="n">
        <v>2023</v>
      </c>
      <c r="E1482" s="7" t="inlineStr">
        <is>
          <t>East</t>
        </is>
      </c>
      <c r="F1482" s="7" t="inlineStr">
        <is>
          <t>Office Supplies</t>
        </is>
      </c>
      <c r="G1482" s="7" t="inlineStr">
        <is>
          <t>Pens</t>
        </is>
      </c>
      <c r="H1482" s="7" t="inlineStr">
        <is>
          <t>Consumer</t>
        </is>
      </c>
      <c r="I1482" s="7" t="n">
        <v>11</v>
      </c>
      <c r="J1482" s="10" t="n">
        <v>11.95</v>
      </c>
      <c r="K1482" s="11" t="n">
        <v>0.3</v>
      </c>
      <c r="L1482" s="10">
        <f>I1482*J1482*(1-K1482)</f>
        <v/>
      </c>
      <c r="M1482" s="10" t="n">
        <v>59.4</v>
      </c>
      <c r="N1482" s="10">
        <f>L1482-M1482</f>
        <v/>
      </c>
    </row>
    <row r="1483">
      <c r="A1483" s="7" t="inlineStr">
        <is>
          <t>ORD-01741</t>
        </is>
      </c>
      <c r="B1483" s="8" t="n">
        <v>45262</v>
      </c>
      <c r="C1483" s="9" t="n">
        <v>45261</v>
      </c>
      <c r="D1483" s="7" t="n">
        <v>2023</v>
      </c>
      <c r="E1483" s="7" t="inlineStr">
        <is>
          <t>East</t>
        </is>
      </c>
      <c r="F1483" s="7" t="inlineStr">
        <is>
          <t>Furniture</t>
        </is>
      </c>
      <c r="G1483" s="7" t="inlineStr">
        <is>
          <t>Bookcase</t>
        </is>
      </c>
      <c r="H1483" s="7" t="inlineStr">
        <is>
          <t>Corporate</t>
        </is>
      </c>
      <c r="I1483" s="7" t="n">
        <v>2</v>
      </c>
      <c r="J1483" s="10" t="n">
        <v>187.26</v>
      </c>
      <c r="K1483" s="11" t="n">
        <v>0.1</v>
      </c>
      <c r="L1483" s="10">
        <f>I1483*J1483*(1-K1483)</f>
        <v/>
      </c>
      <c r="M1483" s="10" t="n">
        <v>288</v>
      </c>
      <c r="N1483" s="10">
        <f>L1483-M1483</f>
        <v/>
      </c>
    </row>
    <row r="1484">
      <c r="A1484" s="7" t="inlineStr">
        <is>
          <t>ORD-02806</t>
        </is>
      </c>
      <c r="B1484" s="8" t="n">
        <v>45262</v>
      </c>
      <c r="C1484" s="9" t="n">
        <v>45261</v>
      </c>
      <c r="D1484" s="7" t="n">
        <v>2023</v>
      </c>
      <c r="E1484" s="7" t="inlineStr">
        <is>
          <t>East</t>
        </is>
      </c>
      <c r="F1484" s="7" t="inlineStr">
        <is>
          <t>Office Supplies</t>
        </is>
      </c>
      <c r="G1484" s="7" t="inlineStr">
        <is>
          <t>Stapler</t>
        </is>
      </c>
      <c r="H1484" s="7" t="inlineStr">
        <is>
          <t>Corporate</t>
        </is>
      </c>
      <c r="I1484" s="7" t="n">
        <v>7</v>
      </c>
      <c r="J1484" s="10" t="n">
        <v>15.69</v>
      </c>
      <c r="K1484" s="11" t="n">
        <v>0</v>
      </c>
      <c r="L1484" s="10">
        <f>I1484*J1484*(1-K1484)</f>
        <v/>
      </c>
      <c r="M1484" s="10" t="n">
        <v>52.5</v>
      </c>
      <c r="N1484" s="10">
        <f>L1484-M1484</f>
        <v/>
      </c>
    </row>
    <row r="1485">
      <c r="A1485" s="7" t="inlineStr">
        <is>
          <t>ORD-05045</t>
        </is>
      </c>
      <c r="B1485" s="8" t="n">
        <v>45262</v>
      </c>
      <c r="C1485" s="9" t="n">
        <v>45261</v>
      </c>
      <c r="D1485" s="7" t="n">
        <v>2023</v>
      </c>
      <c r="E1485" s="7" t="inlineStr">
        <is>
          <t>South</t>
        </is>
      </c>
      <c r="F1485" s="7" t="inlineStr">
        <is>
          <t>Office Supplies</t>
        </is>
      </c>
      <c r="G1485" s="7" t="inlineStr">
        <is>
          <t>Binder</t>
        </is>
      </c>
      <c r="H1485" s="7" t="inlineStr">
        <is>
          <t>Corporate</t>
        </is>
      </c>
      <c r="I1485" s="7" t="n">
        <v>15</v>
      </c>
      <c r="J1485" s="10" t="n">
        <v>7.74</v>
      </c>
      <c r="K1485" s="11" t="n">
        <v>0.2</v>
      </c>
      <c r="L1485" s="10">
        <f>I1485*J1485*(1-K1485)</f>
        <v/>
      </c>
      <c r="M1485" s="10" t="n">
        <v>48</v>
      </c>
      <c r="N1485" s="10">
        <f>L1485-M1485</f>
        <v/>
      </c>
    </row>
    <row r="1486">
      <c r="A1486" s="7" t="inlineStr">
        <is>
          <t>ORD-00953</t>
        </is>
      </c>
      <c r="B1486" s="8" t="n">
        <v>45262</v>
      </c>
      <c r="C1486" s="9" t="n">
        <v>45261</v>
      </c>
      <c r="D1486" s="7" t="n">
        <v>2023</v>
      </c>
      <c r="E1486" s="7" t="inlineStr">
        <is>
          <t>West</t>
        </is>
      </c>
      <c r="F1486" s="7" t="inlineStr">
        <is>
          <t>Office Supplies</t>
        </is>
      </c>
      <c r="G1486" s="7" t="inlineStr">
        <is>
          <t>Printer Ink</t>
        </is>
      </c>
      <c r="H1486" s="7" t="inlineStr">
        <is>
          <t>Consumer</t>
        </is>
      </c>
      <c r="I1486" s="7" t="n">
        <v>10</v>
      </c>
      <c r="J1486" s="10" t="n">
        <v>62.44</v>
      </c>
      <c r="K1486" s="11" t="n">
        <v>0.2</v>
      </c>
      <c r="L1486" s="10">
        <f>I1486*J1486*(1-K1486)</f>
        <v/>
      </c>
      <c r="M1486" s="10" t="n">
        <v>360</v>
      </c>
      <c r="N1486" s="10">
        <f>L1486-M1486</f>
        <v/>
      </c>
    </row>
    <row r="1487">
      <c r="A1487" s="7" t="inlineStr">
        <is>
          <t>ORD-00946</t>
        </is>
      </c>
      <c r="B1487" s="8" t="n">
        <v>45262</v>
      </c>
      <c r="C1487" s="9" t="n">
        <v>45261</v>
      </c>
      <c r="D1487" s="7" t="n">
        <v>2023</v>
      </c>
      <c r="E1487" s="7" t="inlineStr">
        <is>
          <t>South</t>
        </is>
      </c>
      <c r="F1487" s="7" t="inlineStr">
        <is>
          <t>Office Supplies</t>
        </is>
      </c>
      <c r="G1487" s="7" t="inlineStr">
        <is>
          <t>Pens</t>
        </is>
      </c>
      <c r="H1487" s="7" t="inlineStr">
        <is>
          <t>Consumer</t>
        </is>
      </c>
      <c r="I1487" s="7" t="n">
        <v>8</v>
      </c>
      <c r="J1487" s="10" t="n">
        <v>12.57</v>
      </c>
      <c r="K1487" s="11" t="n">
        <v>0.3</v>
      </c>
      <c r="L1487" s="10">
        <f>I1487*J1487*(1-K1487)</f>
        <v/>
      </c>
      <c r="M1487" s="10" t="n">
        <v>43.2</v>
      </c>
      <c r="N1487" s="10">
        <f>L1487-M1487</f>
        <v/>
      </c>
    </row>
    <row r="1488">
      <c r="A1488" s="7" t="inlineStr">
        <is>
          <t>ORD-01639</t>
        </is>
      </c>
      <c r="B1488" s="8" t="n">
        <v>45262</v>
      </c>
      <c r="C1488" s="9" t="n">
        <v>45261</v>
      </c>
      <c r="D1488" s="7" t="n">
        <v>2023</v>
      </c>
      <c r="E1488" s="7" t="inlineStr">
        <is>
          <t>East</t>
        </is>
      </c>
      <c r="F1488" s="7" t="inlineStr">
        <is>
          <t>Furniture</t>
        </is>
      </c>
      <c r="G1488" s="7" t="inlineStr">
        <is>
          <t>Bookcase</t>
        </is>
      </c>
      <c r="H1488" s="7" t="inlineStr">
        <is>
          <t>Home Office</t>
        </is>
      </c>
      <c r="I1488" s="7" t="n">
        <v>4</v>
      </c>
      <c r="J1488" s="10" t="n">
        <v>188.3</v>
      </c>
      <c r="K1488" s="11" t="n">
        <v>0</v>
      </c>
      <c r="L1488" s="10">
        <f>I1488*J1488*(1-K1488)</f>
        <v/>
      </c>
      <c r="M1488" s="10" t="n">
        <v>576</v>
      </c>
      <c r="N1488" s="10">
        <f>L1488-M1488</f>
        <v/>
      </c>
    </row>
    <row r="1489">
      <c r="A1489" s="7" t="inlineStr">
        <is>
          <t>ORD-03608</t>
        </is>
      </c>
      <c r="B1489" s="8" t="n">
        <v>45263</v>
      </c>
      <c r="C1489" s="9" t="n">
        <v>45261</v>
      </c>
      <c r="D1489" s="7" t="n">
        <v>2023</v>
      </c>
      <c r="E1489" s="7" t="inlineStr">
        <is>
          <t>East</t>
        </is>
      </c>
      <c r="F1489" s="7" t="inlineStr">
        <is>
          <t>Office Supplies</t>
        </is>
      </c>
      <c r="G1489" s="7" t="inlineStr">
        <is>
          <t>Printer Ink</t>
        </is>
      </c>
      <c r="H1489" s="7" t="inlineStr">
        <is>
          <t>Corporate</t>
        </is>
      </c>
      <c r="I1489" s="7" t="n">
        <v>14</v>
      </c>
      <c r="J1489" s="10" t="n">
        <v>58.74</v>
      </c>
      <c r="K1489" s="11" t="n">
        <v>0.1</v>
      </c>
      <c r="L1489" s="10">
        <f>I1489*J1489*(1-K1489)</f>
        <v/>
      </c>
      <c r="M1489" s="10" t="n">
        <v>504</v>
      </c>
      <c r="N1489" s="10">
        <f>L1489-M1489</f>
        <v/>
      </c>
    </row>
    <row r="1490">
      <c r="A1490" s="7" t="inlineStr">
        <is>
          <t>ORD-04712</t>
        </is>
      </c>
      <c r="B1490" s="8" t="n">
        <v>45263</v>
      </c>
      <c r="C1490" s="9" t="n">
        <v>45261</v>
      </c>
      <c r="D1490" s="7" t="n">
        <v>2023</v>
      </c>
      <c r="E1490" s="7" t="inlineStr">
        <is>
          <t>East</t>
        </is>
      </c>
      <c r="F1490" s="7" t="inlineStr">
        <is>
          <t>Office Supplies</t>
        </is>
      </c>
      <c r="G1490" s="7" t="inlineStr">
        <is>
          <t>Stapler</t>
        </is>
      </c>
      <c r="H1490" s="7" t="inlineStr">
        <is>
          <t>Consumer</t>
        </is>
      </c>
      <c r="I1490" s="7" t="n">
        <v>7</v>
      </c>
      <c r="J1490" s="10" t="n">
        <v>14.31</v>
      </c>
      <c r="K1490" s="11" t="n">
        <v>0.05</v>
      </c>
      <c r="L1490" s="10">
        <f>I1490*J1490*(1-K1490)</f>
        <v/>
      </c>
      <c r="M1490" s="10" t="n">
        <v>52.5</v>
      </c>
      <c r="N1490" s="10">
        <f>L1490-M1490</f>
        <v/>
      </c>
    </row>
    <row r="1491">
      <c r="A1491" s="7" t="inlineStr">
        <is>
          <t>ORD-01050</t>
        </is>
      </c>
      <c r="B1491" s="8" t="n">
        <v>45263</v>
      </c>
      <c r="C1491" s="9" t="n">
        <v>45261</v>
      </c>
      <c r="D1491" s="7" t="n">
        <v>2023</v>
      </c>
      <c r="E1491" s="7" t="inlineStr">
        <is>
          <t>West</t>
        </is>
      </c>
      <c r="F1491" s="7" t="inlineStr">
        <is>
          <t>Office Supplies</t>
        </is>
      </c>
      <c r="G1491" s="7" t="inlineStr">
        <is>
          <t>Paper</t>
        </is>
      </c>
      <c r="H1491" s="7" t="inlineStr">
        <is>
          <t>Consumer</t>
        </is>
      </c>
      <c r="I1491" s="7" t="n">
        <v>12</v>
      </c>
      <c r="J1491" s="10" t="n">
        <v>23.78</v>
      </c>
      <c r="K1491" s="11" t="n">
        <v>0.3</v>
      </c>
      <c r="L1491" s="10">
        <f>I1491*J1491*(1-K1491)</f>
        <v/>
      </c>
      <c r="M1491" s="10" t="n">
        <v>150</v>
      </c>
      <c r="N1491" s="10">
        <f>L1491-M1491</f>
        <v/>
      </c>
    </row>
    <row r="1492">
      <c r="A1492" s="7" t="inlineStr">
        <is>
          <t>ORD-01693</t>
        </is>
      </c>
      <c r="B1492" s="8" t="n">
        <v>45263</v>
      </c>
      <c r="C1492" s="9" t="n">
        <v>45261</v>
      </c>
      <c r="D1492" s="7" t="n">
        <v>2023</v>
      </c>
      <c r="E1492" s="7" t="inlineStr">
        <is>
          <t>East</t>
        </is>
      </c>
      <c r="F1492" s="7" t="inlineStr">
        <is>
          <t>Office Supplies</t>
        </is>
      </c>
      <c r="G1492" s="7" t="inlineStr">
        <is>
          <t>Binder</t>
        </is>
      </c>
      <c r="H1492" s="7" t="inlineStr">
        <is>
          <t>Consumer</t>
        </is>
      </c>
      <c r="I1492" s="7" t="n">
        <v>3</v>
      </c>
      <c r="J1492" s="10" t="n">
        <v>7.82</v>
      </c>
      <c r="K1492" s="11" t="n">
        <v>0</v>
      </c>
      <c r="L1492" s="10">
        <f>I1492*J1492*(1-K1492)</f>
        <v/>
      </c>
      <c r="M1492" s="10" t="n">
        <v>9.6</v>
      </c>
      <c r="N1492" s="10">
        <f>L1492-M1492</f>
        <v/>
      </c>
    </row>
    <row r="1493">
      <c r="A1493" s="7" t="inlineStr">
        <is>
          <t>ORD-02664</t>
        </is>
      </c>
      <c r="B1493" s="8" t="n">
        <v>45263</v>
      </c>
      <c r="C1493" s="9" t="n">
        <v>45261</v>
      </c>
      <c r="D1493" s="7" t="n">
        <v>2023</v>
      </c>
      <c r="E1493" s="7" t="inlineStr">
        <is>
          <t>North</t>
        </is>
      </c>
      <c r="F1493" s="7" t="inlineStr">
        <is>
          <t>Technology</t>
        </is>
      </c>
      <c r="G1493" s="7" t="inlineStr">
        <is>
          <t>Keyboard</t>
        </is>
      </c>
      <c r="H1493" s="7" t="inlineStr">
        <is>
          <t>Corporate</t>
        </is>
      </c>
      <c r="I1493" s="7" t="n">
        <v>2</v>
      </c>
      <c r="J1493" s="10" t="n">
        <v>46.04</v>
      </c>
      <c r="K1493" s="11" t="n">
        <v>0</v>
      </c>
      <c r="L1493" s="10">
        <f>I1493*J1493*(1-K1493)</f>
        <v/>
      </c>
      <c r="M1493" s="10" t="n">
        <v>49.5</v>
      </c>
      <c r="N1493" s="10">
        <f>L1493-M1493</f>
        <v/>
      </c>
    </row>
    <row r="1494">
      <c r="A1494" s="7" t="inlineStr">
        <is>
          <t>ORD-05333</t>
        </is>
      </c>
      <c r="B1494" s="8" t="n">
        <v>45263</v>
      </c>
      <c r="C1494" s="9" t="n">
        <v>45261</v>
      </c>
      <c r="D1494" s="7" t="n">
        <v>2023</v>
      </c>
      <c r="E1494" s="7" t="inlineStr">
        <is>
          <t>East</t>
        </is>
      </c>
      <c r="F1494" s="7" t="inlineStr">
        <is>
          <t>Office Supplies</t>
        </is>
      </c>
      <c r="G1494" s="7" t="inlineStr">
        <is>
          <t>Binder</t>
        </is>
      </c>
      <c r="H1494" s="7" t="inlineStr">
        <is>
          <t>Consumer</t>
        </is>
      </c>
      <c r="I1494" s="7" t="n">
        <v>7</v>
      </c>
      <c r="J1494" s="10" t="n">
        <v>8.220000000000001</v>
      </c>
      <c r="K1494" s="11" t="n">
        <v>0.1</v>
      </c>
      <c r="L1494" s="10">
        <f>I1494*J1494*(1-K1494)</f>
        <v/>
      </c>
      <c r="M1494" s="10" t="n">
        <v>22.4</v>
      </c>
      <c r="N1494" s="10">
        <f>L1494-M1494</f>
        <v/>
      </c>
    </row>
    <row r="1495">
      <c r="A1495" s="7" t="inlineStr">
        <is>
          <t>ORD-03649</t>
        </is>
      </c>
      <c r="B1495" s="8" t="n">
        <v>45263</v>
      </c>
      <c r="C1495" s="9" t="n">
        <v>45261</v>
      </c>
      <c r="D1495" s="7" t="n">
        <v>2023</v>
      </c>
      <c r="E1495" s="7" t="inlineStr">
        <is>
          <t>West</t>
        </is>
      </c>
      <c r="F1495" s="7" t="inlineStr">
        <is>
          <t>Office Supplies</t>
        </is>
      </c>
      <c r="G1495" s="7" t="inlineStr">
        <is>
          <t>Paper</t>
        </is>
      </c>
      <c r="H1495" s="7" t="inlineStr">
        <is>
          <t>Corporate</t>
        </is>
      </c>
      <c r="I1495" s="7" t="n">
        <v>6</v>
      </c>
      <c r="J1495" s="10" t="n">
        <v>25.96</v>
      </c>
      <c r="K1495" s="11" t="n">
        <v>0.1</v>
      </c>
      <c r="L1495" s="10">
        <f>I1495*J1495*(1-K1495)</f>
        <v/>
      </c>
      <c r="M1495" s="10" t="n">
        <v>75</v>
      </c>
      <c r="N1495" s="10">
        <f>L1495-M1495</f>
        <v/>
      </c>
    </row>
    <row r="1496">
      <c r="A1496" s="7" t="inlineStr">
        <is>
          <t>ORD-01785</t>
        </is>
      </c>
      <c r="B1496" s="8" t="n">
        <v>45263</v>
      </c>
      <c r="C1496" s="9" t="n">
        <v>45261</v>
      </c>
      <c r="D1496" s="7" t="n">
        <v>2023</v>
      </c>
      <c r="E1496" s="7" t="inlineStr">
        <is>
          <t>East</t>
        </is>
      </c>
      <c r="F1496" s="7" t="inlineStr">
        <is>
          <t>Technology</t>
        </is>
      </c>
      <c r="G1496" s="7" t="inlineStr">
        <is>
          <t>Smartphone</t>
        </is>
      </c>
      <c r="H1496" s="7" t="inlineStr">
        <is>
          <t>Home Office</t>
        </is>
      </c>
      <c r="I1496" s="7" t="n">
        <v>1</v>
      </c>
      <c r="J1496" s="10" t="n">
        <v>594.13</v>
      </c>
      <c r="K1496" s="11" t="n">
        <v>0</v>
      </c>
      <c r="L1496" s="10">
        <f>I1496*J1496*(1-K1496)</f>
        <v/>
      </c>
      <c r="M1496" s="10" t="n">
        <v>450</v>
      </c>
      <c r="N1496" s="10">
        <f>L1496-M1496</f>
        <v/>
      </c>
    </row>
    <row r="1497">
      <c r="A1497" s="7" t="inlineStr">
        <is>
          <t>ORD-00727</t>
        </is>
      </c>
      <c r="B1497" s="8" t="n">
        <v>45263</v>
      </c>
      <c r="C1497" s="9" t="n">
        <v>45261</v>
      </c>
      <c r="D1497" s="7" t="n">
        <v>2023</v>
      </c>
      <c r="E1497" s="7" t="inlineStr">
        <is>
          <t>West</t>
        </is>
      </c>
      <c r="F1497" s="7" t="inlineStr">
        <is>
          <t>Office Supplies</t>
        </is>
      </c>
      <c r="G1497" s="7" t="inlineStr">
        <is>
          <t>Binder</t>
        </is>
      </c>
      <c r="H1497" s="7" t="inlineStr">
        <is>
          <t>Home Office</t>
        </is>
      </c>
      <c r="I1497" s="7" t="n">
        <v>5</v>
      </c>
      <c r="J1497" s="10" t="n">
        <v>8.279999999999999</v>
      </c>
      <c r="K1497" s="11" t="n">
        <v>0.3</v>
      </c>
      <c r="L1497" s="10">
        <f>I1497*J1497*(1-K1497)</f>
        <v/>
      </c>
      <c r="M1497" s="10" t="n">
        <v>16</v>
      </c>
      <c r="N1497" s="10">
        <f>L1497-M1497</f>
        <v/>
      </c>
    </row>
    <row r="1498">
      <c r="A1498" s="7" t="inlineStr">
        <is>
          <t>ORD-02712</t>
        </is>
      </c>
      <c r="B1498" s="8" t="n">
        <v>45264</v>
      </c>
      <c r="C1498" s="9" t="n">
        <v>45261</v>
      </c>
      <c r="D1498" s="7" t="n">
        <v>2023</v>
      </c>
      <c r="E1498" s="7" t="inlineStr">
        <is>
          <t>West</t>
        </is>
      </c>
      <c r="F1498" s="7" t="inlineStr">
        <is>
          <t>Furniture</t>
        </is>
      </c>
      <c r="G1498" s="7" t="inlineStr">
        <is>
          <t>Sofa</t>
        </is>
      </c>
      <c r="H1498" s="7" t="inlineStr">
        <is>
          <t>Corporate</t>
        </is>
      </c>
      <c r="I1498" s="7" t="n">
        <v>4</v>
      </c>
      <c r="J1498" s="10" t="n">
        <v>667.59</v>
      </c>
      <c r="K1498" s="11" t="n">
        <v>0.3</v>
      </c>
      <c r="L1498" s="10">
        <f>I1498*J1498*(1-K1498)</f>
        <v/>
      </c>
      <c r="M1498" s="10" t="n">
        <v>2464</v>
      </c>
      <c r="N1498" s="10">
        <f>L1498-M1498</f>
        <v/>
      </c>
    </row>
    <row r="1499">
      <c r="A1499" s="7" t="inlineStr">
        <is>
          <t>ORD-02406</t>
        </is>
      </c>
      <c r="B1499" s="8" t="n">
        <v>45264</v>
      </c>
      <c r="C1499" s="9" t="n">
        <v>45261</v>
      </c>
      <c r="D1499" s="7" t="n">
        <v>2023</v>
      </c>
      <c r="E1499" s="7" t="inlineStr">
        <is>
          <t>North</t>
        </is>
      </c>
      <c r="F1499" s="7" t="inlineStr">
        <is>
          <t>Office Supplies</t>
        </is>
      </c>
      <c r="G1499" s="7" t="inlineStr">
        <is>
          <t>Printer Ink</t>
        </is>
      </c>
      <c r="H1499" s="7" t="inlineStr">
        <is>
          <t>Home Office</t>
        </is>
      </c>
      <c r="I1499" s="7" t="n">
        <v>12</v>
      </c>
      <c r="J1499" s="10" t="n">
        <v>57.44</v>
      </c>
      <c r="K1499" s="11" t="n">
        <v>0.2</v>
      </c>
      <c r="L1499" s="10">
        <f>I1499*J1499*(1-K1499)</f>
        <v/>
      </c>
      <c r="M1499" s="10" t="n">
        <v>432</v>
      </c>
      <c r="N1499" s="10">
        <f>L1499-M1499</f>
        <v/>
      </c>
    </row>
    <row r="1500">
      <c r="A1500" s="7" t="inlineStr">
        <is>
          <t>ORD-02959</t>
        </is>
      </c>
      <c r="B1500" s="8" t="n">
        <v>45264</v>
      </c>
      <c r="C1500" s="9" t="n">
        <v>45261</v>
      </c>
      <c r="D1500" s="7" t="n">
        <v>2023</v>
      </c>
      <c r="E1500" s="7" t="inlineStr">
        <is>
          <t>West</t>
        </is>
      </c>
      <c r="F1500" s="7" t="inlineStr">
        <is>
          <t>Furniture</t>
        </is>
      </c>
      <c r="G1500" s="7" t="inlineStr">
        <is>
          <t>Desk</t>
        </is>
      </c>
      <c r="H1500" s="7" t="inlineStr">
        <is>
          <t>Home Office</t>
        </is>
      </c>
      <c r="I1500" s="7" t="n">
        <v>2</v>
      </c>
      <c r="J1500" s="10" t="n">
        <v>436.71</v>
      </c>
      <c r="K1500" s="11" t="n">
        <v>0</v>
      </c>
      <c r="L1500" s="10">
        <f>I1500*J1500*(1-K1500)</f>
        <v/>
      </c>
      <c r="M1500" s="10" t="n">
        <v>765</v>
      </c>
      <c r="N1500" s="10">
        <f>L1500-M1500</f>
        <v/>
      </c>
    </row>
    <row r="1501">
      <c r="A1501" s="7" t="inlineStr">
        <is>
          <t>ORD-05828</t>
        </is>
      </c>
      <c r="B1501" s="8" t="n">
        <v>45264</v>
      </c>
      <c r="C1501" s="9" t="n">
        <v>45261</v>
      </c>
      <c r="D1501" s="7" t="n">
        <v>2023</v>
      </c>
      <c r="E1501" s="7" t="inlineStr">
        <is>
          <t>West</t>
        </is>
      </c>
      <c r="F1501" s="7" t="inlineStr">
        <is>
          <t>Office Supplies</t>
        </is>
      </c>
      <c r="G1501" s="7" t="inlineStr">
        <is>
          <t>Paper</t>
        </is>
      </c>
      <c r="H1501" s="7" t="inlineStr">
        <is>
          <t>Consumer</t>
        </is>
      </c>
      <c r="I1501" s="7" t="n">
        <v>5</v>
      </c>
      <c r="J1501" s="10" t="n">
        <v>24.38</v>
      </c>
      <c r="K1501" s="11" t="n">
        <v>0.1</v>
      </c>
      <c r="L1501" s="10">
        <f>I1501*J1501*(1-K1501)</f>
        <v/>
      </c>
      <c r="M1501" s="10" t="n">
        <v>62.5</v>
      </c>
      <c r="N1501" s="10">
        <f>L1501-M1501</f>
        <v/>
      </c>
    </row>
    <row r="1502">
      <c r="A1502" s="7" t="inlineStr">
        <is>
          <t>ORD-00254</t>
        </is>
      </c>
      <c r="B1502" s="8" t="n">
        <v>45264</v>
      </c>
      <c r="C1502" s="9" t="n">
        <v>45261</v>
      </c>
      <c r="D1502" s="7" t="n">
        <v>2023</v>
      </c>
      <c r="E1502" s="7" t="inlineStr">
        <is>
          <t>East</t>
        </is>
      </c>
      <c r="F1502" s="7" t="inlineStr">
        <is>
          <t>Technology</t>
        </is>
      </c>
      <c r="G1502" s="7" t="inlineStr">
        <is>
          <t>Headphones</t>
        </is>
      </c>
      <c r="H1502" s="7" t="inlineStr">
        <is>
          <t>Consumer</t>
        </is>
      </c>
      <c r="I1502" s="7" t="n">
        <v>1</v>
      </c>
      <c r="J1502" s="10" t="n">
        <v>117.55</v>
      </c>
      <c r="K1502" s="11" t="n">
        <v>0.3</v>
      </c>
      <c r="L1502" s="10">
        <f>I1502*J1502*(1-K1502)</f>
        <v/>
      </c>
      <c r="M1502" s="10" t="n">
        <v>72</v>
      </c>
      <c r="N1502" s="10">
        <f>L1502-M1502</f>
        <v/>
      </c>
    </row>
    <row r="1503">
      <c r="A1503" s="7" t="inlineStr">
        <is>
          <t>ORD-05932</t>
        </is>
      </c>
      <c r="B1503" s="8" t="n">
        <v>45264</v>
      </c>
      <c r="C1503" s="9" t="n">
        <v>45261</v>
      </c>
      <c r="D1503" s="7" t="n">
        <v>2023</v>
      </c>
      <c r="E1503" s="7" t="inlineStr">
        <is>
          <t>East</t>
        </is>
      </c>
      <c r="F1503" s="7" t="inlineStr">
        <is>
          <t>Office Supplies</t>
        </is>
      </c>
      <c r="G1503" s="7" t="inlineStr">
        <is>
          <t>Paper</t>
        </is>
      </c>
      <c r="H1503" s="7" t="inlineStr">
        <is>
          <t>Consumer</t>
        </is>
      </c>
      <c r="I1503" s="7" t="n">
        <v>7</v>
      </c>
      <c r="J1503" s="10" t="n">
        <v>23.99</v>
      </c>
      <c r="K1503" s="11" t="n">
        <v>0.2</v>
      </c>
      <c r="L1503" s="10">
        <f>I1503*J1503*(1-K1503)</f>
        <v/>
      </c>
      <c r="M1503" s="10" t="n">
        <v>87.5</v>
      </c>
      <c r="N1503" s="10">
        <f>L1503-M1503</f>
        <v/>
      </c>
    </row>
    <row r="1504">
      <c r="A1504" s="7" t="inlineStr">
        <is>
          <t>ORD-05566</t>
        </is>
      </c>
      <c r="B1504" s="8" t="n">
        <v>45264</v>
      </c>
      <c r="C1504" s="9" t="n">
        <v>45261</v>
      </c>
      <c r="D1504" s="7" t="n">
        <v>2023</v>
      </c>
      <c r="E1504" s="7" t="inlineStr">
        <is>
          <t>East</t>
        </is>
      </c>
      <c r="F1504" s="7" t="inlineStr">
        <is>
          <t>Technology</t>
        </is>
      </c>
      <c r="G1504" s="7" t="inlineStr">
        <is>
          <t>Laptop</t>
        </is>
      </c>
      <c r="H1504" s="7" t="inlineStr">
        <is>
          <t>Consumer</t>
        </is>
      </c>
      <c r="I1504" s="7" t="n">
        <v>2</v>
      </c>
      <c r="J1504" s="10" t="n">
        <v>911.6799999999999</v>
      </c>
      <c r="K1504" s="11" t="n">
        <v>0</v>
      </c>
      <c r="L1504" s="10">
        <f>I1504*J1504*(1-K1504)</f>
        <v/>
      </c>
      <c r="M1504" s="10" t="n">
        <v>1404</v>
      </c>
      <c r="N1504" s="10">
        <f>L1504-M1504</f>
        <v/>
      </c>
    </row>
    <row r="1505">
      <c r="A1505" s="7" t="inlineStr">
        <is>
          <t>ORD-03434</t>
        </is>
      </c>
      <c r="B1505" s="8" t="n">
        <v>45264</v>
      </c>
      <c r="C1505" s="9" t="n">
        <v>45261</v>
      </c>
      <c r="D1505" s="7" t="n">
        <v>2023</v>
      </c>
      <c r="E1505" s="7" t="inlineStr">
        <is>
          <t>East</t>
        </is>
      </c>
      <c r="F1505" s="7" t="inlineStr">
        <is>
          <t>Technology</t>
        </is>
      </c>
      <c r="G1505" s="7" t="inlineStr">
        <is>
          <t>Keyboard</t>
        </is>
      </c>
      <c r="H1505" s="7" t="inlineStr">
        <is>
          <t>Home Office</t>
        </is>
      </c>
      <c r="I1505" s="7" t="n">
        <v>1</v>
      </c>
      <c r="J1505" s="10" t="n">
        <v>45.48</v>
      </c>
      <c r="K1505" s="11" t="n">
        <v>0.05</v>
      </c>
      <c r="L1505" s="10">
        <f>I1505*J1505*(1-K1505)</f>
        <v/>
      </c>
      <c r="M1505" s="10" t="n">
        <v>24.75</v>
      </c>
      <c r="N1505" s="10">
        <f>L1505-M1505</f>
        <v/>
      </c>
    </row>
    <row r="1506">
      <c r="A1506" s="7" t="inlineStr">
        <is>
          <t>ORD-05934</t>
        </is>
      </c>
      <c r="B1506" s="8" t="n">
        <v>45265</v>
      </c>
      <c r="C1506" s="9" t="n">
        <v>45261</v>
      </c>
      <c r="D1506" s="7" t="n">
        <v>2023</v>
      </c>
      <c r="E1506" s="7" t="inlineStr">
        <is>
          <t>South</t>
        </is>
      </c>
      <c r="F1506" s="7" t="inlineStr">
        <is>
          <t>Office Supplies</t>
        </is>
      </c>
      <c r="G1506" s="7" t="inlineStr">
        <is>
          <t>Binder</t>
        </is>
      </c>
      <c r="H1506" s="7" t="inlineStr">
        <is>
          <t>Home Office</t>
        </is>
      </c>
      <c r="I1506" s="7" t="n">
        <v>7</v>
      </c>
      <c r="J1506" s="10" t="n">
        <v>7.75</v>
      </c>
      <c r="K1506" s="11" t="n">
        <v>0.3</v>
      </c>
      <c r="L1506" s="10">
        <f>I1506*J1506*(1-K1506)</f>
        <v/>
      </c>
      <c r="M1506" s="10" t="n">
        <v>22.4</v>
      </c>
      <c r="N1506" s="10">
        <f>L1506-M1506</f>
        <v/>
      </c>
    </row>
    <row r="1507">
      <c r="A1507" s="7" t="inlineStr">
        <is>
          <t>ORD-00284</t>
        </is>
      </c>
      <c r="B1507" s="8" t="n">
        <v>45265</v>
      </c>
      <c r="C1507" s="9" t="n">
        <v>45261</v>
      </c>
      <c r="D1507" s="7" t="n">
        <v>2023</v>
      </c>
      <c r="E1507" s="7" t="inlineStr">
        <is>
          <t>West</t>
        </is>
      </c>
      <c r="F1507" s="7" t="inlineStr">
        <is>
          <t>Furniture</t>
        </is>
      </c>
      <c r="G1507" s="7" t="inlineStr">
        <is>
          <t>Bookcase</t>
        </is>
      </c>
      <c r="H1507" s="7" t="inlineStr">
        <is>
          <t>Consumer</t>
        </is>
      </c>
      <c r="I1507" s="7" t="n">
        <v>4</v>
      </c>
      <c r="J1507" s="10" t="n">
        <v>175.5</v>
      </c>
      <c r="K1507" s="11" t="n">
        <v>0</v>
      </c>
      <c r="L1507" s="10">
        <f>I1507*J1507*(1-K1507)</f>
        <v/>
      </c>
      <c r="M1507" s="10" t="n">
        <v>576</v>
      </c>
      <c r="N1507" s="10">
        <f>L1507-M1507</f>
        <v/>
      </c>
    </row>
    <row r="1508">
      <c r="A1508" s="7" t="inlineStr">
        <is>
          <t>ORD-02024</t>
        </is>
      </c>
      <c r="B1508" s="8" t="n">
        <v>45265</v>
      </c>
      <c r="C1508" s="9" t="n">
        <v>45261</v>
      </c>
      <c r="D1508" s="7" t="n">
        <v>2023</v>
      </c>
      <c r="E1508" s="7" t="inlineStr">
        <is>
          <t>East</t>
        </is>
      </c>
      <c r="F1508" s="7" t="inlineStr">
        <is>
          <t>Technology</t>
        </is>
      </c>
      <c r="G1508" s="7" t="inlineStr">
        <is>
          <t>Laptop</t>
        </is>
      </c>
      <c r="H1508" s="7" t="inlineStr">
        <is>
          <t>Consumer</t>
        </is>
      </c>
      <c r="I1508" s="7" t="n">
        <v>1</v>
      </c>
      <c r="J1508" s="10" t="n">
        <v>899.15</v>
      </c>
      <c r="K1508" s="11" t="n">
        <v>0.05</v>
      </c>
      <c r="L1508" s="10">
        <f>I1508*J1508*(1-K1508)</f>
        <v/>
      </c>
      <c r="M1508" s="10" t="n">
        <v>702</v>
      </c>
      <c r="N1508" s="10">
        <f>L1508-M1508</f>
        <v/>
      </c>
    </row>
    <row r="1509">
      <c r="A1509" s="7" t="inlineStr">
        <is>
          <t>ORD-00952</t>
        </is>
      </c>
      <c r="B1509" s="8" t="n">
        <v>45265</v>
      </c>
      <c r="C1509" s="9" t="n">
        <v>45261</v>
      </c>
      <c r="D1509" s="7" t="n">
        <v>2023</v>
      </c>
      <c r="E1509" s="7" t="inlineStr">
        <is>
          <t>North</t>
        </is>
      </c>
      <c r="F1509" s="7" t="inlineStr">
        <is>
          <t>Furniture</t>
        </is>
      </c>
      <c r="G1509" s="7" t="inlineStr">
        <is>
          <t>Bookcase</t>
        </is>
      </c>
      <c r="H1509" s="7" t="inlineStr">
        <is>
          <t>Consumer</t>
        </is>
      </c>
      <c r="I1509" s="7" t="n">
        <v>3</v>
      </c>
      <c r="J1509" s="10" t="n">
        <v>180.17</v>
      </c>
      <c r="K1509" s="11" t="n">
        <v>0.05</v>
      </c>
      <c r="L1509" s="10">
        <f>I1509*J1509*(1-K1509)</f>
        <v/>
      </c>
      <c r="M1509" s="10" t="n">
        <v>432</v>
      </c>
      <c r="N1509" s="10">
        <f>L1509-M1509</f>
        <v/>
      </c>
    </row>
    <row r="1510">
      <c r="A1510" s="7" t="inlineStr">
        <is>
          <t>ORD-03728</t>
        </is>
      </c>
      <c r="B1510" s="8" t="n">
        <v>45265</v>
      </c>
      <c r="C1510" s="9" t="n">
        <v>45261</v>
      </c>
      <c r="D1510" s="7" t="n">
        <v>2023</v>
      </c>
      <c r="E1510" s="7" t="inlineStr">
        <is>
          <t>West</t>
        </is>
      </c>
      <c r="F1510" s="7" t="inlineStr">
        <is>
          <t>Office Supplies</t>
        </is>
      </c>
      <c r="G1510" s="7" t="inlineStr">
        <is>
          <t>Stapler</t>
        </is>
      </c>
      <c r="H1510" s="7" t="inlineStr">
        <is>
          <t>Corporate</t>
        </is>
      </c>
      <c r="I1510" s="7" t="n">
        <v>8</v>
      </c>
      <c r="J1510" s="10" t="n">
        <v>15.54</v>
      </c>
      <c r="K1510" s="11" t="n">
        <v>0</v>
      </c>
      <c r="L1510" s="10">
        <f>I1510*J1510*(1-K1510)</f>
        <v/>
      </c>
      <c r="M1510" s="10" t="n">
        <v>60</v>
      </c>
      <c r="N1510" s="10">
        <f>L1510-M1510</f>
        <v/>
      </c>
    </row>
    <row r="1511">
      <c r="A1511" s="7" t="inlineStr">
        <is>
          <t>ORD-04166</t>
        </is>
      </c>
      <c r="B1511" s="8" t="n">
        <v>45265</v>
      </c>
      <c r="C1511" s="9" t="n">
        <v>45261</v>
      </c>
      <c r="D1511" s="7" t="n">
        <v>2023</v>
      </c>
      <c r="E1511" s="7" t="inlineStr">
        <is>
          <t>North</t>
        </is>
      </c>
      <c r="F1511" s="7" t="inlineStr">
        <is>
          <t>Furniture</t>
        </is>
      </c>
      <c r="G1511" s="7" t="inlineStr">
        <is>
          <t>Office Chair</t>
        </is>
      </c>
      <c r="H1511" s="7" t="inlineStr">
        <is>
          <t>Consumer</t>
        </is>
      </c>
      <c r="I1511" s="7" t="n">
        <v>2</v>
      </c>
      <c r="J1511" s="10" t="n">
        <v>216.32</v>
      </c>
      <c r="K1511" s="11" t="n">
        <v>0.3</v>
      </c>
      <c r="L1511" s="10">
        <f>I1511*J1511*(1-K1511)</f>
        <v/>
      </c>
      <c r="M1511" s="10" t="n">
        <v>360.8</v>
      </c>
      <c r="N1511" s="10">
        <f>L1511-M1511</f>
        <v/>
      </c>
    </row>
    <row r="1512">
      <c r="A1512" s="7" t="inlineStr">
        <is>
          <t>ORD-03764</t>
        </is>
      </c>
      <c r="B1512" s="8" t="n">
        <v>45265</v>
      </c>
      <c r="C1512" s="9" t="n">
        <v>45261</v>
      </c>
      <c r="D1512" s="7" t="n">
        <v>2023</v>
      </c>
      <c r="E1512" s="7" t="inlineStr">
        <is>
          <t>West</t>
        </is>
      </c>
      <c r="F1512" s="7" t="inlineStr">
        <is>
          <t>Technology</t>
        </is>
      </c>
      <c r="G1512" s="7" t="inlineStr">
        <is>
          <t>Smartphone</t>
        </is>
      </c>
      <c r="H1512" s="7" t="inlineStr">
        <is>
          <t>Corporate</t>
        </is>
      </c>
      <c r="I1512" s="7" t="n">
        <v>2</v>
      </c>
      <c r="J1512" s="10" t="n">
        <v>609.73</v>
      </c>
      <c r="K1512" s="11" t="n">
        <v>0</v>
      </c>
      <c r="L1512" s="10">
        <f>I1512*J1512*(1-K1512)</f>
        <v/>
      </c>
      <c r="M1512" s="10" t="n">
        <v>900</v>
      </c>
      <c r="N1512" s="10">
        <f>L1512-M1512</f>
        <v/>
      </c>
    </row>
    <row r="1513">
      <c r="A1513" s="7" t="inlineStr">
        <is>
          <t>ORD-03050</t>
        </is>
      </c>
      <c r="B1513" s="8" t="n">
        <v>45265</v>
      </c>
      <c r="C1513" s="9" t="n">
        <v>45261</v>
      </c>
      <c r="D1513" s="7" t="n">
        <v>2023</v>
      </c>
      <c r="E1513" s="7" t="inlineStr">
        <is>
          <t>East</t>
        </is>
      </c>
      <c r="F1513" s="7" t="inlineStr">
        <is>
          <t>Technology</t>
        </is>
      </c>
      <c r="G1513" s="7" t="inlineStr">
        <is>
          <t>Headphones</t>
        </is>
      </c>
      <c r="H1513" s="7" t="inlineStr">
        <is>
          <t>Home Office</t>
        </is>
      </c>
      <c r="I1513" s="7" t="n">
        <v>1</v>
      </c>
      <c r="J1513" s="10" t="n">
        <v>121.45</v>
      </c>
      <c r="K1513" s="11" t="n">
        <v>0.2</v>
      </c>
      <c r="L1513" s="10">
        <f>I1513*J1513*(1-K1513)</f>
        <v/>
      </c>
      <c r="M1513" s="10" t="n">
        <v>72</v>
      </c>
      <c r="N1513" s="10">
        <f>L1513-M1513</f>
        <v/>
      </c>
    </row>
    <row r="1514">
      <c r="A1514" s="7" t="inlineStr">
        <is>
          <t>ORD-02544</t>
        </is>
      </c>
      <c r="B1514" s="8" t="n">
        <v>45266</v>
      </c>
      <c r="C1514" s="9" t="n">
        <v>45261</v>
      </c>
      <c r="D1514" s="7" t="n">
        <v>2023</v>
      </c>
      <c r="E1514" s="7" t="inlineStr">
        <is>
          <t>North</t>
        </is>
      </c>
      <c r="F1514" s="7" t="inlineStr">
        <is>
          <t>Office Supplies</t>
        </is>
      </c>
      <c r="G1514" s="7" t="inlineStr">
        <is>
          <t>Pens</t>
        </is>
      </c>
      <c r="H1514" s="7" t="inlineStr">
        <is>
          <t>Home Office</t>
        </is>
      </c>
      <c r="I1514" s="7" t="n">
        <v>6</v>
      </c>
      <c r="J1514" s="10" t="n">
        <v>12.02</v>
      </c>
      <c r="K1514" s="11" t="n">
        <v>0.1</v>
      </c>
      <c r="L1514" s="10">
        <f>I1514*J1514*(1-K1514)</f>
        <v/>
      </c>
      <c r="M1514" s="10" t="n">
        <v>32.4</v>
      </c>
      <c r="N1514" s="10">
        <f>L1514-M1514</f>
        <v/>
      </c>
    </row>
    <row r="1515">
      <c r="A1515" s="7" t="inlineStr">
        <is>
          <t>ORD-01859</t>
        </is>
      </c>
      <c r="B1515" s="8" t="n">
        <v>45266</v>
      </c>
      <c r="C1515" s="9" t="n">
        <v>45261</v>
      </c>
      <c r="D1515" s="7" t="n">
        <v>2023</v>
      </c>
      <c r="E1515" s="7" t="inlineStr">
        <is>
          <t>North</t>
        </is>
      </c>
      <c r="F1515" s="7" t="inlineStr">
        <is>
          <t>Office Supplies</t>
        </is>
      </c>
      <c r="G1515" s="7" t="inlineStr">
        <is>
          <t>Printer Ink</t>
        </is>
      </c>
      <c r="H1515" s="7" t="inlineStr">
        <is>
          <t>Corporate</t>
        </is>
      </c>
      <c r="I1515" s="7" t="n">
        <v>4</v>
      </c>
      <c r="J1515" s="10" t="n">
        <v>59.84</v>
      </c>
      <c r="K1515" s="11" t="n">
        <v>0.1</v>
      </c>
      <c r="L1515" s="10">
        <f>I1515*J1515*(1-K1515)</f>
        <v/>
      </c>
      <c r="M1515" s="10" t="n">
        <v>144</v>
      </c>
      <c r="N1515" s="10">
        <f>L1515-M1515</f>
        <v/>
      </c>
    </row>
    <row r="1516">
      <c r="A1516" s="7" t="inlineStr">
        <is>
          <t>ORD-02713</t>
        </is>
      </c>
      <c r="B1516" s="8" t="n">
        <v>45266</v>
      </c>
      <c r="C1516" s="9" t="n">
        <v>45261</v>
      </c>
      <c r="D1516" s="7" t="n">
        <v>2023</v>
      </c>
      <c r="E1516" s="7" t="inlineStr">
        <is>
          <t>South</t>
        </is>
      </c>
      <c r="F1516" s="7" t="inlineStr">
        <is>
          <t>Office Supplies</t>
        </is>
      </c>
      <c r="G1516" s="7" t="inlineStr">
        <is>
          <t>Paper</t>
        </is>
      </c>
      <c r="H1516" s="7" t="inlineStr">
        <is>
          <t>Home Office</t>
        </is>
      </c>
      <c r="I1516" s="7" t="n">
        <v>12</v>
      </c>
      <c r="J1516" s="10" t="n">
        <v>24.41</v>
      </c>
      <c r="K1516" s="11" t="n">
        <v>0.2</v>
      </c>
      <c r="L1516" s="10">
        <f>I1516*J1516*(1-K1516)</f>
        <v/>
      </c>
      <c r="M1516" s="10" t="n">
        <v>150</v>
      </c>
      <c r="N1516" s="10">
        <f>L1516-M1516</f>
        <v/>
      </c>
    </row>
    <row r="1517">
      <c r="A1517" s="7" t="inlineStr">
        <is>
          <t>ORD-04151</t>
        </is>
      </c>
      <c r="B1517" s="8" t="n">
        <v>45266</v>
      </c>
      <c r="C1517" s="9" t="n">
        <v>45261</v>
      </c>
      <c r="D1517" s="7" t="n">
        <v>2023</v>
      </c>
      <c r="E1517" s="7" t="inlineStr">
        <is>
          <t>East</t>
        </is>
      </c>
      <c r="F1517" s="7" t="inlineStr">
        <is>
          <t>Office Supplies</t>
        </is>
      </c>
      <c r="G1517" s="7" t="inlineStr">
        <is>
          <t>Pens</t>
        </is>
      </c>
      <c r="H1517" s="7" t="inlineStr">
        <is>
          <t>Consumer</t>
        </is>
      </c>
      <c r="I1517" s="7" t="n">
        <v>6</v>
      </c>
      <c r="J1517" s="10" t="n">
        <v>12.54</v>
      </c>
      <c r="K1517" s="11" t="n">
        <v>0</v>
      </c>
      <c r="L1517" s="10">
        <f>I1517*J1517*(1-K1517)</f>
        <v/>
      </c>
      <c r="M1517" s="10" t="n">
        <v>32.4</v>
      </c>
      <c r="N1517" s="10">
        <f>L1517-M1517</f>
        <v/>
      </c>
    </row>
    <row r="1518">
      <c r="A1518" s="7" t="inlineStr">
        <is>
          <t>ORD-03747</t>
        </is>
      </c>
      <c r="B1518" s="8" t="n">
        <v>45266</v>
      </c>
      <c r="C1518" s="9" t="n">
        <v>45261</v>
      </c>
      <c r="D1518" s="7" t="n">
        <v>2023</v>
      </c>
      <c r="E1518" s="7" t="inlineStr">
        <is>
          <t>South</t>
        </is>
      </c>
      <c r="F1518" s="7" t="inlineStr">
        <is>
          <t>Office Supplies</t>
        </is>
      </c>
      <c r="G1518" s="7" t="inlineStr">
        <is>
          <t>Paper</t>
        </is>
      </c>
      <c r="H1518" s="7" t="inlineStr">
        <is>
          <t>Corporate</t>
        </is>
      </c>
      <c r="I1518" s="7" t="n">
        <v>6</v>
      </c>
      <c r="J1518" s="10" t="n">
        <v>24.16</v>
      </c>
      <c r="K1518" s="11" t="n">
        <v>0.05</v>
      </c>
      <c r="L1518" s="10">
        <f>I1518*J1518*(1-K1518)</f>
        <v/>
      </c>
      <c r="M1518" s="10" t="n">
        <v>75</v>
      </c>
      <c r="N1518" s="10">
        <f>L1518-M1518</f>
        <v/>
      </c>
    </row>
    <row r="1519">
      <c r="A1519" s="7" t="inlineStr">
        <is>
          <t>ORD-02874</t>
        </is>
      </c>
      <c r="B1519" s="8" t="n">
        <v>45266</v>
      </c>
      <c r="C1519" s="9" t="n">
        <v>45261</v>
      </c>
      <c r="D1519" s="7" t="n">
        <v>2023</v>
      </c>
      <c r="E1519" s="7" t="inlineStr">
        <is>
          <t>South</t>
        </is>
      </c>
      <c r="F1519" s="7" t="inlineStr">
        <is>
          <t>Technology</t>
        </is>
      </c>
      <c r="G1519" s="7" t="inlineStr">
        <is>
          <t>Keyboard</t>
        </is>
      </c>
      <c r="H1519" s="7" t="inlineStr">
        <is>
          <t>Corporate</t>
        </is>
      </c>
      <c r="I1519" s="7" t="n">
        <v>1</v>
      </c>
      <c r="J1519" s="10" t="n">
        <v>43.54</v>
      </c>
      <c r="K1519" s="11" t="n">
        <v>0</v>
      </c>
      <c r="L1519" s="10">
        <f>I1519*J1519*(1-K1519)</f>
        <v/>
      </c>
      <c r="M1519" s="10" t="n">
        <v>24.75</v>
      </c>
      <c r="N1519" s="10">
        <f>L1519-M1519</f>
        <v/>
      </c>
    </row>
    <row r="1520">
      <c r="A1520" s="7" t="inlineStr">
        <is>
          <t>ORD-05522</t>
        </is>
      </c>
      <c r="B1520" s="8" t="n">
        <v>45266</v>
      </c>
      <c r="C1520" s="9" t="n">
        <v>45261</v>
      </c>
      <c r="D1520" s="7" t="n">
        <v>2023</v>
      </c>
      <c r="E1520" s="7" t="inlineStr">
        <is>
          <t>West</t>
        </is>
      </c>
      <c r="F1520" s="7" t="inlineStr">
        <is>
          <t>Office Supplies</t>
        </is>
      </c>
      <c r="G1520" s="7" t="inlineStr">
        <is>
          <t>Paper</t>
        </is>
      </c>
      <c r="H1520" s="7" t="inlineStr">
        <is>
          <t>Consumer</t>
        </is>
      </c>
      <c r="I1520" s="7" t="n">
        <v>10</v>
      </c>
      <c r="J1520" s="10" t="n">
        <v>26.12</v>
      </c>
      <c r="K1520" s="11" t="n">
        <v>0.2</v>
      </c>
      <c r="L1520" s="10">
        <f>I1520*J1520*(1-K1520)</f>
        <v/>
      </c>
      <c r="M1520" s="10" t="n">
        <v>125</v>
      </c>
      <c r="N1520" s="10">
        <f>L1520-M1520</f>
        <v/>
      </c>
    </row>
    <row r="1521">
      <c r="A1521" s="7" t="inlineStr">
        <is>
          <t>ORD-05496</t>
        </is>
      </c>
      <c r="B1521" s="8" t="n">
        <v>45266</v>
      </c>
      <c r="C1521" s="9" t="n">
        <v>45261</v>
      </c>
      <c r="D1521" s="7" t="n">
        <v>2023</v>
      </c>
      <c r="E1521" s="7" t="inlineStr">
        <is>
          <t>East</t>
        </is>
      </c>
      <c r="F1521" s="7" t="inlineStr">
        <is>
          <t>Technology</t>
        </is>
      </c>
      <c r="G1521" s="7" t="inlineStr">
        <is>
          <t>Smartphone</t>
        </is>
      </c>
      <c r="H1521" s="7" t="inlineStr">
        <is>
          <t>Consumer</t>
        </is>
      </c>
      <c r="I1521" s="7" t="n">
        <v>3</v>
      </c>
      <c r="J1521" s="10" t="n">
        <v>594.05</v>
      </c>
      <c r="K1521" s="11" t="n">
        <v>0.05</v>
      </c>
      <c r="L1521" s="10">
        <f>I1521*J1521*(1-K1521)</f>
        <v/>
      </c>
      <c r="M1521" s="10" t="n">
        <v>1350</v>
      </c>
      <c r="N1521" s="10">
        <f>L1521-M1521</f>
        <v/>
      </c>
    </row>
    <row r="1522">
      <c r="A1522" s="7" t="inlineStr">
        <is>
          <t>ORD-04555</t>
        </is>
      </c>
      <c r="B1522" s="8" t="n">
        <v>45266</v>
      </c>
      <c r="C1522" s="9" t="n">
        <v>45261</v>
      </c>
      <c r="D1522" s="7" t="n">
        <v>2023</v>
      </c>
      <c r="E1522" s="7" t="inlineStr">
        <is>
          <t>South</t>
        </is>
      </c>
      <c r="F1522" s="7" t="inlineStr">
        <is>
          <t>Technology</t>
        </is>
      </c>
      <c r="G1522" s="7" t="inlineStr">
        <is>
          <t>Laptop</t>
        </is>
      </c>
      <c r="H1522" s="7" t="inlineStr">
        <is>
          <t>Home Office</t>
        </is>
      </c>
      <c r="I1522" s="7" t="n">
        <v>3</v>
      </c>
      <c r="J1522" s="10" t="n">
        <v>909.54</v>
      </c>
      <c r="K1522" s="11" t="n">
        <v>0.1</v>
      </c>
      <c r="L1522" s="10">
        <f>I1522*J1522*(1-K1522)</f>
        <v/>
      </c>
      <c r="M1522" s="10" t="n">
        <v>2106</v>
      </c>
      <c r="N1522" s="10">
        <f>L1522-M1522</f>
        <v/>
      </c>
    </row>
    <row r="1523">
      <c r="A1523" s="7" t="inlineStr">
        <is>
          <t>ORD-04934</t>
        </is>
      </c>
      <c r="B1523" s="8" t="n">
        <v>45267</v>
      </c>
      <c r="C1523" s="9" t="n">
        <v>45261</v>
      </c>
      <c r="D1523" s="7" t="n">
        <v>2023</v>
      </c>
      <c r="E1523" s="7" t="inlineStr">
        <is>
          <t>East</t>
        </is>
      </c>
      <c r="F1523" s="7" t="inlineStr">
        <is>
          <t>Office Supplies</t>
        </is>
      </c>
      <c r="G1523" s="7" t="inlineStr">
        <is>
          <t>Paper</t>
        </is>
      </c>
      <c r="H1523" s="7" t="inlineStr">
        <is>
          <t>Corporate</t>
        </is>
      </c>
      <c r="I1523" s="7" t="n">
        <v>12</v>
      </c>
      <c r="J1523" s="10" t="n">
        <v>23.94</v>
      </c>
      <c r="K1523" s="11" t="n">
        <v>0.1</v>
      </c>
      <c r="L1523" s="10">
        <f>I1523*J1523*(1-K1523)</f>
        <v/>
      </c>
      <c r="M1523" s="10" t="n">
        <v>150</v>
      </c>
      <c r="N1523" s="10">
        <f>L1523-M1523</f>
        <v/>
      </c>
    </row>
    <row r="1524">
      <c r="A1524" s="7" t="inlineStr">
        <is>
          <t>ORD-05312</t>
        </is>
      </c>
      <c r="B1524" s="8" t="n">
        <v>45267</v>
      </c>
      <c r="C1524" s="9" t="n">
        <v>45261</v>
      </c>
      <c r="D1524" s="7" t="n">
        <v>2023</v>
      </c>
      <c r="E1524" s="7" t="inlineStr">
        <is>
          <t>East</t>
        </is>
      </c>
      <c r="F1524" s="7" t="inlineStr">
        <is>
          <t>Office Supplies</t>
        </is>
      </c>
      <c r="G1524" s="7" t="inlineStr">
        <is>
          <t>Binder</t>
        </is>
      </c>
      <c r="H1524" s="7" t="inlineStr">
        <is>
          <t>Consumer</t>
        </is>
      </c>
      <c r="I1524" s="7" t="n">
        <v>9</v>
      </c>
      <c r="J1524" s="10" t="n">
        <v>8.31</v>
      </c>
      <c r="K1524" s="11" t="n">
        <v>0.2</v>
      </c>
      <c r="L1524" s="10">
        <f>I1524*J1524*(1-K1524)</f>
        <v/>
      </c>
      <c r="M1524" s="10" t="n">
        <v>28.8</v>
      </c>
      <c r="N1524" s="10">
        <f>L1524-M1524</f>
        <v/>
      </c>
    </row>
    <row r="1525">
      <c r="A1525" s="7" t="inlineStr">
        <is>
          <t>ORD-05854</t>
        </is>
      </c>
      <c r="B1525" s="8" t="n">
        <v>45267</v>
      </c>
      <c r="C1525" s="9" t="n">
        <v>45261</v>
      </c>
      <c r="D1525" s="7" t="n">
        <v>2023</v>
      </c>
      <c r="E1525" s="7" t="inlineStr">
        <is>
          <t>North</t>
        </is>
      </c>
      <c r="F1525" s="7" t="inlineStr">
        <is>
          <t>Office Supplies</t>
        </is>
      </c>
      <c r="G1525" s="7" t="inlineStr">
        <is>
          <t>Paper</t>
        </is>
      </c>
      <c r="H1525" s="7" t="inlineStr">
        <is>
          <t>Consumer</t>
        </is>
      </c>
      <c r="I1525" s="7" t="n">
        <v>10</v>
      </c>
      <c r="J1525" s="10" t="n">
        <v>24.24</v>
      </c>
      <c r="K1525" s="11" t="n">
        <v>0</v>
      </c>
      <c r="L1525" s="10">
        <f>I1525*J1525*(1-K1525)</f>
        <v/>
      </c>
      <c r="M1525" s="10" t="n">
        <v>125</v>
      </c>
      <c r="N1525" s="10">
        <f>L1525-M1525</f>
        <v/>
      </c>
    </row>
    <row r="1526">
      <c r="A1526" s="7" t="inlineStr">
        <is>
          <t>ORD-04017</t>
        </is>
      </c>
      <c r="B1526" s="8" t="n">
        <v>45267</v>
      </c>
      <c r="C1526" s="9" t="n">
        <v>45261</v>
      </c>
      <c r="D1526" s="7" t="n">
        <v>2023</v>
      </c>
      <c r="E1526" s="7" t="inlineStr">
        <is>
          <t>South</t>
        </is>
      </c>
      <c r="F1526" s="7" t="inlineStr">
        <is>
          <t>Technology</t>
        </is>
      </c>
      <c r="G1526" s="7" t="inlineStr">
        <is>
          <t>Smartphone</t>
        </is>
      </c>
      <c r="H1526" s="7" t="inlineStr">
        <is>
          <t>Consumer</t>
        </is>
      </c>
      <c r="I1526" s="7" t="n">
        <v>2</v>
      </c>
      <c r="J1526" s="10" t="n">
        <v>578.73</v>
      </c>
      <c r="K1526" s="11" t="n">
        <v>0</v>
      </c>
      <c r="L1526" s="10">
        <f>I1526*J1526*(1-K1526)</f>
        <v/>
      </c>
      <c r="M1526" s="10" t="n">
        <v>900</v>
      </c>
      <c r="N1526" s="10">
        <f>L1526-M1526</f>
        <v/>
      </c>
    </row>
    <row r="1527">
      <c r="A1527" s="7" t="inlineStr">
        <is>
          <t>ORD-02374</t>
        </is>
      </c>
      <c r="B1527" s="8" t="n">
        <v>45267</v>
      </c>
      <c r="C1527" s="9" t="n">
        <v>45261</v>
      </c>
      <c r="D1527" s="7" t="n">
        <v>2023</v>
      </c>
      <c r="E1527" s="7" t="inlineStr">
        <is>
          <t>East</t>
        </is>
      </c>
      <c r="F1527" s="7" t="inlineStr">
        <is>
          <t>Office Supplies</t>
        </is>
      </c>
      <c r="G1527" s="7" t="inlineStr">
        <is>
          <t>Paper</t>
        </is>
      </c>
      <c r="H1527" s="7" t="inlineStr">
        <is>
          <t>Consumer</t>
        </is>
      </c>
      <c r="I1527" s="7" t="n">
        <v>4</v>
      </c>
      <c r="J1527" s="10" t="n">
        <v>25.12</v>
      </c>
      <c r="K1527" s="11" t="n">
        <v>0.05</v>
      </c>
      <c r="L1527" s="10">
        <f>I1527*J1527*(1-K1527)</f>
        <v/>
      </c>
      <c r="M1527" s="10" t="n">
        <v>50</v>
      </c>
      <c r="N1527" s="10">
        <f>L1527-M1527</f>
        <v/>
      </c>
    </row>
    <row r="1528">
      <c r="A1528" s="7" t="inlineStr">
        <is>
          <t>ORD-03408</t>
        </is>
      </c>
      <c r="B1528" s="8" t="n">
        <v>45267</v>
      </c>
      <c r="C1528" s="9" t="n">
        <v>45261</v>
      </c>
      <c r="D1528" s="7" t="n">
        <v>2023</v>
      </c>
      <c r="E1528" s="7" t="inlineStr">
        <is>
          <t>West</t>
        </is>
      </c>
      <c r="F1528" s="7" t="inlineStr">
        <is>
          <t>Office Supplies</t>
        </is>
      </c>
      <c r="G1528" s="7" t="inlineStr">
        <is>
          <t>Stapler</t>
        </is>
      </c>
      <c r="H1528" s="7" t="inlineStr">
        <is>
          <t>Consumer</t>
        </is>
      </c>
      <c r="I1528" s="7" t="n">
        <v>5</v>
      </c>
      <c r="J1528" s="10" t="n">
        <v>14.38</v>
      </c>
      <c r="K1528" s="11" t="n">
        <v>0.2</v>
      </c>
      <c r="L1528" s="10">
        <f>I1528*J1528*(1-K1528)</f>
        <v/>
      </c>
      <c r="M1528" s="10" t="n">
        <v>37.5</v>
      </c>
      <c r="N1528" s="10">
        <f>L1528-M1528</f>
        <v/>
      </c>
    </row>
    <row r="1529">
      <c r="A1529" s="7" t="inlineStr">
        <is>
          <t>ORD-05860</t>
        </is>
      </c>
      <c r="B1529" s="8" t="n">
        <v>45268</v>
      </c>
      <c r="C1529" s="9" t="n">
        <v>45261</v>
      </c>
      <c r="D1529" s="7" t="n">
        <v>2023</v>
      </c>
      <c r="E1529" s="7" t="inlineStr">
        <is>
          <t>East</t>
        </is>
      </c>
      <c r="F1529" s="7" t="inlineStr">
        <is>
          <t>Office Supplies</t>
        </is>
      </c>
      <c r="G1529" s="7" t="inlineStr">
        <is>
          <t>Stapler</t>
        </is>
      </c>
      <c r="H1529" s="7" t="inlineStr">
        <is>
          <t>Corporate</t>
        </is>
      </c>
      <c r="I1529" s="7" t="n">
        <v>15</v>
      </c>
      <c r="J1529" s="10" t="n">
        <v>14.42</v>
      </c>
      <c r="K1529" s="11" t="n">
        <v>0.2</v>
      </c>
      <c r="L1529" s="10">
        <f>I1529*J1529*(1-K1529)</f>
        <v/>
      </c>
      <c r="M1529" s="10" t="n">
        <v>112.5</v>
      </c>
      <c r="N1529" s="10">
        <f>L1529-M1529</f>
        <v/>
      </c>
    </row>
    <row r="1530">
      <c r="A1530" s="7" t="inlineStr">
        <is>
          <t>ORD-00909</t>
        </is>
      </c>
      <c r="B1530" s="8" t="n">
        <v>45268</v>
      </c>
      <c r="C1530" s="9" t="n">
        <v>45261</v>
      </c>
      <c r="D1530" s="7" t="n">
        <v>2023</v>
      </c>
      <c r="E1530" s="7" t="inlineStr">
        <is>
          <t>North</t>
        </is>
      </c>
      <c r="F1530" s="7" t="inlineStr">
        <is>
          <t>Technology</t>
        </is>
      </c>
      <c r="G1530" s="7" t="inlineStr">
        <is>
          <t>Headphones</t>
        </is>
      </c>
      <c r="H1530" s="7" t="inlineStr">
        <is>
          <t>Consumer</t>
        </is>
      </c>
      <c r="I1530" s="7" t="n">
        <v>3</v>
      </c>
      <c r="J1530" s="10" t="n">
        <v>120.4</v>
      </c>
      <c r="K1530" s="11" t="n">
        <v>0</v>
      </c>
      <c r="L1530" s="10">
        <f>I1530*J1530*(1-K1530)</f>
        <v/>
      </c>
      <c r="M1530" s="10" t="n">
        <v>216</v>
      </c>
      <c r="N1530" s="10">
        <f>L1530-M1530</f>
        <v/>
      </c>
    </row>
    <row r="1531">
      <c r="A1531" s="7" t="inlineStr">
        <is>
          <t>ORD-04548</t>
        </is>
      </c>
      <c r="B1531" s="8" t="n">
        <v>45268</v>
      </c>
      <c r="C1531" s="9" t="n">
        <v>45261</v>
      </c>
      <c r="D1531" s="7" t="n">
        <v>2023</v>
      </c>
      <c r="E1531" s="7" t="inlineStr">
        <is>
          <t>East</t>
        </is>
      </c>
      <c r="F1531" s="7" t="inlineStr">
        <is>
          <t>Technology</t>
        </is>
      </c>
      <c r="G1531" s="7" t="inlineStr">
        <is>
          <t>Laptop</t>
        </is>
      </c>
      <c r="H1531" s="7" t="inlineStr">
        <is>
          <t>Consumer</t>
        </is>
      </c>
      <c r="I1531" s="7" t="n">
        <v>3</v>
      </c>
      <c r="J1531" s="10" t="n">
        <v>932.1900000000001</v>
      </c>
      <c r="K1531" s="11" t="n">
        <v>0</v>
      </c>
      <c r="L1531" s="10">
        <f>I1531*J1531*(1-K1531)</f>
        <v/>
      </c>
      <c r="M1531" s="10" t="n">
        <v>2106</v>
      </c>
      <c r="N1531" s="10">
        <f>L1531-M1531</f>
        <v/>
      </c>
    </row>
    <row r="1532">
      <c r="A1532" s="7" t="inlineStr">
        <is>
          <t>ORD-02226</t>
        </is>
      </c>
      <c r="B1532" s="8" t="n">
        <v>45269</v>
      </c>
      <c r="C1532" s="9" t="n">
        <v>45261</v>
      </c>
      <c r="D1532" s="7" t="n">
        <v>2023</v>
      </c>
      <c r="E1532" s="7" t="inlineStr">
        <is>
          <t>West</t>
        </is>
      </c>
      <c r="F1532" s="7" t="inlineStr">
        <is>
          <t>Office Supplies</t>
        </is>
      </c>
      <c r="G1532" s="7" t="inlineStr">
        <is>
          <t>Pens</t>
        </is>
      </c>
      <c r="H1532" s="7" t="inlineStr">
        <is>
          <t>Home Office</t>
        </is>
      </c>
      <c r="I1532" s="7" t="n">
        <v>9</v>
      </c>
      <c r="J1532" s="10" t="n">
        <v>12.34</v>
      </c>
      <c r="K1532" s="11" t="n">
        <v>0.3</v>
      </c>
      <c r="L1532" s="10">
        <f>I1532*J1532*(1-K1532)</f>
        <v/>
      </c>
      <c r="M1532" s="10" t="n">
        <v>48.6</v>
      </c>
      <c r="N1532" s="10">
        <f>L1532-M1532</f>
        <v/>
      </c>
    </row>
    <row r="1533">
      <c r="A1533" s="7" t="inlineStr">
        <is>
          <t>ORD-00348</t>
        </is>
      </c>
      <c r="B1533" s="8" t="n">
        <v>45269</v>
      </c>
      <c r="C1533" s="9" t="n">
        <v>45261</v>
      </c>
      <c r="D1533" s="7" t="n">
        <v>2023</v>
      </c>
      <c r="E1533" s="7" t="inlineStr">
        <is>
          <t>South</t>
        </is>
      </c>
      <c r="F1533" s="7" t="inlineStr">
        <is>
          <t>Office Supplies</t>
        </is>
      </c>
      <c r="G1533" s="7" t="inlineStr">
        <is>
          <t>Pens</t>
        </is>
      </c>
      <c r="H1533" s="7" t="inlineStr">
        <is>
          <t>Consumer</t>
        </is>
      </c>
      <c r="I1533" s="7" t="n">
        <v>3</v>
      </c>
      <c r="J1533" s="10" t="n">
        <v>12.05</v>
      </c>
      <c r="K1533" s="11" t="n">
        <v>0.05</v>
      </c>
      <c r="L1533" s="10">
        <f>I1533*J1533*(1-K1533)</f>
        <v/>
      </c>
      <c r="M1533" s="10" t="n">
        <v>16.2</v>
      </c>
      <c r="N1533" s="10">
        <f>L1533-M1533</f>
        <v/>
      </c>
    </row>
    <row r="1534">
      <c r="A1534" s="7" t="inlineStr">
        <is>
          <t>ORD-01611</t>
        </is>
      </c>
      <c r="B1534" s="8" t="n">
        <v>45269</v>
      </c>
      <c r="C1534" s="9" t="n">
        <v>45261</v>
      </c>
      <c r="D1534" s="7" t="n">
        <v>2023</v>
      </c>
      <c r="E1534" s="7" t="inlineStr">
        <is>
          <t>South</t>
        </is>
      </c>
      <c r="F1534" s="7" t="inlineStr">
        <is>
          <t>Technology</t>
        </is>
      </c>
      <c r="G1534" s="7" t="inlineStr">
        <is>
          <t>Monitor</t>
        </is>
      </c>
      <c r="H1534" s="7" t="inlineStr">
        <is>
          <t>Home Office</t>
        </is>
      </c>
      <c r="I1534" s="7" t="n">
        <v>3</v>
      </c>
      <c r="J1534" s="10" t="n">
        <v>257.24</v>
      </c>
      <c r="K1534" s="11" t="n">
        <v>0</v>
      </c>
      <c r="L1534" s="10">
        <f>I1534*J1534*(1-K1534)</f>
        <v/>
      </c>
      <c r="M1534" s="10" t="n">
        <v>540</v>
      </c>
      <c r="N1534" s="10">
        <f>L1534-M1534</f>
        <v/>
      </c>
    </row>
    <row r="1535">
      <c r="A1535" s="7" t="inlineStr">
        <is>
          <t>ORD-00971</t>
        </is>
      </c>
      <c r="B1535" s="8" t="n">
        <v>45269</v>
      </c>
      <c r="C1535" s="9" t="n">
        <v>45261</v>
      </c>
      <c r="D1535" s="7" t="n">
        <v>2023</v>
      </c>
      <c r="E1535" s="7" t="inlineStr">
        <is>
          <t>South</t>
        </is>
      </c>
      <c r="F1535" s="7" t="inlineStr">
        <is>
          <t>Office Supplies</t>
        </is>
      </c>
      <c r="G1535" s="7" t="inlineStr">
        <is>
          <t>Paper</t>
        </is>
      </c>
      <c r="H1535" s="7" t="inlineStr">
        <is>
          <t>Consumer</t>
        </is>
      </c>
      <c r="I1535" s="7" t="n">
        <v>2</v>
      </c>
      <c r="J1535" s="10" t="n">
        <v>25.01</v>
      </c>
      <c r="K1535" s="11" t="n">
        <v>0</v>
      </c>
      <c r="L1535" s="10">
        <f>I1535*J1535*(1-K1535)</f>
        <v/>
      </c>
      <c r="M1535" s="10" t="n">
        <v>25</v>
      </c>
      <c r="N1535" s="10">
        <f>L1535-M1535</f>
        <v/>
      </c>
    </row>
    <row r="1536">
      <c r="A1536" s="7" t="inlineStr">
        <is>
          <t>ORD-03033</t>
        </is>
      </c>
      <c r="B1536" s="8" t="n">
        <v>45269</v>
      </c>
      <c r="C1536" s="9" t="n">
        <v>45261</v>
      </c>
      <c r="D1536" s="7" t="n">
        <v>2023</v>
      </c>
      <c r="E1536" s="7" t="inlineStr">
        <is>
          <t>East</t>
        </is>
      </c>
      <c r="F1536" s="7" t="inlineStr">
        <is>
          <t>Technology</t>
        </is>
      </c>
      <c r="G1536" s="7" t="inlineStr">
        <is>
          <t>Smartphone</t>
        </is>
      </c>
      <c r="H1536" s="7" t="inlineStr">
        <is>
          <t>Consumer</t>
        </is>
      </c>
      <c r="I1536" s="7" t="n">
        <v>3</v>
      </c>
      <c r="J1536" s="10" t="n">
        <v>574.16</v>
      </c>
      <c r="K1536" s="11" t="n">
        <v>0.1</v>
      </c>
      <c r="L1536" s="10">
        <f>I1536*J1536*(1-K1536)</f>
        <v/>
      </c>
      <c r="M1536" s="10" t="n">
        <v>1350</v>
      </c>
      <c r="N1536" s="10">
        <f>L1536-M1536</f>
        <v/>
      </c>
    </row>
    <row r="1537">
      <c r="A1537" s="7" t="inlineStr">
        <is>
          <t>ORD-00926</t>
        </is>
      </c>
      <c r="B1537" s="8" t="n">
        <v>45269</v>
      </c>
      <c r="C1537" s="9" t="n">
        <v>45261</v>
      </c>
      <c r="D1537" s="7" t="n">
        <v>2023</v>
      </c>
      <c r="E1537" s="7" t="inlineStr">
        <is>
          <t>West</t>
        </is>
      </c>
      <c r="F1537" s="7" t="inlineStr">
        <is>
          <t>Technology</t>
        </is>
      </c>
      <c r="G1537" s="7" t="inlineStr">
        <is>
          <t>Headphones</t>
        </is>
      </c>
      <c r="H1537" s="7" t="inlineStr">
        <is>
          <t>Consumer</t>
        </is>
      </c>
      <c r="I1537" s="7" t="n">
        <v>2</v>
      </c>
      <c r="J1537" s="10" t="n">
        <v>116.09</v>
      </c>
      <c r="K1537" s="11" t="n">
        <v>0</v>
      </c>
      <c r="L1537" s="10">
        <f>I1537*J1537*(1-K1537)</f>
        <v/>
      </c>
      <c r="M1537" s="10" t="n">
        <v>144</v>
      </c>
      <c r="N1537" s="10">
        <f>L1537-M1537</f>
        <v/>
      </c>
    </row>
    <row r="1538">
      <c r="A1538" s="7" t="inlineStr">
        <is>
          <t>ORD-00830</t>
        </is>
      </c>
      <c r="B1538" s="8" t="n">
        <v>45269</v>
      </c>
      <c r="C1538" s="9" t="n">
        <v>45261</v>
      </c>
      <c r="D1538" s="7" t="n">
        <v>2023</v>
      </c>
      <c r="E1538" s="7" t="inlineStr">
        <is>
          <t>South</t>
        </is>
      </c>
      <c r="F1538" s="7" t="inlineStr">
        <is>
          <t>Office Supplies</t>
        </is>
      </c>
      <c r="G1538" s="7" t="inlineStr">
        <is>
          <t>Paper</t>
        </is>
      </c>
      <c r="H1538" s="7" t="inlineStr">
        <is>
          <t>Consumer</t>
        </is>
      </c>
      <c r="I1538" s="7" t="n">
        <v>13</v>
      </c>
      <c r="J1538" s="10" t="n">
        <v>23.91</v>
      </c>
      <c r="K1538" s="11" t="n">
        <v>0.3</v>
      </c>
      <c r="L1538" s="10">
        <f>I1538*J1538*(1-K1538)</f>
        <v/>
      </c>
      <c r="M1538" s="10" t="n">
        <v>162.5</v>
      </c>
      <c r="N1538" s="10">
        <f>L1538-M1538</f>
        <v/>
      </c>
    </row>
    <row r="1539">
      <c r="A1539" s="7" t="inlineStr">
        <is>
          <t>ORD-03890</t>
        </is>
      </c>
      <c r="B1539" s="8" t="n">
        <v>45270</v>
      </c>
      <c r="C1539" s="9" t="n">
        <v>45261</v>
      </c>
      <c r="D1539" s="7" t="n">
        <v>2023</v>
      </c>
      <c r="E1539" s="7" t="inlineStr">
        <is>
          <t>North</t>
        </is>
      </c>
      <c r="F1539" s="7" t="inlineStr">
        <is>
          <t>Office Supplies</t>
        </is>
      </c>
      <c r="G1539" s="7" t="inlineStr">
        <is>
          <t>Printer Ink</t>
        </is>
      </c>
      <c r="H1539" s="7" t="inlineStr">
        <is>
          <t>Consumer</t>
        </is>
      </c>
      <c r="I1539" s="7" t="n">
        <v>11</v>
      </c>
      <c r="J1539" s="10" t="n">
        <v>61.18</v>
      </c>
      <c r="K1539" s="11" t="n">
        <v>0.1</v>
      </c>
      <c r="L1539" s="10">
        <f>I1539*J1539*(1-K1539)</f>
        <v/>
      </c>
      <c r="M1539" s="10" t="n">
        <v>396</v>
      </c>
      <c r="N1539" s="10">
        <f>L1539-M1539</f>
        <v/>
      </c>
    </row>
    <row r="1540">
      <c r="A1540" s="7" t="inlineStr">
        <is>
          <t>ORD-02244</t>
        </is>
      </c>
      <c r="B1540" s="8" t="n">
        <v>45270</v>
      </c>
      <c r="C1540" s="9" t="n">
        <v>45261</v>
      </c>
      <c r="D1540" s="7" t="n">
        <v>2023</v>
      </c>
      <c r="E1540" s="7" t="inlineStr">
        <is>
          <t>East</t>
        </is>
      </c>
      <c r="F1540" s="7" t="inlineStr">
        <is>
          <t>Office Supplies</t>
        </is>
      </c>
      <c r="G1540" s="7" t="inlineStr">
        <is>
          <t>Binder</t>
        </is>
      </c>
      <c r="H1540" s="7" t="inlineStr">
        <is>
          <t>Consumer</t>
        </is>
      </c>
      <c r="I1540" s="7" t="n">
        <v>13</v>
      </c>
      <c r="J1540" s="10" t="n">
        <v>7.72</v>
      </c>
      <c r="K1540" s="11" t="n">
        <v>0</v>
      </c>
      <c r="L1540" s="10">
        <f>I1540*J1540*(1-K1540)</f>
        <v/>
      </c>
      <c r="M1540" s="10" t="n">
        <v>41.6</v>
      </c>
      <c r="N1540" s="10">
        <f>L1540-M1540</f>
        <v/>
      </c>
    </row>
    <row r="1541">
      <c r="A1541" s="7" t="inlineStr">
        <is>
          <t>ORD-01653</t>
        </is>
      </c>
      <c r="B1541" s="8" t="n">
        <v>45270</v>
      </c>
      <c r="C1541" s="9" t="n">
        <v>45261</v>
      </c>
      <c r="D1541" s="7" t="n">
        <v>2023</v>
      </c>
      <c r="E1541" s="7" t="inlineStr">
        <is>
          <t>East</t>
        </is>
      </c>
      <c r="F1541" s="7" t="inlineStr">
        <is>
          <t>Office Supplies</t>
        </is>
      </c>
      <c r="G1541" s="7" t="inlineStr">
        <is>
          <t>Paper</t>
        </is>
      </c>
      <c r="H1541" s="7" t="inlineStr">
        <is>
          <t>Consumer</t>
        </is>
      </c>
      <c r="I1541" s="7" t="n">
        <v>7</v>
      </c>
      <c r="J1541" s="10" t="n">
        <v>24.06</v>
      </c>
      <c r="K1541" s="11" t="n">
        <v>0</v>
      </c>
      <c r="L1541" s="10">
        <f>I1541*J1541*(1-K1541)</f>
        <v/>
      </c>
      <c r="M1541" s="10" t="n">
        <v>87.5</v>
      </c>
      <c r="N1541" s="10">
        <f>L1541-M1541</f>
        <v/>
      </c>
    </row>
    <row r="1542">
      <c r="A1542" s="7" t="inlineStr">
        <is>
          <t>ORD-03737</t>
        </is>
      </c>
      <c r="B1542" s="8" t="n">
        <v>45270</v>
      </c>
      <c r="C1542" s="9" t="n">
        <v>45261</v>
      </c>
      <c r="D1542" s="7" t="n">
        <v>2023</v>
      </c>
      <c r="E1542" s="7" t="inlineStr">
        <is>
          <t>West</t>
        </is>
      </c>
      <c r="F1542" s="7" t="inlineStr">
        <is>
          <t>Technology</t>
        </is>
      </c>
      <c r="G1542" s="7" t="inlineStr">
        <is>
          <t>Laptop</t>
        </is>
      </c>
      <c r="H1542" s="7" t="inlineStr">
        <is>
          <t>Consumer</t>
        </is>
      </c>
      <c r="I1542" s="7" t="n">
        <v>3</v>
      </c>
      <c r="J1542" s="10" t="n">
        <v>865.8</v>
      </c>
      <c r="K1542" s="11" t="n">
        <v>0</v>
      </c>
      <c r="L1542" s="10">
        <f>I1542*J1542*(1-K1542)</f>
        <v/>
      </c>
      <c r="M1542" s="10" t="n">
        <v>2106</v>
      </c>
      <c r="N1542" s="10">
        <f>L1542-M1542</f>
        <v/>
      </c>
    </row>
    <row r="1543">
      <c r="A1543" s="7" t="inlineStr">
        <is>
          <t>ORD-05500</t>
        </is>
      </c>
      <c r="B1543" s="8" t="n">
        <v>45270</v>
      </c>
      <c r="C1543" s="9" t="n">
        <v>45261</v>
      </c>
      <c r="D1543" s="7" t="n">
        <v>2023</v>
      </c>
      <c r="E1543" s="7" t="inlineStr">
        <is>
          <t>East</t>
        </is>
      </c>
      <c r="F1543" s="7" t="inlineStr">
        <is>
          <t>Office Supplies</t>
        </is>
      </c>
      <c r="G1543" s="7" t="inlineStr">
        <is>
          <t>Binder</t>
        </is>
      </c>
      <c r="H1543" s="7" t="inlineStr">
        <is>
          <t>Consumer</t>
        </is>
      </c>
      <c r="I1543" s="7" t="n">
        <v>3</v>
      </c>
      <c r="J1543" s="10" t="n">
        <v>8.300000000000001</v>
      </c>
      <c r="K1543" s="11" t="n">
        <v>0.2</v>
      </c>
      <c r="L1543" s="10">
        <f>I1543*J1543*(1-K1543)</f>
        <v/>
      </c>
      <c r="M1543" s="10" t="n">
        <v>9.6</v>
      </c>
      <c r="N1543" s="10">
        <f>L1543-M1543</f>
        <v/>
      </c>
    </row>
    <row r="1544">
      <c r="A1544" s="7" t="inlineStr">
        <is>
          <t>ORD-03112</t>
        </is>
      </c>
      <c r="B1544" s="8" t="n">
        <v>45270</v>
      </c>
      <c r="C1544" s="9" t="n">
        <v>45261</v>
      </c>
      <c r="D1544" s="7" t="n">
        <v>2023</v>
      </c>
      <c r="E1544" s="7" t="inlineStr">
        <is>
          <t>East</t>
        </is>
      </c>
      <c r="F1544" s="7" t="inlineStr">
        <is>
          <t>Office Supplies</t>
        </is>
      </c>
      <c r="G1544" s="7" t="inlineStr">
        <is>
          <t>Paper</t>
        </is>
      </c>
      <c r="H1544" s="7" t="inlineStr">
        <is>
          <t>Consumer</t>
        </is>
      </c>
      <c r="I1544" s="7" t="n">
        <v>9</v>
      </c>
      <c r="J1544" s="10" t="n">
        <v>26.01</v>
      </c>
      <c r="K1544" s="11" t="n">
        <v>0.3</v>
      </c>
      <c r="L1544" s="10">
        <f>I1544*J1544*(1-K1544)</f>
        <v/>
      </c>
      <c r="M1544" s="10" t="n">
        <v>112.5</v>
      </c>
      <c r="N1544" s="10">
        <f>L1544-M1544</f>
        <v/>
      </c>
    </row>
    <row r="1545">
      <c r="A1545" s="7" t="inlineStr">
        <is>
          <t>ORD-02689</t>
        </is>
      </c>
      <c r="B1545" s="8" t="n">
        <v>45270</v>
      </c>
      <c r="C1545" s="9" t="n">
        <v>45261</v>
      </c>
      <c r="D1545" s="7" t="n">
        <v>2023</v>
      </c>
      <c r="E1545" s="7" t="inlineStr">
        <is>
          <t>West</t>
        </is>
      </c>
      <c r="F1545" s="7" t="inlineStr">
        <is>
          <t>Office Supplies</t>
        </is>
      </c>
      <c r="G1545" s="7" t="inlineStr">
        <is>
          <t>Binder</t>
        </is>
      </c>
      <c r="H1545" s="7" t="inlineStr">
        <is>
          <t>Corporate</t>
        </is>
      </c>
      <c r="I1545" s="7" t="n">
        <v>12</v>
      </c>
      <c r="J1545" s="10" t="n">
        <v>7.65</v>
      </c>
      <c r="K1545" s="11" t="n">
        <v>0.05</v>
      </c>
      <c r="L1545" s="10">
        <f>I1545*J1545*(1-K1545)</f>
        <v/>
      </c>
      <c r="M1545" s="10" t="n">
        <v>38.4</v>
      </c>
      <c r="N1545" s="10">
        <f>L1545-M1545</f>
        <v/>
      </c>
    </row>
    <row r="1546">
      <c r="A1546" s="7" t="inlineStr">
        <is>
          <t>ORD-01063</t>
        </is>
      </c>
      <c r="B1546" s="8" t="n">
        <v>45270</v>
      </c>
      <c r="C1546" s="9" t="n">
        <v>45261</v>
      </c>
      <c r="D1546" s="7" t="n">
        <v>2023</v>
      </c>
      <c r="E1546" s="7" t="inlineStr">
        <is>
          <t>West</t>
        </is>
      </c>
      <c r="F1546" s="7" t="inlineStr">
        <is>
          <t>Office Supplies</t>
        </is>
      </c>
      <c r="G1546" s="7" t="inlineStr">
        <is>
          <t>Paper</t>
        </is>
      </c>
      <c r="H1546" s="7" t="inlineStr">
        <is>
          <t>Corporate</t>
        </is>
      </c>
      <c r="I1546" s="7" t="n">
        <v>3</v>
      </c>
      <c r="J1546" s="10" t="n">
        <v>26.1</v>
      </c>
      <c r="K1546" s="11" t="n">
        <v>0</v>
      </c>
      <c r="L1546" s="10">
        <f>I1546*J1546*(1-K1546)</f>
        <v/>
      </c>
      <c r="M1546" s="10" t="n">
        <v>37.5</v>
      </c>
      <c r="N1546" s="10">
        <f>L1546-M1546</f>
        <v/>
      </c>
    </row>
    <row r="1547">
      <c r="A1547" s="7" t="inlineStr">
        <is>
          <t>ORD-04146</t>
        </is>
      </c>
      <c r="B1547" s="8" t="n">
        <v>45270</v>
      </c>
      <c r="C1547" s="9" t="n">
        <v>45261</v>
      </c>
      <c r="D1547" s="7" t="n">
        <v>2023</v>
      </c>
      <c r="E1547" s="7" t="inlineStr">
        <is>
          <t>North</t>
        </is>
      </c>
      <c r="F1547" s="7" t="inlineStr">
        <is>
          <t>Technology</t>
        </is>
      </c>
      <c r="G1547" s="7" t="inlineStr">
        <is>
          <t>Keyboard</t>
        </is>
      </c>
      <c r="H1547" s="7" t="inlineStr">
        <is>
          <t>Consumer</t>
        </is>
      </c>
      <c r="I1547" s="7" t="n">
        <v>1</v>
      </c>
      <c r="J1547" s="10" t="n">
        <v>44.62</v>
      </c>
      <c r="K1547" s="11" t="n">
        <v>0</v>
      </c>
      <c r="L1547" s="10">
        <f>I1547*J1547*(1-K1547)</f>
        <v/>
      </c>
      <c r="M1547" s="10" t="n">
        <v>24.75</v>
      </c>
      <c r="N1547" s="10">
        <f>L1547-M1547</f>
        <v/>
      </c>
    </row>
    <row r="1548">
      <c r="A1548" s="7" t="inlineStr">
        <is>
          <t>ORD-00781</t>
        </is>
      </c>
      <c r="B1548" s="8" t="n">
        <v>45270</v>
      </c>
      <c r="C1548" s="9" t="n">
        <v>45261</v>
      </c>
      <c r="D1548" s="7" t="n">
        <v>2023</v>
      </c>
      <c r="E1548" s="7" t="inlineStr">
        <is>
          <t>East</t>
        </is>
      </c>
      <c r="F1548" s="7" t="inlineStr">
        <is>
          <t>Office Supplies</t>
        </is>
      </c>
      <c r="G1548" s="7" t="inlineStr">
        <is>
          <t>Paper</t>
        </is>
      </c>
      <c r="H1548" s="7" t="inlineStr">
        <is>
          <t>Consumer</t>
        </is>
      </c>
      <c r="I1548" s="7" t="n">
        <v>5</v>
      </c>
      <c r="J1548" s="10" t="n">
        <v>24.01</v>
      </c>
      <c r="K1548" s="11" t="n">
        <v>0</v>
      </c>
      <c r="L1548" s="10">
        <f>I1548*J1548*(1-K1548)</f>
        <v/>
      </c>
      <c r="M1548" s="10" t="n">
        <v>62.5</v>
      </c>
      <c r="N1548" s="10">
        <f>L1548-M1548</f>
        <v/>
      </c>
    </row>
    <row r="1549">
      <c r="A1549" s="7" t="inlineStr">
        <is>
          <t>ORD-05377</t>
        </is>
      </c>
      <c r="B1549" s="8" t="n">
        <v>45271</v>
      </c>
      <c r="C1549" s="9" t="n">
        <v>45261</v>
      </c>
      <c r="D1549" s="7" t="n">
        <v>2023</v>
      </c>
      <c r="E1549" s="7" t="inlineStr">
        <is>
          <t>North</t>
        </is>
      </c>
      <c r="F1549" s="7" t="inlineStr">
        <is>
          <t>Office Supplies</t>
        </is>
      </c>
      <c r="G1549" s="7" t="inlineStr">
        <is>
          <t>Printer Ink</t>
        </is>
      </c>
      <c r="H1549" s="7" t="inlineStr">
        <is>
          <t>Home Office</t>
        </is>
      </c>
      <c r="I1549" s="7" t="n">
        <v>9</v>
      </c>
      <c r="J1549" s="10" t="n">
        <v>61.75</v>
      </c>
      <c r="K1549" s="11" t="n">
        <v>0.1</v>
      </c>
      <c r="L1549" s="10">
        <f>I1549*J1549*(1-K1549)</f>
        <v/>
      </c>
      <c r="M1549" s="10" t="n">
        <v>324</v>
      </c>
      <c r="N1549" s="10">
        <f>L1549-M1549</f>
        <v/>
      </c>
    </row>
    <row r="1550">
      <c r="A1550" s="7" t="inlineStr">
        <is>
          <t>ORD-00173</t>
        </is>
      </c>
      <c r="B1550" s="8" t="n">
        <v>45271</v>
      </c>
      <c r="C1550" s="9" t="n">
        <v>45261</v>
      </c>
      <c r="D1550" s="7" t="n">
        <v>2023</v>
      </c>
      <c r="E1550" s="7" t="inlineStr">
        <is>
          <t>East</t>
        </is>
      </c>
      <c r="F1550" s="7" t="inlineStr">
        <is>
          <t>Office Supplies</t>
        </is>
      </c>
      <c r="G1550" s="7" t="inlineStr">
        <is>
          <t>Printer Ink</t>
        </is>
      </c>
      <c r="H1550" s="7" t="inlineStr">
        <is>
          <t>Consumer</t>
        </is>
      </c>
      <c r="I1550" s="7" t="n">
        <v>5</v>
      </c>
      <c r="J1550" s="10" t="n">
        <v>58.38</v>
      </c>
      <c r="K1550" s="11" t="n">
        <v>0.2</v>
      </c>
      <c r="L1550" s="10">
        <f>I1550*J1550*(1-K1550)</f>
        <v/>
      </c>
      <c r="M1550" s="10" t="n">
        <v>180</v>
      </c>
      <c r="N1550" s="10">
        <f>L1550-M1550</f>
        <v/>
      </c>
    </row>
    <row r="1551">
      <c r="A1551" s="7" t="inlineStr">
        <is>
          <t>ORD-03303</t>
        </is>
      </c>
      <c r="B1551" s="8" t="n">
        <v>45271</v>
      </c>
      <c r="C1551" s="9" t="n">
        <v>45261</v>
      </c>
      <c r="D1551" s="7" t="n">
        <v>2023</v>
      </c>
      <c r="E1551" s="7" t="inlineStr">
        <is>
          <t>West</t>
        </is>
      </c>
      <c r="F1551" s="7" t="inlineStr">
        <is>
          <t>Office Supplies</t>
        </is>
      </c>
      <c r="G1551" s="7" t="inlineStr">
        <is>
          <t>Paper</t>
        </is>
      </c>
      <c r="H1551" s="7" t="inlineStr">
        <is>
          <t>Home Office</t>
        </is>
      </c>
      <c r="I1551" s="7" t="n">
        <v>10</v>
      </c>
      <c r="J1551" s="10" t="n">
        <v>25.64</v>
      </c>
      <c r="K1551" s="11" t="n">
        <v>0.05</v>
      </c>
      <c r="L1551" s="10">
        <f>I1551*J1551*(1-K1551)</f>
        <v/>
      </c>
      <c r="M1551" s="10" t="n">
        <v>125</v>
      </c>
      <c r="N1551" s="10">
        <f>L1551-M1551</f>
        <v/>
      </c>
    </row>
    <row r="1552">
      <c r="A1552" s="7" t="inlineStr">
        <is>
          <t>ORD-04230</t>
        </is>
      </c>
      <c r="B1552" s="8" t="n">
        <v>45271</v>
      </c>
      <c r="C1552" s="9" t="n">
        <v>45261</v>
      </c>
      <c r="D1552" s="7" t="n">
        <v>2023</v>
      </c>
      <c r="E1552" s="7" t="inlineStr">
        <is>
          <t>East</t>
        </is>
      </c>
      <c r="F1552" s="7" t="inlineStr">
        <is>
          <t>Office Supplies</t>
        </is>
      </c>
      <c r="G1552" s="7" t="inlineStr">
        <is>
          <t>Printer Ink</t>
        </is>
      </c>
      <c r="H1552" s="7" t="inlineStr">
        <is>
          <t>Home Office</t>
        </is>
      </c>
      <c r="I1552" s="7" t="n">
        <v>3</v>
      </c>
      <c r="J1552" s="10" t="n">
        <v>61.94</v>
      </c>
      <c r="K1552" s="11" t="n">
        <v>0.2</v>
      </c>
      <c r="L1552" s="10">
        <f>I1552*J1552*(1-K1552)</f>
        <v/>
      </c>
      <c r="M1552" s="10" t="n">
        <v>108</v>
      </c>
      <c r="N1552" s="10">
        <f>L1552-M1552</f>
        <v/>
      </c>
    </row>
    <row r="1553">
      <c r="A1553" s="7" t="inlineStr">
        <is>
          <t>ORD-05667</t>
        </is>
      </c>
      <c r="B1553" s="8" t="n">
        <v>45272</v>
      </c>
      <c r="C1553" s="9" t="n">
        <v>45261</v>
      </c>
      <c r="D1553" s="7" t="n">
        <v>2023</v>
      </c>
      <c r="E1553" s="7" t="inlineStr">
        <is>
          <t>South</t>
        </is>
      </c>
      <c r="F1553" s="7" t="inlineStr">
        <is>
          <t>Office Supplies</t>
        </is>
      </c>
      <c r="G1553" s="7" t="inlineStr">
        <is>
          <t>Binder</t>
        </is>
      </c>
      <c r="H1553" s="7" t="inlineStr">
        <is>
          <t>Consumer</t>
        </is>
      </c>
      <c r="I1553" s="7" t="n">
        <v>13</v>
      </c>
      <c r="J1553" s="10" t="n">
        <v>8.26</v>
      </c>
      <c r="K1553" s="11" t="n">
        <v>0.2</v>
      </c>
      <c r="L1553" s="10">
        <f>I1553*J1553*(1-K1553)</f>
        <v/>
      </c>
      <c r="M1553" s="10" t="n">
        <v>41.6</v>
      </c>
      <c r="N1553" s="10">
        <f>L1553-M1553</f>
        <v/>
      </c>
    </row>
    <row r="1554">
      <c r="A1554" s="7" t="inlineStr">
        <is>
          <t>ORD-02172</t>
        </is>
      </c>
      <c r="B1554" s="8" t="n">
        <v>45272</v>
      </c>
      <c r="C1554" s="9" t="n">
        <v>45261</v>
      </c>
      <c r="D1554" s="7" t="n">
        <v>2023</v>
      </c>
      <c r="E1554" s="7" t="inlineStr">
        <is>
          <t>South</t>
        </is>
      </c>
      <c r="F1554" s="7" t="inlineStr">
        <is>
          <t>Office Supplies</t>
        </is>
      </c>
      <c r="G1554" s="7" t="inlineStr">
        <is>
          <t>Stapler</t>
        </is>
      </c>
      <c r="H1554" s="7" t="inlineStr">
        <is>
          <t>Consumer</t>
        </is>
      </c>
      <c r="I1554" s="7" t="n">
        <v>13</v>
      </c>
      <c r="J1554" s="10" t="n">
        <v>14.97</v>
      </c>
      <c r="K1554" s="11" t="n">
        <v>0</v>
      </c>
      <c r="L1554" s="10">
        <f>I1554*J1554*(1-K1554)</f>
        <v/>
      </c>
      <c r="M1554" s="10" t="n">
        <v>97.5</v>
      </c>
      <c r="N1554" s="10">
        <f>L1554-M1554</f>
        <v/>
      </c>
    </row>
    <row r="1555">
      <c r="A1555" s="7" t="inlineStr">
        <is>
          <t>ORD-03868</t>
        </is>
      </c>
      <c r="B1555" s="8" t="n">
        <v>45272</v>
      </c>
      <c r="C1555" s="9" t="n">
        <v>45261</v>
      </c>
      <c r="D1555" s="7" t="n">
        <v>2023</v>
      </c>
      <c r="E1555" s="7" t="inlineStr">
        <is>
          <t>South</t>
        </is>
      </c>
      <c r="F1555" s="7" t="inlineStr">
        <is>
          <t>Office Supplies</t>
        </is>
      </c>
      <c r="G1555" s="7" t="inlineStr">
        <is>
          <t>Pens</t>
        </is>
      </c>
      <c r="H1555" s="7" t="inlineStr">
        <is>
          <t>Consumer</t>
        </is>
      </c>
      <c r="I1555" s="7" t="n">
        <v>8</v>
      </c>
      <c r="J1555" s="10" t="n">
        <v>11.46</v>
      </c>
      <c r="K1555" s="11" t="n">
        <v>0.05</v>
      </c>
      <c r="L1555" s="10">
        <f>I1555*J1555*(1-K1555)</f>
        <v/>
      </c>
      <c r="M1555" s="10" t="n">
        <v>43.2</v>
      </c>
      <c r="N1555" s="10">
        <f>L1555-M1555</f>
        <v/>
      </c>
    </row>
    <row r="1556">
      <c r="A1556" s="7" t="inlineStr">
        <is>
          <t>ORD-02179</t>
        </is>
      </c>
      <c r="B1556" s="8" t="n">
        <v>45272</v>
      </c>
      <c r="C1556" s="9" t="n">
        <v>45261</v>
      </c>
      <c r="D1556" s="7" t="n">
        <v>2023</v>
      </c>
      <c r="E1556" s="7" t="inlineStr">
        <is>
          <t>East</t>
        </is>
      </c>
      <c r="F1556" s="7" t="inlineStr">
        <is>
          <t>Furniture</t>
        </is>
      </c>
      <c r="G1556" s="7" t="inlineStr">
        <is>
          <t>Office Chair</t>
        </is>
      </c>
      <c r="H1556" s="7" t="inlineStr">
        <is>
          <t>Consumer</t>
        </is>
      </c>
      <c r="I1556" s="7" t="n">
        <v>2</v>
      </c>
      <c r="J1556" s="10" t="n">
        <v>210.9</v>
      </c>
      <c r="K1556" s="11" t="n">
        <v>0.3</v>
      </c>
      <c r="L1556" s="10">
        <f>I1556*J1556*(1-K1556)</f>
        <v/>
      </c>
      <c r="M1556" s="10" t="n">
        <v>360.8</v>
      </c>
      <c r="N1556" s="10">
        <f>L1556-M1556</f>
        <v/>
      </c>
    </row>
    <row r="1557">
      <c r="A1557" s="7" t="inlineStr">
        <is>
          <t>ORD-02965</t>
        </is>
      </c>
      <c r="B1557" s="8" t="n">
        <v>45272</v>
      </c>
      <c r="C1557" s="9" t="n">
        <v>45261</v>
      </c>
      <c r="D1557" s="7" t="n">
        <v>2023</v>
      </c>
      <c r="E1557" s="7" t="inlineStr">
        <is>
          <t>East</t>
        </is>
      </c>
      <c r="F1557" s="7" t="inlineStr">
        <is>
          <t>Office Supplies</t>
        </is>
      </c>
      <c r="G1557" s="7" t="inlineStr">
        <is>
          <t>Pens</t>
        </is>
      </c>
      <c r="H1557" s="7" t="inlineStr">
        <is>
          <t>Corporate</t>
        </is>
      </c>
      <c r="I1557" s="7" t="n">
        <v>2</v>
      </c>
      <c r="J1557" s="10" t="n">
        <v>11.43</v>
      </c>
      <c r="K1557" s="11" t="n">
        <v>0</v>
      </c>
      <c r="L1557" s="10">
        <f>I1557*J1557*(1-K1557)</f>
        <v/>
      </c>
      <c r="M1557" s="10" t="n">
        <v>10.8</v>
      </c>
      <c r="N1557" s="10">
        <f>L1557-M1557</f>
        <v/>
      </c>
    </row>
    <row r="1558">
      <c r="A1558" s="7" t="inlineStr">
        <is>
          <t>ORD-04415</t>
        </is>
      </c>
      <c r="B1558" s="8" t="n">
        <v>45272</v>
      </c>
      <c r="C1558" s="9" t="n">
        <v>45261</v>
      </c>
      <c r="D1558" s="7" t="n">
        <v>2023</v>
      </c>
      <c r="E1558" s="7" t="inlineStr">
        <is>
          <t>West</t>
        </is>
      </c>
      <c r="F1558" s="7" t="inlineStr">
        <is>
          <t>Technology</t>
        </is>
      </c>
      <c r="G1558" s="7" t="inlineStr">
        <is>
          <t>Keyboard</t>
        </is>
      </c>
      <c r="H1558" s="7" t="inlineStr">
        <is>
          <t>Corporate</t>
        </is>
      </c>
      <c r="I1558" s="7" t="n">
        <v>1</v>
      </c>
      <c r="J1558" s="10" t="n">
        <v>47.17</v>
      </c>
      <c r="K1558" s="11" t="n">
        <v>0.05</v>
      </c>
      <c r="L1558" s="10">
        <f>I1558*J1558*(1-K1558)</f>
        <v/>
      </c>
      <c r="M1558" s="10" t="n">
        <v>24.75</v>
      </c>
      <c r="N1558" s="10">
        <f>L1558-M1558</f>
        <v/>
      </c>
    </row>
    <row r="1559">
      <c r="A1559" s="7" t="inlineStr">
        <is>
          <t>ORD-03182</t>
        </is>
      </c>
      <c r="B1559" s="8" t="n">
        <v>45272</v>
      </c>
      <c r="C1559" s="9" t="n">
        <v>45261</v>
      </c>
      <c r="D1559" s="7" t="n">
        <v>2023</v>
      </c>
      <c r="E1559" s="7" t="inlineStr">
        <is>
          <t>West</t>
        </is>
      </c>
      <c r="F1559" s="7" t="inlineStr">
        <is>
          <t>Technology</t>
        </is>
      </c>
      <c r="G1559" s="7" t="inlineStr">
        <is>
          <t>Laptop</t>
        </is>
      </c>
      <c r="H1559" s="7" t="inlineStr">
        <is>
          <t>Home Office</t>
        </is>
      </c>
      <c r="I1559" s="7" t="n">
        <v>3</v>
      </c>
      <c r="J1559" s="10" t="n">
        <v>936.83</v>
      </c>
      <c r="K1559" s="11" t="n">
        <v>0</v>
      </c>
      <c r="L1559" s="10">
        <f>I1559*J1559*(1-K1559)</f>
        <v/>
      </c>
      <c r="M1559" s="10" t="n">
        <v>2106</v>
      </c>
      <c r="N1559" s="10">
        <f>L1559-M1559</f>
        <v/>
      </c>
    </row>
    <row r="1560">
      <c r="A1560" s="7" t="inlineStr">
        <is>
          <t>ORD-05201</t>
        </is>
      </c>
      <c r="B1560" s="8" t="n">
        <v>45272</v>
      </c>
      <c r="C1560" s="9" t="n">
        <v>45261</v>
      </c>
      <c r="D1560" s="7" t="n">
        <v>2023</v>
      </c>
      <c r="E1560" s="7" t="inlineStr">
        <is>
          <t>South</t>
        </is>
      </c>
      <c r="F1560" s="7" t="inlineStr">
        <is>
          <t>Office Supplies</t>
        </is>
      </c>
      <c r="G1560" s="7" t="inlineStr">
        <is>
          <t>Paper</t>
        </is>
      </c>
      <c r="H1560" s="7" t="inlineStr">
        <is>
          <t>Home Office</t>
        </is>
      </c>
      <c r="I1560" s="7" t="n">
        <v>9</v>
      </c>
      <c r="J1560" s="10" t="n">
        <v>25.35</v>
      </c>
      <c r="K1560" s="11" t="n">
        <v>0.2</v>
      </c>
      <c r="L1560" s="10">
        <f>I1560*J1560*(1-K1560)</f>
        <v/>
      </c>
      <c r="M1560" s="10" t="n">
        <v>112.5</v>
      </c>
      <c r="N1560" s="10">
        <f>L1560-M1560</f>
        <v/>
      </c>
    </row>
    <row r="1561">
      <c r="A1561" s="7" t="inlineStr">
        <is>
          <t>ORD-01173</t>
        </is>
      </c>
      <c r="B1561" s="8" t="n">
        <v>45272</v>
      </c>
      <c r="C1561" s="9" t="n">
        <v>45261</v>
      </c>
      <c r="D1561" s="7" t="n">
        <v>2023</v>
      </c>
      <c r="E1561" s="7" t="inlineStr">
        <is>
          <t>South</t>
        </is>
      </c>
      <c r="F1561" s="7" t="inlineStr">
        <is>
          <t>Technology</t>
        </is>
      </c>
      <c r="G1561" s="7" t="inlineStr">
        <is>
          <t>Keyboard</t>
        </is>
      </c>
      <c r="H1561" s="7" t="inlineStr">
        <is>
          <t>Home Office</t>
        </is>
      </c>
      <c r="I1561" s="7" t="n">
        <v>1</v>
      </c>
      <c r="J1561" s="10" t="n">
        <v>42.77</v>
      </c>
      <c r="K1561" s="11" t="n">
        <v>0.2</v>
      </c>
      <c r="L1561" s="10">
        <f>I1561*J1561*(1-K1561)</f>
        <v/>
      </c>
      <c r="M1561" s="10" t="n">
        <v>24.75</v>
      </c>
      <c r="N1561" s="10">
        <f>L1561-M1561</f>
        <v/>
      </c>
    </row>
    <row r="1562">
      <c r="A1562" s="7" t="inlineStr">
        <is>
          <t>ORD-03578</t>
        </is>
      </c>
      <c r="B1562" s="8" t="n">
        <v>45272</v>
      </c>
      <c r="C1562" s="9" t="n">
        <v>45261</v>
      </c>
      <c r="D1562" s="7" t="n">
        <v>2023</v>
      </c>
      <c r="E1562" s="7" t="inlineStr">
        <is>
          <t>South</t>
        </is>
      </c>
      <c r="F1562" s="7" t="inlineStr">
        <is>
          <t>Office Supplies</t>
        </is>
      </c>
      <c r="G1562" s="7" t="inlineStr">
        <is>
          <t>Pens</t>
        </is>
      </c>
      <c r="H1562" s="7" t="inlineStr">
        <is>
          <t>Consumer</t>
        </is>
      </c>
      <c r="I1562" s="7" t="n">
        <v>12</v>
      </c>
      <c r="J1562" s="10" t="n">
        <v>11.51</v>
      </c>
      <c r="K1562" s="11" t="n">
        <v>0</v>
      </c>
      <c r="L1562" s="10">
        <f>I1562*J1562*(1-K1562)</f>
        <v/>
      </c>
      <c r="M1562" s="10" t="n">
        <v>64.8</v>
      </c>
      <c r="N1562" s="10">
        <f>L1562-M1562</f>
        <v/>
      </c>
    </row>
    <row r="1563">
      <c r="A1563" s="7" t="inlineStr">
        <is>
          <t>ORD-01304</t>
        </is>
      </c>
      <c r="B1563" s="8" t="n">
        <v>45272</v>
      </c>
      <c r="C1563" s="9" t="n">
        <v>45261</v>
      </c>
      <c r="D1563" s="7" t="n">
        <v>2023</v>
      </c>
      <c r="E1563" s="7" t="inlineStr">
        <is>
          <t>East</t>
        </is>
      </c>
      <c r="F1563" s="7" t="inlineStr">
        <is>
          <t>Office Supplies</t>
        </is>
      </c>
      <c r="G1563" s="7" t="inlineStr">
        <is>
          <t>Printer Ink</t>
        </is>
      </c>
      <c r="H1563" s="7" t="inlineStr">
        <is>
          <t>Home Office</t>
        </is>
      </c>
      <c r="I1563" s="7" t="n">
        <v>13</v>
      </c>
      <c r="J1563" s="10" t="n">
        <v>59.31</v>
      </c>
      <c r="K1563" s="11" t="n">
        <v>0</v>
      </c>
      <c r="L1563" s="10">
        <f>I1563*J1563*(1-K1563)</f>
        <v/>
      </c>
      <c r="M1563" s="10" t="n">
        <v>468</v>
      </c>
      <c r="N1563" s="10">
        <f>L1563-M1563</f>
        <v/>
      </c>
    </row>
    <row r="1564">
      <c r="A1564" s="7" t="inlineStr">
        <is>
          <t>ORD-01734</t>
        </is>
      </c>
      <c r="B1564" s="8" t="n">
        <v>45273</v>
      </c>
      <c r="C1564" s="9" t="n">
        <v>45261</v>
      </c>
      <c r="D1564" s="7" t="n">
        <v>2023</v>
      </c>
      <c r="E1564" s="7" t="inlineStr">
        <is>
          <t>West</t>
        </is>
      </c>
      <c r="F1564" s="7" t="inlineStr">
        <is>
          <t>Office Supplies</t>
        </is>
      </c>
      <c r="G1564" s="7" t="inlineStr">
        <is>
          <t>Stapler</t>
        </is>
      </c>
      <c r="H1564" s="7" t="inlineStr">
        <is>
          <t>Corporate</t>
        </is>
      </c>
      <c r="I1564" s="7" t="n">
        <v>6</v>
      </c>
      <c r="J1564" s="10" t="n">
        <v>14.96</v>
      </c>
      <c r="K1564" s="11" t="n">
        <v>0</v>
      </c>
      <c r="L1564" s="10">
        <f>I1564*J1564*(1-K1564)</f>
        <v/>
      </c>
      <c r="M1564" s="10" t="n">
        <v>45</v>
      </c>
      <c r="N1564" s="10">
        <f>L1564-M1564</f>
        <v/>
      </c>
    </row>
    <row r="1565">
      <c r="A1565" s="7" t="inlineStr">
        <is>
          <t>ORD-02199</t>
        </is>
      </c>
      <c r="B1565" s="8" t="n">
        <v>45273</v>
      </c>
      <c r="C1565" s="9" t="n">
        <v>45261</v>
      </c>
      <c r="D1565" s="7" t="n">
        <v>2023</v>
      </c>
      <c r="E1565" s="7" t="inlineStr">
        <is>
          <t>East</t>
        </is>
      </c>
      <c r="F1565" s="7" t="inlineStr">
        <is>
          <t>Office Supplies</t>
        </is>
      </c>
      <c r="G1565" s="7" t="inlineStr">
        <is>
          <t>Paper</t>
        </is>
      </c>
      <c r="H1565" s="7" t="inlineStr">
        <is>
          <t>Home Office</t>
        </is>
      </c>
      <c r="I1565" s="7" t="n">
        <v>11</v>
      </c>
      <c r="J1565" s="10" t="n">
        <v>26.24</v>
      </c>
      <c r="K1565" s="11" t="n">
        <v>0.05</v>
      </c>
      <c r="L1565" s="10">
        <f>I1565*J1565*(1-K1565)</f>
        <v/>
      </c>
      <c r="M1565" s="10" t="n">
        <v>137.5</v>
      </c>
      <c r="N1565" s="10">
        <f>L1565-M1565</f>
        <v/>
      </c>
    </row>
    <row r="1566">
      <c r="A1566" s="7" t="inlineStr">
        <is>
          <t>ORD-01094</t>
        </is>
      </c>
      <c r="B1566" s="8" t="n">
        <v>45273</v>
      </c>
      <c r="C1566" s="9" t="n">
        <v>45261</v>
      </c>
      <c r="D1566" s="7" t="n">
        <v>2023</v>
      </c>
      <c r="E1566" s="7" t="inlineStr">
        <is>
          <t>South</t>
        </is>
      </c>
      <c r="F1566" s="7" t="inlineStr">
        <is>
          <t>Office Supplies</t>
        </is>
      </c>
      <c r="G1566" s="7" t="inlineStr">
        <is>
          <t>Binder</t>
        </is>
      </c>
      <c r="H1566" s="7" t="inlineStr">
        <is>
          <t>Corporate</t>
        </is>
      </c>
      <c r="I1566" s="7" t="n">
        <v>4</v>
      </c>
      <c r="J1566" s="10" t="n">
        <v>7.95</v>
      </c>
      <c r="K1566" s="11" t="n">
        <v>0.05</v>
      </c>
      <c r="L1566" s="10">
        <f>I1566*J1566*(1-K1566)</f>
        <v/>
      </c>
      <c r="M1566" s="10" t="n">
        <v>12.8</v>
      </c>
      <c r="N1566" s="10">
        <f>L1566-M1566</f>
        <v/>
      </c>
    </row>
    <row r="1567">
      <c r="A1567" s="7" t="inlineStr">
        <is>
          <t>ORD-02397</t>
        </is>
      </c>
      <c r="B1567" s="8" t="n">
        <v>45273</v>
      </c>
      <c r="C1567" s="9" t="n">
        <v>45261</v>
      </c>
      <c r="D1567" s="7" t="n">
        <v>2023</v>
      </c>
      <c r="E1567" s="7" t="inlineStr">
        <is>
          <t>East</t>
        </is>
      </c>
      <c r="F1567" s="7" t="inlineStr">
        <is>
          <t>Technology</t>
        </is>
      </c>
      <c r="G1567" s="7" t="inlineStr">
        <is>
          <t>Laptop</t>
        </is>
      </c>
      <c r="H1567" s="7" t="inlineStr">
        <is>
          <t>Corporate</t>
        </is>
      </c>
      <c r="I1567" s="7" t="n">
        <v>3</v>
      </c>
      <c r="J1567" s="10" t="n">
        <v>933.36</v>
      </c>
      <c r="K1567" s="11" t="n">
        <v>0.3</v>
      </c>
      <c r="L1567" s="10">
        <f>I1567*J1567*(1-K1567)</f>
        <v/>
      </c>
      <c r="M1567" s="10" t="n">
        <v>2106</v>
      </c>
      <c r="N1567" s="10">
        <f>L1567-M1567</f>
        <v/>
      </c>
    </row>
    <row r="1568">
      <c r="A1568" s="7" t="inlineStr">
        <is>
          <t>ORD-05253</t>
        </is>
      </c>
      <c r="B1568" s="8" t="n">
        <v>45273</v>
      </c>
      <c r="C1568" s="9" t="n">
        <v>45261</v>
      </c>
      <c r="D1568" s="7" t="n">
        <v>2023</v>
      </c>
      <c r="E1568" s="7" t="inlineStr">
        <is>
          <t>West</t>
        </is>
      </c>
      <c r="F1568" s="7" t="inlineStr">
        <is>
          <t>Technology</t>
        </is>
      </c>
      <c r="G1568" s="7" t="inlineStr">
        <is>
          <t>Laptop</t>
        </is>
      </c>
      <c r="H1568" s="7" t="inlineStr">
        <is>
          <t>Home Office</t>
        </is>
      </c>
      <c r="I1568" s="7" t="n">
        <v>3</v>
      </c>
      <c r="J1568" s="10" t="n">
        <v>907.99</v>
      </c>
      <c r="K1568" s="11" t="n">
        <v>0</v>
      </c>
      <c r="L1568" s="10">
        <f>I1568*J1568*(1-K1568)</f>
        <v/>
      </c>
      <c r="M1568" s="10" t="n">
        <v>2106</v>
      </c>
      <c r="N1568" s="10">
        <f>L1568-M1568</f>
        <v/>
      </c>
    </row>
    <row r="1569">
      <c r="A1569" s="7" t="inlineStr">
        <is>
          <t>ORD-04313</t>
        </is>
      </c>
      <c r="B1569" s="8" t="n">
        <v>45273</v>
      </c>
      <c r="C1569" s="9" t="n">
        <v>45261</v>
      </c>
      <c r="D1569" s="7" t="n">
        <v>2023</v>
      </c>
      <c r="E1569" s="7" t="inlineStr">
        <is>
          <t>East</t>
        </is>
      </c>
      <c r="F1569" s="7" t="inlineStr">
        <is>
          <t>Office Supplies</t>
        </is>
      </c>
      <c r="G1569" s="7" t="inlineStr">
        <is>
          <t>Binder</t>
        </is>
      </c>
      <c r="H1569" s="7" t="inlineStr">
        <is>
          <t>Home Office</t>
        </is>
      </c>
      <c r="I1569" s="7" t="n">
        <v>2</v>
      </c>
      <c r="J1569" s="10" t="n">
        <v>8.32</v>
      </c>
      <c r="K1569" s="11" t="n">
        <v>0</v>
      </c>
      <c r="L1569" s="10">
        <f>I1569*J1569*(1-K1569)</f>
        <v/>
      </c>
      <c r="M1569" s="10" t="n">
        <v>6.4</v>
      </c>
      <c r="N1569" s="10">
        <f>L1569-M1569</f>
        <v/>
      </c>
    </row>
    <row r="1570">
      <c r="A1570" s="7" t="inlineStr">
        <is>
          <t>ORD-03099</t>
        </is>
      </c>
      <c r="B1570" s="8" t="n">
        <v>45273</v>
      </c>
      <c r="C1570" s="9" t="n">
        <v>45261</v>
      </c>
      <c r="D1570" s="7" t="n">
        <v>2023</v>
      </c>
      <c r="E1570" s="7" t="inlineStr">
        <is>
          <t>East</t>
        </is>
      </c>
      <c r="F1570" s="7" t="inlineStr">
        <is>
          <t>Office Supplies</t>
        </is>
      </c>
      <c r="G1570" s="7" t="inlineStr">
        <is>
          <t>Printer Ink</t>
        </is>
      </c>
      <c r="H1570" s="7" t="inlineStr">
        <is>
          <t>Home Office</t>
        </is>
      </c>
      <c r="I1570" s="7" t="n">
        <v>5</v>
      </c>
      <c r="J1570" s="10" t="n">
        <v>59.74</v>
      </c>
      <c r="K1570" s="11" t="n">
        <v>0</v>
      </c>
      <c r="L1570" s="10">
        <f>I1570*J1570*(1-K1570)</f>
        <v/>
      </c>
      <c r="M1570" s="10" t="n">
        <v>180</v>
      </c>
      <c r="N1570" s="10">
        <f>L1570-M1570</f>
        <v/>
      </c>
    </row>
    <row r="1571">
      <c r="A1571" s="7" t="inlineStr">
        <is>
          <t>ORD-01987</t>
        </is>
      </c>
      <c r="B1571" s="8" t="n">
        <v>45273</v>
      </c>
      <c r="C1571" s="9" t="n">
        <v>45261</v>
      </c>
      <c r="D1571" s="7" t="n">
        <v>2023</v>
      </c>
      <c r="E1571" s="7" t="inlineStr">
        <is>
          <t>North</t>
        </is>
      </c>
      <c r="F1571" s="7" t="inlineStr">
        <is>
          <t>Office Supplies</t>
        </is>
      </c>
      <c r="G1571" s="7" t="inlineStr">
        <is>
          <t>Pens</t>
        </is>
      </c>
      <c r="H1571" s="7" t="inlineStr">
        <is>
          <t>Consumer</t>
        </is>
      </c>
      <c r="I1571" s="7" t="n">
        <v>14</v>
      </c>
      <c r="J1571" s="10" t="n">
        <v>12.1</v>
      </c>
      <c r="K1571" s="11" t="n">
        <v>0.1</v>
      </c>
      <c r="L1571" s="10">
        <f>I1571*J1571*(1-K1571)</f>
        <v/>
      </c>
      <c r="M1571" s="10" t="n">
        <v>75.59999999999999</v>
      </c>
      <c r="N1571" s="10">
        <f>L1571-M1571</f>
        <v/>
      </c>
    </row>
    <row r="1572">
      <c r="A1572" s="7" t="inlineStr">
        <is>
          <t>ORD-04728</t>
        </is>
      </c>
      <c r="B1572" s="8" t="n">
        <v>45274</v>
      </c>
      <c r="C1572" s="9" t="n">
        <v>45261</v>
      </c>
      <c r="D1572" s="7" t="n">
        <v>2023</v>
      </c>
      <c r="E1572" s="7" t="inlineStr">
        <is>
          <t>South</t>
        </is>
      </c>
      <c r="F1572" s="7" t="inlineStr">
        <is>
          <t>Office Supplies</t>
        </is>
      </c>
      <c r="G1572" s="7" t="inlineStr">
        <is>
          <t>Stapler</t>
        </is>
      </c>
      <c r="H1572" s="7" t="inlineStr">
        <is>
          <t>Consumer</t>
        </is>
      </c>
      <c r="I1572" s="7" t="n">
        <v>7</v>
      </c>
      <c r="J1572" s="10" t="n">
        <v>15.46</v>
      </c>
      <c r="K1572" s="11" t="n">
        <v>0.2</v>
      </c>
      <c r="L1572" s="10">
        <f>I1572*J1572*(1-K1572)</f>
        <v/>
      </c>
      <c r="M1572" s="10" t="n">
        <v>52.5</v>
      </c>
      <c r="N1572" s="10">
        <f>L1572-M1572</f>
        <v/>
      </c>
    </row>
    <row r="1573">
      <c r="A1573" s="7" t="inlineStr">
        <is>
          <t>ORD-04046</t>
        </is>
      </c>
      <c r="B1573" s="8" t="n">
        <v>45274</v>
      </c>
      <c r="C1573" s="9" t="n">
        <v>45261</v>
      </c>
      <c r="D1573" s="7" t="n">
        <v>2023</v>
      </c>
      <c r="E1573" s="7" t="inlineStr">
        <is>
          <t>East</t>
        </is>
      </c>
      <c r="F1573" s="7" t="inlineStr">
        <is>
          <t>Technology</t>
        </is>
      </c>
      <c r="G1573" s="7" t="inlineStr">
        <is>
          <t>Smartphone</t>
        </is>
      </c>
      <c r="H1573" s="7" t="inlineStr">
        <is>
          <t>Corporate</t>
        </is>
      </c>
      <c r="I1573" s="7" t="n">
        <v>1</v>
      </c>
      <c r="J1573" s="10" t="n">
        <v>593</v>
      </c>
      <c r="K1573" s="11" t="n">
        <v>0</v>
      </c>
      <c r="L1573" s="10">
        <f>I1573*J1573*(1-K1573)</f>
        <v/>
      </c>
      <c r="M1573" s="10" t="n">
        <v>450</v>
      </c>
      <c r="N1573" s="10">
        <f>L1573-M1573</f>
        <v/>
      </c>
    </row>
    <row r="1574">
      <c r="A1574" s="7" t="inlineStr">
        <is>
          <t>ORD-00902</t>
        </is>
      </c>
      <c r="B1574" s="8" t="n">
        <v>45274</v>
      </c>
      <c r="C1574" s="9" t="n">
        <v>45261</v>
      </c>
      <c r="D1574" s="7" t="n">
        <v>2023</v>
      </c>
      <c r="E1574" s="7" t="inlineStr">
        <is>
          <t>East</t>
        </is>
      </c>
      <c r="F1574" s="7" t="inlineStr">
        <is>
          <t>Technology</t>
        </is>
      </c>
      <c r="G1574" s="7" t="inlineStr">
        <is>
          <t>Keyboard</t>
        </is>
      </c>
      <c r="H1574" s="7" t="inlineStr">
        <is>
          <t>Corporate</t>
        </is>
      </c>
      <c r="I1574" s="7" t="n">
        <v>3</v>
      </c>
      <c r="J1574" s="10" t="n">
        <v>42.9</v>
      </c>
      <c r="K1574" s="11" t="n">
        <v>0.05</v>
      </c>
      <c r="L1574" s="10">
        <f>I1574*J1574*(1-K1574)</f>
        <v/>
      </c>
      <c r="M1574" s="10" t="n">
        <v>74.25</v>
      </c>
      <c r="N1574" s="10">
        <f>L1574-M1574</f>
        <v/>
      </c>
    </row>
    <row r="1575">
      <c r="A1575" s="7" t="inlineStr">
        <is>
          <t>ORD-02779</t>
        </is>
      </c>
      <c r="B1575" s="8" t="n">
        <v>45274</v>
      </c>
      <c r="C1575" s="9" t="n">
        <v>45261</v>
      </c>
      <c r="D1575" s="7" t="n">
        <v>2023</v>
      </c>
      <c r="E1575" s="7" t="inlineStr">
        <is>
          <t>North</t>
        </is>
      </c>
      <c r="F1575" s="7" t="inlineStr">
        <is>
          <t>Furniture</t>
        </is>
      </c>
      <c r="G1575" s="7" t="inlineStr">
        <is>
          <t>Desk</t>
        </is>
      </c>
      <c r="H1575" s="7" t="inlineStr">
        <is>
          <t>Home Office</t>
        </is>
      </c>
      <c r="I1575" s="7" t="n">
        <v>1</v>
      </c>
      <c r="J1575" s="10" t="n">
        <v>450.55</v>
      </c>
      <c r="K1575" s="11" t="n">
        <v>0.1</v>
      </c>
      <c r="L1575" s="10">
        <f>I1575*J1575*(1-K1575)</f>
        <v/>
      </c>
      <c r="M1575" s="10" t="n">
        <v>382.5</v>
      </c>
      <c r="N1575" s="10">
        <f>L1575-M1575</f>
        <v/>
      </c>
    </row>
    <row r="1576">
      <c r="A1576" s="7" t="inlineStr">
        <is>
          <t>ORD-02069</t>
        </is>
      </c>
      <c r="B1576" s="8" t="n">
        <v>45274</v>
      </c>
      <c r="C1576" s="9" t="n">
        <v>45261</v>
      </c>
      <c r="D1576" s="7" t="n">
        <v>2023</v>
      </c>
      <c r="E1576" s="7" t="inlineStr">
        <is>
          <t>West</t>
        </is>
      </c>
      <c r="F1576" s="7" t="inlineStr">
        <is>
          <t>Office Supplies</t>
        </is>
      </c>
      <c r="G1576" s="7" t="inlineStr">
        <is>
          <t>Paper</t>
        </is>
      </c>
      <c r="H1576" s="7" t="inlineStr">
        <is>
          <t>Corporate</t>
        </is>
      </c>
      <c r="I1576" s="7" t="n">
        <v>3</v>
      </c>
      <c r="J1576" s="10" t="n">
        <v>24.5</v>
      </c>
      <c r="K1576" s="11" t="n">
        <v>0.3</v>
      </c>
      <c r="L1576" s="10">
        <f>I1576*J1576*(1-K1576)</f>
        <v/>
      </c>
      <c r="M1576" s="10" t="n">
        <v>37.5</v>
      </c>
      <c r="N1576" s="10">
        <f>L1576-M1576</f>
        <v/>
      </c>
    </row>
    <row r="1577">
      <c r="A1577" s="7" t="inlineStr">
        <is>
          <t>ORD-01783</t>
        </is>
      </c>
      <c r="B1577" s="8" t="n">
        <v>45275</v>
      </c>
      <c r="C1577" s="9" t="n">
        <v>45261</v>
      </c>
      <c r="D1577" s="7" t="n">
        <v>2023</v>
      </c>
      <c r="E1577" s="7" t="inlineStr">
        <is>
          <t>East</t>
        </is>
      </c>
      <c r="F1577" s="7" t="inlineStr">
        <is>
          <t>Furniture</t>
        </is>
      </c>
      <c r="G1577" s="7" t="inlineStr">
        <is>
          <t>Office Chair</t>
        </is>
      </c>
      <c r="H1577" s="7" t="inlineStr">
        <is>
          <t>Corporate</t>
        </is>
      </c>
      <c r="I1577" s="7" t="n">
        <v>1</v>
      </c>
      <c r="J1577" s="10" t="n">
        <v>227.91</v>
      </c>
      <c r="K1577" s="11" t="n">
        <v>0.2</v>
      </c>
      <c r="L1577" s="10">
        <f>I1577*J1577*(1-K1577)</f>
        <v/>
      </c>
      <c r="M1577" s="10" t="n">
        <v>180.4</v>
      </c>
      <c r="N1577" s="10">
        <f>L1577-M1577</f>
        <v/>
      </c>
    </row>
    <row r="1578">
      <c r="A1578" s="7" t="inlineStr">
        <is>
          <t>ORD-01209</t>
        </is>
      </c>
      <c r="B1578" s="8" t="n">
        <v>45275</v>
      </c>
      <c r="C1578" s="9" t="n">
        <v>45261</v>
      </c>
      <c r="D1578" s="7" t="n">
        <v>2023</v>
      </c>
      <c r="E1578" s="7" t="inlineStr">
        <is>
          <t>West</t>
        </is>
      </c>
      <c r="F1578" s="7" t="inlineStr">
        <is>
          <t>Furniture</t>
        </is>
      </c>
      <c r="G1578" s="7" t="inlineStr">
        <is>
          <t>Office Chair</t>
        </is>
      </c>
      <c r="H1578" s="7" t="inlineStr">
        <is>
          <t>Corporate</t>
        </is>
      </c>
      <c r="I1578" s="7" t="n">
        <v>4</v>
      </c>
      <c r="J1578" s="10" t="n">
        <v>218.03</v>
      </c>
      <c r="K1578" s="11" t="n">
        <v>0.3</v>
      </c>
      <c r="L1578" s="10">
        <f>I1578*J1578*(1-K1578)</f>
        <v/>
      </c>
      <c r="M1578" s="10" t="n">
        <v>721.6</v>
      </c>
      <c r="N1578" s="10">
        <f>L1578-M1578</f>
        <v/>
      </c>
    </row>
    <row r="1579">
      <c r="A1579" s="7" t="inlineStr">
        <is>
          <t>ORD-05887</t>
        </is>
      </c>
      <c r="B1579" s="8" t="n">
        <v>45275</v>
      </c>
      <c r="C1579" s="9" t="n">
        <v>45261</v>
      </c>
      <c r="D1579" s="7" t="n">
        <v>2023</v>
      </c>
      <c r="E1579" s="7" t="inlineStr">
        <is>
          <t>North</t>
        </is>
      </c>
      <c r="F1579" s="7" t="inlineStr">
        <is>
          <t>Office Supplies</t>
        </is>
      </c>
      <c r="G1579" s="7" t="inlineStr">
        <is>
          <t>Binder</t>
        </is>
      </c>
      <c r="H1579" s="7" t="inlineStr">
        <is>
          <t>Home Office</t>
        </is>
      </c>
      <c r="I1579" s="7" t="n">
        <v>2</v>
      </c>
      <c r="J1579" s="10" t="n">
        <v>7.97</v>
      </c>
      <c r="K1579" s="11" t="n">
        <v>0</v>
      </c>
      <c r="L1579" s="10">
        <f>I1579*J1579*(1-K1579)</f>
        <v/>
      </c>
      <c r="M1579" s="10" t="n">
        <v>6.4</v>
      </c>
      <c r="N1579" s="10">
        <f>L1579-M1579</f>
        <v/>
      </c>
    </row>
    <row r="1580">
      <c r="A1580" s="7" t="inlineStr">
        <is>
          <t>ORD-00751</t>
        </is>
      </c>
      <c r="B1580" s="8" t="n">
        <v>45275</v>
      </c>
      <c r="C1580" s="9" t="n">
        <v>45261</v>
      </c>
      <c r="D1580" s="7" t="n">
        <v>2023</v>
      </c>
      <c r="E1580" s="7" t="inlineStr">
        <is>
          <t>West</t>
        </is>
      </c>
      <c r="F1580" s="7" t="inlineStr">
        <is>
          <t>Furniture</t>
        </is>
      </c>
      <c r="G1580" s="7" t="inlineStr">
        <is>
          <t>Desk</t>
        </is>
      </c>
      <c r="H1580" s="7" t="inlineStr">
        <is>
          <t>Home Office</t>
        </is>
      </c>
      <c r="I1580" s="7" t="n">
        <v>4</v>
      </c>
      <c r="J1580" s="10" t="n">
        <v>455.17</v>
      </c>
      <c r="K1580" s="11" t="n">
        <v>0.2</v>
      </c>
      <c r="L1580" s="10">
        <f>I1580*J1580*(1-K1580)</f>
        <v/>
      </c>
      <c r="M1580" s="10" t="n">
        <v>1530</v>
      </c>
      <c r="N1580" s="10">
        <f>L1580-M1580</f>
        <v/>
      </c>
    </row>
    <row r="1581">
      <c r="A1581" s="7" t="inlineStr">
        <is>
          <t>ORD-03757</t>
        </is>
      </c>
      <c r="B1581" s="8" t="n">
        <v>45276</v>
      </c>
      <c r="C1581" s="9" t="n">
        <v>45261</v>
      </c>
      <c r="D1581" s="7" t="n">
        <v>2023</v>
      </c>
      <c r="E1581" s="7" t="inlineStr">
        <is>
          <t>South</t>
        </is>
      </c>
      <c r="F1581" s="7" t="inlineStr">
        <is>
          <t>Office Supplies</t>
        </is>
      </c>
      <c r="G1581" s="7" t="inlineStr">
        <is>
          <t>Printer Ink</t>
        </is>
      </c>
      <c r="H1581" s="7" t="inlineStr">
        <is>
          <t>Consumer</t>
        </is>
      </c>
      <c r="I1581" s="7" t="n">
        <v>11</v>
      </c>
      <c r="J1581" s="10" t="n">
        <v>57.16</v>
      </c>
      <c r="K1581" s="11" t="n">
        <v>0</v>
      </c>
      <c r="L1581" s="10">
        <f>I1581*J1581*(1-K1581)</f>
        <v/>
      </c>
      <c r="M1581" s="10" t="n">
        <v>396</v>
      </c>
      <c r="N1581" s="10">
        <f>L1581-M1581</f>
        <v/>
      </c>
    </row>
    <row r="1582">
      <c r="A1582" s="7" t="inlineStr">
        <is>
          <t>ORD-05244</t>
        </is>
      </c>
      <c r="B1582" s="8" t="n">
        <v>45276</v>
      </c>
      <c r="C1582" s="9" t="n">
        <v>45261</v>
      </c>
      <c r="D1582" s="7" t="n">
        <v>2023</v>
      </c>
      <c r="E1582" s="7" t="inlineStr">
        <is>
          <t>South</t>
        </is>
      </c>
      <c r="F1582" s="7" t="inlineStr">
        <is>
          <t>Office Supplies</t>
        </is>
      </c>
      <c r="G1582" s="7" t="inlineStr">
        <is>
          <t>Pens</t>
        </is>
      </c>
      <c r="H1582" s="7" t="inlineStr">
        <is>
          <t>Corporate</t>
        </is>
      </c>
      <c r="I1582" s="7" t="n">
        <v>15</v>
      </c>
      <c r="J1582" s="10" t="n">
        <v>11.59</v>
      </c>
      <c r="K1582" s="11" t="n">
        <v>0</v>
      </c>
      <c r="L1582" s="10">
        <f>I1582*J1582*(1-K1582)</f>
        <v/>
      </c>
      <c r="M1582" s="10" t="n">
        <v>81</v>
      </c>
      <c r="N1582" s="10">
        <f>L1582-M1582</f>
        <v/>
      </c>
    </row>
    <row r="1583">
      <c r="A1583" s="7" t="inlineStr">
        <is>
          <t>ORD-02247</t>
        </is>
      </c>
      <c r="B1583" s="8" t="n">
        <v>45276</v>
      </c>
      <c r="C1583" s="9" t="n">
        <v>45261</v>
      </c>
      <c r="D1583" s="7" t="n">
        <v>2023</v>
      </c>
      <c r="E1583" s="7" t="inlineStr">
        <is>
          <t>West</t>
        </is>
      </c>
      <c r="F1583" s="7" t="inlineStr">
        <is>
          <t>Technology</t>
        </is>
      </c>
      <c r="G1583" s="7" t="inlineStr">
        <is>
          <t>Headphones</t>
        </is>
      </c>
      <c r="H1583" s="7" t="inlineStr">
        <is>
          <t>Corporate</t>
        </is>
      </c>
      <c r="I1583" s="7" t="n">
        <v>3</v>
      </c>
      <c r="J1583" s="10" t="n">
        <v>115.29</v>
      </c>
      <c r="K1583" s="11" t="n">
        <v>0.1</v>
      </c>
      <c r="L1583" s="10">
        <f>I1583*J1583*(1-K1583)</f>
        <v/>
      </c>
      <c r="M1583" s="10" t="n">
        <v>216</v>
      </c>
      <c r="N1583" s="10">
        <f>L1583-M1583</f>
        <v/>
      </c>
    </row>
    <row r="1584">
      <c r="A1584" s="7" t="inlineStr">
        <is>
          <t>ORD-02558</t>
        </is>
      </c>
      <c r="B1584" s="8" t="n">
        <v>45277</v>
      </c>
      <c r="C1584" s="9" t="n">
        <v>45261</v>
      </c>
      <c r="D1584" s="7" t="n">
        <v>2023</v>
      </c>
      <c r="E1584" s="7" t="inlineStr">
        <is>
          <t>South</t>
        </is>
      </c>
      <c r="F1584" s="7" t="inlineStr">
        <is>
          <t>Office Supplies</t>
        </is>
      </c>
      <c r="G1584" s="7" t="inlineStr">
        <is>
          <t>Pens</t>
        </is>
      </c>
      <c r="H1584" s="7" t="inlineStr">
        <is>
          <t>Home Office</t>
        </is>
      </c>
      <c r="I1584" s="7" t="n">
        <v>14</v>
      </c>
      <c r="J1584" s="10" t="n">
        <v>12.52</v>
      </c>
      <c r="K1584" s="11" t="n">
        <v>0.05</v>
      </c>
      <c r="L1584" s="10">
        <f>I1584*J1584*(1-K1584)</f>
        <v/>
      </c>
      <c r="M1584" s="10" t="n">
        <v>75.59999999999999</v>
      </c>
      <c r="N1584" s="10">
        <f>L1584-M1584</f>
        <v/>
      </c>
    </row>
    <row r="1585">
      <c r="A1585" s="7" t="inlineStr">
        <is>
          <t>ORD-04246</t>
        </is>
      </c>
      <c r="B1585" s="8" t="n">
        <v>45277</v>
      </c>
      <c r="C1585" s="9" t="n">
        <v>45261</v>
      </c>
      <c r="D1585" s="7" t="n">
        <v>2023</v>
      </c>
      <c r="E1585" s="7" t="inlineStr">
        <is>
          <t>South</t>
        </is>
      </c>
      <c r="F1585" s="7" t="inlineStr">
        <is>
          <t>Technology</t>
        </is>
      </c>
      <c r="G1585" s="7" t="inlineStr">
        <is>
          <t>Keyboard</t>
        </is>
      </c>
      <c r="H1585" s="7" t="inlineStr">
        <is>
          <t>Consumer</t>
        </is>
      </c>
      <c r="I1585" s="7" t="n">
        <v>3</v>
      </c>
      <c r="J1585" s="10" t="n">
        <v>45.48</v>
      </c>
      <c r="K1585" s="11" t="n">
        <v>0.3</v>
      </c>
      <c r="L1585" s="10">
        <f>I1585*J1585*(1-K1585)</f>
        <v/>
      </c>
      <c r="M1585" s="10" t="n">
        <v>74.25</v>
      </c>
      <c r="N1585" s="10">
        <f>L1585-M1585</f>
        <v/>
      </c>
    </row>
    <row r="1586">
      <c r="A1586" s="7" t="inlineStr">
        <is>
          <t>ORD-00190</t>
        </is>
      </c>
      <c r="B1586" s="8" t="n">
        <v>45277</v>
      </c>
      <c r="C1586" s="9" t="n">
        <v>45261</v>
      </c>
      <c r="D1586" s="7" t="n">
        <v>2023</v>
      </c>
      <c r="E1586" s="7" t="inlineStr">
        <is>
          <t>South</t>
        </is>
      </c>
      <c r="F1586" s="7" t="inlineStr">
        <is>
          <t>Office Supplies</t>
        </is>
      </c>
      <c r="G1586" s="7" t="inlineStr">
        <is>
          <t>Pens</t>
        </is>
      </c>
      <c r="H1586" s="7" t="inlineStr">
        <is>
          <t>Consumer</t>
        </is>
      </c>
      <c r="I1586" s="7" t="n">
        <v>6</v>
      </c>
      <c r="J1586" s="10" t="n">
        <v>11.7</v>
      </c>
      <c r="K1586" s="11" t="n">
        <v>0.05</v>
      </c>
      <c r="L1586" s="10">
        <f>I1586*J1586*(1-K1586)</f>
        <v/>
      </c>
      <c r="M1586" s="10" t="n">
        <v>32.4</v>
      </c>
      <c r="N1586" s="10">
        <f>L1586-M1586</f>
        <v/>
      </c>
    </row>
    <row r="1587">
      <c r="A1587" s="7" t="inlineStr">
        <is>
          <t>ORD-05637</t>
        </is>
      </c>
      <c r="B1587" s="8" t="n">
        <v>45277</v>
      </c>
      <c r="C1587" s="9" t="n">
        <v>45261</v>
      </c>
      <c r="D1587" s="7" t="n">
        <v>2023</v>
      </c>
      <c r="E1587" s="7" t="inlineStr">
        <is>
          <t>South</t>
        </is>
      </c>
      <c r="F1587" s="7" t="inlineStr">
        <is>
          <t>Technology</t>
        </is>
      </c>
      <c r="G1587" s="7" t="inlineStr">
        <is>
          <t>Keyboard</t>
        </is>
      </c>
      <c r="H1587" s="7" t="inlineStr">
        <is>
          <t>Consumer</t>
        </is>
      </c>
      <c r="I1587" s="7" t="n">
        <v>3</v>
      </c>
      <c r="J1587" s="10" t="n">
        <v>46.02</v>
      </c>
      <c r="K1587" s="11" t="n">
        <v>0.3</v>
      </c>
      <c r="L1587" s="10">
        <f>I1587*J1587*(1-K1587)</f>
        <v/>
      </c>
      <c r="M1587" s="10" t="n">
        <v>74.25</v>
      </c>
      <c r="N1587" s="10">
        <f>L1587-M1587</f>
        <v/>
      </c>
    </row>
    <row r="1588">
      <c r="A1588" s="7" t="inlineStr">
        <is>
          <t>ORD-02367</t>
        </is>
      </c>
      <c r="B1588" s="8" t="n">
        <v>45277</v>
      </c>
      <c r="C1588" s="9" t="n">
        <v>45261</v>
      </c>
      <c r="D1588" s="7" t="n">
        <v>2023</v>
      </c>
      <c r="E1588" s="7" t="inlineStr">
        <is>
          <t>West</t>
        </is>
      </c>
      <c r="F1588" s="7" t="inlineStr">
        <is>
          <t>Technology</t>
        </is>
      </c>
      <c r="G1588" s="7" t="inlineStr">
        <is>
          <t>Monitor</t>
        </is>
      </c>
      <c r="H1588" s="7" t="inlineStr">
        <is>
          <t>Home Office</t>
        </is>
      </c>
      <c r="I1588" s="7" t="n">
        <v>3</v>
      </c>
      <c r="J1588" s="10" t="n">
        <v>247.87</v>
      </c>
      <c r="K1588" s="11" t="n">
        <v>0.05</v>
      </c>
      <c r="L1588" s="10">
        <f>I1588*J1588*(1-K1588)</f>
        <v/>
      </c>
      <c r="M1588" s="10" t="n">
        <v>540</v>
      </c>
      <c r="N1588" s="10">
        <f>L1588-M1588</f>
        <v/>
      </c>
    </row>
    <row r="1589">
      <c r="A1589" s="7" t="inlineStr">
        <is>
          <t>ORD-05299</t>
        </is>
      </c>
      <c r="B1589" s="8" t="n">
        <v>45277</v>
      </c>
      <c r="C1589" s="9" t="n">
        <v>45261</v>
      </c>
      <c r="D1589" s="7" t="n">
        <v>2023</v>
      </c>
      <c r="E1589" s="7" t="inlineStr">
        <is>
          <t>South</t>
        </is>
      </c>
      <c r="F1589" s="7" t="inlineStr">
        <is>
          <t>Office Supplies</t>
        </is>
      </c>
      <c r="G1589" s="7" t="inlineStr">
        <is>
          <t>Paper</t>
        </is>
      </c>
      <c r="H1589" s="7" t="inlineStr">
        <is>
          <t>Consumer</t>
        </is>
      </c>
      <c r="I1589" s="7" t="n">
        <v>7</v>
      </c>
      <c r="J1589" s="10" t="n">
        <v>25.7</v>
      </c>
      <c r="K1589" s="11" t="n">
        <v>0.1</v>
      </c>
      <c r="L1589" s="10">
        <f>I1589*J1589*(1-K1589)</f>
        <v/>
      </c>
      <c r="M1589" s="10" t="n">
        <v>87.5</v>
      </c>
      <c r="N1589" s="10">
        <f>L1589-M1589</f>
        <v/>
      </c>
    </row>
    <row r="1590">
      <c r="A1590" s="7" t="inlineStr">
        <is>
          <t>ORD-02325</t>
        </is>
      </c>
      <c r="B1590" s="8" t="n">
        <v>45277</v>
      </c>
      <c r="C1590" s="9" t="n">
        <v>45261</v>
      </c>
      <c r="D1590" s="7" t="n">
        <v>2023</v>
      </c>
      <c r="E1590" s="7" t="inlineStr">
        <is>
          <t>North</t>
        </is>
      </c>
      <c r="F1590" s="7" t="inlineStr">
        <is>
          <t>Office Supplies</t>
        </is>
      </c>
      <c r="G1590" s="7" t="inlineStr">
        <is>
          <t>Printer Ink</t>
        </is>
      </c>
      <c r="H1590" s="7" t="inlineStr">
        <is>
          <t>Consumer</t>
        </is>
      </c>
      <c r="I1590" s="7" t="n">
        <v>6</v>
      </c>
      <c r="J1590" s="10" t="n">
        <v>57.74</v>
      </c>
      <c r="K1590" s="11" t="n">
        <v>0.3</v>
      </c>
      <c r="L1590" s="10">
        <f>I1590*J1590*(1-K1590)</f>
        <v/>
      </c>
      <c r="M1590" s="10" t="n">
        <v>216</v>
      </c>
      <c r="N1590" s="10">
        <f>L1590-M1590</f>
        <v/>
      </c>
    </row>
    <row r="1591">
      <c r="A1591" s="7" t="inlineStr">
        <is>
          <t>ORD-01860</t>
        </is>
      </c>
      <c r="B1591" s="8" t="n">
        <v>45277</v>
      </c>
      <c r="C1591" s="9" t="n">
        <v>45261</v>
      </c>
      <c r="D1591" s="7" t="n">
        <v>2023</v>
      </c>
      <c r="E1591" s="7" t="inlineStr">
        <is>
          <t>South</t>
        </is>
      </c>
      <c r="F1591" s="7" t="inlineStr">
        <is>
          <t>Technology</t>
        </is>
      </c>
      <c r="G1591" s="7" t="inlineStr">
        <is>
          <t>Keyboard</t>
        </is>
      </c>
      <c r="H1591" s="7" t="inlineStr">
        <is>
          <t>Home Office</t>
        </is>
      </c>
      <c r="I1591" s="7" t="n">
        <v>1</v>
      </c>
      <c r="J1591" s="10" t="n">
        <v>42.92</v>
      </c>
      <c r="K1591" s="11" t="n">
        <v>0.1</v>
      </c>
      <c r="L1591" s="10">
        <f>I1591*J1591*(1-K1591)</f>
        <v/>
      </c>
      <c r="M1591" s="10" t="n">
        <v>24.75</v>
      </c>
      <c r="N1591" s="10">
        <f>L1591-M1591</f>
        <v/>
      </c>
    </row>
    <row r="1592">
      <c r="A1592" s="7" t="inlineStr">
        <is>
          <t>ORD-02189</t>
        </is>
      </c>
      <c r="B1592" s="8" t="n">
        <v>45278</v>
      </c>
      <c r="C1592" s="9" t="n">
        <v>45261</v>
      </c>
      <c r="D1592" s="7" t="n">
        <v>2023</v>
      </c>
      <c r="E1592" s="7" t="inlineStr">
        <is>
          <t>South</t>
        </is>
      </c>
      <c r="F1592" s="7" t="inlineStr">
        <is>
          <t>Office Supplies</t>
        </is>
      </c>
      <c r="G1592" s="7" t="inlineStr">
        <is>
          <t>Binder</t>
        </is>
      </c>
      <c r="H1592" s="7" t="inlineStr">
        <is>
          <t>Corporate</t>
        </is>
      </c>
      <c r="I1592" s="7" t="n">
        <v>12</v>
      </c>
      <c r="J1592" s="10" t="n">
        <v>7.86</v>
      </c>
      <c r="K1592" s="11" t="n">
        <v>0</v>
      </c>
      <c r="L1592" s="10">
        <f>I1592*J1592*(1-K1592)</f>
        <v/>
      </c>
      <c r="M1592" s="10" t="n">
        <v>38.4</v>
      </c>
      <c r="N1592" s="10">
        <f>L1592-M1592</f>
        <v/>
      </c>
    </row>
    <row r="1593">
      <c r="A1593" s="7" t="inlineStr">
        <is>
          <t>ORD-03936</t>
        </is>
      </c>
      <c r="B1593" s="8" t="n">
        <v>45278</v>
      </c>
      <c r="C1593" s="9" t="n">
        <v>45261</v>
      </c>
      <c r="D1593" s="7" t="n">
        <v>2023</v>
      </c>
      <c r="E1593" s="7" t="inlineStr">
        <is>
          <t>West</t>
        </is>
      </c>
      <c r="F1593" s="7" t="inlineStr">
        <is>
          <t>Office Supplies</t>
        </is>
      </c>
      <c r="G1593" s="7" t="inlineStr">
        <is>
          <t>Pens</t>
        </is>
      </c>
      <c r="H1593" s="7" t="inlineStr">
        <is>
          <t>Consumer</t>
        </is>
      </c>
      <c r="I1593" s="7" t="n">
        <v>8</v>
      </c>
      <c r="J1593" s="10" t="n">
        <v>11.83</v>
      </c>
      <c r="K1593" s="11" t="n">
        <v>0.05</v>
      </c>
      <c r="L1593" s="10">
        <f>I1593*J1593*(1-K1593)</f>
        <v/>
      </c>
      <c r="M1593" s="10" t="n">
        <v>43.2</v>
      </c>
      <c r="N1593" s="10">
        <f>L1593-M1593</f>
        <v/>
      </c>
    </row>
    <row r="1594">
      <c r="A1594" s="7" t="inlineStr">
        <is>
          <t>ORD-04011</t>
        </is>
      </c>
      <c r="B1594" s="8" t="n">
        <v>45278</v>
      </c>
      <c r="C1594" s="9" t="n">
        <v>45261</v>
      </c>
      <c r="D1594" s="7" t="n">
        <v>2023</v>
      </c>
      <c r="E1594" s="7" t="inlineStr">
        <is>
          <t>South</t>
        </is>
      </c>
      <c r="F1594" s="7" t="inlineStr">
        <is>
          <t>Office Supplies</t>
        </is>
      </c>
      <c r="G1594" s="7" t="inlineStr">
        <is>
          <t>Paper</t>
        </is>
      </c>
      <c r="H1594" s="7" t="inlineStr">
        <is>
          <t>Consumer</t>
        </is>
      </c>
      <c r="I1594" s="7" t="n">
        <v>8</v>
      </c>
      <c r="J1594" s="10" t="n">
        <v>23.99</v>
      </c>
      <c r="K1594" s="11" t="n">
        <v>0.3</v>
      </c>
      <c r="L1594" s="10">
        <f>I1594*J1594*(1-K1594)</f>
        <v/>
      </c>
      <c r="M1594" s="10" t="n">
        <v>100</v>
      </c>
      <c r="N1594" s="10">
        <f>L1594-M1594</f>
        <v/>
      </c>
    </row>
    <row r="1595">
      <c r="A1595" s="7" t="inlineStr">
        <is>
          <t>ORD-03441</t>
        </is>
      </c>
      <c r="B1595" s="8" t="n">
        <v>45278</v>
      </c>
      <c r="C1595" s="9" t="n">
        <v>45261</v>
      </c>
      <c r="D1595" s="7" t="n">
        <v>2023</v>
      </c>
      <c r="E1595" s="7" t="inlineStr">
        <is>
          <t>East</t>
        </is>
      </c>
      <c r="F1595" s="7" t="inlineStr">
        <is>
          <t>Technology</t>
        </is>
      </c>
      <c r="G1595" s="7" t="inlineStr">
        <is>
          <t>Laptop</t>
        </is>
      </c>
      <c r="H1595" s="7" t="inlineStr">
        <is>
          <t>Consumer</t>
        </is>
      </c>
      <c r="I1595" s="7" t="n">
        <v>2</v>
      </c>
      <c r="J1595" s="10" t="n">
        <v>911.42</v>
      </c>
      <c r="K1595" s="11" t="n">
        <v>0.05</v>
      </c>
      <c r="L1595" s="10">
        <f>I1595*J1595*(1-K1595)</f>
        <v/>
      </c>
      <c r="M1595" s="10" t="n">
        <v>1404</v>
      </c>
      <c r="N1595" s="10">
        <f>L1595-M1595</f>
        <v/>
      </c>
    </row>
    <row r="1596">
      <c r="A1596" s="7" t="inlineStr">
        <is>
          <t>ORD-02117</t>
        </is>
      </c>
      <c r="B1596" s="8" t="n">
        <v>45278</v>
      </c>
      <c r="C1596" s="9" t="n">
        <v>45261</v>
      </c>
      <c r="D1596" s="7" t="n">
        <v>2023</v>
      </c>
      <c r="E1596" s="7" t="inlineStr">
        <is>
          <t>East</t>
        </is>
      </c>
      <c r="F1596" s="7" t="inlineStr">
        <is>
          <t>Furniture</t>
        </is>
      </c>
      <c r="G1596" s="7" t="inlineStr">
        <is>
          <t>Bookcase</t>
        </is>
      </c>
      <c r="H1596" s="7" t="inlineStr">
        <is>
          <t>Home Office</t>
        </is>
      </c>
      <c r="I1596" s="7" t="n">
        <v>2</v>
      </c>
      <c r="J1596" s="10" t="n">
        <v>172.41</v>
      </c>
      <c r="K1596" s="11" t="n">
        <v>0.2</v>
      </c>
      <c r="L1596" s="10">
        <f>I1596*J1596*(1-K1596)</f>
        <v/>
      </c>
      <c r="M1596" s="10" t="n">
        <v>288</v>
      </c>
      <c r="N1596" s="10">
        <f>L1596-M1596</f>
        <v/>
      </c>
    </row>
    <row r="1597">
      <c r="A1597" s="7" t="inlineStr">
        <is>
          <t>ORD-05915</t>
        </is>
      </c>
      <c r="B1597" s="8" t="n">
        <v>45278</v>
      </c>
      <c r="C1597" s="9" t="n">
        <v>45261</v>
      </c>
      <c r="D1597" s="7" t="n">
        <v>2023</v>
      </c>
      <c r="E1597" s="7" t="inlineStr">
        <is>
          <t>North</t>
        </is>
      </c>
      <c r="F1597" s="7" t="inlineStr">
        <is>
          <t>Technology</t>
        </is>
      </c>
      <c r="G1597" s="7" t="inlineStr">
        <is>
          <t>Keyboard</t>
        </is>
      </c>
      <c r="H1597" s="7" t="inlineStr">
        <is>
          <t>Consumer</t>
        </is>
      </c>
      <c r="I1597" s="7" t="n">
        <v>1</v>
      </c>
      <c r="J1597" s="10" t="n">
        <v>45.51</v>
      </c>
      <c r="K1597" s="11" t="n">
        <v>0.1</v>
      </c>
      <c r="L1597" s="10">
        <f>I1597*J1597*(1-K1597)</f>
        <v/>
      </c>
      <c r="M1597" s="10" t="n">
        <v>24.75</v>
      </c>
      <c r="N1597" s="10">
        <f>L1597-M1597</f>
        <v/>
      </c>
    </row>
    <row r="1598">
      <c r="A1598" s="7" t="inlineStr">
        <is>
          <t>ORD-05946</t>
        </is>
      </c>
      <c r="B1598" s="8" t="n">
        <v>45278</v>
      </c>
      <c r="C1598" s="9" t="n">
        <v>45261</v>
      </c>
      <c r="D1598" s="7" t="n">
        <v>2023</v>
      </c>
      <c r="E1598" s="7" t="inlineStr">
        <is>
          <t>South</t>
        </is>
      </c>
      <c r="F1598" s="7" t="inlineStr">
        <is>
          <t>Technology</t>
        </is>
      </c>
      <c r="G1598" s="7" t="inlineStr">
        <is>
          <t>Smartphone</t>
        </is>
      </c>
      <c r="H1598" s="7" t="inlineStr">
        <is>
          <t>Home Office</t>
        </is>
      </c>
      <c r="I1598" s="7" t="n">
        <v>3</v>
      </c>
      <c r="J1598" s="10" t="n">
        <v>602.22</v>
      </c>
      <c r="K1598" s="11" t="n">
        <v>0</v>
      </c>
      <c r="L1598" s="10">
        <f>I1598*J1598*(1-K1598)</f>
        <v/>
      </c>
      <c r="M1598" s="10" t="n">
        <v>1350</v>
      </c>
      <c r="N1598" s="10">
        <f>L1598-M1598</f>
        <v/>
      </c>
    </row>
    <row r="1599">
      <c r="A1599" s="7" t="inlineStr">
        <is>
          <t>ORD-02086</t>
        </is>
      </c>
      <c r="B1599" s="8" t="n">
        <v>45278</v>
      </c>
      <c r="C1599" s="9" t="n">
        <v>45261</v>
      </c>
      <c r="D1599" s="7" t="n">
        <v>2023</v>
      </c>
      <c r="E1599" s="7" t="inlineStr">
        <is>
          <t>South</t>
        </is>
      </c>
      <c r="F1599" s="7" t="inlineStr">
        <is>
          <t>Office Supplies</t>
        </is>
      </c>
      <c r="G1599" s="7" t="inlineStr">
        <is>
          <t>Paper</t>
        </is>
      </c>
      <c r="H1599" s="7" t="inlineStr">
        <is>
          <t>Consumer</t>
        </is>
      </c>
      <c r="I1599" s="7" t="n">
        <v>11</v>
      </c>
      <c r="J1599" s="10" t="n">
        <v>25.6</v>
      </c>
      <c r="K1599" s="11" t="n">
        <v>0.2</v>
      </c>
      <c r="L1599" s="10">
        <f>I1599*J1599*(1-K1599)</f>
        <v/>
      </c>
      <c r="M1599" s="10" t="n">
        <v>137.5</v>
      </c>
      <c r="N1599" s="10">
        <f>L1599-M1599</f>
        <v/>
      </c>
    </row>
    <row r="1600">
      <c r="A1600" s="7" t="inlineStr">
        <is>
          <t>ORD-00941</t>
        </is>
      </c>
      <c r="B1600" s="8" t="n">
        <v>45278</v>
      </c>
      <c r="C1600" s="9" t="n">
        <v>45261</v>
      </c>
      <c r="D1600" s="7" t="n">
        <v>2023</v>
      </c>
      <c r="E1600" s="7" t="inlineStr">
        <is>
          <t>South</t>
        </is>
      </c>
      <c r="F1600" s="7" t="inlineStr">
        <is>
          <t>Furniture</t>
        </is>
      </c>
      <c r="G1600" s="7" t="inlineStr">
        <is>
          <t>Bookcase</t>
        </is>
      </c>
      <c r="H1600" s="7" t="inlineStr">
        <is>
          <t>Corporate</t>
        </is>
      </c>
      <c r="I1600" s="7" t="n">
        <v>1</v>
      </c>
      <c r="J1600" s="10" t="n">
        <v>176.87</v>
      </c>
      <c r="K1600" s="11" t="n">
        <v>0.3</v>
      </c>
      <c r="L1600" s="10">
        <f>I1600*J1600*(1-K1600)</f>
        <v/>
      </c>
      <c r="M1600" s="10" t="n">
        <v>144</v>
      </c>
      <c r="N1600" s="10">
        <f>L1600-M1600</f>
        <v/>
      </c>
    </row>
    <row r="1601">
      <c r="A1601" s="7" t="inlineStr">
        <is>
          <t>ORD-04630</t>
        </is>
      </c>
      <c r="B1601" s="8" t="n">
        <v>45279</v>
      </c>
      <c r="C1601" s="9" t="n">
        <v>45261</v>
      </c>
      <c r="D1601" s="7" t="n">
        <v>2023</v>
      </c>
      <c r="E1601" s="7" t="inlineStr">
        <is>
          <t>South</t>
        </is>
      </c>
      <c r="F1601" s="7" t="inlineStr">
        <is>
          <t>Technology</t>
        </is>
      </c>
      <c r="G1601" s="7" t="inlineStr">
        <is>
          <t>Headphones</t>
        </is>
      </c>
      <c r="H1601" s="7" t="inlineStr">
        <is>
          <t>Consumer</t>
        </is>
      </c>
      <c r="I1601" s="7" t="n">
        <v>2</v>
      </c>
      <c r="J1601" s="10" t="n">
        <v>115.35</v>
      </c>
      <c r="K1601" s="11" t="n">
        <v>0.3</v>
      </c>
      <c r="L1601" s="10">
        <f>I1601*J1601*(1-K1601)</f>
        <v/>
      </c>
      <c r="M1601" s="10" t="n">
        <v>144</v>
      </c>
      <c r="N1601" s="10">
        <f>L1601-M1601</f>
        <v/>
      </c>
    </row>
    <row r="1602">
      <c r="A1602" s="7" t="inlineStr">
        <is>
          <t>ORD-02162</t>
        </is>
      </c>
      <c r="B1602" s="8" t="n">
        <v>45279</v>
      </c>
      <c r="C1602" s="9" t="n">
        <v>45261</v>
      </c>
      <c r="D1602" s="7" t="n">
        <v>2023</v>
      </c>
      <c r="E1602" s="7" t="inlineStr">
        <is>
          <t>East</t>
        </is>
      </c>
      <c r="F1602" s="7" t="inlineStr">
        <is>
          <t>Technology</t>
        </is>
      </c>
      <c r="G1602" s="7" t="inlineStr">
        <is>
          <t>Laptop</t>
        </is>
      </c>
      <c r="H1602" s="7" t="inlineStr">
        <is>
          <t>Corporate</t>
        </is>
      </c>
      <c r="I1602" s="7" t="n">
        <v>1</v>
      </c>
      <c r="J1602" s="10" t="n">
        <v>932.66</v>
      </c>
      <c r="K1602" s="11" t="n">
        <v>0.2</v>
      </c>
      <c r="L1602" s="10">
        <f>I1602*J1602*(1-K1602)</f>
        <v/>
      </c>
      <c r="M1602" s="10" t="n">
        <v>702</v>
      </c>
      <c r="N1602" s="10">
        <f>L1602-M1602</f>
        <v/>
      </c>
    </row>
    <row r="1603">
      <c r="A1603" s="7" t="inlineStr">
        <is>
          <t>ORD-01246</t>
        </is>
      </c>
      <c r="B1603" s="8" t="n">
        <v>45279</v>
      </c>
      <c r="C1603" s="9" t="n">
        <v>45261</v>
      </c>
      <c r="D1603" s="7" t="n">
        <v>2023</v>
      </c>
      <c r="E1603" s="7" t="inlineStr">
        <is>
          <t>North</t>
        </is>
      </c>
      <c r="F1603" s="7" t="inlineStr">
        <is>
          <t>Technology</t>
        </is>
      </c>
      <c r="G1603" s="7" t="inlineStr">
        <is>
          <t>Monitor</t>
        </is>
      </c>
      <c r="H1603" s="7" t="inlineStr">
        <is>
          <t>Home Office</t>
        </is>
      </c>
      <c r="I1603" s="7" t="n">
        <v>1</v>
      </c>
      <c r="J1603" s="10" t="n">
        <v>239.93</v>
      </c>
      <c r="K1603" s="11" t="n">
        <v>0.1</v>
      </c>
      <c r="L1603" s="10">
        <f>I1603*J1603*(1-K1603)</f>
        <v/>
      </c>
      <c r="M1603" s="10" t="n">
        <v>180</v>
      </c>
      <c r="N1603" s="10">
        <f>L1603-M1603</f>
        <v/>
      </c>
    </row>
    <row r="1604">
      <c r="A1604" s="7" t="inlineStr">
        <is>
          <t>ORD-04048</t>
        </is>
      </c>
      <c r="B1604" s="8" t="n">
        <v>45279</v>
      </c>
      <c r="C1604" s="9" t="n">
        <v>45261</v>
      </c>
      <c r="D1604" s="7" t="n">
        <v>2023</v>
      </c>
      <c r="E1604" s="7" t="inlineStr">
        <is>
          <t>East</t>
        </is>
      </c>
      <c r="F1604" s="7" t="inlineStr">
        <is>
          <t>Technology</t>
        </is>
      </c>
      <c r="G1604" s="7" t="inlineStr">
        <is>
          <t>Keyboard</t>
        </is>
      </c>
      <c r="H1604" s="7" t="inlineStr">
        <is>
          <t>Consumer</t>
        </is>
      </c>
      <c r="I1604" s="7" t="n">
        <v>2</v>
      </c>
      <c r="J1604" s="10" t="n">
        <v>43.64</v>
      </c>
      <c r="K1604" s="11" t="n">
        <v>0.05</v>
      </c>
      <c r="L1604" s="10">
        <f>I1604*J1604*(1-K1604)</f>
        <v/>
      </c>
      <c r="M1604" s="10" t="n">
        <v>49.5</v>
      </c>
      <c r="N1604" s="10">
        <f>L1604-M1604</f>
        <v/>
      </c>
    </row>
    <row r="1605">
      <c r="A1605" s="7" t="inlineStr">
        <is>
          <t>ORD-01600</t>
        </is>
      </c>
      <c r="B1605" s="8" t="n">
        <v>45279</v>
      </c>
      <c r="C1605" s="9" t="n">
        <v>45261</v>
      </c>
      <c r="D1605" s="7" t="n">
        <v>2023</v>
      </c>
      <c r="E1605" s="7" t="inlineStr">
        <is>
          <t>East</t>
        </is>
      </c>
      <c r="F1605" s="7" t="inlineStr">
        <is>
          <t>Office Supplies</t>
        </is>
      </c>
      <c r="G1605" s="7" t="inlineStr">
        <is>
          <t>Paper</t>
        </is>
      </c>
      <c r="H1605" s="7" t="inlineStr">
        <is>
          <t>Corporate</t>
        </is>
      </c>
      <c r="I1605" s="7" t="n">
        <v>3</v>
      </c>
      <c r="J1605" s="10" t="n">
        <v>24.31</v>
      </c>
      <c r="K1605" s="11" t="n">
        <v>0</v>
      </c>
      <c r="L1605" s="10">
        <f>I1605*J1605*(1-K1605)</f>
        <v/>
      </c>
      <c r="M1605" s="10" t="n">
        <v>37.5</v>
      </c>
      <c r="N1605" s="10">
        <f>L1605-M1605</f>
        <v/>
      </c>
    </row>
    <row r="1606">
      <c r="A1606" s="7" t="inlineStr">
        <is>
          <t>ORD-01608</t>
        </is>
      </c>
      <c r="B1606" s="8" t="n">
        <v>45279</v>
      </c>
      <c r="C1606" s="9" t="n">
        <v>45261</v>
      </c>
      <c r="D1606" s="7" t="n">
        <v>2023</v>
      </c>
      <c r="E1606" s="7" t="inlineStr">
        <is>
          <t>West</t>
        </is>
      </c>
      <c r="F1606" s="7" t="inlineStr">
        <is>
          <t>Office Supplies</t>
        </is>
      </c>
      <c r="G1606" s="7" t="inlineStr">
        <is>
          <t>Printer Ink</t>
        </is>
      </c>
      <c r="H1606" s="7" t="inlineStr">
        <is>
          <t>Home Office</t>
        </is>
      </c>
      <c r="I1606" s="7" t="n">
        <v>7</v>
      </c>
      <c r="J1606" s="10" t="n">
        <v>58.18</v>
      </c>
      <c r="K1606" s="11" t="n">
        <v>0.1</v>
      </c>
      <c r="L1606" s="10">
        <f>I1606*J1606*(1-K1606)</f>
        <v/>
      </c>
      <c r="M1606" s="10" t="n">
        <v>252</v>
      </c>
      <c r="N1606" s="10">
        <f>L1606-M1606</f>
        <v/>
      </c>
    </row>
    <row r="1607">
      <c r="A1607" s="7" t="inlineStr">
        <is>
          <t>ORD-02062</t>
        </is>
      </c>
      <c r="B1607" s="8" t="n">
        <v>45280</v>
      </c>
      <c r="C1607" s="9" t="n">
        <v>45261</v>
      </c>
      <c r="D1607" s="7" t="n">
        <v>2023</v>
      </c>
      <c r="E1607" s="7" t="inlineStr">
        <is>
          <t>West</t>
        </is>
      </c>
      <c r="F1607" s="7" t="inlineStr">
        <is>
          <t>Technology</t>
        </is>
      </c>
      <c r="G1607" s="7" t="inlineStr">
        <is>
          <t>Laptop</t>
        </is>
      </c>
      <c r="H1607" s="7" t="inlineStr">
        <is>
          <t>Consumer</t>
        </is>
      </c>
      <c r="I1607" s="7" t="n">
        <v>3</v>
      </c>
      <c r="J1607" s="10" t="n">
        <v>883.59</v>
      </c>
      <c r="K1607" s="11" t="n">
        <v>0</v>
      </c>
      <c r="L1607" s="10">
        <f>I1607*J1607*(1-K1607)</f>
        <v/>
      </c>
      <c r="M1607" s="10" t="n">
        <v>2106</v>
      </c>
      <c r="N1607" s="10">
        <f>L1607-M1607</f>
        <v/>
      </c>
    </row>
    <row r="1608">
      <c r="A1608" s="7" t="inlineStr">
        <is>
          <t>ORD-00103</t>
        </is>
      </c>
      <c r="B1608" s="8" t="n">
        <v>45280</v>
      </c>
      <c r="C1608" s="9" t="n">
        <v>45261</v>
      </c>
      <c r="D1608" s="7" t="n">
        <v>2023</v>
      </c>
      <c r="E1608" s="7" t="inlineStr">
        <is>
          <t>North</t>
        </is>
      </c>
      <c r="F1608" s="7" t="inlineStr">
        <is>
          <t>Technology</t>
        </is>
      </c>
      <c r="G1608" s="7" t="inlineStr">
        <is>
          <t>Headphones</t>
        </is>
      </c>
      <c r="H1608" s="7" t="inlineStr">
        <is>
          <t>Consumer</t>
        </is>
      </c>
      <c r="I1608" s="7" t="n">
        <v>2</v>
      </c>
      <c r="J1608" s="10" t="n">
        <v>116.3</v>
      </c>
      <c r="K1608" s="11" t="n">
        <v>0.2</v>
      </c>
      <c r="L1608" s="10">
        <f>I1608*J1608*(1-K1608)</f>
        <v/>
      </c>
      <c r="M1608" s="10" t="n">
        <v>144</v>
      </c>
      <c r="N1608" s="10">
        <f>L1608-M1608</f>
        <v/>
      </c>
    </row>
    <row r="1609">
      <c r="A1609" s="7" t="inlineStr">
        <is>
          <t>ORD-00309</t>
        </is>
      </c>
      <c r="B1609" s="8" t="n">
        <v>45280</v>
      </c>
      <c r="C1609" s="9" t="n">
        <v>45261</v>
      </c>
      <c r="D1609" s="7" t="n">
        <v>2023</v>
      </c>
      <c r="E1609" s="7" t="inlineStr">
        <is>
          <t>East</t>
        </is>
      </c>
      <c r="F1609" s="7" t="inlineStr">
        <is>
          <t>Furniture</t>
        </is>
      </c>
      <c r="G1609" s="7" t="inlineStr">
        <is>
          <t>Sofa</t>
        </is>
      </c>
      <c r="H1609" s="7" t="inlineStr">
        <is>
          <t>Corporate</t>
        </is>
      </c>
      <c r="I1609" s="7" t="n">
        <v>3</v>
      </c>
      <c r="J1609" s="10" t="n">
        <v>734.13</v>
      </c>
      <c r="K1609" s="11" t="n">
        <v>0</v>
      </c>
      <c r="L1609" s="10">
        <f>I1609*J1609*(1-K1609)</f>
        <v/>
      </c>
      <c r="M1609" s="10" t="n">
        <v>1848</v>
      </c>
      <c r="N1609" s="10">
        <f>L1609-M1609</f>
        <v/>
      </c>
    </row>
    <row r="1610">
      <c r="A1610" s="7" t="inlineStr">
        <is>
          <t>ORD-01651</t>
        </is>
      </c>
      <c r="B1610" s="8" t="n">
        <v>45280</v>
      </c>
      <c r="C1610" s="9" t="n">
        <v>45261</v>
      </c>
      <c r="D1610" s="7" t="n">
        <v>2023</v>
      </c>
      <c r="E1610" s="7" t="inlineStr">
        <is>
          <t>South</t>
        </is>
      </c>
      <c r="F1610" s="7" t="inlineStr">
        <is>
          <t>Furniture</t>
        </is>
      </c>
      <c r="G1610" s="7" t="inlineStr">
        <is>
          <t>Sofa</t>
        </is>
      </c>
      <c r="H1610" s="7" t="inlineStr">
        <is>
          <t>Corporate</t>
        </is>
      </c>
      <c r="I1610" s="7" t="n">
        <v>2</v>
      </c>
      <c r="J1610" s="10" t="n">
        <v>730.62</v>
      </c>
      <c r="K1610" s="11" t="n">
        <v>0.3</v>
      </c>
      <c r="L1610" s="10">
        <f>I1610*J1610*(1-K1610)</f>
        <v/>
      </c>
      <c r="M1610" s="10" t="n">
        <v>1232</v>
      </c>
      <c r="N1610" s="10">
        <f>L1610-M1610</f>
        <v/>
      </c>
    </row>
    <row r="1611">
      <c r="A1611" s="7" t="inlineStr">
        <is>
          <t>ORD-04116</t>
        </is>
      </c>
      <c r="B1611" s="8" t="n">
        <v>45281</v>
      </c>
      <c r="C1611" s="9" t="n">
        <v>45261</v>
      </c>
      <c r="D1611" s="7" t="n">
        <v>2023</v>
      </c>
      <c r="E1611" s="7" t="inlineStr">
        <is>
          <t>East</t>
        </is>
      </c>
      <c r="F1611" s="7" t="inlineStr">
        <is>
          <t>Technology</t>
        </is>
      </c>
      <c r="G1611" s="7" t="inlineStr">
        <is>
          <t>Keyboard</t>
        </is>
      </c>
      <c r="H1611" s="7" t="inlineStr">
        <is>
          <t>Consumer</t>
        </is>
      </c>
      <c r="I1611" s="7" t="n">
        <v>1</v>
      </c>
      <c r="J1611" s="10" t="n">
        <v>44.91</v>
      </c>
      <c r="K1611" s="11" t="n">
        <v>0</v>
      </c>
      <c r="L1611" s="10">
        <f>I1611*J1611*(1-K1611)</f>
        <v/>
      </c>
      <c r="M1611" s="10" t="n">
        <v>24.75</v>
      </c>
      <c r="N1611" s="10">
        <f>L1611-M1611</f>
        <v/>
      </c>
    </row>
    <row r="1612">
      <c r="A1612" s="7" t="inlineStr">
        <is>
          <t>ORD-03080</t>
        </is>
      </c>
      <c r="B1612" s="8" t="n">
        <v>45281</v>
      </c>
      <c r="C1612" s="9" t="n">
        <v>45261</v>
      </c>
      <c r="D1612" s="7" t="n">
        <v>2023</v>
      </c>
      <c r="E1612" s="7" t="inlineStr">
        <is>
          <t>East</t>
        </is>
      </c>
      <c r="F1612" s="7" t="inlineStr">
        <is>
          <t>Office Supplies</t>
        </is>
      </c>
      <c r="G1612" s="7" t="inlineStr">
        <is>
          <t>Paper</t>
        </is>
      </c>
      <c r="H1612" s="7" t="inlineStr">
        <is>
          <t>Consumer</t>
        </is>
      </c>
      <c r="I1612" s="7" t="n">
        <v>14</v>
      </c>
      <c r="J1612" s="10" t="n">
        <v>25.1</v>
      </c>
      <c r="K1612" s="11" t="n">
        <v>0</v>
      </c>
      <c r="L1612" s="10">
        <f>I1612*J1612*(1-K1612)</f>
        <v/>
      </c>
      <c r="M1612" s="10" t="n">
        <v>175</v>
      </c>
      <c r="N1612" s="10">
        <f>L1612-M1612</f>
        <v/>
      </c>
    </row>
    <row r="1613">
      <c r="A1613" s="7" t="inlineStr">
        <is>
          <t>ORD-04723</t>
        </is>
      </c>
      <c r="B1613" s="8" t="n">
        <v>45281</v>
      </c>
      <c r="C1613" s="9" t="n">
        <v>45261</v>
      </c>
      <c r="D1613" s="7" t="n">
        <v>2023</v>
      </c>
      <c r="E1613" s="7" t="inlineStr">
        <is>
          <t>West</t>
        </is>
      </c>
      <c r="F1613" s="7" t="inlineStr">
        <is>
          <t>Technology</t>
        </is>
      </c>
      <c r="G1613" s="7" t="inlineStr">
        <is>
          <t>Headphones</t>
        </is>
      </c>
      <c r="H1613" s="7" t="inlineStr">
        <is>
          <t>Consumer</t>
        </is>
      </c>
      <c r="I1613" s="7" t="n">
        <v>2</v>
      </c>
      <c r="J1613" s="10" t="n">
        <v>119.89</v>
      </c>
      <c r="K1613" s="11" t="n">
        <v>0.3</v>
      </c>
      <c r="L1613" s="10">
        <f>I1613*J1613*(1-K1613)</f>
        <v/>
      </c>
      <c r="M1613" s="10" t="n">
        <v>144</v>
      </c>
      <c r="N1613" s="10">
        <f>L1613-M1613</f>
        <v/>
      </c>
    </row>
    <row r="1614">
      <c r="A1614" s="7" t="inlineStr">
        <is>
          <t>ORD-05935</t>
        </is>
      </c>
      <c r="B1614" s="8" t="n">
        <v>45281</v>
      </c>
      <c r="C1614" s="9" t="n">
        <v>45261</v>
      </c>
      <c r="D1614" s="7" t="n">
        <v>2023</v>
      </c>
      <c r="E1614" s="7" t="inlineStr">
        <is>
          <t>North</t>
        </is>
      </c>
      <c r="F1614" s="7" t="inlineStr">
        <is>
          <t>Furniture</t>
        </is>
      </c>
      <c r="G1614" s="7" t="inlineStr">
        <is>
          <t>Bookcase</t>
        </is>
      </c>
      <c r="H1614" s="7" t="inlineStr">
        <is>
          <t>Consumer</t>
        </is>
      </c>
      <c r="I1614" s="7" t="n">
        <v>2</v>
      </c>
      <c r="J1614" s="10" t="n">
        <v>172.95</v>
      </c>
      <c r="K1614" s="11" t="n">
        <v>0.2</v>
      </c>
      <c r="L1614" s="10">
        <f>I1614*J1614*(1-K1614)</f>
        <v/>
      </c>
      <c r="M1614" s="10" t="n">
        <v>288</v>
      </c>
      <c r="N1614" s="10">
        <f>L1614-M1614</f>
        <v/>
      </c>
    </row>
    <row r="1615">
      <c r="A1615" s="7" t="inlineStr">
        <is>
          <t>ORD-05411</t>
        </is>
      </c>
      <c r="B1615" s="8" t="n">
        <v>45281</v>
      </c>
      <c r="C1615" s="9" t="n">
        <v>45261</v>
      </c>
      <c r="D1615" s="7" t="n">
        <v>2023</v>
      </c>
      <c r="E1615" s="7" t="inlineStr">
        <is>
          <t>West</t>
        </is>
      </c>
      <c r="F1615" s="7" t="inlineStr">
        <is>
          <t>Office Supplies</t>
        </is>
      </c>
      <c r="G1615" s="7" t="inlineStr">
        <is>
          <t>Pens</t>
        </is>
      </c>
      <c r="H1615" s="7" t="inlineStr">
        <is>
          <t>Corporate</t>
        </is>
      </c>
      <c r="I1615" s="7" t="n">
        <v>10</v>
      </c>
      <c r="J1615" s="10" t="n">
        <v>12.23</v>
      </c>
      <c r="K1615" s="11" t="n">
        <v>0.3</v>
      </c>
      <c r="L1615" s="10">
        <f>I1615*J1615*(1-K1615)</f>
        <v/>
      </c>
      <c r="M1615" s="10" t="n">
        <v>54</v>
      </c>
      <c r="N1615" s="10">
        <f>L1615-M1615</f>
        <v/>
      </c>
    </row>
    <row r="1616">
      <c r="A1616" s="7" t="inlineStr">
        <is>
          <t>ORD-03027</t>
        </is>
      </c>
      <c r="B1616" s="8" t="n">
        <v>45281</v>
      </c>
      <c r="C1616" s="9" t="n">
        <v>45261</v>
      </c>
      <c r="D1616" s="7" t="n">
        <v>2023</v>
      </c>
      <c r="E1616" s="7" t="inlineStr">
        <is>
          <t>South</t>
        </is>
      </c>
      <c r="F1616" s="7" t="inlineStr">
        <is>
          <t>Office Supplies</t>
        </is>
      </c>
      <c r="G1616" s="7" t="inlineStr">
        <is>
          <t>Pens</t>
        </is>
      </c>
      <c r="H1616" s="7" t="inlineStr">
        <is>
          <t>Consumer</t>
        </is>
      </c>
      <c r="I1616" s="7" t="n">
        <v>15</v>
      </c>
      <c r="J1616" s="10" t="n">
        <v>11.86</v>
      </c>
      <c r="K1616" s="11" t="n">
        <v>0.2</v>
      </c>
      <c r="L1616" s="10">
        <f>I1616*J1616*(1-K1616)</f>
        <v/>
      </c>
      <c r="M1616" s="10" t="n">
        <v>81</v>
      </c>
      <c r="N1616" s="10">
        <f>L1616-M1616</f>
        <v/>
      </c>
    </row>
    <row r="1617">
      <c r="A1617" s="7" t="inlineStr">
        <is>
          <t>ORD-00146</t>
        </is>
      </c>
      <c r="B1617" s="8" t="n">
        <v>45281</v>
      </c>
      <c r="C1617" s="9" t="n">
        <v>45261</v>
      </c>
      <c r="D1617" s="7" t="n">
        <v>2023</v>
      </c>
      <c r="E1617" s="7" t="inlineStr">
        <is>
          <t>South</t>
        </is>
      </c>
      <c r="F1617" s="7" t="inlineStr">
        <is>
          <t>Furniture</t>
        </is>
      </c>
      <c r="G1617" s="7" t="inlineStr">
        <is>
          <t>Office Chair</t>
        </is>
      </c>
      <c r="H1617" s="7" t="inlineStr">
        <is>
          <t>Consumer</t>
        </is>
      </c>
      <c r="I1617" s="7" t="n">
        <v>1</v>
      </c>
      <c r="J1617" s="10" t="n">
        <v>219.95</v>
      </c>
      <c r="K1617" s="11" t="n">
        <v>0.1</v>
      </c>
      <c r="L1617" s="10">
        <f>I1617*J1617*(1-K1617)</f>
        <v/>
      </c>
      <c r="M1617" s="10" t="n">
        <v>180.4</v>
      </c>
      <c r="N1617" s="10">
        <f>L1617-M1617</f>
        <v/>
      </c>
    </row>
    <row r="1618">
      <c r="A1618" s="7" t="inlineStr">
        <is>
          <t>ORD-01584</t>
        </is>
      </c>
      <c r="B1618" s="8" t="n">
        <v>45282</v>
      </c>
      <c r="C1618" s="9" t="n">
        <v>45261</v>
      </c>
      <c r="D1618" s="7" t="n">
        <v>2023</v>
      </c>
      <c r="E1618" s="7" t="inlineStr">
        <is>
          <t>South</t>
        </is>
      </c>
      <c r="F1618" s="7" t="inlineStr">
        <is>
          <t>Furniture</t>
        </is>
      </c>
      <c r="G1618" s="7" t="inlineStr">
        <is>
          <t>Office Chair</t>
        </is>
      </c>
      <c r="H1618" s="7" t="inlineStr">
        <is>
          <t>Corporate</t>
        </is>
      </c>
      <c r="I1618" s="7" t="n">
        <v>4</v>
      </c>
      <c r="J1618" s="10" t="n">
        <v>226.4</v>
      </c>
      <c r="K1618" s="11" t="n">
        <v>0.1</v>
      </c>
      <c r="L1618" s="10">
        <f>I1618*J1618*(1-K1618)</f>
        <v/>
      </c>
      <c r="M1618" s="10" t="n">
        <v>721.6</v>
      </c>
      <c r="N1618" s="10">
        <f>L1618-M1618</f>
        <v/>
      </c>
    </row>
    <row r="1619">
      <c r="A1619" s="7" t="inlineStr">
        <is>
          <t>ORD-03390</t>
        </is>
      </c>
      <c r="B1619" s="8" t="n">
        <v>45282</v>
      </c>
      <c r="C1619" s="9" t="n">
        <v>45261</v>
      </c>
      <c r="D1619" s="7" t="n">
        <v>2023</v>
      </c>
      <c r="E1619" s="7" t="inlineStr">
        <is>
          <t>West</t>
        </is>
      </c>
      <c r="F1619" s="7" t="inlineStr">
        <is>
          <t>Technology</t>
        </is>
      </c>
      <c r="G1619" s="7" t="inlineStr">
        <is>
          <t>Headphones</t>
        </is>
      </c>
      <c r="H1619" s="7" t="inlineStr">
        <is>
          <t>Consumer</t>
        </is>
      </c>
      <c r="I1619" s="7" t="n">
        <v>1</v>
      </c>
      <c r="J1619" s="10" t="n">
        <v>115.7</v>
      </c>
      <c r="K1619" s="11" t="n">
        <v>0</v>
      </c>
      <c r="L1619" s="10">
        <f>I1619*J1619*(1-K1619)</f>
        <v/>
      </c>
      <c r="M1619" s="10" t="n">
        <v>72</v>
      </c>
      <c r="N1619" s="10">
        <f>L1619-M1619</f>
        <v/>
      </c>
    </row>
    <row r="1620">
      <c r="A1620" s="7" t="inlineStr">
        <is>
          <t>ORD-01877</t>
        </is>
      </c>
      <c r="B1620" s="8" t="n">
        <v>45282</v>
      </c>
      <c r="C1620" s="9" t="n">
        <v>45261</v>
      </c>
      <c r="D1620" s="7" t="n">
        <v>2023</v>
      </c>
      <c r="E1620" s="7" t="inlineStr">
        <is>
          <t>South</t>
        </is>
      </c>
      <c r="F1620" s="7" t="inlineStr">
        <is>
          <t>Office Supplies</t>
        </is>
      </c>
      <c r="G1620" s="7" t="inlineStr">
        <is>
          <t>Stapler</t>
        </is>
      </c>
      <c r="H1620" s="7" t="inlineStr">
        <is>
          <t>Consumer</t>
        </is>
      </c>
      <c r="I1620" s="7" t="n">
        <v>2</v>
      </c>
      <c r="J1620" s="10" t="n">
        <v>14.92</v>
      </c>
      <c r="K1620" s="11" t="n">
        <v>0.1</v>
      </c>
      <c r="L1620" s="10">
        <f>I1620*J1620*(1-K1620)</f>
        <v/>
      </c>
      <c r="M1620" s="10" t="n">
        <v>15</v>
      </c>
      <c r="N1620" s="10">
        <f>L1620-M1620</f>
        <v/>
      </c>
    </row>
    <row r="1621">
      <c r="A1621" s="7" t="inlineStr">
        <is>
          <t>ORD-04894</t>
        </is>
      </c>
      <c r="B1621" s="8" t="n">
        <v>45282</v>
      </c>
      <c r="C1621" s="9" t="n">
        <v>45261</v>
      </c>
      <c r="D1621" s="7" t="n">
        <v>2023</v>
      </c>
      <c r="E1621" s="7" t="inlineStr">
        <is>
          <t>East</t>
        </is>
      </c>
      <c r="F1621" s="7" t="inlineStr">
        <is>
          <t>Office Supplies</t>
        </is>
      </c>
      <c r="G1621" s="7" t="inlineStr">
        <is>
          <t>Binder</t>
        </is>
      </c>
      <c r="H1621" s="7" t="inlineStr">
        <is>
          <t>Consumer</t>
        </is>
      </c>
      <c r="I1621" s="7" t="n">
        <v>15</v>
      </c>
      <c r="J1621" s="10" t="n">
        <v>8.029999999999999</v>
      </c>
      <c r="K1621" s="11" t="n">
        <v>0</v>
      </c>
      <c r="L1621" s="10">
        <f>I1621*J1621*(1-K1621)</f>
        <v/>
      </c>
      <c r="M1621" s="10" t="n">
        <v>48</v>
      </c>
      <c r="N1621" s="10">
        <f>L1621-M1621</f>
        <v/>
      </c>
    </row>
    <row r="1622">
      <c r="A1622" s="7" t="inlineStr">
        <is>
          <t>ORD-02166</t>
        </is>
      </c>
      <c r="B1622" s="8" t="n">
        <v>45283</v>
      </c>
      <c r="C1622" s="9" t="n">
        <v>45261</v>
      </c>
      <c r="D1622" s="7" t="n">
        <v>2023</v>
      </c>
      <c r="E1622" s="7" t="inlineStr">
        <is>
          <t>South</t>
        </is>
      </c>
      <c r="F1622" s="7" t="inlineStr">
        <is>
          <t>Office Supplies</t>
        </is>
      </c>
      <c r="G1622" s="7" t="inlineStr">
        <is>
          <t>Pens</t>
        </is>
      </c>
      <c r="H1622" s="7" t="inlineStr">
        <is>
          <t>Consumer</t>
        </is>
      </c>
      <c r="I1622" s="7" t="n">
        <v>10</v>
      </c>
      <c r="J1622" s="10" t="n">
        <v>11.93</v>
      </c>
      <c r="K1622" s="11" t="n">
        <v>0</v>
      </c>
      <c r="L1622" s="10">
        <f>I1622*J1622*(1-K1622)</f>
        <v/>
      </c>
      <c r="M1622" s="10" t="n">
        <v>54</v>
      </c>
      <c r="N1622" s="10">
        <f>L1622-M1622</f>
        <v/>
      </c>
    </row>
    <row r="1623">
      <c r="A1623" s="7" t="inlineStr">
        <is>
          <t>ORD-01329</t>
        </is>
      </c>
      <c r="B1623" s="8" t="n">
        <v>45283</v>
      </c>
      <c r="C1623" s="9" t="n">
        <v>45261</v>
      </c>
      <c r="D1623" s="7" t="n">
        <v>2023</v>
      </c>
      <c r="E1623" s="7" t="inlineStr">
        <is>
          <t>West</t>
        </is>
      </c>
      <c r="F1623" s="7" t="inlineStr">
        <is>
          <t>Technology</t>
        </is>
      </c>
      <c r="G1623" s="7" t="inlineStr">
        <is>
          <t>Keyboard</t>
        </is>
      </c>
      <c r="H1623" s="7" t="inlineStr">
        <is>
          <t>Consumer</t>
        </is>
      </c>
      <c r="I1623" s="7" t="n">
        <v>1</v>
      </c>
      <c r="J1623" s="10" t="n">
        <v>46.13</v>
      </c>
      <c r="K1623" s="11" t="n">
        <v>0.3</v>
      </c>
      <c r="L1623" s="10">
        <f>I1623*J1623*(1-K1623)</f>
        <v/>
      </c>
      <c r="M1623" s="10" t="n">
        <v>24.75</v>
      </c>
      <c r="N1623" s="10">
        <f>L1623-M1623</f>
        <v/>
      </c>
    </row>
    <row r="1624">
      <c r="A1624" s="7" t="inlineStr">
        <is>
          <t>ORD-03060</t>
        </is>
      </c>
      <c r="B1624" s="8" t="n">
        <v>45283</v>
      </c>
      <c r="C1624" s="9" t="n">
        <v>45261</v>
      </c>
      <c r="D1624" s="7" t="n">
        <v>2023</v>
      </c>
      <c r="E1624" s="7" t="inlineStr">
        <is>
          <t>North</t>
        </is>
      </c>
      <c r="F1624" s="7" t="inlineStr">
        <is>
          <t>Technology</t>
        </is>
      </c>
      <c r="G1624" s="7" t="inlineStr">
        <is>
          <t>Smartphone</t>
        </is>
      </c>
      <c r="H1624" s="7" t="inlineStr">
        <is>
          <t>Consumer</t>
        </is>
      </c>
      <c r="I1624" s="7" t="n">
        <v>1</v>
      </c>
      <c r="J1624" s="10" t="n">
        <v>576.12</v>
      </c>
      <c r="K1624" s="11" t="n">
        <v>0</v>
      </c>
      <c r="L1624" s="10">
        <f>I1624*J1624*(1-K1624)</f>
        <v/>
      </c>
      <c r="M1624" s="10" t="n">
        <v>450</v>
      </c>
      <c r="N1624" s="10">
        <f>L1624-M1624</f>
        <v/>
      </c>
    </row>
    <row r="1625">
      <c r="A1625" s="7" t="inlineStr">
        <is>
          <t>ORD-04634</t>
        </is>
      </c>
      <c r="B1625" s="8" t="n">
        <v>45284</v>
      </c>
      <c r="C1625" s="9" t="n">
        <v>45261</v>
      </c>
      <c r="D1625" s="7" t="n">
        <v>2023</v>
      </c>
      <c r="E1625" s="7" t="inlineStr">
        <is>
          <t>South</t>
        </is>
      </c>
      <c r="F1625" s="7" t="inlineStr">
        <is>
          <t>Furniture</t>
        </is>
      </c>
      <c r="G1625" s="7" t="inlineStr">
        <is>
          <t>Office Chair</t>
        </is>
      </c>
      <c r="H1625" s="7" t="inlineStr">
        <is>
          <t>Consumer</t>
        </is>
      </c>
      <c r="I1625" s="7" t="n">
        <v>4</v>
      </c>
      <c r="J1625" s="10" t="n">
        <v>228.88</v>
      </c>
      <c r="K1625" s="11" t="n">
        <v>0.2</v>
      </c>
      <c r="L1625" s="10">
        <f>I1625*J1625*(1-K1625)</f>
        <v/>
      </c>
      <c r="M1625" s="10" t="n">
        <v>721.6</v>
      </c>
      <c r="N1625" s="10">
        <f>L1625-M1625</f>
        <v/>
      </c>
    </row>
    <row r="1626">
      <c r="A1626" s="7" t="inlineStr">
        <is>
          <t>ORD-01215</t>
        </is>
      </c>
      <c r="B1626" s="8" t="n">
        <v>45284</v>
      </c>
      <c r="C1626" s="9" t="n">
        <v>45261</v>
      </c>
      <c r="D1626" s="7" t="n">
        <v>2023</v>
      </c>
      <c r="E1626" s="7" t="inlineStr">
        <is>
          <t>South</t>
        </is>
      </c>
      <c r="F1626" s="7" t="inlineStr">
        <is>
          <t>Office Supplies</t>
        </is>
      </c>
      <c r="G1626" s="7" t="inlineStr">
        <is>
          <t>Paper</t>
        </is>
      </c>
      <c r="H1626" s="7" t="inlineStr">
        <is>
          <t>Home Office</t>
        </is>
      </c>
      <c r="I1626" s="7" t="n">
        <v>14</v>
      </c>
      <c r="J1626" s="10" t="n">
        <v>24.68</v>
      </c>
      <c r="K1626" s="11" t="n">
        <v>0.1</v>
      </c>
      <c r="L1626" s="10">
        <f>I1626*J1626*(1-K1626)</f>
        <v/>
      </c>
      <c r="M1626" s="10" t="n">
        <v>175</v>
      </c>
      <c r="N1626" s="10">
        <f>L1626-M1626</f>
        <v/>
      </c>
    </row>
    <row r="1627">
      <c r="A1627" s="7" t="inlineStr">
        <is>
          <t>ORD-04863</t>
        </is>
      </c>
      <c r="B1627" s="8" t="n">
        <v>45284</v>
      </c>
      <c r="C1627" s="9" t="n">
        <v>45261</v>
      </c>
      <c r="D1627" s="7" t="n">
        <v>2023</v>
      </c>
      <c r="E1627" s="7" t="inlineStr">
        <is>
          <t>West</t>
        </is>
      </c>
      <c r="F1627" s="7" t="inlineStr">
        <is>
          <t>Office Supplies</t>
        </is>
      </c>
      <c r="G1627" s="7" t="inlineStr">
        <is>
          <t>Pens</t>
        </is>
      </c>
      <c r="H1627" s="7" t="inlineStr">
        <is>
          <t>Consumer</t>
        </is>
      </c>
      <c r="I1627" s="7" t="n">
        <v>7</v>
      </c>
      <c r="J1627" s="10" t="n">
        <v>11.69</v>
      </c>
      <c r="K1627" s="11" t="n">
        <v>0</v>
      </c>
      <c r="L1627" s="10">
        <f>I1627*J1627*(1-K1627)</f>
        <v/>
      </c>
      <c r="M1627" s="10" t="n">
        <v>37.8</v>
      </c>
      <c r="N1627" s="10">
        <f>L1627-M1627</f>
        <v/>
      </c>
    </row>
    <row r="1628">
      <c r="A1628" s="7" t="inlineStr">
        <is>
          <t>ORD-01119</t>
        </is>
      </c>
      <c r="B1628" s="8" t="n">
        <v>45284</v>
      </c>
      <c r="C1628" s="9" t="n">
        <v>45261</v>
      </c>
      <c r="D1628" s="7" t="n">
        <v>2023</v>
      </c>
      <c r="E1628" s="7" t="inlineStr">
        <is>
          <t>West</t>
        </is>
      </c>
      <c r="F1628" s="7" t="inlineStr">
        <is>
          <t>Office Supplies</t>
        </is>
      </c>
      <c r="G1628" s="7" t="inlineStr">
        <is>
          <t>Binder</t>
        </is>
      </c>
      <c r="H1628" s="7" t="inlineStr">
        <is>
          <t>Corporate</t>
        </is>
      </c>
      <c r="I1628" s="7" t="n">
        <v>14</v>
      </c>
      <c r="J1628" s="10" t="n">
        <v>7.61</v>
      </c>
      <c r="K1628" s="11" t="n">
        <v>0</v>
      </c>
      <c r="L1628" s="10">
        <f>I1628*J1628*(1-K1628)</f>
        <v/>
      </c>
      <c r="M1628" s="10" t="n">
        <v>44.8</v>
      </c>
      <c r="N1628" s="10">
        <f>L1628-M1628</f>
        <v/>
      </c>
    </row>
    <row r="1629">
      <c r="A1629" s="7" t="inlineStr">
        <is>
          <t>ORD-03119</t>
        </is>
      </c>
      <c r="B1629" s="8" t="n">
        <v>45284</v>
      </c>
      <c r="C1629" s="9" t="n">
        <v>45261</v>
      </c>
      <c r="D1629" s="7" t="n">
        <v>2023</v>
      </c>
      <c r="E1629" s="7" t="inlineStr">
        <is>
          <t>South</t>
        </is>
      </c>
      <c r="F1629" s="7" t="inlineStr">
        <is>
          <t>Technology</t>
        </is>
      </c>
      <c r="G1629" s="7" t="inlineStr">
        <is>
          <t>Keyboard</t>
        </is>
      </c>
      <c r="H1629" s="7" t="inlineStr">
        <is>
          <t>Consumer</t>
        </is>
      </c>
      <c r="I1629" s="7" t="n">
        <v>2</v>
      </c>
      <c r="J1629" s="10" t="n">
        <v>44.51</v>
      </c>
      <c r="K1629" s="11" t="n">
        <v>0</v>
      </c>
      <c r="L1629" s="10">
        <f>I1629*J1629*(1-K1629)</f>
        <v/>
      </c>
      <c r="M1629" s="10" t="n">
        <v>49.5</v>
      </c>
      <c r="N1629" s="10">
        <f>L1629-M1629</f>
        <v/>
      </c>
    </row>
    <row r="1630">
      <c r="A1630" s="7" t="inlineStr">
        <is>
          <t>ORD-00372</t>
        </is>
      </c>
      <c r="B1630" s="8" t="n">
        <v>45284</v>
      </c>
      <c r="C1630" s="9" t="n">
        <v>45261</v>
      </c>
      <c r="D1630" s="7" t="n">
        <v>2023</v>
      </c>
      <c r="E1630" s="7" t="inlineStr">
        <is>
          <t>West</t>
        </is>
      </c>
      <c r="F1630" s="7" t="inlineStr">
        <is>
          <t>Technology</t>
        </is>
      </c>
      <c r="G1630" s="7" t="inlineStr">
        <is>
          <t>Keyboard</t>
        </is>
      </c>
      <c r="H1630" s="7" t="inlineStr">
        <is>
          <t>Consumer</t>
        </is>
      </c>
      <c r="I1630" s="7" t="n">
        <v>1</v>
      </c>
      <c r="J1630" s="10" t="n">
        <v>44.36</v>
      </c>
      <c r="K1630" s="11" t="n">
        <v>0</v>
      </c>
      <c r="L1630" s="10">
        <f>I1630*J1630*(1-K1630)</f>
        <v/>
      </c>
      <c r="M1630" s="10" t="n">
        <v>24.75</v>
      </c>
      <c r="N1630" s="10">
        <f>L1630-M1630</f>
        <v/>
      </c>
    </row>
    <row r="1631">
      <c r="A1631" s="7" t="inlineStr">
        <is>
          <t>ORD-03827</t>
        </is>
      </c>
      <c r="B1631" s="8" t="n">
        <v>45284</v>
      </c>
      <c r="C1631" s="9" t="n">
        <v>45261</v>
      </c>
      <c r="D1631" s="7" t="n">
        <v>2023</v>
      </c>
      <c r="E1631" s="7" t="inlineStr">
        <is>
          <t>North</t>
        </is>
      </c>
      <c r="F1631" s="7" t="inlineStr">
        <is>
          <t>Technology</t>
        </is>
      </c>
      <c r="G1631" s="7" t="inlineStr">
        <is>
          <t>Smartphone</t>
        </is>
      </c>
      <c r="H1631" s="7" t="inlineStr">
        <is>
          <t>Consumer</t>
        </is>
      </c>
      <c r="I1631" s="7" t="n">
        <v>3</v>
      </c>
      <c r="J1631" s="10" t="n">
        <v>608.45</v>
      </c>
      <c r="K1631" s="11" t="n">
        <v>0</v>
      </c>
      <c r="L1631" s="10">
        <f>I1631*J1631*(1-K1631)</f>
        <v/>
      </c>
      <c r="M1631" s="10" t="n">
        <v>1350</v>
      </c>
      <c r="N1631" s="10">
        <f>L1631-M1631</f>
        <v/>
      </c>
    </row>
    <row r="1632">
      <c r="A1632" s="7" t="inlineStr">
        <is>
          <t>ORD-05446</t>
        </is>
      </c>
      <c r="B1632" s="8" t="n">
        <v>45284</v>
      </c>
      <c r="C1632" s="9" t="n">
        <v>45261</v>
      </c>
      <c r="D1632" s="7" t="n">
        <v>2023</v>
      </c>
      <c r="E1632" s="7" t="inlineStr">
        <is>
          <t>West</t>
        </is>
      </c>
      <c r="F1632" s="7" t="inlineStr">
        <is>
          <t>Furniture</t>
        </is>
      </c>
      <c r="G1632" s="7" t="inlineStr">
        <is>
          <t>Desk</t>
        </is>
      </c>
      <c r="H1632" s="7" t="inlineStr">
        <is>
          <t>Consumer</t>
        </is>
      </c>
      <c r="I1632" s="7" t="n">
        <v>2</v>
      </c>
      <c r="J1632" s="10" t="n">
        <v>446.93</v>
      </c>
      <c r="K1632" s="11" t="n">
        <v>0</v>
      </c>
      <c r="L1632" s="10">
        <f>I1632*J1632*(1-K1632)</f>
        <v/>
      </c>
      <c r="M1632" s="10" t="n">
        <v>765</v>
      </c>
      <c r="N1632" s="10">
        <f>L1632-M1632</f>
        <v/>
      </c>
    </row>
    <row r="1633">
      <c r="A1633" s="7" t="inlineStr">
        <is>
          <t>ORD-00445</t>
        </is>
      </c>
      <c r="B1633" s="8" t="n">
        <v>45284</v>
      </c>
      <c r="C1633" s="9" t="n">
        <v>45261</v>
      </c>
      <c r="D1633" s="7" t="n">
        <v>2023</v>
      </c>
      <c r="E1633" s="7" t="inlineStr">
        <is>
          <t>West</t>
        </is>
      </c>
      <c r="F1633" s="7" t="inlineStr">
        <is>
          <t>Office Supplies</t>
        </is>
      </c>
      <c r="G1633" s="7" t="inlineStr">
        <is>
          <t>Pens</t>
        </is>
      </c>
      <c r="H1633" s="7" t="inlineStr">
        <is>
          <t>Consumer</t>
        </is>
      </c>
      <c r="I1633" s="7" t="n">
        <v>9</v>
      </c>
      <c r="J1633" s="10" t="n">
        <v>12.35</v>
      </c>
      <c r="K1633" s="11" t="n">
        <v>0</v>
      </c>
      <c r="L1633" s="10">
        <f>I1633*J1633*(1-K1633)</f>
        <v/>
      </c>
      <c r="M1633" s="10" t="n">
        <v>48.6</v>
      </c>
      <c r="N1633" s="10">
        <f>L1633-M1633</f>
        <v/>
      </c>
    </row>
    <row r="1634">
      <c r="A1634" s="7" t="inlineStr">
        <is>
          <t>ORD-04495</t>
        </is>
      </c>
      <c r="B1634" s="8" t="n">
        <v>45284</v>
      </c>
      <c r="C1634" s="9" t="n">
        <v>45261</v>
      </c>
      <c r="D1634" s="7" t="n">
        <v>2023</v>
      </c>
      <c r="E1634" s="7" t="inlineStr">
        <is>
          <t>North</t>
        </is>
      </c>
      <c r="F1634" s="7" t="inlineStr">
        <is>
          <t>Office Supplies</t>
        </is>
      </c>
      <c r="G1634" s="7" t="inlineStr">
        <is>
          <t>Stapler</t>
        </is>
      </c>
      <c r="H1634" s="7" t="inlineStr">
        <is>
          <t>Consumer</t>
        </is>
      </c>
      <c r="I1634" s="7" t="n">
        <v>12</v>
      </c>
      <c r="J1634" s="10" t="n">
        <v>14.42</v>
      </c>
      <c r="K1634" s="11" t="n">
        <v>0.05</v>
      </c>
      <c r="L1634" s="10">
        <f>I1634*J1634*(1-K1634)</f>
        <v/>
      </c>
      <c r="M1634" s="10" t="n">
        <v>90</v>
      </c>
      <c r="N1634" s="10">
        <f>L1634-M1634</f>
        <v/>
      </c>
    </row>
    <row r="1635">
      <c r="A1635" s="7" t="inlineStr">
        <is>
          <t>ORD-02615</t>
        </is>
      </c>
      <c r="B1635" s="8" t="n">
        <v>45284</v>
      </c>
      <c r="C1635" s="9" t="n">
        <v>45261</v>
      </c>
      <c r="D1635" s="7" t="n">
        <v>2023</v>
      </c>
      <c r="E1635" s="7" t="inlineStr">
        <is>
          <t>West</t>
        </is>
      </c>
      <c r="F1635" s="7" t="inlineStr">
        <is>
          <t>Furniture</t>
        </is>
      </c>
      <c r="G1635" s="7" t="inlineStr">
        <is>
          <t>Desk</t>
        </is>
      </c>
      <c r="H1635" s="7" t="inlineStr">
        <is>
          <t>Home Office</t>
        </is>
      </c>
      <c r="I1635" s="7" t="n">
        <v>3</v>
      </c>
      <c r="J1635" s="10" t="n">
        <v>467.55</v>
      </c>
      <c r="K1635" s="11" t="n">
        <v>0.3</v>
      </c>
      <c r="L1635" s="10">
        <f>I1635*J1635*(1-K1635)</f>
        <v/>
      </c>
      <c r="M1635" s="10" t="n">
        <v>1147.5</v>
      </c>
      <c r="N1635" s="10">
        <f>L1635-M1635</f>
        <v/>
      </c>
    </row>
    <row r="1636">
      <c r="A1636" s="7" t="inlineStr">
        <is>
          <t>ORD-03253</t>
        </is>
      </c>
      <c r="B1636" s="8" t="n">
        <v>45284</v>
      </c>
      <c r="C1636" s="9" t="n">
        <v>45261</v>
      </c>
      <c r="D1636" s="7" t="n">
        <v>2023</v>
      </c>
      <c r="E1636" s="7" t="inlineStr">
        <is>
          <t>South</t>
        </is>
      </c>
      <c r="F1636" s="7" t="inlineStr">
        <is>
          <t>Office Supplies</t>
        </is>
      </c>
      <c r="G1636" s="7" t="inlineStr">
        <is>
          <t>Pens</t>
        </is>
      </c>
      <c r="H1636" s="7" t="inlineStr">
        <is>
          <t>Home Office</t>
        </is>
      </c>
      <c r="I1636" s="7" t="n">
        <v>3</v>
      </c>
      <c r="J1636" s="10" t="n">
        <v>11.55</v>
      </c>
      <c r="K1636" s="11" t="n">
        <v>0</v>
      </c>
      <c r="L1636" s="10">
        <f>I1636*J1636*(1-K1636)</f>
        <v/>
      </c>
      <c r="M1636" s="10" t="n">
        <v>16.2</v>
      </c>
      <c r="N1636" s="10">
        <f>L1636-M1636</f>
        <v/>
      </c>
    </row>
    <row r="1637">
      <c r="A1637" s="7" t="inlineStr">
        <is>
          <t>ORD-02838</t>
        </is>
      </c>
      <c r="B1637" s="8" t="n">
        <v>45284</v>
      </c>
      <c r="C1637" s="9" t="n">
        <v>45261</v>
      </c>
      <c r="D1637" s="7" t="n">
        <v>2023</v>
      </c>
      <c r="E1637" s="7" t="inlineStr">
        <is>
          <t>South</t>
        </is>
      </c>
      <c r="F1637" s="7" t="inlineStr">
        <is>
          <t>Office Supplies</t>
        </is>
      </c>
      <c r="G1637" s="7" t="inlineStr">
        <is>
          <t>Paper</t>
        </is>
      </c>
      <c r="H1637" s="7" t="inlineStr">
        <is>
          <t>Consumer</t>
        </is>
      </c>
      <c r="I1637" s="7" t="n">
        <v>7</v>
      </c>
      <c r="J1637" s="10" t="n">
        <v>24.57</v>
      </c>
      <c r="K1637" s="11" t="n">
        <v>0.1</v>
      </c>
      <c r="L1637" s="10">
        <f>I1637*J1637*(1-K1637)</f>
        <v/>
      </c>
      <c r="M1637" s="10" t="n">
        <v>87.5</v>
      </c>
      <c r="N1637" s="10">
        <f>L1637-M1637</f>
        <v/>
      </c>
    </row>
    <row r="1638">
      <c r="A1638" s="7" t="inlineStr">
        <is>
          <t>ORD-05843</t>
        </is>
      </c>
      <c r="B1638" s="8" t="n">
        <v>45284</v>
      </c>
      <c r="C1638" s="9" t="n">
        <v>45261</v>
      </c>
      <c r="D1638" s="7" t="n">
        <v>2023</v>
      </c>
      <c r="E1638" s="7" t="inlineStr">
        <is>
          <t>South</t>
        </is>
      </c>
      <c r="F1638" s="7" t="inlineStr">
        <is>
          <t>Office Supplies</t>
        </is>
      </c>
      <c r="G1638" s="7" t="inlineStr">
        <is>
          <t>Paper</t>
        </is>
      </c>
      <c r="H1638" s="7" t="inlineStr">
        <is>
          <t>Corporate</t>
        </is>
      </c>
      <c r="I1638" s="7" t="n">
        <v>9</v>
      </c>
      <c r="J1638" s="10" t="n">
        <v>24.51</v>
      </c>
      <c r="K1638" s="11" t="n">
        <v>0.2</v>
      </c>
      <c r="L1638" s="10">
        <f>I1638*J1638*(1-K1638)</f>
        <v/>
      </c>
      <c r="M1638" s="10" t="n">
        <v>112.5</v>
      </c>
      <c r="N1638" s="10">
        <f>L1638-M1638</f>
        <v/>
      </c>
    </row>
    <row r="1639">
      <c r="A1639" s="7" t="inlineStr">
        <is>
          <t>ORD-05914</t>
        </is>
      </c>
      <c r="B1639" s="8" t="n">
        <v>45285</v>
      </c>
      <c r="C1639" s="9" t="n">
        <v>45261</v>
      </c>
      <c r="D1639" s="7" t="n">
        <v>2023</v>
      </c>
      <c r="E1639" s="7" t="inlineStr">
        <is>
          <t>West</t>
        </is>
      </c>
      <c r="F1639" s="7" t="inlineStr">
        <is>
          <t>Furniture</t>
        </is>
      </c>
      <c r="G1639" s="7" t="inlineStr">
        <is>
          <t>Bookcase</t>
        </is>
      </c>
      <c r="H1639" s="7" t="inlineStr">
        <is>
          <t>Home Office</t>
        </is>
      </c>
      <c r="I1639" s="7" t="n">
        <v>4</v>
      </c>
      <c r="J1639" s="10" t="n">
        <v>185.77</v>
      </c>
      <c r="K1639" s="11" t="n">
        <v>0.3</v>
      </c>
      <c r="L1639" s="10">
        <f>I1639*J1639*(1-K1639)</f>
        <v/>
      </c>
      <c r="M1639" s="10" t="n">
        <v>576</v>
      </c>
      <c r="N1639" s="10">
        <f>L1639-M1639</f>
        <v/>
      </c>
    </row>
    <row r="1640">
      <c r="A1640" s="7" t="inlineStr">
        <is>
          <t>ORD-04766</t>
        </is>
      </c>
      <c r="B1640" s="8" t="n">
        <v>45285</v>
      </c>
      <c r="C1640" s="9" t="n">
        <v>45261</v>
      </c>
      <c r="D1640" s="7" t="n">
        <v>2023</v>
      </c>
      <c r="E1640" s="7" t="inlineStr">
        <is>
          <t>West</t>
        </is>
      </c>
      <c r="F1640" s="7" t="inlineStr">
        <is>
          <t>Office Supplies</t>
        </is>
      </c>
      <c r="G1640" s="7" t="inlineStr">
        <is>
          <t>Binder</t>
        </is>
      </c>
      <c r="H1640" s="7" t="inlineStr">
        <is>
          <t>Home Office</t>
        </is>
      </c>
      <c r="I1640" s="7" t="n">
        <v>7</v>
      </c>
      <c r="J1640" s="10" t="n">
        <v>8.18</v>
      </c>
      <c r="K1640" s="11" t="n">
        <v>0.05</v>
      </c>
      <c r="L1640" s="10">
        <f>I1640*J1640*(1-K1640)</f>
        <v/>
      </c>
      <c r="M1640" s="10" t="n">
        <v>22.4</v>
      </c>
      <c r="N1640" s="10">
        <f>L1640-M1640</f>
        <v/>
      </c>
    </row>
    <row r="1641">
      <c r="A1641" s="7" t="inlineStr">
        <is>
          <t>ORD-02735</t>
        </is>
      </c>
      <c r="B1641" s="8" t="n">
        <v>45285</v>
      </c>
      <c r="C1641" s="9" t="n">
        <v>45261</v>
      </c>
      <c r="D1641" s="7" t="n">
        <v>2023</v>
      </c>
      <c r="E1641" s="7" t="inlineStr">
        <is>
          <t>South</t>
        </is>
      </c>
      <c r="F1641" s="7" t="inlineStr">
        <is>
          <t>Technology</t>
        </is>
      </c>
      <c r="G1641" s="7" t="inlineStr">
        <is>
          <t>Keyboard</t>
        </is>
      </c>
      <c r="H1641" s="7" t="inlineStr">
        <is>
          <t>Corporate</t>
        </is>
      </c>
      <c r="I1641" s="7" t="n">
        <v>2</v>
      </c>
      <c r="J1641" s="10" t="n">
        <v>45.89</v>
      </c>
      <c r="K1641" s="11" t="n">
        <v>0</v>
      </c>
      <c r="L1641" s="10">
        <f>I1641*J1641*(1-K1641)</f>
        <v/>
      </c>
      <c r="M1641" s="10" t="n">
        <v>49.5</v>
      </c>
      <c r="N1641" s="10">
        <f>L1641-M1641</f>
        <v/>
      </c>
    </row>
    <row r="1642">
      <c r="A1642" s="7" t="inlineStr">
        <is>
          <t>ORD-01516</t>
        </is>
      </c>
      <c r="B1642" s="8" t="n">
        <v>45285</v>
      </c>
      <c r="C1642" s="9" t="n">
        <v>45261</v>
      </c>
      <c r="D1642" s="7" t="n">
        <v>2023</v>
      </c>
      <c r="E1642" s="7" t="inlineStr">
        <is>
          <t>East</t>
        </is>
      </c>
      <c r="F1642" s="7" t="inlineStr">
        <is>
          <t>Technology</t>
        </is>
      </c>
      <c r="G1642" s="7" t="inlineStr">
        <is>
          <t>Keyboard</t>
        </is>
      </c>
      <c r="H1642" s="7" t="inlineStr">
        <is>
          <t>Home Office</t>
        </is>
      </c>
      <c r="I1642" s="7" t="n">
        <v>1</v>
      </c>
      <c r="J1642" s="10" t="n">
        <v>43.38</v>
      </c>
      <c r="K1642" s="11" t="n">
        <v>0.05</v>
      </c>
      <c r="L1642" s="10">
        <f>I1642*J1642*(1-K1642)</f>
        <v/>
      </c>
      <c r="M1642" s="10" t="n">
        <v>24.75</v>
      </c>
      <c r="N1642" s="10">
        <f>L1642-M1642</f>
        <v/>
      </c>
    </row>
    <row r="1643">
      <c r="A1643" s="7" t="inlineStr">
        <is>
          <t>ORD-00108</t>
        </is>
      </c>
      <c r="B1643" s="8" t="n">
        <v>45285</v>
      </c>
      <c r="C1643" s="9" t="n">
        <v>45261</v>
      </c>
      <c r="D1643" s="7" t="n">
        <v>2023</v>
      </c>
      <c r="E1643" s="7" t="inlineStr">
        <is>
          <t>West</t>
        </is>
      </c>
      <c r="F1643" s="7" t="inlineStr">
        <is>
          <t>Office Supplies</t>
        </is>
      </c>
      <c r="G1643" s="7" t="inlineStr">
        <is>
          <t>Paper</t>
        </is>
      </c>
      <c r="H1643" s="7" t="inlineStr">
        <is>
          <t>Consumer</t>
        </is>
      </c>
      <c r="I1643" s="7" t="n">
        <v>3</v>
      </c>
      <c r="J1643" s="10" t="n">
        <v>24.5</v>
      </c>
      <c r="K1643" s="11" t="n">
        <v>0</v>
      </c>
      <c r="L1643" s="10">
        <f>I1643*J1643*(1-K1643)</f>
        <v/>
      </c>
      <c r="M1643" s="10" t="n">
        <v>37.5</v>
      </c>
      <c r="N1643" s="10">
        <f>L1643-M1643</f>
        <v/>
      </c>
    </row>
    <row r="1644">
      <c r="A1644" s="7" t="inlineStr">
        <is>
          <t>ORD-04631</t>
        </is>
      </c>
      <c r="B1644" s="8" t="n">
        <v>45286</v>
      </c>
      <c r="C1644" s="9" t="n">
        <v>45261</v>
      </c>
      <c r="D1644" s="7" t="n">
        <v>2023</v>
      </c>
      <c r="E1644" s="7" t="inlineStr">
        <is>
          <t>West</t>
        </is>
      </c>
      <c r="F1644" s="7" t="inlineStr">
        <is>
          <t>Office Supplies</t>
        </is>
      </c>
      <c r="G1644" s="7" t="inlineStr">
        <is>
          <t>Paper</t>
        </is>
      </c>
      <c r="H1644" s="7" t="inlineStr">
        <is>
          <t>Consumer</t>
        </is>
      </c>
      <c r="I1644" s="7" t="n">
        <v>8</v>
      </c>
      <c r="J1644" s="10" t="n">
        <v>26.2</v>
      </c>
      <c r="K1644" s="11" t="n">
        <v>0.1</v>
      </c>
      <c r="L1644" s="10">
        <f>I1644*J1644*(1-K1644)</f>
        <v/>
      </c>
      <c r="M1644" s="10" t="n">
        <v>100</v>
      </c>
      <c r="N1644" s="10">
        <f>L1644-M1644</f>
        <v/>
      </c>
    </row>
    <row r="1645">
      <c r="A1645" s="7" t="inlineStr">
        <is>
          <t>ORD-04645</t>
        </is>
      </c>
      <c r="B1645" s="8" t="n">
        <v>45286</v>
      </c>
      <c r="C1645" s="9" t="n">
        <v>45261</v>
      </c>
      <c r="D1645" s="7" t="n">
        <v>2023</v>
      </c>
      <c r="E1645" s="7" t="inlineStr">
        <is>
          <t>South</t>
        </is>
      </c>
      <c r="F1645" s="7" t="inlineStr">
        <is>
          <t>Office Supplies</t>
        </is>
      </c>
      <c r="G1645" s="7" t="inlineStr">
        <is>
          <t>Paper</t>
        </is>
      </c>
      <c r="H1645" s="7" t="inlineStr">
        <is>
          <t>Corporate</t>
        </is>
      </c>
      <c r="I1645" s="7" t="n">
        <v>6</v>
      </c>
      <c r="J1645" s="10" t="n">
        <v>25.9</v>
      </c>
      <c r="K1645" s="11" t="n">
        <v>0.1</v>
      </c>
      <c r="L1645" s="10">
        <f>I1645*J1645*(1-K1645)</f>
        <v/>
      </c>
      <c r="M1645" s="10" t="n">
        <v>75</v>
      </c>
      <c r="N1645" s="10">
        <f>L1645-M1645</f>
        <v/>
      </c>
    </row>
    <row r="1646">
      <c r="A1646" s="7" t="inlineStr">
        <is>
          <t>ORD-04670</t>
        </is>
      </c>
      <c r="B1646" s="8" t="n">
        <v>45286</v>
      </c>
      <c r="C1646" s="9" t="n">
        <v>45261</v>
      </c>
      <c r="D1646" s="7" t="n">
        <v>2023</v>
      </c>
      <c r="E1646" s="7" t="inlineStr">
        <is>
          <t>West</t>
        </is>
      </c>
      <c r="F1646" s="7" t="inlineStr">
        <is>
          <t>Office Supplies</t>
        </is>
      </c>
      <c r="G1646" s="7" t="inlineStr">
        <is>
          <t>Paper</t>
        </is>
      </c>
      <c r="H1646" s="7" t="inlineStr">
        <is>
          <t>Corporate</t>
        </is>
      </c>
      <c r="I1646" s="7" t="n">
        <v>13</v>
      </c>
      <c r="J1646" s="10" t="n">
        <v>25.26</v>
      </c>
      <c r="K1646" s="11" t="n">
        <v>0.2</v>
      </c>
      <c r="L1646" s="10">
        <f>I1646*J1646*(1-K1646)</f>
        <v/>
      </c>
      <c r="M1646" s="10" t="n">
        <v>162.5</v>
      </c>
      <c r="N1646" s="10">
        <f>L1646-M1646</f>
        <v/>
      </c>
    </row>
    <row r="1647">
      <c r="A1647" s="7" t="inlineStr">
        <is>
          <t>ORD-04404</t>
        </is>
      </c>
      <c r="B1647" s="8" t="n">
        <v>45286</v>
      </c>
      <c r="C1647" s="9" t="n">
        <v>45261</v>
      </c>
      <c r="D1647" s="7" t="n">
        <v>2023</v>
      </c>
      <c r="E1647" s="7" t="inlineStr">
        <is>
          <t>East</t>
        </is>
      </c>
      <c r="F1647" s="7" t="inlineStr">
        <is>
          <t>Office Supplies</t>
        </is>
      </c>
      <c r="G1647" s="7" t="inlineStr">
        <is>
          <t>Binder</t>
        </is>
      </c>
      <c r="H1647" s="7" t="inlineStr">
        <is>
          <t>Corporate</t>
        </is>
      </c>
      <c r="I1647" s="7" t="n">
        <v>4</v>
      </c>
      <c r="J1647" s="10" t="n">
        <v>7.86</v>
      </c>
      <c r="K1647" s="11" t="n">
        <v>0</v>
      </c>
      <c r="L1647" s="10">
        <f>I1647*J1647*(1-K1647)</f>
        <v/>
      </c>
      <c r="M1647" s="10" t="n">
        <v>12.8</v>
      </c>
      <c r="N1647" s="10">
        <f>L1647-M1647</f>
        <v/>
      </c>
    </row>
    <row r="1648">
      <c r="A1648" s="7" t="inlineStr">
        <is>
          <t>ORD-03800</t>
        </is>
      </c>
      <c r="B1648" s="8" t="n">
        <v>45286</v>
      </c>
      <c r="C1648" s="9" t="n">
        <v>45261</v>
      </c>
      <c r="D1648" s="7" t="n">
        <v>2023</v>
      </c>
      <c r="E1648" s="7" t="inlineStr">
        <is>
          <t>East</t>
        </is>
      </c>
      <c r="F1648" s="7" t="inlineStr">
        <is>
          <t>Furniture</t>
        </is>
      </c>
      <c r="G1648" s="7" t="inlineStr">
        <is>
          <t>Office Chair</t>
        </is>
      </c>
      <c r="H1648" s="7" t="inlineStr">
        <is>
          <t>Home Office</t>
        </is>
      </c>
      <c r="I1648" s="7" t="n">
        <v>2</v>
      </c>
      <c r="J1648" s="10" t="n">
        <v>230.42</v>
      </c>
      <c r="K1648" s="11" t="n">
        <v>0.3</v>
      </c>
      <c r="L1648" s="10">
        <f>I1648*J1648*(1-K1648)</f>
        <v/>
      </c>
      <c r="M1648" s="10" t="n">
        <v>360.8</v>
      </c>
      <c r="N1648" s="10">
        <f>L1648-M1648</f>
        <v/>
      </c>
    </row>
    <row r="1649">
      <c r="A1649" s="7" t="inlineStr">
        <is>
          <t>ORD-02121</t>
        </is>
      </c>
      <c r="B1649" s="8" t="n">
        <v>45286</v>
      </c>
      <c r="C1649" s="9" t="n">
        <v>45261</v>
      </c>
      <c r="D1649" s="7" t="n">
        <v>2023</v>
      </c>
      <c r="E1649" s="7" t="inlineStr">
        <is>
          <t>East</t>
        </is>
      </c>
      <c r="F1649" s="7" t="inlineStr">
        <is>
          <t>Office Supplies</t>
        </is>
      </c>
      <c r="G1649" s="7" t="inlineStr">
        <is>
          <t>Pens</t>
        </is>
      </c>
      <c r="H1649" s="7" t="inlineStr">
        <is>
          <t>Consumer</t>
        </is>
      </c>
      <c r="I1649" s="7" t="n">
        <v>11</v>
      </c>
      <c r="J1649" s="10" t="n">
        <v>11.89</v>
      </c>
      <c r="K1649" s="11" t="n">
        <v>0</v>
      </c>
      <c r="L1649" s="10">
        <f>I1649*J1649*(1-K1649)</f>
        <v/>
      </c>
      <c r="M1649" s="10" t="n">
        <v>59.4</v>
      </c>
      <c r="N1649" s="10">
        <f>L1649-M1649</f>
        <v/>
      </c>
    </row>
    <row r="1650">
      <c r="A1650" s="7" t="inlineStr">
        <is>
          <t>ORD-01550</t>
        </is>
      </c>
      <c r="B1650" s="8" t="n">
        <v>45286</v>
      </c>
      <c r="C1650" s="9" t="n">
        <v>45261</v>
      </c>
      <c r="D1650" s="7" t="n">
        <v>2023</v>
      </c>
      <c r="E1650" s="7" t="inlineStr">
        <is>
          <t>West</t>
        </is>
      </c>
      <c r="F1650" s="7" t="inlineStr">
        <is>
          <t>Technology</t>
        </is>
      </c>
      <c r="G1650" s="7" t="inlineStr">
        <is>
          <t>Smartphone</t>
        </is>
      </c>
      <c r="H1650" s="7" t="inlineStr">
        <is>
          <t>Consumer</t>
        </is>
      </c>
      <c r="I1650" s="7" t="n">
        <v>3</v>
      </c>
      <c r="J1650" s="10" t="n">
        <v>605.64</v>
      </c>
      <c r="K1650" s="11" t="n">
        <v>0.3</v>
      </c>
      <c r="L1650" s="10">
        <f>I1650*J1650*(1-K1650)</f>
        <v/>
      </c>
      <c r="M1650" s="10" t="n">
        <v>1350</v>
      </c>
      <c r="N1650" s="10">
        <f>L1650-M1650</f>
        <v/>
      </c>
    </row>
    <row r="1651">
      <c r="A1651" s="7" t="inlineStr">
        <is>
          <t>ORD-01530</t>
        </is>
      </c>
      <c r="B1651" s="8" t="n">
        <v>45286</v>
      </c>
      <c r="C1651" s="9" t="n">
        <v>45261</v>
      </c>
      <c r="D1651" s="7" t="n">
        <v>2023</v>
      </c>
      <c r="E1651" s="7" t="inlineStr">
        <is>
          <t>West</t>
        </is>
      </c>
      <c r="F1651" s="7" t="inlineStr">
        <is>
          <t>Office Supplies</t>
        </is>
      </c>
      <c r="G1651" s="7" t="inlineStr">
        <is>
          <t>Binder</t>
        </is>
      </c>
      <c r="H1651" s="7" t="inlineStr">
        <is>
          <t>Corporate</t>
        </is>
      </c>
      <c r="I1651" s="7" t="n">
        <v>7</v>
      </c>
      <c r="J1651" s="10" t="n">
        <v>7.93</v>
      </c>
      <c r="K1651" s="11" t="n">
        <v>0</v>
      </c>
      <c r="L1651" s="10">
        <f>I1651*J1651*(1-K1651)</f>
        <v/>
      </c>
      <c r="M1651" s="10" t="n">
        <v>22.4</v>
      </c>
      <c r="N1651" s="10">
        <f>L1651-M1651</f>
        <v/>
      </c>
    </row>
    <row r="1652">
      <c r="A1652" s="7" t="inlineStr">
        <is>
          <t>ORD-00820</t>
        </is>
      </c>
      <c r="B1652" s="8" t="n">
        <v>45286</v>
      </c>
      <c r="C1652" s="9" t="n">
        <v>45261</v>
      </c>
      <c r="D1652" s="7" t="n">
        <v>2023</v>
      </c>
      <c r="E1652" s="7" t="inlineStr">
        <is>
          <t>North</t>
        </is>
      </c>
      <c r="F1652" s="7" t="inlineStr">
        <is>
          <t>Office Supplies</t>
        </is>
      </c>
      <c r="G1652" s="7" t="inlineStr">
        <is>
          <t>Pens</t>
        </is>
      </c>
      <c r="H1652" s="7" t="inlineStr">
        <is>
          <t>Corporate</t>
        </is>
      </c>
      <c r="I1652" s="7" t="n">
        <v>14</v>
      </c>
      <c r="J1652" s="10" t="n">
        <v>12.34</v>
      </c>
      <c r="K1652" s="11" t="n">
        <v>0</v>
      </c>
      <c r="L1652" s="10">
        <f>I1652*J1652*(1-K1652)</f>
        <v/>
      </c>
      <c r="M1652" s="10" t="n">
        <v>75.59999999999999</v>
      </c>
      <c r="N1652" s="10">
        <f>L1652-M1652</f>
        <v/>
      </c>
    </row>
    <row r="1653">
      <c r="A1653" s="7" t="inlineStr">
        <is>
          <t>ORD-03120</t>
        </is>
      </c>
      <c r="B1653" s="8" t="n">
        <v>45286</v>
      </c>
      <c r="C1653" s="9" t="n">
        <v>45261</v>
      </c>
      <c r="D1653" s="7" t="n">
        <v>2023</v>
      </c>
      <c r="E1653" s="7" t="inlineStr">
        <is>
          <t>North</t>
        </is>
      </c>
      <c r="F1653" s="7" t="inlineStr">
        <is>
          <t>Office Supplies</t>
        </is>
      </c>
      <c r="G1653" s="7" t="inlineStr">
        <is>
          <t>Pens</t>
        </is>
      </c>
      <c r="H1653" s="7" t="inlineStr">
        <is>
          <t>Consumer</t>
        </is>
      </c>
      <c r="I1653" s="7" t="n">
        <v>3</v>
      </c>
      <c r="J1653" s="10" t="n">
        <v>12.53</v>
      </c>
      <c r="K1653" s="11" t="n">
        <v>0.3</v>
      </c>
      <c r="L1653" s="10">
        <f>I1653*J1653*(1-K1653)</f>
        <v/>
      </c>
      <c r="M1653" s="10" t="n">
        <v>16.2</v>
      </c>
      <c r="N1653" s="10">
        <f>L1653-M1653</f>
        <v/>
      </c>
    </row>
    <row r="1654">
      <c r="A1654" s="7" t="inlineStr">
        <is>
          <t>ORD-03964</t>
        </is>
      </c>
      <c r="B1654" s="8" t="n">
        <v>45286</v>
      </c>
      <c r="C1654" s="9" t="n">
        <v>45261</v>
      </c>
      <c r="D1654" s="7" t="n">
        <v>2023</v>
      </c>
      <c r="E1654" s="7" t="inlineStr">
        <is>
          <t>North</t>
        </is>
      </c>
      <c r="F1654" s="7" t="inlineStr">
        <is>
          <t>Technology</t>
        </is>
      </c>
      <c r="G1654" s="7" t="inlineStr">
        <is>
          <t>Laptop</t>
        </is>
      </c>
      <c r="H1654" s="7" t="inlineStr">
        <is>
          <t>Home Office</t>
        </is>
      </c>
      <c r="I1654" s="7" t="n">
        <v>2</v>
      </c>
      <c r="J1654" s="10" t="n">
        <v>927.0700000000001</v>
      </c>
      <c r="K1654" s="11" t="n">
        <v>0.05</v>
      </c>
      <c r="L1654" s="10">
        <f>I1654*J1654*(1-K1654)</f>
        <v/>
      </c>
      <c r="M1654" s="10" t="n">
        <v>1404</v>
      </c>
      <c r="N1654" s="10">
        <f>L1654-M1654</f>
        <v/>
      </c>
    </row>
    <row r="1655">
      <c r="A1655" s="7" t="inlineStr">
        <is>
          <t>ORD-02459</t>
        </is>
      </c>
      <c r="B1655" s="8" t="n">
        <v>45286</v>
      </c>
      <c r="C1655" s="9" t="n">
        <v>45261</v>
      </c>
      <c r="D1655" s="7" t="n">
        <v>2023</v>
      </c>
      <c r="E1655" s="7" t="inlineStr">
        <is>
          <t>South</t>
        </is>
      </c>
      <c r="F1655" s="7" t="inlineStr">
        <is>
          <t>Office Supplies</t>
        </is>
      </c>
      <c r="G1655" s="7" t="inlineStr">
        <is>
          <t>Pens</t>
        </is>
      </c>
      <c r="H1655" s="7" t="inlineStr">
        <is>
          <t>Corporate</t>
        </is>
      </c>
      <c r="I1655" s="7" t="n">
        <v>11</v>
      </c>
      <c r="J1655" s="10" t="n">
        <v>11.81</v>
      </c>
      <c r="K1655" s="11" t="n">
        <v>0.05</v>
      </c>
      <c r="L1655" s="10">
        <f>I1655*J1655*(1-K1655)</f>
        <v/>
      </c>
      <c r="M1655" s="10" t="n">
        <v>59.4</v>
      </c>
      <c r="N1655" s="10">
        <f>L1655-M1655</f>
        <v/>
      </c>
    </row>
    <row r="1656">
      <c r="A1656" s="7" t="inlineStr">
        <is>
          <t>ORD-04843</t>
        </is>
      </c>
      <c r="B1656" s="8" t="n">
        <v>45287</v>
      </c>
      <c r="C1656" s="9" t="n">
        <v>45261</v>
      </c>
      <c r="D1656" s="7" t="n">
        <v>2023</v>
      </c>
      <c r="E1656" s="7" t="inlineStr">
        <is>
          <t>West</t>
        </is>
      </c>
      <c r="F1656" s="7" t="inlineStr">
        <is>
          <t>Office Supplies</t>
        </is>
      </c>
      <c r="G1656" s="7" t="inlineStr">
        <is>
          <t>Binder</t>
        </is>
      </c>
      <c r="H1656" s="7" t="inlineStr">
        <is>
          <t>Consumer</t>
        </is>
      </c>
      <c r="I1656" s="7" t="n">
        <v>10</v>
      </c>
      <c r="J1656" s="10" t="n">
        <v>8.199999999999999</v>
      </c>
      <c r="K1656" s="11" t="n">
        <v>0.05</v>
      </c>
      <c r="L1656" s="10">
        <f>I1656*J1656*(1-K1656)</f>
        <v/>
      </c>
      <c r="M1656" s="10" t="n">
        <v>32</v>
      </c>
      <c r="N1656" s="10">
        <f>L1656-M1656</f>
        <v/>
      </c>
    </row>
    <row r="1657">
      <c r="A1657" s="7" t="inlineStr">
        <is>
          <t>ORD-04793</t>
        </is>
      </c>
      <c r="B1657" s="8" t="n">
        <v>45287</v>
      </c>
      <c r="C1657" s="9" t="n">
        <v>45261</v>
      </c>
      <c r="D1657" s="7" t="n">
        <v>2023</v>
      </c>
      <c r="E1657" s="7" t="inlineStr">
        <is>
          <t>East</t>
        </is>
      </c>
      <c r="F1657" s="7" t="inlineStr">
        <is>
          <t>Technology</t>
        </is>
      </c>
      <c r="G1657" s="7" t="inlineStr">
        <is>
          <t>Smartphone</t>
        </is>
      </c>
      <c r="H1657" s="7" t="inlineStr">
        <is>
          <t>Consumer</t>
        </is>
      </c>
      <c r="I1657" s="7" t="n">
        <v>2</v>
      </c>
      <c r="J1657" s="10" t="n">
        <v>594.3099999999999</v>
      </c>
      <c r="K1657" s="11" t="n">
        <v>0</v>
      </c>
      <c r="L1657" s="10">
        <f>I1657*J1657*(1-K1657)</f>
        <v/>
      </c>
      <c r="M1657" s="10" t="n">
        <v>900</v>
      </c>
      <c r="N1657" s="10">
        <f>L1657-M1657</f>
        <v/>
      </c>
    </row>
    <row r="1658">
      <c r="A1658" s="7" t="inlineStr">
        <is>
          <t>ORD-03332</t>
        </is>
      </c>
      <c r="B1658" s="8" t="n">
        <v>45287</v>
      </c>
      <c r="C1658" s="9" t="n">
        <v>45261</v>
      </c>
      <c r="D1658" s="7" t="n">
        <v>2023</v>
      </c>
      <c r="E1658" s="7" t="inlineStr">
        <is>
          <t>West</t>
        </is>
      </c>
      <c r="F1658" s="7" t="inlineStr">
        <is>
          <t>Technology</t>
        </is>
      </c>
      <c r="G1658" s="7" t="inlineStr">
        <is>
          <t>Smartphone</t>
        </is>
      </c>
      <c r="H1658" s="7" t="inlineStr">
        <is>
          <t>Corporate</t>
        </is>
      </c>
      <c r="I1658" s="7" t="n">
        <v>2</v>
      </c>
      <c r="J1658" s="10" t="n">
        <v>628.51</v>
      </c>
      <c r="K1658" s="11" t="n">
        <v>0</v>
      </c>
      <c r="L1658" s="10">
        <f>I1658*J1658*(1-K1658)</f>
        <v/>
      </c>
      <c r="M1658" s="10" t="n">
        <v>900</v>
      </c>
      <c r="N1658" s="10">
        <f>L1658-M1658</f>
        <v/>
      </c>
    </row>
    <row r="1659">
      <c r="A1659" s="7" t="inlineStr">
        <is>
          <t>ORD-02877</t>
        </is>
      </c>
      <c r="B1659" s="8" t="n">
        <v>45287</v>
      </c>
      <c r="C1659" s="9" t="n">
        <v>45261</v>
      </c>
      <c r="D1659" s="7" t="n">
        <v>2023</v>
      </c>
      <c r="E1659" s="7" t="inlineStr">
        <is>
          <t>North</t>
        </is>
      </c>
      <c r="F1659" s="7" t="inlineStr">
        <is>
          <t>Office Supplies</t>
        </is>
      </c>
      <c r="G1659" s="7" t="inlineStr">
        <is>
          <t>Printer Ink</t>
        </is>
      </c>
      <c r="H1659" s="7" t="inlineStr">
        <is>
          <t>Home Office</t>
        </is>
      </c>
      <c r="I1659" s="7" t="n">
        <v>7</v>
      </c>
      <c r="J1659" s="10" t="n">
        <v>57.05</v>
      </c>
      <c r="K1659" s="11" t="n">
        <v>0.05</v>
      </c>
      <c r="L1659" s="10">
        <f>I1659*J1659*(1-K1659)</f>
        <v/>
      </c>
      <c r="M1659" s="10" t="n">
        <v>252</v>
      </c>
      <c r="N1659" s="10">
        <f>L1659-M1659</f>
        <v/>
      </c>
    </row>
    <row r="1660">
      <c r="A1660" s="7" t="inlineStr">
        <is>
          <t>ORD-01898</t>
        </is>
      </c>
      <c r="B1660" s="8" t="n">
        <v>45287</v>
      </c>
      <c r="C1660" s="9" t="n">
        <v>45261</v>
      </c>
      <c r="D1660" s="7" t="n">
        <v>2023</v>
      </c>
      <c r="E1660" s="7" t="inlineStr">
        <is>
          <t>West</t>
        </is>
      </c>
      <c r="F1660" s="7" t="inlineStr">
        <is>
          <t>Office Supplies</t>
        </is>
      </c>
      <c r="G1660" s="7" t="inlineStr">
        <is>
          <t>Paper</t>
        </is>
      </c>
      <c r="H1660" s="7" t="inlineStr">
        <is>
          <t>Consumer</t>
        </is>
      </c>
      <c r="I1660" s="7" t="n">
        <v>15</v>
      </c>
      <c r="J1660" s="10" t="n">
        <v>24.88</v>
      </c>
      <c r="K1660" s="11" t="n">
        <v>0</v>
      </c>
      <c r="L1660" s="10">
        <f>I1660*J1660*(1-K1660)</f>
        <v/>
      </c>
      <c r="M1660" s="10" t="n">
        <v>187.5</v>
      </c>
      <c r="N1660" s="10">
        <f>L1660-M1660</f>
        <v/>
      </c>
    </row>
    <row r="1661">
      <c r="A1661" s="7" t="inlineStr">
        <is>
          <t>ORD-01652</t>
        </is>
      </c>
      <c r="B1661" s="8" t="n">
        <v>45287</v>
      </c>
      <c r="C1661" s="9" t="n">
        <v>45261</v>
      </c>
      <c r="D1661" s="7" t="n">
        <v>2023</v>
      </c>
      <c r="E1661" s="7" t="inlineStr">
        <is>
          <t>West</t>
        </is>
      </c>
      <c r="F1661" s="7" t="inlineStr">
        <is>
          <t>Furniture</t>
        </is>
      </c>
      <c r="G1661" s="7" t="inlineStr">
        <is>
          <t>Office Chair</t>
        </is>
      </c>
      <c r="H1661" s="7" t="inlineStr">
        <is>
          <t>Consumer</t>
        </is>
      </c>
      <c r="I1661" s="7" t="n">
        <v>2</v>
      </c>
      <c r="J1661" s="10" t="n">
        <v>216.04</v>
      </c>
      <c r="K1661" s="11" t="n">
        <v>0.2</v>
      </c>
      <c r="L1661" s="10">
        <f>I1661*J1661*(1-K1661)</f>
        <v/>
      </c>
      <c r="M1661" s="10" t="n">
        <v>360.8</v>
      </c>
      <c r="N1661" s="10">
        <f>L1661-M1661</f>
        <v/>
      </c>
    </row>
    <row r="1662">
      <c r="A1662" s="7" t="inlineStr">
        <is>
          <t>ORD-03221</t>
        </is>
      </c>
      <c r="B1662" s="8" t="n">
        <v>45287</v>
      </c>
      <c r="C1662" s="9" t="n">
        <v>45261</v>
      </c>
      <c r="D1662" s="7" t="n">
        <v>2023</v>
      </c>
      <c r="E1662" s="7" t="inlineStr">
        <is>
          <t>North</t>
        </is>
      </c>
      <c r="F1662" s="7" t="inlineStr">
        <is>
          <t>Technology</t>
        </is>
      </c>
      <c r="G1662" s="7" t="inlineStr">
        <is>
          <t>Smartphone</t>
        </is>
      </c>
      <c r="H1662" s="7" t="inlineStr">
        <is>
          <t>Consumer</t>
        </is>
      </c>
      <c r="I1662" s="7" t="n">
        <v>3</v>
      </c>
      <c r="J1662" s="10" t="n">
        <v>595.24</v>
      </c>
      <c r="K1662" s="11" t="n">
        <v>0.05</v>
      </c>
      <c r="L1662" s="10">
        <f>I1662*J1662*(1-K1662)</f>
        <v/>
      </c>
      <c r="M1662" s="10" t="n">
        <v>1350</v>
      </c>
      <c r="N1662" s="10">
        <f>L1662-M1662</f>
        <v/>
      </c>
    </row>
    <row r="1663">
      <c r="A1663" s="7" t="inlineStr">
        <is>
          <t>ORD-04563</t>
        </is>
      </c>
      <c r="B1663" s="8" t="n">
        <v>45287</v>
      </c>
      <c r="C1663" s="9" t="n">
        <v>45261</v>
      </c>
      <c r="D1663" s="7" t="n">
        <v>2023</v>
      </c>
      <c r="E1663" s="7" t="inlineStr">
        <is>
          <t>South</t>
        </is>
      </c>
      <c r="F1663" s="7" t="inlineStr">
        <is>
          <t>Office Supplies</t>
        </is>
      </c>
      <c r="G1663" s="7" t="inlineStr">
        <is>
          <t>Paper</t>
        </is>
      </c>
      <c r="H1663" s="7" t="inlineStr">
        <is>
          <t>Consumer</t>
        </is>
      </c>
      <c r="I1663" s="7" t="n">
        <v>9</v>
      </c>
      <c r="J1663" s="10" t="n">
        <v>24.71</v>
      </c>
      <c r="K1663" s="11" t="n">
        <v>0.1</v>
      </c>
      <c r="L1663" s="10">
        <f>I1663*J1663*(1-K1663)</f>
        <v/>
      </c>
      <c r="M1663" s="10" t="n">
        <v>112.5</v>
      </c>
      <c r="N1663" s="10">
        <f>L1663-M1663</f>
        <v/>
      </c>
    </row>
    <row r="1664">
      <c r="A1664" s="7" t="inlineStr">
        <is>
          <t>ORD-04546</t>
        </is>
      </c>
      <c r="B1664" s="8" t="n">
        <v>45287</v>
      </c>
      <c r="C1664" s="9" t="n">
        <v>45261</v>
      </c>
      <c r="D1664" s="7" t="n">
        <v>2023</v>
      </c>
      <c r="E1664" s="7" t="inlineStr">
        <is>
          <t>North</t>
        </is>
      </c>
      <c r="F1664" s="7" t="inlineStr">
        <is>
          <t>Office Supplies</t>
        </is>
      </c>
      <c r="G1664" s="7" t="inlineStr">
        <is>
          <t>Pens</t>
        </is>
      </c>
      <c r="H1664" s="7" t="inlineStr">
        <is>
          <t>Consumer</t>
        </is>
      </c>
      <c r="I1664" s="7" t="n">
        <v>6</v>
      </c>
      <c r="J1664" s="10" t="n">
        <v>12.44</v>
      </c>
      <c r="K1664" s="11" t="n">
        <v>0</v>
      </c>
      <c r="L1664" s="10">
        <f>I1664*J1664*(1-K1664)</f>
        <v/>
      </c>
      <c r="M1664" s="10" t="n">
        <v>32.4</v>
      </c>
      <c r="N1664" s="10">
        <f>L1664-M1664</f>
        <v/>
      </c>
    </row>
    <row r="1665">
      <c r="A1665" s="7" t="inlineStr">
        <is>
          <t>ORD-04082</t>
        </is>
      </c>
      <c r="B1665" s="8" t="n">
        <v>45287</v>
      </c>
      <c r="C1665" s="9" t="n">
        <v>45261</v>
      </c>
      <c r="D1665" s="7" t="n">
        <v>2023</v>
      </c>
      <c r="E1665" s="7" t="inlineStr">
        <is>
          <t>West</t>
        </is>
      </c>
      <c r="F1665" s="7" t="inlineStr">
        <is>
          <t>Technology</t>
        </is>
      </c>
      <c r="G1665" s="7" t="inlineStr">
        <is>
          <t>Monitor</t>
        </is>
      </c>
      <c r="H1665" s="7" t="inlineStr">
        <is>
          <t>Corporate</t>
        </is>
      </c>
      <c r="I1665" s="7" t="n">
        <v>1</v>
      </c>
      <c r="J1665" s="10" t="n">
        <v>260.76</v>
      </c>
      <c r="K1665" s="11" t="n">
        <v>0.05</v>
      </c>
      <c r="L1665" s="10">
        <f>I1665*J1665*(1-K1665)</f>
        <v/>
      </c>
      <c r="M1665" s="10" t="n">
        <v>180</v>
      </c>
      <c r="N1665" s="10">
        <f>L1665-M1665</f>
        <v/>
      </c>
    </row>
    <row r="1666">
      <c r="A1666" s="7" t="inlineStr">
        <is>
          <t>ORD-04822</t>
        </is>
      </c>
      <c r="B1666" s="8" t="n">
        <v>45287</v>
      </c>
      <c r="C1666" s="9" t="n">
        <v>45261</v>
      </c>
      <c r="D1666" s="7" t="n">
        <v>2023</v>
      </c>
      <c r="E1666" s="7" t="inlineStr">
        <is>
          <t>West</t>
        </is>
      </c>
      <c r="F1666" s="7" t="inlineStr">
        <is>
          <t>Office Supplies</t>
        </is>
      </c>
      <c r="G1666" s="7" t="inlineStr">
        <is>
          <t>Binder</t>
        </is>
      </c>
      <c r="H1666" s="7" t="inlineStr">
        <is>
          <t>Home Office</t>
        </is>
      </c>
      <c r="I1666" s="7" t="n">
        <v>6</v>
      </c>
      <c r="J1666" s="10" t="n">
        <v>8.01</v>
      </c>
      <c r="K1666" s="11" t="n">
        <v>0</v>
      </c>
      <c r="L1666" s="10">
        <f>I1666*J1666*(1-K1666)</f>
        <v/>
      </c>
      <c r="M1666" s="10" t="n">
        <v>19.2</v>
      </c>
      <c r="N1666" s="10">
        <f>L1666-M1666</f>
        <v/>
      </c>
    </row>
    <row r="1667">
      <c r="A1667" s="7" t="inlineStr">
        <is>
          <t>ORD-00661</t>
        </is>
      </c>
      <c r="B1667" s="8" t="n">
        <v>45287</v>
      </c>
      <c r="C1667" s="9" t="n">
        <v>45261</v>
      </c>
      <c r="D1667" s="7" t="n">
        <v>2023</v>
      </c>
      <c r="E1667" s="7" t="inlineStr">
        <is>
          <t>East</t>
        </is>
      </c>
      <c r="F1667" s="7" t="inlineStr">
        <is>
          <t>Office Supplies</t>
        </is>
      </c>
      <c r="G1667" s="7" t="inlineStr">
        <is>
          <t>Paper</t>
        </is>
      </c>
      <c r="H1667" s="7" t="inlineStr">
        <is>
          <t>Home Office</t>
        </is>
      </c>
      <c r="I1667" s="7" t="n">
        <v>11</v>
      </c>
      <c r="J1667" s="10" t="n">
        <v>25.84</v>
      </c>
      <c r="K1667" s="11" t="n">
        <v>0.2</v>
      </c>
      <c r="L1667" s="10">
        <f>I1667*J1667*(1-K1667)</f>
        <v/>
      </c>
      <c r="M1667" s="10" t="n">
        <v>137.5</v>
      </c>
      <c r="N1667" s="10">
        <f>L1667-M1667</f>
        <v/>
      </c>
    </row>
    <row r="1668">
      <c r="A1668" s="7" t="inlineStr">
        <is>
          <t>ORD-05056</t>
        </is>
      </c>
      <c r="B1668" s="8" t="n">
        <v>45287</v>
      </c>
      <c r="C1668" s="9" t="n">
        <v>45261</v>
      </c>
      <c r="D1668" s="7" t="n">
        <v>2023</v>
      </c>
      <c r="E1668" s="7" t="inlineStr">
        <is>
          <t>South</t>
        </is>
      </c>
      <c r="F1668" s="7" t="inlineStr">
        <is>
          <t>Office Supplies</t>
        </is>
      </c>
      <c r="G1668" s="7" t="inlineStr">
        <is>
          <t>Paper</t>
        </is>
      </c>
      <c r="H1668" s="7" t="inlineStr">
        <is>
          <t>Consumer</t>
        </is>
      </c>
      <c r="I1668" s="7" t="n">
        <v>11</v>
      </c>
      <c r="J1668" s="10" t="n">
        <v>24.76</v>
      </c>
      <c r="K1668" s="11" t="n">
        <v>0</v>
      </c>
      <c r="L1668" s="10">
        <f>I1668*J1668*(1-K1668)</f>
        <v/>
      </c>
      <c r="M1668" s="10" t="n">
        <v>137.5</v>
      </c>
      <c r="N1668" s="10">
        <f>L1668-M1668</f>
        <v/>
      </c>
    </row>
    <row r="1669">
      <c r="A1669" s="7" t="inlineStr">
        <is>
          <t>ORD-03283</t>
        </is>
      </c>
      <c r="B1669" s="8" t="n">
        <v>45288</v>
      </c>
      <c r="C1669" s="9" t="n">
        <v>45261</v>
      </c>
      <c r="D1669" s="7" t="n">
        <v>2023</v>
      </c>
      <c r="E1669" s="7" t="inlineStr">
        <is>
          <t>East</t>
        </is>
      </c>
      <c r="F1669" s="7" t="inlineStr">
        <is>
          <t>Office Supplies</t>
        </is>
      </c>
      <c r="G1669" s="7" t="inlineStr">
        <is>
          <t>Stapler</t>
        </is>
      </c>
      <c r="H1669" s="7" t="inlineStr">
        <is>
          <t>Home Office</t>
        </is>
      </c>
      <c r="I1669" s="7" t="n">
        <v>9</v>
      </c>
      <c r="J1669" s="10" t="n">
        <v>14.35</v>
      </c>
      <c r="K1669" s="11" t="n">
        <v>0.2</v>
      </c>
      <c r="L1669" s="10">
        <f>I1669*J1669*(1-K1669)</f>
        <v/>
      </c>
      <c r="M1669" s="10" t="n">
        <v>67.5</v>
      </c>
      <c r="N1669" s="10">
        <f>L1669-M1669</f>
        <v/>
      </c>
    </row>
    <row r="1670">
      <c r="A1670" s="7" t="inlineStr">
        <is>
          <t>ORD-04779</t>
        </is>
      </c>
      <c r="B1670" s="8" t="n">
        <v>45288</v>
      </c>
      <c r="C1670" s="9" t="n">
        <v>45261</v>
      </c>
      <c r="D1670" s="7" t="n">
        <v>2023</v>
      </c>
      <c r="E1670" s="7" t="inlineStr">
        <is>
          <t>South</t>
        </is>
      </c>
      <c r="F1670" s="7" t="inlineStr">
        <is>
          <t>Technology</t>
        </is>
      </c>
      <c r="G1670" s="7" t="inlineStr">
        <is>
          <t>Headphones</t>
        </is>
      </c>
      <c r="H1670" s="7" t="inlineStr">
        <is>
          <t>Corporate</t>
        </is>
      </c>
      <c r="I1670" s="7" t="n">
        <v>2</v>
      </c>
      <c r="J1670" s="10" t="n">
        <v>125.46</v>
      </c>
      <c r="K1670" s="11" t="n">
        <v>0.2</v>
      </c>
      <c r="L1670" s="10">
        <f>I1670*J1670*(1-K1670)</f>
        <v/>
      </c>
      <c r="M1670" s="10" t="n">
        <v>144</v>
      </c>
      <c r="N1670" s="10">
        <f>L1670-M1670</f>
        <v/>
      </c>
    </row>
    <row r="1671">
      <c r="A1671" s="7" t="inlineStr">
        <is>
          <t>ORD-01606</t>
        </is>
      </c>
      <c r="B1671" s="8" t="n">
        <v>45288</v>
      </c>
      <c r="C1671" s="9" t="n">
        <v>45261</v>
      </c>
      <c r="D1671" s="7" t="n">
        <v>2023</v>
      </c>
      <c r="E1671" s="7" t="inlineStr">
        <is>
          <t>North</t>
        </is>
      </c>
      <c r="F1671" s="7" t="inlineStr">
        <is>
          <t>Office Supplies</t>
        </is>
      </c>
      <c r="G1671" s="7" t="inlineStr">
        <is>
          <t>Paper</t>
        </is>
      </c>
      <c r="H1671" s="7" t="inlineStr">
        <is>
          <t>Corporate</t>
        </is>
      </c>
      <c r="I1671" s="7" t="n">
        <v>11</v>
      </c>
      <c r="J1671" s="10" t="n">
        <v>24.26</v>
      </c>
      <c r="K1671" s="11" t="n">
        <v>0.05</v>
      </c>
      <c r="L1671" s="10">
        <f>I1671*J1671*(1-K1671)</f>
        <v/>
      </c>
      <c r="M1671" s="10" t="n">
        <v>137.5</v>
      </c>
      <c r="N1671" s="10">
        <f>L1671-M1671</f>
        <v/>
      </c>
    </row>
    <row r="1672">
      <c r="A1672" s="7" t="inlineStr">
        <is>
          <t>ORD-04923</t>
        </is>
      </c>
      <c r="B1672" s="8" t="n">
        <v>45288</v>
      </c>
      <c r="C1672" s="9" t="n">
        <v>45261</v>
      </c>
      <c r="D1672" s="7" t="n">
        <v>2023</v>
      </c>
      <c r="E1672" s="7" t="inlineStr">
        <is>
          <t>South</t>
        </is>
      </c>
      <c r="F1672" s="7" t="inlineStr">
        <is>
          <t>Office Supplies</t>
        </is>
      </c>
      <c r="G1672" s="7" t="inlineStr">
        <is>
          <t>Pens</t>
        </is>
      </c>
      <c r="H1672" s="7" t="inlineStr">
        <is>
          <t>Home Office</t>
        </is>
      </c>
      <c r="I1672" s="7" t="n">
        <v>5</v>
      </c>
      <c r="J1672" s="10" t="n">
        <v>12.26</v>
      </c>
      <c r="K1672" s="11" t="n">
        <v>0.3</v>
      </c>
      <c r="L1672" s="10">
        <f>I1672*J1672*(1-K1672)</f>
        <v/>
      </c>
      <c r="M1672" s="10" t="n">
        <v>27</v>
      </c>
      <c r="N1672" s="10">
        <f>L1672-M1672</f>
        <v/>
      </c>
    </row>
    <row r="1673">
      <c r="A1673" s="7" t="inlineStr">
        <is>
          <t>ORD-01053</t>
        </is>
      </c>
      <c r="B1673" s="8" t="n">
        <v>45288</v>
      </c>
      <c r="C1673" s="9" t="n">
        <v>45261</v>
      </c>
      <c r="D1673" s="7" t="n">
        <v>2023</v>
      </c>
      <c r="E1673" s="7" t="inlineStr">
        <is>
          <t>East</t>
        </is>
      </c>
      <c r="F1673" s="7" t="inlineStr">
        <is>
          <t>Office Supplies</t>
        </is>
      </c>
      <c r="G1673" s="7" t="inlineStr">
        <is>
          <t>Binder</t>
        </is>
      </c>
      <c r="H1673" s="7" t="inlineStr">
        <is>
          <t>Consumer</t>
        </is>
      </c>
      <c r="I1673" s="7" t="n">
        <v>8</v>
      </c>
      <c r="J1673" s="10" t="n">
        <v>7.69</v>
      </c>
      <c r="K1673" s="11" t="n">
        <v>0</v>
      </c>
      <c r="L1673" s="10">
        <f>I1673*J1673*(1-K1673)</f>
        <v/>
      </c>
      <c r="M1673" s="10" t="n">
        <v>25.6</v>
      </c>
      <c r="N1673" s="10">
        <f>L1673-M1673</f>
        <v/>
      </c>
    </row>
    <row r="1674">
      <c r="A1674" s="7" t="inlineStr">
        <is>
          <t>ORD-05731</t>
        </is>
      </c>
      <c r="B1674" s="8" t="n">
        <v>45288</v>
      </c>
      <c r="C1674" s="9" t="n">
        <v>45261</v>
      </c>
      <c r="D1674" s="7" t="n">
        <v>2023</v>
      </c>
      <c r="E1674" s="7" t="inlineStr">
        <is>
          <t>North</t>
        </is>
      </c>
      <c r="F1674" s="7" t="inlineStr">
        <is>
          <t>Furniture</t>
        </is>
      </c>
      <c r="G1674" s="7" t="inlineStr">
        <is>
          <t>Desk</t>
        </is>
      </c>
      <c r="H1674" s="7" t="inlineStr">
        <is>
          <t>Consumer</t>
        </is>
      </c>
      <c r="I1674" s="7" t="n">
        <v>1</v>
      </c>
      <c r="J1674" s="10" t="n">
        <v>444.86</v>
      </c>
      <c r="K1674" s="11" t="n">
        <v>0.3</v>
      </c>
      <c r="L1674" s="10">
        <f>I1674*J1674*(1-K1674)</f>
        <v/>
      </c>
      <c r="M1674" s="10" t="n">
        <v>382.5</v>
      </c>
      <c r="N1674" s="10">
        <f>L1674-M1674</f>
        <v/>
      </c>
    </row>
    <row r="1675">
      <c r="A1675" s="7" t="inlineStr">
        <is>
          <t>ORD-02158</t>
        </is>
      </c>
      <c r="B1675" s="8" t="n">
        <v>45288</v>
      </c>
      <c r="C1675" s="9" t="n">
        <v>45261</v>
      </c>
      <c r="D1675" s="7" t="n">
        <v>2023</v>
      </c>
      <c r="E1675" s="7" t="inlineStr">
        <is>
          <t>West</t>
        </is>
      </c>
      <c r="F1675" s="7" t="inlineStr">
        <is>
          <t>Office Supplies</t>
        </is>
      </c>
      <c r="G1675" s="7" t="inlineStr">
        <is>
          <t>Pens</t>
        </is>
      </c>
      <c r="H1675" s="7" t="inlineStr">
        <is>
          <t>Home Office</t>
        </is>
      </c>
      <c r="I1675" s="7" t="n">
        <v>14</v>
      </c>
      <c r="J1675" s="10" t="n">
        <v>11.44</v>
      </c>
      <c r="K1675" s="11" t="n">
        <v>0.3</v>
      </c>
      <c r="L1675" s="10">
        <f>I1675*J1675*(1-K1675)</f>
        <v/>
      </c>
      <c r="M1675" s="10" t="n">
        <v>75.59999999999999</v>
      </c>
      <c r="N1675" s="10">
        <f>L1675-M1675</f>
        <v/>
      </c>
    </row>
    <row r="1676">
      <c r="A1676" s="7" t="inlineStr">
        <is>
          <t>ORD-05340</t>
        </is>
      </c>
      <c r="B1676" s="8" t="n">
        <v>45289</v>
      </c>
      <c r="C1676" s="9" t="n">
        <v>45261</v>
      </c>
      <c r="D1676" s="7" t="n">
        <v>2023</v>
      </c>
      <c r="E1676" s="7" t="inlineStr">
        <is>
          <t>West</t>
        </is>
      </c>
      <c r="F1676" s="7" t="inlineStr">
        <is>
          <t>Office Supplies</t>
        </is>
      </c>
      <c r="G1676" s="7" t="inlineStr">
        <is>
          <t>Pens</t>
        </is>
      </c>
      <c r="H1676" s="7" t="inlineStr">
        <is>
          <t>Consumer</t>
        </is>
      </c>
      <c r="I1676" s="7" t="n">
        <v>6</v>
      </c>
      <c r="J1676" s="10" t="n">
        <v>11.87</v>
      </c>
      <c r="K1676" s="11" t="n">
        <v>0</v>
      </c>
      <c r="L1676" s="10">
        <f>I1676*J1676*(1-K1676)</f>
        <v/>
      </c>
      <c r="M1676" s="10" t="n">
        <v>32.4</v>
      </c>
      <c r="N1676" s="10">
        <f>L1676-M1676</f>
        <v/>
      </c>
    </row>
    <row r="1677">
      <c r="A1677" s="7" t="inlineStr">
        <is>
          <t>ORD-03641</t>
        </is>
      </c>
      <c r="B1677" s="8" t="n">
        <v>45289</v>
      </c>
      <c r="C1677" s="9" t="n">
        <v>45261</v>
      </c>
      <c r="D1677" s="7" t="n">
        <v>2023</v>
      </c>
      <c r="E1677" s="7" t="inlineStr">
        <is>
          <t>South</t>
        </is>
      </c>
      <c r="F1677" s="7" t="inlineStr">
        <is>
          <t>Office Supplies</t>
        </is>
      </c>
      <c r="G1677" s="7" t="inlineStr">
        <is>
          <t>Pens</t>
        </is>
      </c>
      <c r="H1677" s="7" t="inlineStr">
        <is>
          <t>Consumer</t>
        </is>
      </c>
      <c r="I1677" s="7" t="n">
        <v>7</v>
      </c>
      <c r="J1677" s="10" t="n">
        <v>12.06</v>
      </c>
      <c r="K1677" s="11" t="n">
        <v>0.3</v>
      </c>
      <c r="L1677" s="10">
        <f>I1677*J1677*(1-K1677)</f>
        <v/>
      </c>
      <c r="M1677" s="10" t="n">
        <v>37.8</v>
      </c>
      <c r="N1677" s="10">
        <f>L1677-M1677</f>
        <v/>
      </c>
    </row>
    <row r="1678">
      <c r="A1678" s="7" t="inlineStr">
        <is>
          <t>ORD-05069</t>
        </is>
      </c>
      <c r="B1678" s="8" t="n">
        <v>45289</v>
      </c>
      <c r="C1678" s="9" t="n">
        <v>45261</v>
      </c>
      <c r="D1678" s="7" t="n">
        <v>2023</v>
      </c>
      <c r="E1678" s="7" t="inlineStr">
        <is>
          <t>East</t>
        </is>
      </c>
      <c r="F1678" s="7" t="inlineStr">
        <is>
          <t>Technology</t>
        </is>
      </c>
      <c r="G1678" s="7" t="inlineStr">
        <is>
          <t>Laptop</t>
        </is>
      </c>
      <c r="H1678" s="7" t="inlineStr">
        <is>
          <t>Consumer</t>
        </is>
      </c>
      <c r="I1678" s="7" t="n">
        <v>2</v>
      </c>
      <c r="J1678" s="10" t="n">
        <v>870.62</v>
      </c>
      <c r="K1678" s="11" t="n">
        <v>0</v>
      </c>
      <c r="L1678" s="10">
        <f>I1678*J1678*(1-K1678)</f>
        <v/>
      </c>
      <c r="M1678" s="10" t="n">
        <v>1404</v>
      </c>
      <c r="N1678" s="10">
        <f>L1678-M1678</f>
        <v/>
      </c>
    </row>
    <row r="1679">
      <c r="A1679" s="7" t="inlineStr">
        <is>
          <t>ORD-02505</t>
        </is>
      </c>
      <c r="B1679" s="8" t="n">
        <v>45289</v>
      </c>
      <c r="C1679" s="9" t="n">
        <v>45261</v>
      </c>
      <c r="D1679" s="7" t="n">
        <v>2023</v>
      </c>
      <c r="E1679" s="7" t="inlineStr">
        <is>
          <t>South</t>
        </is>
      </c>
      <c r="F1679" s="7" t="inlineStr">
        <is>
          <t>Office Supplies</t>
        </is>
      </c>
      <c r="G1679" s="7" t="inlineStr">
        <is>
          <t>Pens</t>
        </is>
      </c>
      <c r="H1679" s="7" t="inlineStr">
        <is>
          <t>Corporate</t>
        </is>
      </c>
      <c r="I1679" s="7" t="n">
        <v>9</v>
      </c>
      <c r="J1679" s="10" t="n">
        <v>11.84</v>
      </c>
      <c r="K1679" s="11" t="n">
        <v>0</v>
      </c>
      <c r="L1679" s="10">
        <f>I1679*J1679*(1-K1679)</f>
        <v/>
      </c>
      <c r="M1679" s="10" t="n">
        <v>48.6</v>
      </c>
      <c r="N1679" s="10">
        <f>L1679-M1679</f>
        <v/>
      </c>
    </row>
    <row r="1680">
      <c r="A1680" s="7" t="inlineStr">
        <is>
          <t>ORD-05150</t>
        </is>
      </c>
      <c r="B1680" s="8" t="n">
        <v>45289</v>
      </c>
      <c r="C1680" s="9" t="n">
        <v>45261</v>
      </c>
      <c r="D1680" s="7" t="n">
        <v>2023</v>
      </c>
      <c r="E1680" s="7" t="inlineStr">
        <is>
          <t>South</t>
        </is>
      </c>
      <c r="F1680" s="7" t="inlineStr">
        <is>
          <t>Office Supplies</t>
        </is>
      </c>
      <c r="G1680" s="7" t="inlineStr">
        <is>
          <t>Paper</t>
        </is>
      </c>
      <c r="H1680" s="7" t="inlineStr">
        <is>
          <t>Consumer</t>
        </is>
      </c>
      <c r="I1680" s="7" t="n">
        <v>6</v>
      </c>
      <c r="J1680" s="10" t="n">
        <v>25.33</v>
      </c>
      <c r="K1680" s="11" t="n">
        <v>0.3</v>
      </c>
      <c r="L1680" s="10">
        <f>I1680*J1680*(1-K1680)</f>
        <v/>
      </c>
      <c r="M1680" s="10" t="n">
        <v>75</v>
      </c>
      <c r="N1680" s="10">
        <f>L1680-M1680</f>
        <v/>
      </c>
    </row>
    <row r="1681">
      <c r="A1681" s="7" t="inlineStr">
        <is>
          <t>ORD-03852</t>
        </is>
      </c>
      <c r="B1681" s="8" t="n">
        <v>45290</v>
      </c>
      <c r="C1681" s="9" t="n">
        <v>45261</v>
      </c>
      <c r="D1681" s="7" t="n">
        <v>2023</v>
      </c>
      <c r="E1681" s="7" t="inlineStr">
        <is>
          <t>South</t>
        </is>
      </c>
      <c r="F1681" s="7" t="inlineStr">
        <is>
          <t>Office Supplies</t>
        </is>
      </c>
      <c r="G1681" s="7" t="inlineStr">
        <is>
          <t>Binder</t>
        </is>
      </c>
      <c r="H1681" s="7" t="inlineStr">
        <is>
          <t>Consumer</t>
        </is>
      </c>
      <c r="I1681" s="7" t="n">
        <v>2</v>
      </c>
      <c r="J1681" s="10" t="n">
        <v>8.140000000000001</v>
      </c>
      <c r="K1681" s="11" t="n">
        <v>0.05</v>
      </c>
      <c r="L1681" s="10">
        <f>I1681*J1681*(1-K1681)</f>
        <v/>
      </c>
      <c r="M1681" s="10" t="n">
        <v>6.4</v>
      </c>
      <c r="N1681" s="10">
        <f>L1681-M1681</f>
        <v/>
      </c>
    </row>
    <row r="1682">
      <c r="A1682" s="7" t="inlineStr">
        <is>
          <t>ORD-02982</t>
        </is>
      </c>
      <c r="B1682" s="8" t="n">
        <v>45290</v>
      </c>
      <c r="C1682" s="9" t="n">
        <v>45261</v>
      </c>
      <c r="D1682" s="7" t="n">
        <v>2023</v>
      </c>
      <c r="E1682" s="7" t="inlineStr">
        <is>
          <t>East</t>
        </is>
      </c>
      <c r="F1682" s="7" t="inlineStr">
        <is>
          <t>Office Supplies</t>
        </is>
      </c>
      <c r="G1682" s="7" t="inlineStr">
        <is>
          <t>Pens</t>
        </is>
      </c>
      <c r="H1682" s="7" t="inlineStr">
        <is>
          <t>Corporate</t>
        </is>
      </c>
      <c r="I1682" s="7" t="n">
        <v>12</v>
      </c>
      <c r="J1682" s="10" t="n">
        <v>11.89</v>
      </c>
      <c r="K1682" s="11" t="n">
        <v>0</v>
      </c>
      <c r="L1682" s="10">
        <f>I1682*J1682*(1-K1682)</f>
        <v/>
      </c>
      <c r="M1682" s="10" t="n">
        <v>64.8</v>
      </c>
      <c r="N1682" s="10">
        <f>L1682-M1682</f>
        <v/>
      </c>
    </row>
    <row r="1683">
      <c r="A1683" s="7" t="inlineStr">
        <is>
          <t>ORD-03622</t>
        </is>
      </c>
      <c r="B1683" s="8" t="n">
        <v>45290</v>
      </c>
      <c r="C1683" s="9" t="n">
        <v>45261</v>
      </c>
      <c r="D1683" s="7" t="n">
        <v>2023</v>
      </c>
      <c r="E1683" s="7" t="inlineStr">
        <is>
          <t>South</t>
        </is>
      </c>
      <c r="F1683" s="7" t="inlineStr">
        <is>
          <t>Technology</t>
        </is>
      </c>
      <c r="G1683" s="7" t="inlineStr">
        <is>
          <t>Monitor</t>
        </is>
      </c>
      <c r="H1683" s="7" t="inlineStr">
        <is>
          <t>Consumer</t>
        </is>
      </c>
      <c r="I1683" s="7" t="n">
        <v>1</v>
      </c>
      <c r="J1683" s="10" t="n">
        <v>252.49</v>
      </c>
      <c r="K1683" s="11" t="n">
        <v>0</v>
      </c>
      <c r="L1683" s="10">
        <f>I1683*J1683*(1-K1683)</f>
        <v/>
      </c>
      <c r="M1683" s="10" t="n">
        <v>180</v>
      </c>
      <c r="N1683" s="10">
        <f>L1683-M1683</f>
        <v/>
      </c>
    </row>
    <row r="1684">
      <c r="A1684" s="7" t="inlineStr">
        <is>
          <t>ORD-03758</t>
        </is>
      </c>
      <c r="B1684" s="8" t="n">
        <v>45290</v>
      </c>
      <c r="C1684" s="9" t="n">
        <v>45261</v>
      </c>
      <c r="D1684" s="7" t="n">
        <v>2023</v>
      </c>
      <c r="E1684" s="7" t="inlineStr">
        <is>
          <t>East</t>
        </is>
      </c>
      <c r="F1684" s="7" t="inlineStr">
        <is>
          <t>Office Supplies</t>
        </is>
      </c>
      <c r="G1684" s="7" t="inlineStr">
        <is>
          <t>Paper</t>
        </is>
      </c>
      <c r="H1684" s="7" t="inlineStr">
        <is>
          <t>Consumer</t>
        </is>
      </c>
      <c r="I1684" s="7" t="n">
        <v>10</v>
      </c>
      <c r="J1684" s="10" t="n">
        <v>25.19</v>
      </c>
      <c r="K1684" s="11" t="n">
        <v>0</v>
      </c>
      <c r="L1684" s="10">
        <f>I1684*J1684*(1-K1684)</f>
        <v/>
      </c>
      <c r="M1684" s="10" t="n">
        <v>125</v>
      </c>
      <c r="N1684" s="10">
        <f>L1684-M1684</f>
        <v/>
      </c>
    </row>
    <row r="1685">
      <c r="A1685" s="7" t="inlineStr">
        <is>
          <t>ORD-03679</t>
        </is>
      </c>
      <c r="B1685" s="8" t="n">
        <v>45290</v>
      </c>
      <c r="C1685" s="9" t="n">
        <v>45261</v>
      </c>
      <c r="D1685" s="7" t="n">
        <v>2023</v>
      </c>
      <c r="E1685" s="7" t="inlineStr">
        <is>
          <t>East</t>
        </is>
      </c>
      <c r="F1685" s="7" t="inlineStr">
        <is>
          <t>Technology</t>
        </is>
      </c>
      <c r="G1685" s="7" t="inlineStr">
        <is>
          <t>Smartphone</t>
        </is>
      </c>
      <c r="H1685" s="7" t="inlineStr">
        <is>
          <t>Corporate</t>
        </is>
      </c>
      <c r="I1685" s="7" t="n">
        <v>1</v>
      </c>
      <c r="J1685" s="10" t="n">
        <v>614.1</v>
      </c>
      <c r="K1685" s="11" t="n">
        <v>0.05</v>
      </c>
      <c r="L1685" s="10">
        <f>I1685*J1685*(1-K1685)</f>
        <v/>
      </c>
      <c r="M1685" s="10" t="n">
        <v>450</v>
      </c>
      <c r="N1685" s="10">
        <f>L1685-M1685</f>
        <v/>
      </c>
    </row>
    <row r="1686">
      <c r="A1686" s="7" t="inlineStr">
        <is>
          <t>ORD-00475</t>
        </is>
      </c>
      <c r="B1686" s="8" t="n">
        <v>45290</v>
      </c>
      <c r="C1686" s="9" t="n">
        <v>45261</v>
      </c>
      <c r="D1686" s="7" t="n">
        <v>2023</v>
      </c>
      <c r="E1686" s="7" t="inlineStr">
        <is>
          <t>West</t>
        </is>
      </c>
      <c r="F1686" s="7" t="inlineStr">
        <is>
          <t>Office Supplies</t>
        </is>
      </c>
      <c r="G1686" s="7" t="inlineStr">
        <is>
          <t>Binder</t>
        </is>
      </c>
      <c r="H1686" s="7" t="inlineStr">
        <is>
          <t>Corporate</t>
        </is>
      </c>
      <c r="I1686" s="7" t="n">
        <v>3</v>
      </c>
      <c r="J1686" s="10" t="n">
        <v>7.72</v>
      </c>
      <c r="K1686" s="11" t="n">
        <v>0</v>
      </c>
      <c r="L1686" s="10">
        <f>I1686*J1686*(1-K1686)</f>
        <v/>
      </c>
      <c r="M1686" s="10" t="n">
        <v>9.6</v>
      </c>
      <c r="N1686" s="10">
        <f>L1686-M1686</f>
        <v/>
      </c>
    </row>
    <row r="1687">
      <c r="A1687" s="7" t="inlineStr">
        <is>
          <t>ORD-00596</t>
        </is>
      </c>
      <c r="B1687" s="8" t="n">
        <v>45290</v>
      </c>
      <c r="C1687" s="9" t="n">
        <v>45261</v>
      </c>
      <c r="D1687" s="7" t="n">
        <v>2023</v>
      </c>
      <c r="E1687" s="7" t="inlineStr">
        <is>
          <t>East</t>
        </is>
      </c>
      <c r="F1687" s="7" t="inlineStr">
        <is>
          <t>Technology</t>
        </is>
      </c>
      <c r="G1687" s="7" t="inlineStr">
        <is>
          <t>Smartphone</t>
        </is>
      </c>
      <c r="H1687" s="7" t="inlineStr">
        <is>
          <t>Corporate</t>
        </is>
      </c>
      <c r="I1687" s="7" t="n">
        <v>3</v>
      </c>
      <c r="J1687" s="10" t="n">
        <v>616.79</v>
      </c>
      <c r="K1687" s="11" t="n">
        <v>0</v>
      </c>
      <c r="L1687" s="10">
        <f>I1687*J1687*(1-K1687)</f>
        <v/>
      </c>
      <c r="M1687" s="10" t="n">
        <v>1350</v>
      </c>
      <c r="N1687" s="10">
        <f>L1687-M1687</f>
        <v/>
      </c>
    </row>
    <row r="1688">
      <c r="A1688" s="7" t="inlineStr">
        <is>
          <t>ORD-00897</t>
        </is>
      </c>
      <c r="B1688" s="8" t="n">
        <v>45290</v>
      </c>
      <c r="C1688" s="9" t="n">
        <v>45261</v>
      </c>
      <c r="D1688" s="7" t="n">
        <v>2023</v>
      </c>
      <c r="E1688" s="7" t="inlineStr">
        <is>
          <t>North</t>
        </is>
      </c>
      <c r="F1688" s="7" t="inlineStr">
        <is>
          <t>Office Supplies</t>
        </is>
      </c>
      <c r="G1688" s="7" t="inlineStr">
        <is>
          <t>Pens</t>
        </is>
      </c>
      <c r="H1688" s="7" t="inlineStr">
        <is>
          <t>Consumer</t>
        </is>
      </c>
      <c r="I1688" s="7" t="n">
        <v>14</v>
      </c>
      <c r="J1688" s="10" t="n">
        <v>11.44</v>
      </c>
      <c r="K1688" s="11" t="n">
        <v>0.05</v>
      </c>
      <c r="L1688" s="10">
        <f>I1688*J1688*(1-K1688)</f>
        <v/>
      </c>
      <c r="M1688" s="10" t="n">
        <v>75.59999999999999</v>
      </c>
      <c r="N1688" s="10">
        <f>L1688-M1688</f>
        <v/>
      </c>
    </row>
    <row r="1689">
      <c r="A1689" s="7" t="inlineStr">
        <is>
          <t>ORD-03510</t>
        </is>
      </c>
      <c r="B1689" s="8" t="n">
        <v>45290</v>
      </c>
      <c r="C1689" s="9" t="n">
        <v>45261</v>
      </c>
      <c r="D1689" s="7" t="n">
        <v>2023</v>
      </c>
      <c r="E1689" s="7" t="inlineStr">
        <is>
          <t>West</t>
        </is>
      </c>
      <c r="F1689" s="7" t="inlineStr">
        <is>
          <t>Office Supplies</t>
        </is>
      </c>
      <c r="G1689" s="7" t="inlineStr">
        <is>
          <t>Printer Ink</t>
        </is>
      </c>
      <c r="H1689" s="7" t="inlineStr">
        <is>
          <t>Consumer</t>
        </is>
      </c>
      <c r="I1689" s="7" t="n">
        <v>11</v>
      </c>
      <c r="J1689" s="10" t="n">
        <v>62.08</v>
      </c>
      <c r="K1689" s="11" t="n">
        <v>0.1</v>
      </c>
      <c r="L1689" s="10">
        <f>I1689*J1689*(1-K1689)</f>
        <v/>
      </c>
      <c r="M1689" s="10" t="n">
        <v>396</v>
      </c>
      <c r="N1689" s="10">
        <f>L1689-M1689</f>
        <v/>
      </c>
    </row>
    <row r="1690">
      <c r="A1690" s="7" t="inlineStr">
        <is>
          <t>ORD-02123</t>
        </is>
      </c>
      <c r="B1690" s="8" t="n">
        <v>45291</v>
      </c>
      <c r="C1690" s="9" t="n">
        <v>45261</v>
      </c>
      <c r="D1690" s="7" t="n">
        <v>2023</v>
      </c>
      <c r="E1690" s="7" t="inlineStr">
        <is>
          <t>South</t>
        </is>
      </c>
      <c r="F1690" s="7" t="inlineStr">
        <is>
          <t>Office Supplies</t>
        </is>
      </c>
      <c r="G1690" s="7" t="inlineStr">
        <is>
          <t>Stapler</t>
        </is>
      </c>
      <c r="H1690" s="7" t="inlineStr">
        <is>
          <t>Consumer</t>
        </is>
      </c>
      <c r="I1690" s="7" t="n">
        <v>2</v>
      </c>
      <c r="J1690" s="10" t="n">
        <v>15.43</v>
      </c>
      <c r="K1690" s="11" t="n">
        <v>0.3</v>
      </c>
      <c r="L1690" s="10">
        <f>I1690*J1690*(1-K1690)</f>
        <v/>
      </c>
      <c r="M1690" s="10" t="n">
        <v>15</v>
      </c>
      <c r="N1690" s="10">
        <f>L1690-M1690</f>
        <v/>
      </c>
    </row>
    <row r="1691">
      <c r="A1691" s="7" t="inlineStr">
        <is>
          <t>ORD-02073</t>
        </is>
      </c>
      <c r="B1691" s="8" t="n">
        <v>45291</v>
      </c>
      <c r="C1691" s="9" t="n">
        <v>45261</v>
      </c>
      <c r="D1691" s="7" t="n">
        <v>2023</v>
      </c>
      <c r="E1691" s="7" t="inlineStr">
        <is>
          <t>West</t>
        </is>
      </c>
      <c r="F1691" s="7" t="inlineStr">
        <is>
          <t>Furniture</t>
        </is>
      </c>
      <c r="G1691" s="7" t="inlineStr">
        <is>
          <t>Desk</t>
        </is>
      </c>
      <c r="H1691" s="7" t="inlineStr">
        <is>
          <t>Consumer</t>
        </is>
      </c>
      <c r="I1691" s="7" t="n">
        <v>4</v>
      </c>
      <c r="J1691" s="10" t="n">
        <v>454.74</v>
      </c>
      <c r="K1691" s="11" t="n">
        <v>0.3</v>
      </c>
      <c r="L1691" s="10">
        <f>I1691*J1691*(1-K1691)</f>
        <v/>
      </c>
      <c r="M1691" s="10" t="n">
        <v>1530</v>
      </c>
      <c r="N1691" s="10">
        <f>L1691-M1691</f>
        <v/>
      </c>
    </row>
    <row r="1692">
      <c r="A1692" s="7" t="inlineStr">
        <is>
          <t>ORD-03015</t>
        </is>
      </c>
      <c r="B1692" s="8" t="n">
        <v>45291</v>
      </c>
      <c r="C1692" s="9" t="n">
        <v>45261</v>
      </c>
      <c r="D1692" s="7" t="n">
        <v>2023</v>
      </c>
      <c r="E1692" s="7" t="inlineStr">
        <is>
          <t>North</t>
        </is>
      </c>
      <c r="F1692" s="7" t="inlineStr">
        <is>
          <t>Office Supplies</t>
        </is>
      </c>
      <c r="G1692" s="7" t="inlineStr">
        <is>
          <t>Printer Ink</t>
        </is>
      </c>
      <c r="H1692" s="7" t="inlineStr">
        <is>
          <t>Consumer</t>
        </is>
      </c>
      <c r="I1692" s="7" t="n">
        <v>3</v>
      </c>
      <c r="J1692" s="10" t="n">
        <v>59.04</v>
      </c>
      <c r="K1692" s="11" t="n">
        <v>0.05</v>
      </c>
      <c r="L1692" s="10">
        <f>I1692*J1692*(1-K1692)</f>
        <v/>
      </c>
      <c r="M1692" s="10" t="n">
        <v>108</v>
      </c>
      <c r="N1692" s="10">
        <f>L1692-M1692</f>
        <v/>
      </c>
    </row>
    <row r="1693">
      <c r="A1693" s="7" t="inlineStr">
        <is>
          <t>ORD-04260</t>
        </is>
      </c>
      <c r="B1693" s="8" t="n">
        <v>45291</v>
      </c>
      <c r="C1693" s="9" t="n">
        <v>45261</v>
      </c>
      <c r="D1693" s="7" t="n">
        <v>2023</v>
      </c>
      <c r="E1693" s="7" t="inlineStr">
        <is>
          <t>North</t>
        </is>
      </c>
      <c r="F1693" s="7" t="inlineStr">
        <is>
          <t>Technology</t>
        </is>
      </c>
      <c r="G1693" s="7" t="inlineStr">
        <is>
          <t>Smartphone</t>
        </is>
      </c>
      <c r="H1693" s="7" t="inlineStr">
        <is>
          <t>Home Office</t>
        </is>
      </c>
      <c r="I1693" s="7" t="n">
        <v>2</v>
      </c>
      <c r="J1693" s="10" t="n">
        <v>586.14</v>
      </c>
      <c r="K1693" s="11" t="n">
        <v>0.05</v>
      </c>
      <c r="L1693" s="10">
        <f>I1693*J1693*(1-K1693)</f>
        <v/>
      </c>
      <c r="M1693" s="10" t="n">
        <v>900</v>
      </c>
      <c r="N1693" s="10">
        <f>L1693-M1693</f>
        <v/>
      </c>
    </row>
    <row r="1694">
      <c r="A1694" s="7" t="inlineStr">
        <is>
          <t>ORD-04860</t>
        </is>
      </c>
      <c r="B1694" s="8" t="n">
        <v>45291</v>
      </c>
      <c r="C1694" s="9" t="n">
        <v>45261</v>
      </c>
      <c r="D1694" s="7" t="n">
        <v>2023</v>
      </c>
      <c r="E1694" s="7" t="inlineStr">
        <is>
          <t>East</t>
        </is>
      </c>
      <c r="F1694" s="7" t="inlineStr">
        <is>
          <t>Furniture</t>
        </is>
      </c>
      <c r="G1694" s="7" t="inlineStr">
        <is>
          <t>Desk</t>
        </is>
      </c>
      <c r="H1694" s="7" t="inlineStr">
        <is>
          <t>Home Office</t>
        </is>
      </c>
      <c r="I1694" s="7" t="n">
        <v>3</v>
      </c>
      <c r="J1694" s="10" t="n">
        <v>435.68</v>
      </c>
      <c r="K1694" s="11" t="n">
        <v>0.3</v>
      </c>
      <c r="L1694" s="10">
        <f>I1694*J1694*(1-K1694)</f>
        <v/>
      </c>
      <c r="M1694" s="10" t="n">
        <v>1147.5</v>
      </c>
      <c r="N1694" s="10">
        <f>L1694-M1694</f>
        <v/>
      </c>
    </row>
    <row r="1695">
      <c r="A1695" s="7" t="inlineStr">
        <is>
          <t>ORD-04472</t>
        </is>
      </c>
      <c r="B1695" s="8" t="n">
        <v>45291</v>
      </c>
      <c r="C1695" s="9" t="n">
        <v>45261</v>
      </c>
      <c r="D1695" s="7" t="n">
        <v>2023</v>
      </c>
      <c r="E1695" s="7" t="inlineStr">
        <is>
          <t>East</t>
        </is>
      </c>
      <c r="F1695" s="7" t="inlineStr">
        <is>
          <t>Furniture</t>
        </is>
      </c>
      <c r="G1695" s="7" t="inlineStr">
        <is>
          <t>Office Chair</t>
        </is>
      </c>
      <c r="H1695" s="7" t="inlineStr">
        <is>
          <t>Corporate</t>
        </is>
      </c>
      <c r="I1695" s="7" t="n">
        <v>2</v>
      </c>
      <c r="J1695" s="10" t="n">
        <v>214.73</v>
      </c>
      <c r="K1695" s="11" t="n">
        <v>0.3</v>
      </c>
      <c r="L1695" s="10">
        <f>I1695*J1695*(1-K1695)</f>
        <v/>
      </c>
      <c r="M1695" s="10" t="n">
        <v>360.8</v>
      </c>
      <c r="N1695" s="10">
        <f>L1695-M1695</f>
        <v/>
      </c>
    </row>
    <row r="1696">
      <c r="A1696" s="7" t="inlineStr">
        <is>
          <t>ORD-04486</t>
        </is>
      </c>
      <c r="B1696" s="8" t="n">
        <v>45292</v>
      </c>
      <c r="C1696" s="9" t="n">
        <v>45292</v>
      </c>
      <c r="D1696" s="7" t="n">
        <v>2024</v>
      </c>
      <c r="E1696" s="7" t="inlineStr">
        <is>
          <t>South</t>
        </is>
      </c>
      <c r="F1696" s="7" t="inlineStr">
        <is>
          <t>Technology</t>
        </is>
      </c>
      <c r="G1696" s="7" t="inlineStr">
        <is>
          <t>Keyboard</t>
        </is>
      </c>
      <c r="H1696" s="7" t="inlineStr">
        <is>
          <t>Home Office</t>
        </is>
      </c>
      <c r="I1696" s="7" t="n">
        <v>3</v>
      </c>
      <c r="J1696" s="10" t="n">
        <v>44.56</v>
      </c>
      <c r="K1696" s="11" t="n">
        <v>0.2</v>
      </c>
      <c r="L1696" s="10">
        <f>I1696*J1696*(1-K1696)</f>
        <v/>
      </c>
      <c r="M1696" s="10" t="n">
        <v>74.25</v>
      </c>
      <c r="N1696" s="10">
        <f>L1696-M1696</f>
        <v/>
      </c>
    </row>
    <row r="1697">
      <c r="A1697" s="7" t="inlineStr">
        <is>
          <t>ORD-04162</t>
        </is>
      </c>
      <c r="B1697" s="8" t="n">
        <v>45292</v>
      </c>
      <c r="C1697" s="9" t="n">
        <v>45292</v>
      </c>
      <c r="D1697" s="7" t="n">
        <v>2024</v>
      </c>
      <c r="E1697" s="7" t="inlineStr">
        <is>
          <t>East</t>
        </is>
      </c>
      <c r="F1697" s="7" t="inlineStr">
        <is>
          <t>Office Supplies</t>
        </is>
      </c>
      <c r="G1697" s="7" t="inlineStr">
        <is>
          <t>Paper</t>
        </is>
      </c>
      <c r="H1697" s="7" t="inlineStr">
        <is>
          <t>Consumer</t>
        </is>
      </c>
      <c r="I1697" s="7" t="n">
        <v>5</v>
      </c>
      <c r="J1697" s="10" t="n">
        <v>24.13</v>
      </c>
      <c r="K1697" s="11" t="n">
        <v>0</v>
      </c>
      <c r="L1697" s="10">
        <f>I1697*J1697*(1-K1697)</f>
        <v/>
      </c>
      <c r="M1697" s="10" t="n">
        <v>62.5</v>
      </c>
      <c r="N1697" s="10">
        <f>L1697-M1697</f>
        <v/>
      </c>
    </row>
    <row r="1698">
      <c r="A1698" s="7" t="inlineStr">
        <is>
          <t>ORD-03818</t>
        </is>
      </c>
      <c r="B1698" s="8" t="n">
        <v>45292</v>
      </c>
      <c r="C1698" s="9" t="n">
        <v>45292</v>
      </c>
      <c r="D1698" s="7" t="n">
        <v>2024</v>
      </c>
      <c r="E1698" s="7" t="inlineStr">
        <is>
          <t>West</t>
        </is>
      </c>
      <c r="F1698" s="7" t="inlineStr">
        <is>
          <t>Office Supplies</t>
        </is>
      </c>
      <c r="G1698" s="7" t="inlineStr">
        <is>
          <t>Pens</t>
        </is>
      </c>
      <c r="H1698" s="7" t="inlineStr">
        <is>
          <t>Consumer</t>
        </is>
      </c>
      <c r="I1698" s="7" t="n">
        <v>4</v>
      </c>
      <c r="J1698" s="10" t="n">
        <v>12.46</v>
      </c>
      <c r="K1698" s="11" t="n">
        <v>0</v>
      </c>
      <c r="L1698" s="10">
        <f>I1698*J1698*(1-K1698)</f>
        <v/>
      </c>
      <c r="M1698" s="10" t="n">
        <v>21.6</v>
      </c>
      <c r="N1698" s="10">
        <f>L1698-M1698</f>
        <v/>
      </c>
    </row>
    <row r="1699">
      <c r="A1699" s="7" t="inlineStr">
        <is>
          <t>ORD-04195</t>
        </is>
      </c>
      <c r="B1699" s="8" t="n">
        <v>45292</v>
      </c>
      <c r="C1699" s="9" t="n">
        <v>45292</v>
      </c>
      <c r="D1699" s="7" t="n">
        <v>2024</v>
      </c>
      <c r="E1699" s="7" t="inlineStr">
        <is>
          <t>West</t>
        </is>
      </c>
      <c r="F1699" s="7" t="inlineStr">
        <is>
          <t>Technology</t>
        </is>
      </c>
      <c r="G1699" s="7" t="inlineStr">
        <is>
          <t>Laptop</t>
        </is>
      </c>
      <c r="H1699" s="7" t="inlineStr">
        <is>
          <t>Consumer</t>
        </is>
      </c>
      <c r="I1699" s="7" t="n">
        <v>2</v>
      </c>
      <c r="J1699" s="10" t="n">
        <v>925.89</v>
      </c>
      <c r="K1699" s="11" t="n">
        <v>0</v>
      </c>
      <c r="L1699" s="10">
        <f>I1699*J1699*(1-K1699)</f>
        <v/>
      </c>
      <c r="M1699" s="10" t="n">
        <v>1404</v>
      </c>
      <c r="N1699" s="10">
        <f>L1699-M1699</f>
        <v/>
      </c>
    </row>
    <row r="1700">
      <c r="A1700" s="7" t="inlineStr">
        <is>
          <t>ORD-00514</t>
        </is>
      </c>
      <c r="B1700" s="8" t="n">
        <v>45293</v>
      </c>
      <c r="C1700" s="9" t="n">
        <v>45292</v>
      </c>
      <c r="D1700" s="7" t="n">
        <v>2024</v>
      </c>
      <c r="E1700" s="7" t="inlineStr">
        <is>
          <t>South</t>
        </is>
      </c>
      <c r="F1700" s="7" t="inlineStr">
        <is>
          <t>Technology</t>
        </is>
      </c>
      <c r="G1700" s="7" t="inlineStr">
        <is>
          <t>Keyboard</t>
        </is>
      </c>
      <c r="H1700" s="7" t="inlineStr">
        <is>
          <t>Corporate</t>
        </is>
      </c>
      <c r="I1700" s="7" t="n">
        <v>1</v>
      </c>
      <c r="J1700" s="10" t="n">
        <v>43.94</v>
      </c>
      <c r="K1700" s="11" t="n">
        <v>0.1</v>
      </c>
      <c r="L1700" s="10">
        <f>I1700*J1700*(1-K1700)</f>
        <v/>
      </c>
      <c r="M1700" s="10" t="n">
        <v>24.75</v>
      </c>
      <c r="N1700" s="10">
        <f>L1700-M1700</f>
        <v/>
      </c>
    </row>
    <row r="1701">
      <c r="A1701" s="7" t="inlineStr">
        <is>
          <t>ORD-04892</t>
        </is>
      </c>
      <c r="B1701" s="8" t="n">
        <v>45293</v>
      </c>
      <c r="C1701" s="9" t="n">
        <v>45292</v>
      </c>
      <c r="D1701" s="7" t="n">
        <v>2024</v>
      </c>
      <c r="E1701" s="7" t="inlineStr">
        <is>
          <t>West</t>
        </is>
      </c>
      <c r="F1701" s="7" t="inlineStr">
        <is>
          <t>Technology</t>
        </is>
      </c>
      <c r="G1701" s="7" t="inlineStr">
        <is>
          <t>Smartphone</t>
        </is>
      </c>
      <c r="H1701" s="7" t="inlineStr">
        <is>
          <t>Consumer</t>
        </is>
      </c>
      <c r="I1701" s="7" t="n">
        <v>1</v>
      </c>
      <c r="J1701" s="10" t="n">
        <v>591.97</v>
      </c>
      <c r="K1701" s="11" t="n">
        <v>0.05</v>
      </c>
      <c r="L1701" s="10">
        <f>I1701*J1701*(1-K1701)</f>
        <v/>
      </c>
      <c r="M1701" s="10" t="n">
        <v>450</v>
      </c>
      <c r="N1701" s="10">
        <f>L1701-M1701</f>
        <v/>
      </c>
    </row>
    <row r="1702">
      <c r="A1702" s="7" t="inlineStr">
        <is>
          <t>ORD-03219</t>
        </is>
      </c>
      <c r="B1702" s="8" t="n">
        <v>45293</v>
      </c>
      <c r="C1702" s="9" t="n">
        <v>45292</v>
      </c>
      <c r="D1702" s="7" t="n">
        <v>2024</v>
      </c>
      <c r="E1702" s="7" t="inlineStr">
        <is>
          <t>South</t>
        </is>
      </c>
      <c r="F1702" s="7" t="inlineStr">
        <is>
          <t>Office Supplies</t>
        </is>
      </c>
      <c r="G1702" s="7" t="inlineStr">
        <is>
          <t>Pens</t>
        </is>
      </c>
      <c r="H1702" s="7" t="inlineStr">
        <is>
          <t>Consumer</t>
        </is>
      </c>
      <c r="I1702" s="7" t="n">
        <v>4</v>
      </c>
      <c r="J1702" s="10" t="n">
        <v>12.1</v>
      </c>
      <c r="K1702" s="11" t="n">
        <v>0</v>
      </c>
      <c r="L1702" s="10">
        <f>I1702*J1702*(1-K1702)</f>
        <v/>
      </c>
      <c r="M1702" s="10" t="n">
        <v>21.6</v>
      </c>
      <c r="N1702" s="10">
        <f>L1702-M1702</f>
        <v/>
      </c>
    </row>
    <row r="1703">
      <c r="A1703" s="7" t="inlineStr">
        <is>
          <t>ORD-01000</t>
        </is>
      </c>
      <c r="B1703" s="8" t="n">
        <v>45293</v>
      </c>
      <c r="C1703" s="9" t="n">
        <v>45292</v>
      </c>
      <c r="D1703" s="7" t="n">
        <v>2024</v>
      </c>
      <c r="E1703" s="7" t="inlineStr">
        <is>
          <t>South</t>
        </is>
      </c>
      <c r="F1703" s="7" t="inlineStr">
        <is>
          <t>Office Supplies</t>
        </is>
      </c>
      <c r="G1703" s="7" t="inlineStr">
        <is>
          <t>Binder</t>
        </is>
      </c>
      <c r="H1703" s="7" t="inlineStr">
        <is>
          <t>Corporate</t>
        </is>
      </c>
      <c r="I1703" s="7" t="n">
        <v>5</v>
      </c>
      <c r="J1703" s="10" t="n">
        <v>7.7</v>
      </c>
      <c r="K1703" s="11" t="n">
        <v>0</v>
      </c>
      <c r="L1703" s="10">
        <f>I1703*J1703*(1-K1703)</f>
        <v/>
      </c>
      <c r="M1703" s="10" t="n">
        <v>16</v>
      </c>
      <c r="N1703" s="10">
        <f>L1703-M1703</f>
        <v/>
      </c>
    </row>
    <row r="1704">
      <c r="A1704" s="7" t="inlineStr">
        <is>
          <t>ORD-04067</t>
        </is>
      </c>
      <c r="B1704" s="8" t="n">
        <v>45294</v>
      </c>
      <c r="C1704" s="9" t="n">
        <v>45292</v>
      </c>
      <c r="D1704" s="7" t="n">
        <v>2024</v>
      </c>
      <c r="E1704" s="7" t="inlineStr">
        <is>
          <t>East</t>
        </is>
      </c>
      <c r="F1704" s="7" t="inlineStr">
        <is>
          <t>Office Supplies</t>
        </is>
      </c>
      <c r="G1704" s="7" t="inlineStr">
        <is>
          <t>Printer Ink</t>
        </is>
      </c>
      <c r="H1704" s="7" t="inlineStr">
        <is>
          <t>Consumer</t>
        </is>
      </c>
      <c r="I1704" s="7" t="n">
        <v>6</v>
      </c>
      <c r="J1704" s="10" t="n">
        <v>60.8</v>
      </c>
      <c r="K1704" s="11" t="n">
        <v>0.2</v>
      </c>
      <c r="L1704" s="10">
        <f>I1704*J1704*(1-K1704)</f>
        <v/>
      </c>
      <c r="M1704" s="10" t="n">
        <v>216</v>
      </c>
      <c r="N1704" s="10">
        <f>L1704-M1704</f>
        <v/>
      </c>
    </row>
    <row r="1705">
      <c r="A1705" s="7" t="inlineStr">
        <is>
          <t>ORD-04674</t>
        </is>
      </c>
      <c r="B1705" s="8" t="n">
        <v>45294</v>
      </c>
      <c r="C1705" s="9" t="n">
        <v>45292</v>
      </c>
      <c r="D1705" s="7" t="n">
        <v>2024</v>
      </c>
      <c r="E1705" s="7" t="inlineStr">
        <is>
          <t>South</t>
        </is>
      </c>
      <c r="F1705" s="7" t="inlineStr">
        <is>
          <t>Office Supplies</t>
        </is>
      </c>
      <c r="G1705" s="7" t="inlineStr">
        <is>
          <t>Pens</t>
        </is>
      </c>
      <c r="H1705" s="7" t="inlineStr">
        <is>
          <t>Consumer</t>
        </is>
      </c>
      <c r="I1705" s="7" t="n">
        <v>12</v>
      </c>
      <c r="J1705" s="10" t="n">
        <v>12.36</v>
      </c>
      <c r="K1705" s="11" t="n">
        <v>0.1</v>
      </c>
      <c r="L1705" s="10">
        <f>I1705*J1705*(1-K1705)</f>
        <v/>
      </c>
      <c r="M1705" s="10" t="n">
        <v>64.8</v>
      </c>
      <c r="N1705" s="10">
        <f>L1705-M1705</f>
        <v/>
      </c>
    </row>
    <row r="1706">
      <c r="A1706" s="7" t="inlineStr">
        <is>
          <t>ORD-00157</t>
        </is>
      </c>
      <c r="B1706" s="8" t="n">
        <v>45294</v>
      </c>
      <c r="C1706" s="9" t="n">
        <v>45292</v>
      </c>
      <c r="D1706" s="7" t="n">
        <v>2024</v>
      </c>
      <c r="E1706" s="7" t="inlineStr">
        <is>
          <t>East</t>
        </is>
      </c>
      <c r="F1706" s="7" t="inlineStr">
        <is>
          <t>Office Supplies</t>
        </is>
      </c>
      <c r="G1706" s="7" t="inlineStr">
        <is>
          <t>Pens</t>
        </is>
      </c>
      <c r="H1706" s="7" t="inlineStr">
        <is>
          <t>Home Office</t>
        </is>
      </c>
      <c r="I1706" s="7" t="n">
        <v>13</v>
      </c>
      <c r="J1706" s="10" t="n">
        <v>11.79</v>
      </c>
      <c r="K1706" s="11" t="n">
        <v>0.1</v>
      </c>
      <c r="L1706" s="10">
        <f>I1706*J1706*(1-K1706)</f>
        <v/>
      </c>
      <c r="M1706" s="10" t="n">
        <v>70.2</v>
      </c>
      <c r="N1706" s="10">
        <f>L1706-M1706</f>
        <v/>
      </c>
    </row>
    <row r="1707">
      <c r="A1707" s="7" t="inlineStr">
        <is>
          <t>ORD-00076</t>
        </is>
      </c>
      <c r="B1707" s="8" t="n">
        <v>45294</v>
      </c>
      <c r="C1707" s="9" t="n">
        <v>45292</v>
      </c>
      <c r="D1707" s="7" t="n">
        <v>2024</v>
      </c>
      <c r="E1707" s="7" t="inlineStr">
        <is>
          <t>East</t>
        </is>
      </c>
      <c r="F1707" s="7" t="inlineStr">
        <is>
          <t>Office Supplies</t>
        </is>
      </c>
      <c r="G1707" s="7" t="inlineStr">
        <is>
          <t>Pens</t>
        </is>
      </c>
      <c r="H1707" s="7" t="inlineStr">
        <is>
          <t>Home Office</t>
        </is>
      </c>
      <c r="I1707" s="7" t="n">
        <v>13</v>
      </c>
      <c r="J1707" s="10" t="n">
        <v>12.29</v>
      </c>
      <c r="K1707" s="11" t="n">
        <v>0</v>
      </c>
      <c r="L1707" s="10">
        <f>I1707*J1707*(1-K1707)</f>
        <v/>
      </c>
      <c r="M1707" s="10" t="n">
        <v>70.2</v>
      </c>
      <c r="N1707" s="10">
        <f>L1707-M1707</f>
        <v/>
      </c>
    </row>
    <row r="1708">
      <c r="A1708" s="7" t="inlineStr">
        <is>
          <t>ORD-05880</t>
        </is>
      </c>
      <c r="B1708" s="8" t="n">
        <v>45294</v>
      </c>
      <c r="C1708" s="9" t="n">
        <v>45292</v>
      </c>
      <c r="D1708" s="7" t="n">
        <v>2024</v>
      </c>
      <c r="E1708" s="7" t="inlineStr">
        <is>
          <t>South</t>
        </is>
      </c>
      <c r="F1708" s="7" t="inlineStr">
        <is>
          <t>Office Supplies</t>
        </is>
      </c>
      <c r="G1708" s="7" t="inlineStr">
        <is>
          <t>Stapler</t>
        </is>
      </c>
      <c r="H1708" s="7" t="inlineStr">
        <is>
          <t>Consumer</t>
        </is>
      </c>
      <c r="I1708" s="7" t="n">
        <v>12</v>
      </c>
      <c r="J1708" s="10" t="n">
        <v>14.27</v>
      </c>
      <c r="K1708" s="11" t="n">
        <v>0.3</v>
      </c>
      <c r="L1708" s="10">
        <f>I1708*J1708*(1-K1708)</f>
        <v/>
      </c>
      <c r="M1708" s="10" t="n">
        <v>90</v>
      </c>
      <c r="N1708" s="10">
        <f>L1708-M1708</f>
        <v/>
      </c>
    </row>
    <row r="1709">
      <c r="A1709" s="7" t="inlineStr">
        <is>
          <t>ORD-05525</t>
        </is>
      </c>
      <c r="B1709" s="8" t="n">
        <v>45295</v>
      </c>
      <c r="C1709" s="9" t="n">
        <v>45292</v>
      </c>
      <c r="D1709" s="7" t="n">
        <v>2024</v>
      </c>
      <c r="E1709" s="7" t="inlineStr">
        <is>
          <t>North</t>
        </is>
      </c>
      <c r="F1709" s="7" t="inlineStr">
        <is>
          <t>Office Supplies</t>
        </is>
      </c>
      <c r="G1709" s="7" t="inlineStr">
        <is>
          <t>Stapler</t>
        </is>
      </c>
      <c r="H1709" s="7" t="inlineStr">
        <is>
          <t>Home Office</t>
        </is>
      </c>
      <c r="I1709" s="7" t="n">
        <v>10</v>
      </c>
      <c r="J1709" s="10" t="n">
        <v>15.61</v>
      </c>
      <c r="K1709" s="11" t="n">
        <v>0</v>
      </c>
      <c r="L1709" s="10">
        <f>I1709*J1709*(1-K1709)</f>
        <v/>
      </c>
      <c r="M1709" s="10" t="n">
        <v>75</v>
      </c>
      <c r="N1709" s="10">
        <f>L1709-M1709</f>
        <v/>
      </c>
    </row>
    <row r="1710">
      <c r="A1710" s="7" t="inlineStr">
        <is>
          <t>ORD-05310</t>
        </is>
      </c>
      <c r="B1710" s="8" t="n">
        <v>45295</v>
      </c>
      <c r="C1710" s="9" t="n">
        <v>45292</v>
      </c>
      <c r="D1710" s="7" t="n">
        <v>2024</v>
      </c>
      <c r="E1710" s="7" t="inlineStr">
        <is>
          <t>West</t>
        </is>
      </c>
      <c r="F1710" s="7" t="inlineStr">
        <is>
          <t>Office Supplies</t>
        </is>
      </c>
      <c r="G1710" s="7" t="inlineStr">
        <is>
          <t>Paper</t>
        </is>
      </c>
      <c r="H1710" s="7" t="inlineStr">
        <is>
          <t>Home Office</t>
        </is>
      </c>
      <c r="I1710" s="7" t="n">
        <v>13</v>
      </c>
      <c r="J1710" s="10" t="n">
        <v>24.84</v>
      </c>
      <c r="K1710" s="11" t="n">
        <v>0.1</v>
      </c>
      <c r="L1710" s="10">
        <f>I1710*J1710*(1-K1710)</f>
        <v/>
      </c>
      <c r="M1710" s="10" t="n">
        <v>162.5</v>
      </c>
      <c r="N1710" s="10">
        <f>L1710-M1710</f>
        <v/>
      </c>
    </row>
    <row r="1711">
      <c r="A1711" s="7" t="inlineStr">
        <is>
          <t>ORD-02817</t>
        </is>
      </c>
      <c r="B1711" s="8" t="n">
        <v>45296</v>
      </c>
      <c r="C1711" s="9" t="n">
        <v>45292</v>
      </c>
      <c r="D1711" s="7" t="n">
        <v>2024</v>
      </c>
      <c r="E1711" s="7" t="inlineStr">
        <is>
          <t>North</t>
        </is>
      </c>
      <c r="F1711" s="7" t="inlineStr">
        <is>
          <t>Office Supplies</t>
        </is>
      </c>
      <c r="G1711" s="7" t="inlineStr">
        <is>
          <t>Pens</t>
        </is>
      </c>
      <c r="H1711" s="7" t="inlineStr">
        <is>
          <t>Corporate</t>
        </is>
      </c>
      <c r="I1711" s="7" t="n">
        <v>13</v>
      </c>
      <c r="J1711" s="10" t="n">
        <v>11.93</v>
      </c>
      <c r="K1711" s="11" t="n">
        <v>0.1</v>
      </c>
      <c r="L1711" s="10">
        <f>I1711*J1711*(1-K1711)</f>
        <v/>
      </c>
      <c r="M1711" s="10" t="n">
        <v>70.2</v>
      </c>
      <c r="N1711" s="10">
        <f>L1711-M1711</f>
        <v/>
      </c>
    </row>
    <row r="1712">
      <c r="A1712" s="7" t="inlineStr">
        <is>
          <t>ORD-03840</t>
        </is>
      </c>
      <c r="B1712" s="8" t="n">
        <v>45297</v>
      </c>
      <c r="C1712" s="9" t="n">
        <v>45292</v>
      </c>
      <c r="D1712" s="7" t="n">
        <v>2024</v>
      </c>
      <c r="E1712" s="7" t="inlineStr">
        <is>
          <t>North</t>
        </is>
      </c>
      <c r="F1712" s="7" t="inlineStr">
        <is>
          <t>Office Supplies</t>
        </is>
      </c>
      <c r="G1712" s="7" t="inlineStr">
        <is>
          <t>Stapler</t>
        </is>
      </c>
      <c r="H1712" s="7" t="inlineStr">
        <is>
          <t>Corporate</t>
        </is>
      </c>
      <c r="I1712" s="7" t="n">
        <v>5</v>
      </c>
      <c r="J1712" s="10" t="n">
        <v>14.31</v>
      </c>
      <c r="K1712" s="11" t="n">
        <v>0.3</v>
      </c>
      <c r="L1712" s="10">
        <f>I1712*J1712*(1-K1712)</f>
        <v/>
      </c>
      <c r="M1712" s="10" t="n">
        <v>37.5</v>
      </c>
      <c r="N1712" s="10">
        <f>L1712-M1712</f>
        <v/>
      </c>
    </row>
    <row r="1713">
      <c r="A1713" s="7" t="inlineStr">
        <is>
          <t>ORD-00705</t>
        </is>
      </c>
      <c r="B1713" s="8" t="n">
        <v>45297</v>
      </c>
      <c r="C1713" s="9" t="n">
        <v>45292</v>
      </c>
      <c r="D1713" s="7" t="n">
        <v>2024</v>
      </c>
      <c r="E1713" s="7" t="inlineStr">
        <is>
          <t>East</t>
        </is>
      </c>
      <c r="F1713" s="7" t="inlineStr">
        <is>
          <t>Technology</t>
        </is>
      </c>
      <c r="G1713" s="7" t="inlineStr">
        <is>
          <t>Smartphone</t>
        </is>
      </c>
      <c r="H1713" s="7" t="inlineStr">
        <is>
          <t>Consumer</t>
        </is>
      </c>
      <c r="I1713" s="7" t="n">
        <v>1</v>
      </c>
      <c r="J1713" s="10" t="n">
        <v>609.86</v>
      </c>
      <c r="K1713" s="11" t="n">
        <v>0</v>
      </c>
      <c r="L1713" s="10">
        <f>I1713*J1713*(1-K1713)</f>
        <v/>
      </c>
      <c r="M1713" s="10" t="n">
        <v>450</v>
      </c>
      <c r="N1713" s="10">
        <f>L1713-M1713</f>
        <v/>
      </c>
    </row>
    <row r="1714">
      <c r="A1714" s="7" t="inlineStr">
        <is>
          <t>ORD-04263</t>
        </is>
      </c>
      <c r="B1714" s="8" t="n">
        <v>45297</v>
      </c>
      <c r="C1714" s="9" t="n">
        <v>45292</v>
      </c>
      <c r="D1714" s="7" t="n">
        <v>2024</v>
      </c>
      <c r="E1714" s="7" t="inlineStr">
        <is>
          <t>West</t>
        </is>
      </c>
      <c r="F1714" s="7" t="inlineStr">
        <is>
          <t>Office Supplies</t>
        </is>
      </c>
      <c r="G1714" s="7" t="inlineStr">
        <is>
          <t>Pens</t>
        </is>
      </c>
      <c r="H1714" s="7" t="inlineStr">
        <is>
          <t>Home Office</t>
        </is>
      </c>
      <c r="I1714" s="7" t="n">
        <v>8</v>
      </c>
      <c r="J1714" s="10" t="n">
        <v>11.59</v>
      </c>
      <c r="K1714" s="11" t="n">
        <v>0</v>
      </c>
      <c r="L1714" s="10">
        <f>I1714*J1714*(1-K1714)</f>
        <v/>
      </c>
      <c r="M1714" s="10" t="n">
        <v>43.2</v>
      </c>
      <c r="N1714" s="10">
        <f>L1714-M1714</f>
        <v/>
      </c>
    </row>
    <row r="1715">
      <c r="A1715" s="7" t="inlineStr">
        <is>
          <t>ORD-01055</t>
        </is>
      </c>
      <c r="B1715" s="8" t="n">
        <v>45298</v>
      </c>
      <c r="C1715" s="9" t="n">
        <v>45292</v>
      </c>
      <c r="D1715" s="7" t="n">
        <v>2024</v>
      </c>
      <c r="E1715" s="7" t="inlineStr">
        <is>
          <t>West</t>
        </is>
      </c>
      <c r="F1715" s="7" t="inlineStr">
        <is>
          <t>Technology</t>
        </is>
      </c>
      <c r="G1715" s="7" t="inlineStr">
        <is>
          <t>Laptop</t>
        </is>
      </c>
      <c r="H1715" s="7" t="inlineStr">
        <is>
          <t>Consumer</t>
        </is>
      </c>
      <c r="I1715" s="7" t="n">
        <v>3</v>
      </c>
      <c r="J1715" s="10" t="n">
        <v>861.08</v>
      </c>
      <c r="K1715" s="11" t="n">
        <v>0.1</v>
      </c>
      <c r="L1715" s="10">
        <f>I1715*J1715*(1-K1715)</f>
        <v/>
      </c>
      <c r="M1715" s="10" t="n">
        <v>2106</v>
      </c>
      <c r="N1715" s="10">
        <f>L1715-M1715</f>
        <v/>
      </c>
    </row>
    <row r="1716">
      <c r="A1716" s="7" t="inlineStr">
        <is>
          <t>ORD-02968</t>
        </is>
      </c>
      <c r="B1716" s="8" t="n">
        <v>45298</v>
      </c>
      <c r="C1716" s="9" t="n">
        <v>45292</v>
      </c>
      <c r="D1716" s="7" t="n">
        <v>2024</v>
      </c>
      <c r="E1716" s="7" t="inlineStr">
        <is>
          <t>West</t>
        </is>
      </c>
      <c r="F1716" s="7" t="inlineStr">
        <is>
          <t>Office Supplies</t>
        </is>
      </c>
      <c r="G1716" s="7" t="inlineStr">
        <is>
          <t>Paper</t>
        </is>
      </c>
      <c r="H1716" s="7" t="inlineStr">
        <is>
          <t>Consumer</t>
        </is>
      </c>
      <c r="I1716" s="7" t="n">
        <v>2</v>
      </c>
      <c r="J1716" s="10" t="n">
        <v>24.51</v>
      </c>
      <c r="K1716" s="11" t="n">
        <v>0.1</v>
      </c>
      <c r="L1716" s="10">
        <f>I1716*J1716*(1-K1716)</f>
        <v/>
      </c>
      <c r="M1716" s="10" t="n">
        <v>25</v>
      </c>
      <c r="N1716" s="10">
        <f>L1716-M1716</f>
        <v/>
      </c>
    </row>
    <row r="1717">
      <c r="A1717" s="7" t="inlineStr">
        <is>
          <t>ORD-00407</t>
        </is>
      </c>
      <c r="B1717" s="8" t="n">
        <v>45298</v>
      </c>
      <c r="C1717" s="9" t="n">
        <v>45292</v>
      </c>
      <c r="D1717" s="7" t="n">
        <v>2024</v>
      </c>
      <c r="E1717" s="7" t="inlineStr">
        <is>
          <t>North</t>
        </is>
      </c>
      <c r="F1717" s="7" t="inlineStr">
        <is>
          <t>Furniture</t>
        </is>
      </c>
      <c r="G1717" s="7" t="inlineStr">
        <is>
          <t>Bookcase</t>
        </is>
      </c>
      <c r="H1717" s="7" t="inlineStr">
        <is>
          <t>Corporate</t>
        </is>
      </c>
      <c r="I1717" s="7" t="n">
        <v>1</v>
      </c>
      <c r="J1717" s="10" t="n">
        <v>186.96</v>
      </c>
      <c r="K1717" s="11" t="n">
        <v>0.05</v>
      </c>
      <c r="L1717" s="10">
        <f>I1717*J1717*(1-K1717)</f>
        <v/>
      </c>
      <c r="M1717" s="10" t="n">
        <v>144</v>
      </c>
      <c r="N1717" s="10">
        <f>L1717-M1717</f>
        <v/>
      </c>
    </row>
    <row r="1718">
      <c r="A1718" s="7" t="inlineStr">
        <is>
          <t>ORD-02945</t>
        </is>
      </c>
      <c r="B1718" s="8" t="n">
        <v>45298</v>
      </c>
      <c r="C1718" s="9" t="n">
        <v>45292</v>
      </c>
      <c r="D1718" s="7" t="n">
        <v>2024</v>
      </c>
      <c r="E1718" s="7" t="inlineStr">
        <is>
          <t>South</t>
        </is>
      </c>
      <c r="F1718" s="7" t="inlineStr">
        <is>
          <t>Office Supplies</t>
        </is>
      </c>
      <c r="G1718" s="7" t="inlineStr">
        <is>
          <t>Printer Ink</t>
        </is>
      </c>
      <c r="H1718" s="7" t="inlineStr">
        <is>
          <t>Corporate</t>
        </is>
      </c>
      <c r="I1718" s="7" t="n">
        <v>15</v>
      </c>
      <c r="J1718" s="10" t="n">
        <v>62.74</v>
      </c>
      <c r="K1718" s="11" t="n">
        <v>0.2</v>
      </c>
      <c r="L1718" s="10">
        <f>I1718*J1718*(1-K1718)</f>
        <v/>
      </c>
      <c r="M1718" s="10" t="n">
        <v>540</v>
      </c>
      <c r="N1718" s="10">
        <f>L1718-M1718</f>
        <v/>
      </c>
    </row>
    <row r="1719">
      <c r="A1719" s="7" t="inlineStr">
        <is>
          <t>ORD-04550</t>
        </is>
      </c>
      <c r="B1719" s="8" t="n">
        <v>45298</v>
      </c>
      <c r="C1719" s="9" t="n">
        <v>45292</v>
      </c>
      <c r="D1719" s="7" t="n">
        <v>2024</v>
      </c>
      <c r="E1719" s="7" t="inlineStr">
        <is>
          <t>East</t>
        </is>
      </c>
      <c r="F1719" s="7" t="inlineStr">
        <is>
          <t>Office Supplies</t>
        </is>
      </c>
      <c r="G1719" s="7" t="inlineStr">
        <is>
          <t>Paper</t>
        </is>
      </c>
      <c r="H1719" s="7" t="inlineStr">
        <is>
          <t>Consumer</t>
        </is>
      </c>
      <c r="I1719" s="7" t="n">
        <v>13</v>
      </c>
      <c r="J1719" s="10" t="n">
        <v>24.62</v>
      </c>
      <c r="K1719" s="11" t="n">
        <v>0</v>
      </c>
      <c r="L1719" s="10">
        <f>I1719*J1719*(1-K1719)</f>
        <v/>
      </c>
      <c r="M1719" s="10" t="n">
        <v>162.5</v>
      </c>
      <c r="N1719" s="10">
        <f>L1719-M1719</f>
        <v/>
      </c>
    </row>
    <row r="1720">
      <c r="A1720" s="7" t="inlineStr">
        <is>
          <t>ORD-04371</t>
        </is>
      </c>
      <c r="B1720" s="8" t="n">
        <v>45299</v>
      </c>
      <c r="C1720" s="9" t="n">
        <v>45292</v>
      </c>
      <c r="D1720" s="7" t="n">
        <v>2024</v>
      </c>
      <c r="E1720" s="7" t="inlineStr">
        <is>
          <t>West</t>
        </is>
      </c>
      <c r="F1720" s="7" t="inlineStr">
        <is>
          <t>Technology</t>
        </is>
      </c>
      <c r="G1720" s="7" t="inlineStr">
        <is>
          <t>Monitor</t>
        </is>
      </c>
      <c r="H1720" s="7" t="inlineStr">
        <is>
          <t>Consumer</t>
        </is>
      </c>
      <c r="I1720" s="7" t="n">
        <v>1</v>
      </c>
      <c r="J1720" s="10" t="n">
        <v>246.92</v>
      </c>
      <c r="K1720" s="11" t="n">
        <v>0</v>
      </c>
      <c r="L1720" s="10">
        <f>I1720*J1720*(1-K1720)</f>
        <v/>
      </c>
      <c r="M1720" s="10" t="n">
        <v>180</v>
      </c>
      <c r="N1720" s="10">
        <f>L1720-M1720</f>
        <v/>
      </c>
    </row>
    <row r="1721">
      <c r="A1721" s="7" t="inlineStr">
        <is>
          <t>ORD-01353</t>
        </is>
      </c>
      <c r="B1721" s="8" t="n">
        <v>45299</v>
      </c>
      <c r="C1721" s="9" t="n">
        <v>45292</v>
      </c>
      <c r="D1721" s="7" t="n">
        <v>2024</v>
      </c>
      <c r="E1721" s="7" t="inlineStr">
        <is>
          <t>North</t>
        </is>
      </c>
      <c r="F1721" s="7" t="inlineStr">
        <is>
          <t>Office Supplies</t>
        </is>
      </c>
      <c r="G1721" s="7" t="inlineStr">
        <is>
          <t>Binder</t>
        </is>
      </c>
      <c r="H1721" s="7" t="inlineStr">
        <is>
          <t>Corporate</t>
        </is>
      </c>
      <c r="I1721" s="7" t="n">
        <v>9</v>
      </c>
      <c r="J1721" s="10" t="n">
        <v>7.96</v>
      </c>
      <c r="K1721" s="11" t="n">
        <v>0.05</v>
      </c>
      <c r="L1721" s="10">
        <f>I1721*J1721*(1-K1721)</f>
        <v/>
      </c>
      <c r="M1721" s="10" t="n">
        <v>28.8</v>
      </c>
      <c r="N1721" s="10">
        <f>L1721-M1721</f>
        <v/>
      </c>
    </row>
    <row r="1722">
      <c r="A1722" s="7" t="inlineStr">
        <is>
          <t>ORD-01710</t>
        </is>
      </c>
      <c r="B1722" s="8" t="n">
        <v>45299</v>
      </c>
      <c r="C1722" s="9" t="n">
        <v>45292</v>
      </c>
      <c r="D1722" s="7" t="n">
        <v>2024</v>
      </c>
      <c r="E1722" s="7" t="inlineStr">
        <is>
          <t>South</t>
        </is>
      </c>
      <c r="F1722" s="7" t="inlineStr">
        <is>
          <t>Office Supplies</t>
        </is>
      </c>
      <c r="G1722" s="7" t="inlineStr">
        <is>
          <t>Pens</t>
        </is>
      </c>
      <c r="H1722" s="7" t="inlineStr">
        <is>
          <t>Consumer</t>
        </is>
      </c>
      <c r="I1722" s="7" t="n">
        <v>14</v>
      </c>
      <c r="J1722" s="10" t="n">
        <v>12.46</v>
      </c>
      <c r="K1722" s="11" t="n">
        <v>0.1</v>
      </c>
      <c r="L1722" s="10">
        <f>I1722*J1722*(1-K1722)</f>
        <v/>
      </c>
      <c r="M1722" s="10" t="n">
        <v>75.59999999999999</v>
      </c>
      <c r="N1722" s="10">
        <f>L1722-M1722</f>
        <v/>
      </c>
    </row>
    <row r="1723">
      <c r="A1723" s="7" t="inlineStr">
        <is>
          <t>ORD-00691</t>
        </is>
      </c>
      <c r="B1723" s="8" t="n">
        <v>45299</v>
      </c>
      <c r="C1723" s="9" t="n">
        <v>45292</v>
      </c>
      <c r="D1723" s="7" t="n">
        <v>2024</v>
      </c>
      <c r="E1723" s="7" t="inlineStr">
        <is>
          <t>East</t>
        </is>
      </c>
      <c r="F1723" s="7" t="inlineStr">
        <is>
          <t>Furniture</t>
        </is>
      </c>
      <c r="G1723" s="7" t="inlineStr">
        <is>
          <t>Office Chair</t>
        </is>
      </c>
      <c r="H1723" s="7" t="inlineStr">
        <is>
          <t>Consumer</t>
        </is>
      </c>
      <c r="I1723" s="7" t="n">
        <v>3</v>
      </c>
      <c r="J1723" s="10" t="n">
        <v>219.33</v>
      </c>
      <c r="K1723" s="11" t="n">
        <v>0.05</v>
      </c>
      <c r="L1723" s="10">
        <f>I1723*J1723*(1-K1723)</f>
        <v/>
      </c>
      <c r="M1723" s="10" t="n">
        <v>541.2</v>
      </c>
      <c r="N1723" s="10">
        <f>L1723-M1723</f>
        <v/>
      </c>
    </row>
    <row r="1724">
      <c r="A1724" s="7" t="inlineStr">
        <is>
          <t>ORD-00267</t>
        </is>
      </c>
      <c r="B1724" s="8" t="n">
        <v>45300</v>
      </c>
      <c r="C1724" s="9" t="n">
        <v>45292</v>
      </c>
      <c r="D1724" s="7" t="n">
        <v>2024</v>
      </c>
      <c r="E1724" s="7" t="inlineStr">
        <is>
          <t>West</t>
        </is>
      </c>
      <c r="F1724" s="7" t="inlineStr">
        <is>
          <t>Furniture</t>
        </is>
      </c>
      <c r="G1724" s="7" t="inlineStr">
        <is>
          <t>Bookcase</t>
        </is>
      </c>
      <c r="H1724" s="7" t="inlineStr">
        <is>
          <t>Corporate</t>
        </is>
      </c>
      <c r="I1724" s="7" t="n">
        <v>3</v>
      </c>
      <c r="J1724" s="10" t="n">
        <v>172.62</v>
      </c>
      <c r="K1724" s="11" t="n">
        <v>0</v>
      </c>
      <c r="L1724" s="10">
        <f>I1724*J1724*(1-K1724)</f>
        <v/>
      </c>
      <c r="M1724" s="10" t="n">
        <v>432</v>
      </c>
      <c r="N1724" s="10">
        <f>L1724-M1724</f>
        <v/>
      </c>
    </row>
    <row r="1725">
      <c r="A1725" s="7" t="inlineStr">
        <is>
          <t>ORD-01997</t>
        </is>
      </c>
      <c r="B1725" s="8" t="n">
        <v>45300</v>
      </c>
      <c r="C1725" s="9" t="n">
        <v>45292</v>
      </c>
      <c r="D1725" s="7" t="n">
        <v>2024</v>
      </c>
      <c r="E1725" s="7" t="inlineStr">
        <is>
          <t>West</t>
        </is>
      </c>
      <c r="F1725" s="7" t="inlineStr">
        <is>
          <t>Office Supplies</t>
        </is>
      </c>
      <c r="G1725" s="7" t="inlineStr">
        <is>
          <t>Paper</t>
        </is>
      </c>
      <c r="H1725" s="7" t="inlineStr">
        <is>
          <t>Consumer</t>
        </is>
      </c>
      <c r="I1725" s="7" t="n">
        <v>15</v>
      </c>
      <c r="J1725" s="10" t="n">
        <v>25.89</v>
      </c>
      <c r="K1725" s="11" t="n">
        <v>0</v>
      </c>
      <c r="L1725" s="10">
        <f>I1725*J1725*(1-K1725)</f>
        <v/>
      </c>
      <c r="M1725" s="10" t="n">
        <v>187.5</v>
      </c>
      <c r="N1725" s="10">
        <f>L1725-M1725</f>
        <v/>
      </c>
    </row>
    <row r="1726">
      <c r="A1726" s="7" t="inlineStr">
        <is>
          <t>ORD-03238</t>
        </is>
      </c>
      <c r="B1726" s="8" t="n">
        <v>45300</v>
      </c>
      <c r="C1726" s="9" t="n">
        <v>45292</v>
      </c>
      <c r="D1726" s="7" t="n">
        <v>2024</v>
      </c>
      <c r="E1726" s="7" t="inlineStr">
        <is>
          <t>South</t>
        </is>
      </c>
      <c r="F1726" s="7" t="inlineStr">
        <is>
          <t>Office Supplies</t>
        </is>
      </c>
      <c r="G1726" s="7" t="inlineStr">
        <is>
          <t>Paper</t>
        </is>
      </c>
      <c r="H1726" s="7" t="inlineStr">
        <is>
          <t>Corporate</t>
        </is>
      </c>
      <c r="I1726" s="7" t="n">
        <v>11</v>
      </c>
      <c r="J1726" s="10" t="n">
        <v>25.28</v>
      </c>
      <c r="K1726" s="11" t="n">
        <v>0.3</v>
      </c>
      <c r="L1726" s="10">
        <f>I1726*J1726*(1-K1726)</f>
        <v/>
      </c>
      <c r="M1726" s="10" t="n">
        <v>137.5</v>
      </c>
      <c r="N1726" s="10">
        <f>L1726-M1726</f>
        <v/>
      </c>
    </row>
    <row r="1727">
      <c r="A1727" s="7" t="inlineStr">
        <is>
          <t>ORD-02041</t>
        </is>
      </c>
      <c r="B1727" s="8" t="n">
        <v>45300</v>
      </c>
      <c r="C1727" s="9" t="n">
        <v>45292</v>
      </c>
      <c r="D1727" s="7" t="n">
        <v>2024</v>
      </c>
      <c r="E1727" s="7" t="inlineStr">
        <is>
          <t>West</t>
        </is>
      </c>
      <c r="F1727" s="7" t="inlineStr">
        <is>
          <t>Office Supplies</t>
        </is>
      </c>
      <c r="G1727" s="7" t="inlineStr">
        <is>
          <t>Printer Ink</t>
        </is>
      </c>
      <c r="H1727" s="7" t="inlineStr">
        <is>
          <t>Corporate</t>
        </is>
      </c>
      <c r="I1727" s="7" t="n">
        <v>11</v>
      </c>
      <c r="J1727" s="10" t="n">
        <v>59.66</v>
      </c>
      <c r="K1727" s="11" t="n">
        <v>0.3</v>
      </c>
      <c r="L1727" s="10">
        <f>I1727*J1727*(1-K1727)</f>
        <v/>
      </c>
      <c r="M1727" s="10" t="n">
        <v>396</v>
      </c>
      <c r="N1727" s="10">
        <f>L1727-M1727</f>
        <v/>
      </c>
    </row>
    <row r="1728">
      <c r="A1728" s="7" t="inlineStr">
        <is>
          <t>ORD-02685</t>
        </is>
      </c>
      <c r="B1728" s="8" t="n">
        <v>45301</v>
      </c>
      <c r="C1728" s="9" t="n">
        <v>45292</v>
      </c>
      <c r="D1728" s="7" t="n">
        <v>2024</v>
      </c>
      <c r="E1728" s="7" t="inlineStr">
        <is>
          <t>West</t>
        </is>
      </c>
      <c r="F1728" s="7" t="inlineStr">
        <is>
          <t>Technology</t>
        </is>
      </c>
      <c r="G1728" s="7" t="inlineStr">
        <is>
          <t>Smartphone</t>
        </is>
      </c>
      <c r="H1728" s="7" t="inlineStr">
        <is>
          <t>Consumer</t>
        </is>
      </c>
      <c r="I1728" s="7" t="n">
        <v>3</v>
      </c>
      <c r="J1728" s="10" t="n">
        <v>606.22</v>
      </c>
      <c r="K1728" s="11" t="n">
        <v>0</v>
      </c>
      <c r="L1728" s="10">
        <f>I1728*J1728*(1-K1728)</f>
        <v/>
      </c>
      <c r="M1728" s="10" t="n">
        <v>1350</v>
      </c>
      <c r="N1728" s="10">
        <f>L1728-M1728</f>
        <v/>
      </c>
    </row>
    <row r="1729">
      <c r="A1729" s="7" t="inlineStr">
        <is>
          <t>ORD-02555</t>
        </is>
      </c>
      <c r="B1729" s="8" t="n">
        <v>45301</v>
      </c>
      <c r="C1729" s="9" t="n">
        <v>45292</v>
      </c>
      <c r="D1729" s="7" t="n">
        <v>2024</v>
      </c>
      <c r="E1729" s="7" t="inlineStr">
        <is>
          <t>South</t>
        </is>
      </c>
      <c r="F1729" s="7" t="inlineStr">
        <is>
          <t>Technology</t>
        </is>
      </c>
      <c r="G1729" s="7" t="inlineStr">
        <is>
          <t>Headphones</t>
        </is>
      </c>
      <c r="H1729" s="7" t="inlineStr">
        <is>
          <t>Corporate</t>
        </is>
      </c>
      <c r="I1729" s="7" t="n">
        <v>3</v>
      </c>
      <c r="J1729" s="10" t="n">
        <v>125.29</v>
      </c>
      <c r="K1729" s="11" t="n">
        <v>0.3</v>
      </c>
      <c r="L1729" s="10">
        <f>I1729*J1729*(1-K1729)</f>
        <v/>
      </c>
      <c r="M1729" s="10" t="n">
        <v>216</v>
      </c>
      <c r="N1729" s="10">
        <f>L1729-M1729</f>
        <v/>
      </c>
    </row>
    <row r="1730">
      <c r="A1730" s="7" t="inlineStr">
        <is>
          <t>ORD-04687</t>
        </is>
      </c>
      <c r="B1730" s="8" t="n">
        <v>45301</v>
      </c>
      <c r="C1730" s="9" t="n">
        <v>45292</v>
      </c>
      <c r="D1730" s="7" t="n">
        <v>2024</v>
      </c>
      <c r="E1730" s="7" t="inlineStr">
        <is>
          <t>North</t>
        </is>
      </c>
      <c r="F1730" s="7" t="inlineStr">
        <is>
          <t>Office Supplies</t>
        </is>
      </c>
      <c r="G1730" s="7" t="inlineStr">
        <is>
          <t>Paper</t>
        </is>
      </c>
      <c r="H1730" s="7" t="inlineStr">
        <is>
          <t>Home Office</t>
        </is>
      </c>
      <c r="I1730" s="7" t="n">
        <v>14</v>
      </c>
      <c r="J1730" s="10" t="n">
        <v>24.62</v>
      </c>
      <c r="K1730" s="11" t="n">
        <v>0.3</v>
      </c>
      <c r="L1730" s="10">
        <f>I1730*J1730*(1-K1730)</f>
        <v/>
      </c>
      <c r="M1730" s="10" t="n">
        <v>175</v>
      </c>
      <c r="N1730" s="10">
        <f>L1730-M1730</f>
        <v/>
      </c>
    </row>
    <row r="1731">
      <c r="A1731" s="7" t="inlineStr">
        <is>
          <t>ORD-01406</t>
        </is>
      </c>
      <c r="B1731" s="8" t="n">
        <v>45302</v>
      </c>
      <c r="C1731" s="9" t="n">
        <v>45292</v>
      </c>
      <c r="D1731" s="7" t="n">
        <v>2024</v>
      </c>
      <c r="E1731" s="7" t="inlineStr">
        <is>
          <t>West</t>
        </is>
      </c>
      <c r="F1731" s="7" t="inlineStr">
        <is>
          <t>Office Supplies</t>
        </is>
      </c>
      <c r="G1731" s="7" t="inlineStr">
        <is>
          <t>Pens</t>
        </is>
      </c>
      <c r="H1731" s="7" t="inlineStr">
        <is>
          <t>Consumer</t>
        </is>
      </c>
      <c r="I1731" s="7" t="n">
        <v>5</v>
      </c>
      <c r="J1731" s="10" t="n">
        <v>12.24</v>
      </c>
      <c r="K1731" s="11" t="n">
        <v>0</v>
      </c>
      <c r="L1731" s="10">
        <f>I1731*J1731*(1-K1731)</f>
        <v/>
      </c>
      <c r="M1731" s="10" t="n">
        <v>27</v>
      </c>
      <c r="N1731" s="10">
        <f>L1731-M1731</f>
        <v/>
      </c>
    </row>
    <row r="1732">
      <c r="A1732" s="7" t="inlineStr">
        <is>
          <t>ORD-04744</t>
        </is>
      </c>
      <c r="B1732" s="8" t="n">
        <v>45302</v>
      </c>
      <c r="C1732" s="9" t="n">
        <v>45292</v>
      </c>
      <c r="D1732" s="7" t="n">
        <v>2024</v>
      </c>
      <c r="E1732" s="7" t="inlineStr">
        <is>
          <t>South</t>
        </is>
      </c>
      <c r="F1732" s="7" t="inlineStr">
        <is>
          <t>Office Supplies</t>
        </is>
      </c>
      <c r="G1732" s="7" t="inlineStr">
        <is>
          <t>Pens</t>
        </is>
      </c>
      <c r="H1732" s="7" t="inlineStr">
        <is>
          <t>Corporate</t>
        </is>
      </c>
      <c r="I1732" s="7" t="n">
        <v>2</v>
      </c>
      <c r="J1732" s="10" t="n">
        <v>12.07</v>
      </c>
      <c r="K1732" s="11" t="n">
        <v>0.2</v>
      </c>
      <c r="L1732" s="10">
        <f>I1732*J1732*(1-K1732)</f>
        <v/>
      </c>
      <c r="M1732" s="10" t="n">
        <v>10.8</v>
      </c>
      <c r="N1732" s="10">
        <f>L1732-M1732</f>
        <v/>
      </c>
    </row>
    <row r="1733">
      <c r="A1733" s="7" t="inlineStr">
        <is>
          <t>ORD-00225</t>
        </is>
      </c>
      <c r="B1733" s="8" t="n">
        <v>45303</v>
      </c>
      <c r="C1733" s="9" t="n">
        <v>45292</v>
      </c>
      <c r="D1733" s="7" t="n">
        <v>2024</v>
      </c>
      <c r="E1733" s="7" t="inlineStr">
        <is>
          <t>East</t>
        </is>
      </c>
      <c r="F1733" s="7" t="inlineStr">
        <is>
          <t>Office Supplies</t>
        </is>
      </c>
      <c r="G1733" s="7" t="inlineStr">
        <is>
          <t>Paper</t>
        </is>
      </c>
      <c r="H1733" s="7" t="inlineStr">
        <is>
          <t>Consumer</t>
        </is>
      </c>
      <c r="I1733" s="7" t="n">
        <v>12</v>
      </c>
      <c r="J1733" s="10" t="n">
        <v>25.44</v>
      </c>
      <c r="K1733" s="11" t="n">
        <v>0</v>
      </c>
      <c r="L1733" s="10">
        <f>I1733*J1733*(1-K1733)</f>
        <v/>
      </c>
      <c r="M1733" s="10" t="n">
        <v>150</v>
      </c>
      <c r="N1733" s="10">
        <f>L1733-M1733</f>
        <v/>
      </c>
    </row>
    <row r="1734">
      <c r="A1734" s="7" t="inlineStr">
        <is>
          <t>ORD-05613</t>
        </is>
      </c>
      <c r="B1734" s="8" t="n">
        <v>45303</v>
      </c>
      <c r="C1734" s="9" t="n">
        <v>45292</v>
      </c>
      <c r="D1734" s="7" t="n">
        <v>2024</v>
      </c>
      <c r="E1734" s="7" t="inlineStr">
        <is>
          <t>West</t>
        </is>
      </c>
      <c r="F1734" s="7" t="inlineStr">
        <is>
          <t>Office Supplies</t>
        </is>
      </c>
      <c r="G1734" s="7" t="inlineStr">
        <is>
          <t>Printer Ink</t>
        </is>
      </c>
      <c r="H1734" s="7" t="inlineStr">
        <is>
          <t>Consumer</t>
        </is>
      </c>
      <c r="I1734" s="7" t="n">
        <v>2</v>
      </c>
      <c r="J1734" s="10" t="n">
        <v>61.71</v>
      </c>
      <c r="K1734" s="11" t="n">
        <v>0</v>
      </c>
      <c r="L1734" s="10">
        <f>I1734*J1734*(1-K1734)</f>
        <v/>
      </c>
      <c r="M1734" s="10" t="n">
        <v>72</v>
      </c>
      <c r="N1734" s="10">
        <f>L1734-M1734</f>
        <v/>
      </c>
    </row>
    <row r="1735">
      <c r="A1735" s="7" t="inlineStr">
        <is>
          <t>ORD-04616</t>
        </is>
      </c>
      <c r="B1735" s="8" t="n">
        <v>45303</v>
      </c>
      <c r="C1735" s="9" t="n">
        <v>45292</v>
      </c>
      <c r="D1735" s="7" t="n">
        <v>2024</v>
      </c>
      <c r="E1735" s="7" t="inlineStr">
        <is>
          <t>East</t>
        </is>
      </c>
      <c r="F1735" s="7" t="inlineStr">
        <is>
          <t>Office Supplies</t>
        </is>
      </c>
      <c r="G1735" s="7" t="inlineStr">
        <is>
          <t>Binder</t>
        </is>
      </c>
      <c r="H1735" s="7" t="inlineStr">
        <is>
          <t>Home Office</t>
        </is>
      </c>
      <c r="I1735" s="7" t="n">
        <v>12</v>
      </c>
      <c r="J1735" s="10" t="n">
        <v>7.7</v>
      </c>
      <c r="K1735" s="11" t="n">
        <v>0</v>
      </c>
      <c r="L1735" s="10">
        <f>I1735*J1735*(1-K1735)</f>
        <v/>
      </c>
      <c r="M1735" s="10" t="n">
        <v>38.4</v>
      </c>
      <c r="N1735" s="10">
        <f>L1735-M1735</f>
        <v/>
      </c>
    </row>
    <row r="1736">
      <c r="A1736" s="7" t="inlineStr">
        <is>
          <t>ORD-04930</t>
        </is>
      </c>
      <c r="B1736" s="8" t="n">
        <v>45303</v>
      </c>
      <c r="C1736" s="9" t="n">
        <v>45292</v>
      </c>
      <c r="D1736" s="7" t="n">
        <v>2024</v>
      </c>
      <c r="E1736" s="7" t="inlineStr">
        <is>
          <t>East</t>
        </is>
      </c>
      <c r="F1736" s="7" t="inlineStr">
        <is>
          <t>Office Supplies</t>
        </is>
      </c>
      <c r="G1736" s="7" t="inlineStr">
        <is>
          <t>Paper</t>
        </is>
      </c>
      <c r="H1736" s="7" t="inlineStr">
        <is>
          <t>Consumer</t>
        </is>
      </c>
      <c r="I1736" s="7" t="n">
        <v>11</v>
      </c>
      <c r="J1736" s="10" t="n">
        <v>26.18</v>
      </c>
      <c r="K1736" s="11" t="n">
        <v>0.3</v>
      </c>
      <c r="L1736" s="10">
        <f>I1736*J1736*(1-K1736)</f>
        <v/>
      </c>
      <c r="M1736" s="10" t="n">
        <v>137.5</v>
      </c>
      <c r="N1736" s="10">
        <f>L1736-M1736</f>
        <v/>
      </c>
    </row>
    <row r="1737">
      <c r="A1737" s="7" t="inlineStr">
        <is>
          <t>ORD-03601</t>
        </is>
      </c>
      <c r="B1737" s="8" t="n">
        <v>45303</v>
      </c>
      <c r="C1737" s="9" t="n">
        <v>45292</v>
      </c>
      <c r="D1737" s="7" t="n">
        <v>2024</v>
      </c>
      <c r="E1737" s="7" t="inlineStr">
        <is>
          <t>East</t>
        </is>
      </c>
      <c r="F1737" s="7" t="inlineStr">
        <is>
          <t>Furniture</t>
        </is>
      </c>
      <c r="G1737" s="7" t="inlineStr">
        <is>
          <t>Bookcase</t>
        </is>
      </c>
      <c r="H1737" s="7" t="inlineStr">
        <is>
          <t>Consumer</t>
        </is>
      </c>
      <c r="I1737" s="7" t="n">
        <v>4</v>
      </c>
      <c r="J1737" s="10" t="n">
        <v>176.13</v>
      </c>
      <c r="K1737" s="11" t="n">
        <v>0</v>
      </c>
      <c r="L1737" s="10">
        <f>I1737*J1737*(1-K1737)</f>
        <v/>
      </c>
      <c r="M1737" s="10" t="n">
        <v>576</v>
      </c>
      <c r="N1737" s="10">
        <f>L1737-M1737</f>
        <v/>
      </c>
    </row>
    <row r="1738">
      <c r="A1738" s="7" t="inlineStr">
        <is>
          <t>ORD-02012</t>
        </is>
      </c>
      <c r="B1738" s="8" t="n">
        <v>45303</v>
      </c>
      <c r="C1738" s="9" t="n">
        <v>45292</v>
      </c>
      <c r="D1738" s="7" t="n">
        <v>2024</v>
      </c>
      <c r="E1738" s="7" t="inlineStr">
        <is>
          <t>South</t>
        </is>
      </c>
      <c r="F1738" s="7" t="inlineStr">
        <is>
          <t>Office Supplies</t>
        </is>
      </c>
      <c r="G1738" s="7" t="inlineStr">
        <is>
          <t>Printer Ink</t>
        </is>
      </c>
      <c r="H1738" s="7" t="inlineStr">
        <is>
          <t>Consumer</t>
        </is>
      </c>
      <c r="I1738" s="7" t="n">
        <v>9</v>
      </c>
      <c r="J1738" s="10" t="n">
        <v>58.65</v>
      </c>
      <c r="K1738" s="11" t="n">
        <v>0</v>
      </c>
      <c r="L1738" s="10">
        <f>I1738*J1738*(1-K1738)</f>
        <v/>
      </c>
      <c r="M1738" s="10" t="n">
        <v>324</v>
      </c>
      <c r="N1738" s="10">
        <f>L1738-M1738</f>
        <v/>
      </c>
    </row>
    <row r="1739">
      <c r="A1739" s="7" t="inlineStr">
        <is>
          <t>ORD-03381</t>
        </is>
      </c>
      <c r="B1739" s="8" t="n">
        <v>45303</v>
      </c>
      <c r="C1739" s="9" t="n">
        <v>45292</v>
      </c>
      <c r="D1739" s="7" t="n">
        <v>2024</v>
      </c>
      <c r="E1739" s="7" t="inlineStr">
        <is>
          <t>East</t>
        </is>
      </c>
      <c r="F1739" s="7" t="inlineStr">
        <is>
          <t>Office Supplies</t>
        </is>
      </c>
      <c r="G1739" s="7" t="inlineStr">
        <is>
          <t>Pens</t>
        </is>
      </c>
      <c r="H1739" s="7" t="inlineStr">
        <is>
          <t>Consumer</t>
        </is>
      </c>
      <c r="I1739" s="7" t="n">
        <v>13</v>
      </c>
      <c r="J1739" s="10" t="n">
        <v>11.83</v>
      </c>
      <c r="K1739" s="11" t="n">
        <v>0</v>
      </c>
      <c r="L1739" s="10">
        <f>I1739*J1739*(1-K1739)</f>
        <v/>
      </c>
      <c r="M1739" s="10" t="n">
        <v>70.2</v>
      </c>
      <c r="N1739" s="10">
        <f>L1739-M1739</f>
        <v/>
      </c>
    </row>
    <row r="1740">
      <c r="A1740" s="7" t="inlineStr">
        <is>
          <t>ORD-01858</t>
        </is>
      </c>
      <c r="B1740" s="8" t="n">
        <v>45303</v>
      </c>
      <c r="C1740" s="9" t="n">
        <v>45292</v>
      </c>
      <c r="D1740" s="7" t="n">
        <v>2024</v>
      </c>
      <c r="E1740" s="7" t="inlineStr">
        <is>
          <t>West</t>
        </is>
      </c>
      <c r="F1740" s="7" t="inlineStr">
        <is>
          <t>Office Supplies</t>
        </is>
      </c>
      <c r="G1740" s="7" t="inlineStr">
        <is>
          <t>Pens</t>
        </is>
      </c>
      <c r="H1740" s="7" t="inlineStr">
        <is>
          <t>Consumer</t>
        </is>
      </c>
      <c r="I1740" s="7" t="n">
        <v>2</v>
      </c>
      <c r="J1740" s="10" t="n">
        <v>11.65</v>
      </c>
      <c r="K1740" s="11" t="n">
        <v>0</v>
      </c>
      <c r="L1740" s="10">
        <f>I1740*J1740*(1-K1740)</f>
        <v/>
      </c>
      <c r="M1740" s="10" t="n">
        <v>10.8</v>
      </c>
      <c r="N1740" s="10">
        <f>L1740-M1740</f>
        <v/>
      </c>
    </row>
    <row r="1741">
      <c r="A1741" s="7" t="inlineStr">
        <is>
          <t>ORD-05968</t>
        </is>
      </c>
      <c r="B1741" s="8" t="n">
        <v>45303</v>
      </c>
      <c r="C1741" s="9" t="n">
        <v>45292</v>
      </c>
      <c r="D1741" s="7" t="n">
        <v>2024</v>
      </c>
      <c r="E1741" s="7" t="inlineStr">
        <is>
          <t>West</t>
        </is>
      </c>
      <c r="F1741" s="7" t="inlineStr">
        <is>
          <t>Office Supplies</t>
        </is>
      </c>
      <c r="G1741" s="7" t="inlineStr">
        <is>
          <t>Paper</t>
        </is>
      </c>
      <c r="H1741" s="7" t="inlineStr">
        <is>
          <t>Corporate</t>
        </is>
      </c>
      <c r="I1741" s="7" t="n">
        <v>7</v>
      </c>
      <c r="J1741" s="10" t="n">
        <v>25.48</v>
      </c>
      <c r="K1741" s="11" t="n">
        <v>0.05</v>
      </c>
      <c r="L1741" s="10">
        <f>I1741*J1741*(1-K1741)</f>
        <v/>
      </c>
      <c r="M1741" s="10" t="n">
        <v>87.5</v>
      </c>
      <c r="N1741" s="10">
        <f>L1741-M1741</f>
        <v/>
      </c>
    </row>
    <row r="1742">
      <c r="A1742" s="7" t="inlineStr">
        <is>
          <t>ORD-02316</t>
        </is>
      </c>
      <c r="B1742" s="8" t="n">
        <v>45304</v>
      </c>
      <c r="C1742" s="9" t="n">
        <v>45292</v>
      </c>
      <c r="D1742" s="7" t="n">
        <v>2024</v>
      </c>
      <c r="E1742" s="7" t="inlineStr">
        <is>
          <t>East</t>
        </is>
      </c>
      <c r="F1742" s="7" t="inlineStr">
        <is>
          <t>Furniture</t>
        </is>
      </c>
      <c r="G1742" s="7" t="inlineStr">
        <is>
          <t>Sofa</t>
        </is>
      </c>
      <c r="H1742" s="7" t="inlineStr">
        <is>
          <t>Consumer</t>
        </is>
      </c>
      <c r="I1742" s="7" t="n">
        <v>1</v>
      </c>
      <c r="J1742" s="10" t="n">
        <v>678.59</v>
      </c>
      <c r="K1742" s="11" t="n">
        <v>0</v>
      </c>
      <c r="L1742" s="10">
        <f>I1742*J1742*(1-K1742)</f>
        <v/>
      </c>
      <c r="M1742" s="10" t="n">
        <v>616</v>
      </c>
      <c r="N1742" s="10">
        <f>L1742-M1742</f>
        <v/>
      </c>
    </row>
    <row r="1743">
      <c r="A1743" s="7" t="inlineStr">
        <is>
          <t>ORD-02821</t>
        </is>
      </c>
      <c r="B1743" s="8" t="n">
        <v>45305</v>
      </c>
      <c r="C1743" s="9" t="n">
        <v>45292</v>
      </c>
      <c r="D1743" s="7" t="n">
        <v>2024</v>
      </c>
      <c r="E1743" s="7" t="inlineStr">
        <is>
          <t>East</t>
        </is>
      </c>
      <c r="F1743" s="7" t="inlineStr">
        <is>
          <t>Office Supplies</t>
        </is>
      </c>
      <c r="G1743" s="7" t="inlineStr">
        <is>
          <t>Paper</t>
        </is>
      </c>
      <c r="H1743" s="7" t="inlineStr">
        <is>
          <t>Consumer</t>
        </is>
      </c>
      <c r="I1743" s="7" t="n">
        <v>10</v>
      </c>
      <c r="J1743" s="10" t="n">
        <v>25.07</v>
      </c>
      <c r="K1743" s="11" t="n">
        <v>0</v>
      </c>
      <c r="L1743" s="10">
        <f>I1743*J1743*(1-K1743)</f>
        <v/>
      </c>
      <c r="M1743" s="10" t="n">
        <v>125</v>
      </c>
      <c r="N1743" s="10">
        <f>L1743-M1743</f>
        <v/>
      </c>
    </row>
    <row r="1744">
      <c r="A1744" s="7" t="inlineStr">
        <is>
          <t>ORD-05551</t>
        </is>
      </c>
      <c r="B1744" s="8" t="n">
        <v>45305</v>
      </c>
      <c r="C1744" s="9" t="n">
        <v>45292</v>
      </c>
      <c r="D1744" s="7" t="n">
        <v>2024</v>
      </c>
      <c r="E1744" s="7" t="inlineStr">
        <is>
          <t>West</t>
        </is>
      </c>
      <c r="F1744" s="7" t="inlineStr">
        <is>
          <t>Technology</t>
        </is>
      </c>
      <c r="G1744" s="7" t="inlineStr">
        <is>
          <t>Headphones</t>
        </is>
      </c>
      <c r="H1744" s="7" t="inlineStr">
        <is>
          <t>Consumer</t>
        </is>
      </c>
      <c r="I1744" s="7" t="n">
        <v>2</v>
      </c>
      <c r="J1744" s="10" t="n">
        <v>119.49</v>
      </c>
      <c r="K1744" s="11" t="n">
        <v>0.05</v>
      </c>
      <c r="L1744" s="10">
        <f>I1744*J1744*(1-K1744)</f>
        <v/>
      </c>
      <c r="M1744" s="10" t="n">
        <v>144</v>
      </c>
      <c r="N1744" s="10">
        <f>L1744-M1744</f>
        <v/>
      </c>
    </row>
    <row r="1745">
      <c r="A1745" s="7" t="inlineStr">
        <is>
          <t>ORD-00330</t>
        </is>
      </c>
      <c r="B1745" s="8" t="n">
        <v>45305</v>
      </c>
      <c r="C1745" s="9" t="n">
        <v>45292</v>
      </c>
      <c r="D1745" s="7" t="n">
        <v>2024</v>
      </c>
      <c r="E1745" s="7" t="inlineStr">
        <is>
          <t>West</t>
        </is>
      </c>
      <c r="F1745" s="7" t="inlineStr">
        <is>
          <t>Furniture</t>
        </is>
      </c>
      <c r="G1745" s="7" t="inlineStr">
        <is>
          <t>Desk</t>
        </is>
      </c>
      <c r="H1745" s="7" t="inlineStr">
        <is>
          <t>Corporate</t>
        </is>
      </c>
      <c r="I1745" s="7" t="n">
        <v>3</v>
      </c>
      <c r="J1745" s="10" t="n">
        <v>465.22</v>
      </c>
      <c r="K1745" s="11" t="n">
        <v>0.1</v>
      </c>
      <c r="L1745" s="10">
        <f>I1745*J1745*(1-K1745)</f>
        <v/>
      </c>
      <c r="M1745" s="10" t="n">
        <v>1147.5</v>
      </c>
      <c r="N1745" s="10">
        <f>L1745-M1745</f>
        <v/>
      </c>
    </row>
    <row r="1746">
      <c r="A1746" s="7" t="inlineStr">
        <is>
          <t>ORD-02344</t>
        </is>
      </c>
      <c r="B1746" s="8" t="n">
        <v>45305</v>
      </c>
      <c r="C1746" s="9" t="n">
        <v>45292</v>
      </c>
      <c r="D1746" s="7" t="n">
        <v>2024</v>
      </c>
      <c r="E1746" s="7" t="inlineStr">
        <is>
          <t>East</t>
        </is>
      </c>
      <c r="F1746" s="7" t="inlineStr">
        <is>
          <t>Technology</t>
        </is>
      </c>
      <c r="G1746" s="7" t="inlineStr">
        <is>
          <t>Keyboard</t>
        </is>
      </c>
      <c r="H1746" s="7" t="inlineStr">
        <is>
          <t>Consumer</t>
        </is>
      </c>
      <c r="I1746" s="7" t="n">
        <v>2</v>
      </c>
      <c r="J1746" s="10" t="n">
        <v>46.62</v>
      </c>
      <c r="K1746" s="11" t="n">
        <v>0</v>
      </c>
      <c r="L1746" s="10">
        <f>I1746*J1746*(1-K1746)</f>
        <v/>
      </c>
      <c r="M1746" s="10" t="n">
        <v>49.5</v>
      </c>
      <c r="N1746" s="10">
        <f>L1746-M1746</f>
        <v/>
      </c>
    </row>
    <row r="1747">
      <c r="A1747" s="7" t="inlineStr">
        <is>
          <t>ORD-01684</t>
        </is>
      </c>
      <c r="B1747" s="8" t="n">
        <v>45305</v>
      </c>
      <c r="C1747" s="9" t="n">
        <v>45292</v>
      </c>
      <c r="D1747" s="7" t="n">
        <v>2024</v>
      </c>
      <c r="E1747" s="7" t="inlineStr">
        <is>
          <t>North</t>
        </is>
      </c>
      <c r="F1747" s="7" t="inlineStr">
        <is>
          <t>Technology</t>
        </is>
      </c>
      <c r="G1747" s="7" t="inlineStr">
        <is>
          <t>Keyboard</t>
        </is>
      </c>
      <c r="H1747" s="7" t="inlineStr">
        <is>
          <t>Corporate</t>
        </is>
      </c>
      <c r="I1747" s="7" t="n">
        <v>1</v>
      </c>
      <c r="J1747" s="10" t="n">
        <v>44.74</v>
      </c>
      <c r="K1747" s="11" t="n">
        <v>0</v>
      </c>
      <c r="L1747" s="10">
        <f>I1747*J1747*(1-K1747)</f>
        <v/>
      </c>
      <c r="M1747" s="10" t="n">
        <v>24.75</v>
      </c>
      <c r="N1747" s="10">
        <f>L1747-M1747</f>
        <v/>
      </c>
    </row>
    <row r="1748">
      <c r="A1748" s="7" t="inlineStr">
        <is>
          <t>ORD-04489</t>
        </is>
      </c>
      <c r="B1748" s="8" t="n">
        <v>45306</v>
      </c>
      <c r="C1748" s="9" t="n">
        <v>45292</v>
      </c>
      <c r="D1748" s="7" t="n">
        <v>2024</v>
      </c>
      <c r="E1748" s="7" t="inlineStr">
        <is>
          <t>North</t>
        </is>
      </c>
      <c r="F1748" s="7" t="inlineStr">
        <is>
          <t>Office Supplies</t>
        </is>
      </c>
      <c r="G1748" s="7" t="inlineStr">
        <is>
          <t>Pens</t>
        </is>
      </c>
      <c r="H1748" s="7" t="inlineStr">
        <is>
          <t>Corporate</t>
        </is>
      </c>
      <c r="I1748" s="7" t="n">
        <v>5</v>
      </c>
      <c r="J1748" s="10" t="n">
        <v>12.47</v>
      </c>
      <c r="K1748" s="11" t="n">
        <v>0.1</v>
      </c>
      <c r="L1748" s="10">
        <f>I1748*J1748*(1-K1748)</f>
        <v/>
      </c>
      <c r="M1748" s="10" t="n">
        <v>27</v>
      </c>
      <c r="N1748" s="10">
        <f>L1748-M1748</f>
        <v/>
      </c>
    </row>
    <row r="1749">
      <c r="A1749" s="7" t="inlineStr">
        <is>
          <t>ORD-03464</t>
        </is>
      </c>
      <c r="B1749" s="8" t="n">
        <v>45306</v>
      </c>
      <c r="C1749" s="9" t="n">
        <v>45292</v>
      </c>
      <c r="D1749" s="7" t="n">
        <v>2024</v>
      </c>
      <c r="E1749" s="7" t="inlineStr">
        <is>
          <t>West</t>
        </is>
      </c>
      <c r="F1749" s="7" t="inlineStr">
        <is>
          <t>Office Supplies</t>
        </is>
      </c>
      <c r="G1749" s="7" t="inlineStr">
        <is>
          <t>Printer Ink</t>
        </is>
      </c>
      <c r="H1749" s="7" t="inlineStr">
        <is>
          <t>Consumer</t>
        </is>
      </c>
      <c r="I1749" s="7" t="n">
        <v>13</v>
      </c>
      <c r="J1749" s="10" t="n">
        <v>60.43</v>
      </c>
      <c r="K1749" s="11" t="n">
        <v>0</v>
      </c>
      <c r="L1749" s="10">
        <f>I1749*J1749*(1-K1749)</f>
        <v/>
      </c>
      <c r="M1749" s="10" t="n">
        <v>468</v>
      </c>
      <c r="N1749" s="10">
        <f>L1749-M1749</f>
        <v/>
      </c>
    </row>
    <row r="1750">
      <c r="A1750" s="7" t="inlineStr">
        <is>
          <t>ORD-03190</t>
        </is>
      </c>
      <c r="B1750" s="8" t="n">
        <v>45306</v>
      </c>
      <c r="C1750" s="9" t="n">
        <v>45292</v>
      </c>
      <c r="D1750" s="7" t="n">
        <v>2024</v>
      </c>
      <c r="E1750" s="7" t="inlineStr">
        <is>
          <t>South</t>
        </is>
      </c>
      <c r="F1750" s="7" t="inlineStr">
        <is>
          <t>Office Supplies</t>
        </is>
      </c>
      <c r="G1750" s="7" t="inlineStr">
        <is>
          <t>Pens</t>
        </is>
      </c>
      <c r="H1750" s="7" t="inlineStr">
        <is>
          <t>Consumer</t>
        </is>
      </c>
      <c r="I1750" s="7" t="n">
        <v>4</v>
      </c>
      <c r="J1750" s="10" t="n">
        <v>12.14</v>
      </c>
      <c r="K1750" s="11" t="n">
        <v>0.3</v>
      </c>
      <c r="L1750" s="10">
        <f>I1750*J1750*(1-K1750)</f>
        <v/>
      </c>
      <c r="M1750" s="10" t="n">
        <v>21.6</v>
      </c>
      <c r="N1750" s="10">
        <f>L1750-M1750</f>
        <v/>
      </c>
    </row>
    <row r="1751">
      <c r="A1751" s="7" t="inlineStr">
        <is>
          <t>ORD-05655</t>
        </is>
      </c>
      <c r="B1751" s="8" t="n">
        <v>45306</v>
      </c>
      <c r="C1751" s="9" t="n">
        <v>45292</v>
      </c>
      <c r="D1751" s="7" t="n">
        <v>2024</v>
      </c>
      <c r="E1751" s="7" t="inlineStr">
        <is>
          <t>West</t>
        </is>
      </c>
      <c r="F1751" s="7" t="inlineStr">
        <is>
          <t>Office Supplies</t>
        </is>
      </c>
      <c r="G1751" s="7" t="inlineStr">
        <is>
          <t>Binder</t>
        </is>
      </c>
      <c r="H1751" s="7" t="inlineStr">
        <is>
          <t>Consumer</t>
        </is>
      </c>
      <c r="I1751" s="7" t="n">
        <v>14</v>
      </c>
      <c r="J1751" s="10" t="n">
        <v>8.23</v>
      </c>
      <c r="K1751" s="11" t="n">
        <v>0</v>
      </c>
      <c r="L1751" s="10">
        <f>I1751*J1751*(1-K1751)</f>
        <v/>
      </c>
      <c r="M1751" s="10" t="n">
        <v>44.8</v>
      </c>
      <c r="N1751" s="10">
        <f>L1751-M1751</f>
        <v/>
      </c>
    </row>
    <row r="1752">
      <c r="A1752" s="7" t="inlineStr">
        <is>
          <t>ORD-00615</t>
        </is>
      </c>
      <c r="B1752" s="8" t="n">
        <v>45306</v>
      </c>
      <c r="C1752" s="9" t="n">
        <v>45292</v>
      </c>
      <c r="D1752" s="7" t="n">
        <v>2024</v>
      </c>
      <c r="E1752" s="7" t="inlineStr">
        <is>
          <t>North</t>
        </is>
      </c>
      <c r="F1752" s="7" t="inlineStr">
        <is>
          <t>Office Supplies</t>
        </is>
      </c>
      <c r="G1752" s="7" t="inlineStr">
        <is>
          <t>Paper</t>
        </is>
      </c>
      <c r="H1752" s="7" t="inlineStr">
        <is>
          <t>Consumer</t>
        </is>
      </c>
      <c r="I1752" s="7" t="n">
        <v>8</v>
      </c>
      <c r="J1752" s="10" t="n">
        <v>25.38</v>
      </c>
      <c r="K1752" s="11" t="n">
        <v>0.2</v>
      </c>
      <c r="L1752" s="10">
        <f>I1752*J1752*(1-K1752)</f>
        <v/>
      </c>
      <c r="M1752" s="10" t="n">
        <v>100</v>
      </c>
      <c r="N1752" s="10">
        <f>L1752-M1752</f>
        <v/>
      </c>
    </row>
    <row r="1753">
      <c r="A1753" s="7" t="inlineStr">
        <is>
          <t>ORD-02629</t>
        </is>
      </c>
      <c r="B1753" s="8" t="n">
        <v>45306</v>
      </c>
      <c r="C1753" s="9" t="n">
        <v>45292</v>
      </c>
      <c r="D1753" s="7" t="n">
        <v>2024</v>
      </c>
      <c r="E1753" s="7" t="inlineStr">
        <is>
          <t>East</t>
        </is>
      </c>
      <c r="F1753" s="7" t="inlineStr">
        <is>
          <t>Office Supplies</t>
        </is>
      </c>
      <c r="G1753" s="7" t="inlineStr">
        <is>
          <t>Pens</t>
        </is>
      </c>
      <c r="H1753" s="7" t="inlineStr">
        <is>
          <t>Corporate</t>
        </is>
      </c>
      <c r="I1753" s="7" t="n">
        <v>4</v>
      </c>
      <c r="J1753" s="10" t="n">
        <v>12.35</v>
      </c>
      <c r="K1753" s="11" t="n">
        <v>0.05</v>
      </c>
      <c r="L1753" s="10">
        <f>I1753*J1753*(1-K1753)</f>
        <v/>
      </c>
      <c r="M1753" s="10" t="n">
        <v>21.6</v>
      </c>
      <c r="N1753" s="10">
        <f>L1753-M1753</f>
        <v/>
      </c>
    </row>
    <row r="1754">
      <c r="A1754" s="7" t="inlineStr">
        <is>
          <t>ORD-00048</t>
        </is>
      </c>
      <c r="B1754" s="8" t="n">
        <v>45306</v>
      </c>
      <c r="C1754" s="9" t="n">
        <v>45292</v>
      </c>
      <c r="D1754" s="7" t="n">
        <v>2024</v>
      </c>
      <c r="E1754" s="7" t="inlineStr">
        <is>
          <t>West</t>
        </is>
      </c>
      <c r="F1754" s="7" t="inlineStr">
        <is>
          <t>Office Supplies</t>
        </is>
      </c>
      <c r="G1754" s="7" t="inlineStr">
        <is>
          <t>Paper</t>
        </is>
      </c>
      <c r="H1754" s="7" t="inlineStr">
        <is>
          <t>Consumer</t>
        </is>
      </c>
      <c r="I1754" s="7" t="n">
        <v>6</v>
      </c>
      <c r="J1754" s="10" t="n">
        <v>25.72</v>
      </c>
      <c r="K1754" s="11" t="n">
        <v>0.1</v>
      </c>
      <c r="L1754" s="10">
        <f>I1754*J1754*(1-K1754)</f>
        <v/>
      </c>
      <c r="M1754" s="10" t="n">
        <v>75</v>
      </c>
      <c r="N1754" s="10">
        <f>L1754-M1754</f>
        <v/>
      </c>
    </row>
    <row r="1755">
      <c r="A1755" s="7" t="inlineStr">
        <is>
          <t>ORD-04902</t>
        </is>
      </c>
      <c r="B1755" s="8" t="n">
        <v>45306</v>
      </c>
      <c r="C1755" s="9" t="n">
        <v>45292</v>
      </c>
      <c r="D1755" s="7" t="n">
        <v>2024</v>
      </c>
      <c r="E1755" s="7" t="inlineStr">
        <is>
          <t>West</t>
        </is>
      </c>
      <c r="F1755" s="7" t="inlineStr">
        <is>
          <t>Technology</t>
        </is>
      </c>
      <c r="G1755" s="7" t="inlineStr">
        <is>
          <t>Keyboard</t>
        </is>
      </c>
      <c r="H1755" s="7" t="inlineStr">
        <is>
          <t>Consumer</t>
        </is>
      </c>
      <c r="I1755" s="7" t="n">
        <v>2</v>
      </c>
      <c r="J1755" s="10" t="n">
        <v>46.57</v>
      </c>
      <c r="K1755" s="11" t="n">
        <v>0.05</v>
      </c>
      <c r="L1755" s="10">
        <f>I1755*J1755*(1-K1755)</f>
        <v/>
      </c>
      <c r="M1755" s="10" t="n">
        <v>49.5</v>
      </c>
      <c r="N1755" s="10">
        <f>L1755-M1755</f>
        <v/>
      </c>
    </row>
    <row r="1756">
      <c r="A1756" s="7" t="inlineStr">
        <is>
          <t>ORD-01093</t>
        </is>
      </c>
      <c r="B1756" s="8" t="n">
        <v>45307</v>
      </c>
      <c r="C1756" s="9" t="n">
        <v>45292</v>
      </c>
      <c r="D1756" s="7" t="n">
        <v>2024</v>
      </c>
      <c r="E1756" s="7" t="inlineStr">
        <is>
          <t>North</t>
        </is>
      </c>
      <c r="F1756" s="7" t="inlineStr">
        <is>
          <t>Technology</t>
        </is>
      </c>
      <c r="G1756" s="7" t="inlineStr">
        <is>
          <t>Smartphone</t>
        </is>
      </c>
      <c r="H1756" s="7" t="inlineStr">
        <is>
          <t>Consumer</t>
        </is>
      </c>
      <c r="I1756" s="7" t="n">
        <v>3</v>
      </c>
      <c r="J1756" s="10" t="n">
        <v>610.9</v>
      </c>
      <c r="K1756" s="11" t="n">
        <v>0</v>
      </c>
      <c r="L1756" s="10">
        <f>I1756*J1756*(1-K1756)</f>
        <v/>
      </c>
      <c r="M1756" s="10" t="n">
        <v>1350</v>
      </c>
      <c r="N1756" s="10">
        <f>L1756-M1756</f>
        <v/>
      </c>
    </row>
    <row r="1757">
      <c r="A1757" s="7" t="inlineStr">
        <is>
          <t>ORD-01199</t>
        </is>
      </c>
      <c r="B1757" s="8" t="n">
        <v>45307</v>
      </c>
      <c r="C1757" s="9" t="n">
        <v>45292</v>
      </c>
      <c r="D1757" s="7" t="n">
        <v>2024</v>
      </c>
      <c r="E1757" s="7" t="inlineStr">
        <is>
          <t>South</t>
        </is>
      </c>
      <c r="F1757" s="7" t="inlineStr">
        <is>
          <t>Office Supplies</t>
        </is>
      </c>
      <c r="G1757" s="7" t="inlineStr">
        <is>
          <t>Pens</t>
        </is>
      </c>
      <c r="H1757" s="7" t="inlineStr">
        <is>
          <t>Consumer</t>
        </is>
      </c>
      <c r="I1757" s="7" t="n">
        <v>5</v>
      </c>
      <c r="J1757" s="10" t="n">
        <v>12.12</v>
      </c>
      <c r="K1757" s="11" t="n">
        <v>0.3</v>
      </c>
      <c r="L1757" s="10">
        <f>I1757*J1757*(1-K1757)</f>
        <v/>
      </c>
      <c r="M1757" s="10" t="n">
        <v>27</v>
      </c>
      <c r="N1757" s="10">
        <f>L1757-M1757</f>
        <v/>
      </c>
    </row>
    <row r="1758">
      <c r="A1758" s="7" t="inlineStr">
        <is>
          <t>ORD-04279</t>
        </is>
      </c>
      <c r="B1758" s="8" t="n">
        <v>45307</v>
      </c>
      <c r="C1758" s="9" t="n">
        <v>45292</v>
      </c>
      <c r="D1758" s="7" t="n">
        <v>2024</v>
      </c>
      <c r="E1758" s="7" t="inlineStr">
        <is>
          <t>West</t>
        </is>
      </c>
      <c r="F1758" s="7" t="inlineStr">
        <is>
          <t>Technology</t>
        </is>
      </c>
      <c r="G1758" s="7" t="inlineStr">
        <is>
          <t>Smartphone</t>
        </is>
      </c>
      <c r="H1758" s="7" t="inlineStr">
        <is>
          <t>Corporate</t>
        </is>
      </c>
      <c r="I1758" s="7" t="n">
        <v>1</v>
      </c>
      <c r="J1758" s="10" t="n">
        <v>614.08</v>
      </c>
      <c r="K1758" s="11" t="n">
        <v>0.1</v>
      </c>
      <c r="L1758" s="10">
        <f>I1758*J1758*(1-K1758)</f>
        <v/>
      </c>
      <c r="M1758" s="10" t="n">
        <v>450</v>
      </c>
      <c r="N1758" s="10">
        <f>L1758-M1758</f>
        <v/>
      </c>
    </row>
    <row r="1759">
      <c r="A1759" s="7" t="inlineStr">
        <is>
          <t>ORD-01798</t>
        </is>
      </c>
      <c r="B1759" s="8" t="n">
        <v>45308</v>
      </c>
      <c r="C1759" s="9" t="n">
        <v>45292</v>
      </c>
      <c r="D1759" s="7" t="n">
        <v>2024</v>
      </c>
      <c r="E1759" s="7" t="inlineStr">
        <is>
          <t>North</t>
        </is>
      </c>
      <c r="F1759" s="7" t="inlineStr">
        <is>
          <t>Technology</t>
        </is>
      </c>
      <c r="G1759" s="7" t="inlineStr">
        <is>
          <t>Headphones</t>
        </is>
      </c>
      <c r="H1759" s="7" t="inlineStr">
        <is>
          <t>Consumer</t>
        </is>
      </c>
      <c r="I1759" s="7" t="n">
        <v>2</v>
      </c>
      <c r="J1759" s="10" t="n">
        <v>122.71</v>
      </c>
      <c r="K1759" s="11" t="n">
        <v>0</v>
      </c>
      <c r="L1759" s="10">
        <f>I1759*J1759*(1-K1759)</f>
        <v/>
      </c>
      <c r="M1759" s="10" t="n">
        <v>144</v>
      </c>
      <c r="N1759" s="10">
        <f>L1759-M1759</f>
        <v/>
      </c>
    </row>
    <row r="1760">
      <c r="A1760" s="7" t="inlineStr">
        <is>
          <t>ORD-01647</t>
        </is>
      </c>
      <c r="B1760" s="8" t="n">
        <v>45308</v>
      </c>
      <c r="C1760" s="9" t="n">
        <v>45292</v>
      </c>
      <c r="D1760" s="7" t="n">
        <v>2024</v>
      </c>
      <c r="E1760" s="7" t="inlineStr">
        <is>
          <t>West</t>
        </is>
      </c>
      <c r="F1760" s="7" t="inlineStr">
        <is>
          <t>Office Supplies</t>
        </is>
      </c>
      <c r="G1760" s="7" t="inlineStr">
        <is>
          <t>Printer Ink</t>
        </is>
      </c>
      <c r="H1760" s="7" t="inlineStr">
        <is>
          <t>Corporate</t>
        </is>
      </c>
      <c r="I1760" s="7" t="n">
        <v>7</v>
      </c>
      <c r="J1760" s="10" t="n">
        <v>59.59</v>
      </c>
      <c r="K1760" s="11" t="n">
        <v>0.05</v>
      </c>
      <c r="L1760" s="10">
        <f>I1760*J1760*(1-K1760)</f>
        <v/>
      </c>
      <c r="M1760" s="10" t="n">
        <v>252</v>
      </c>
      <c r="N1760" s="10">
        <f>L1760-M1760</f>
        <v/>
      </c>
    </row>
    <row r="1761">
      <c r="A1761" s="7" t="inlineStr">
        <is>
          <t>ORD-05872</t>
        </is>
      </c>
      <c r="B1761" s="8" t="n">
        <v>45308</v>
      </c>
      <c r="C1761" s="9" t="n">
        <v>45292</v>
      </c>
      <c r="D1761" s="7" t="n">
        <v>2024</v>
      </c>
      <c r="E1761" s="7" t="inlineStr">
        <is>
          <t>South</t>
        </is>
      </c>
      <c r="F1761" s="7" t="inlineStr">
        <is>
          <t>Office Supplies</t>
        </is>
      </c>
      <c r="G1761" s="7" t="inlineStr">
        <is>
          <t>Pens</t>
        </is>
      </c>
      <c r="H1761" s="7" t="inlineStr">
        <is>
          <t>Home Office</t>
        </is>
      </c>
      <c r="I1761" s="7" t="n">
        <v>11</v>
      </c>
      <c r="J1761" s="10" t="n">
        <v>11.91</v>
      </c>
      <c r="K1761" s="11" t="n">
        <v>0.05</v>
      </c>
      <c r="L1761" s="10">
        <f>I1761*J1761*(1-K1761)</f>
        <v/>
      </c>
      <c r="M1761" s="10" t="n">
        <v>59.4</v>
      </c>
      <c r="N1761" s="10">
        <f>L1761-M1761</f>
        <v/>
      </c>
    </row>
    <row r="1762">
      <c r="A1762" s="7" t="inlineStr">
        <is>
          <t>ORD-05090</t>
        </is>
      </c>
      <c r="B1762" s="8" t="n">
        <v>45309</v>
      </c>
      <c r="C1762" s="9" t="n">
        <v>45292</v>
      </c>
      <c r="D1762" s="7" t="n">
        <v>2024</v>
      </c>
      <c r="E1762" s="7" t="inlineStr">
        <is>
          <t>East</t>
        </is>
      </c>
      <c r="F1762" s="7" t="inlineStr">
        <is>
          <t>Technology</t>
        </is>
      </c>
      <c r="G1762" s="7" t="inlineStr">
        <is>
          <t>Keyboard</t>
        </is>
      </c>
      <c r="H1762" s="7" t="inlineStr">
        <is>
          <t>Corporate</t>
        </is>
      </c>
      <c r="I1762" s="7" t="n">
        <v>2</v>
      </c>
      <c r="J1762" s="10" t="n">
        <v>46.06</v>
      </c>
      <c r="K1762" s="11" t="n">
        <v>0</v>
      </c>
      <c r="L1762" s="10">
        <f>I1762*J1762*(1-K1762)</f>
        <v/>
      </c>
      <c r="M1762" s="10" t="n">
        <v>49.5</v>
      </c>
      <c r="N1762" s="10">
        <f>L1762-M1762</f>
        <v/>
      </c>
    </row>
    <row r="1763">
      <c r="A1763" s="7" t="inlineStr">
        <is>
          <t>ORD-03835</t>
        </is>
      </c>
      <c r="B1763" s="8" t="n">
        <v>45309</v>
      </c>
      <c r="C1763" s="9" t="n">
        <v>45292</v>
      </c>
      <c r="D1763" s="7" t="n">
        <v>2024</v>
      </c>
      <c r="E1763" s="7" t="inlineStr">
        <is>
          <t>North</t>
        </is>
      </c>
      <c r="F1763" s="7" t="inlineStr">
        <is>
          <t>Office Supplies</t>
        </is>
      </c>
      <c r="G1763" s="7" t="inlineStr">
        <is>
          <t>Paper</t>
        </is>
      </c>
      <c r="H1763" s="7" t="inlineStr">
        <is>
          <t>Consumer</t>
        </is>
      </c>
      <c r="I1763" s="7" t="n">
        <v>2</v>
      </c>
      <c r="J1763" s="10" t="n">
        <v>26.14</v>
      </c>
      <c r="K1763" s="11" t="n">
        <v>0.1</v>
      </c>
      <c r="L1763" s="10">
        <f>I1763*J1763*(1-K1763)</f>
        <v/>
      </c>
      <c r="M1763" s="10" t="n">
        <v>25</v>
      </c>
      <c r="N1763" s="10">
        <f>L1763-M1763</f>
        <v/>
      </c>
    </row>
    <row r="1764">
      <c r="A1764" s="7" t="inlineStr">
        <is>
          <t>ORD-00171</t>
        </is>
      </c>
      <c r="B1764" s="8" t="n">
        <v>45310</v>
      </c>
      <c r="C1764" s="9" t="n">
        <v>45292</v>
      </c>
      <c r="D1764" s="7" t="n">
        <v>2024</v>
      </c>
      <c r="E1764" s="7" t="inlineStr">
        <is>
          <t>North</t>
        </is>
      </c>
      <c r="F1764" s="7" t="inlineStr">
        <is>
          <t>Office Supplies</t>
        </is>
      </c>
      <c r="G1764" s="7" t="inlineStr">
        <is>
          <t>Pens</t>
        </is>
      </c>
      <c r="H1764" s="7" t="inlineStr">
        <is>
          <t>Corporate</t>
        </is>
      </c>
      <c r="I1764" s="7" t="n">
        <v>8</v>
      </c>
      <c r="J1764" s="10" t="n">
        <v>12.4</v>
      </c>
      <c r="K1764" s="11" t="n">
        <v>0.1</v>
      </c>
      <c r="L1764" s="10">
        <f>I1764*J1764*(1-K1764)</f>
        <v/>
      </c>
      <c r="M1764" s="10" t="n">
        <v>43.2</v>
      </c>
      <c r="N1764" s="10">
        <f>L1764-M1764</f>
        <v/>
      </c>
    </row>
    <row r="1765">
      <c r="A1765" s="7" t="inlineStr">
        <is>
          <t>ORD-02645</t>
        </is>
      </c>
      <c r="B1765" s="8" t="n">
        <v>45310</v>
      </c>
      <c r="C1765" s="9" t="n">
        <v>45292</v>
      </c>
      <c r="D1765" s="7" t="n">
        <v>2024</v>
      </c>
      <c r="E1765" s="7" t="inlineStr">
        <is>
          <t>East</t>
        </is>
      </c>
      <c r="F1765" s="7" t="inlineStr">
        <is>
          <t>Office Supplies</t>
        </is>
      </c>
      <c r="G1765" s="7" t="inlineStr">
        <is>
          <t>Pens</t>
        </is>
      </c>
      <c r="H1765" s="7" t="inlineStr">
        <is>
          <t>Consumer</t>
        </is>
      </c>
      <c r="I1765" s="7" t="n">
        <v>12</v>
      </c>
      <c r="J1765" s="10" t="n">
        <v>12.15</v>
      </c>
      <c r="K1765" s="11" t="n">
        <v>0.05</v>
      </c>
      <c r="L1765" s="10">
        <f>I1765*J1765*(1-K1765)</f>
        <v/>
      </c>
      <c r="M1765" s="10" t="n">
        <v>64.8</v>
      </c>
      <c r="N1765" s="10">
        <f>L1765-M1765</f>
        <v/>
      </c>
    </row>
    <row r="1766">
      <c r="A1766" s="7" t="inlineStr">
        <is>
          <t>ORD-05696</t>
        </is>
      </c>
      <c r="B1766" s="8" t="n">
        <v>45310</v>
      </c>
      <c r="C1766" s="9" t="n">
        <v>45292</v>
      </c>
      <c r="D1766" s="7" t="n">
        <v>2024</v>
      </c>
      <c r="E1766" s="7" t="inlineStr">
        <is>
          <t>North</t>
        </is>
      </c>
      <c r="F1766" s="7" t="inlineStr">
        <is>
          <t>Office Supplies</t>
        </is>
      </c>
      <c r="G1766" s="7" t="inlineStr">
        <is>
          <t>Paper</t>
        </is>
      </c>
      <c r="H1766" s="7" t="inlineStr">
        <is>
          <t>Home Office</t>
        </is>
      </c>
      <c r="I1766" s="7" t="n">
        <v>15</v>
      </c>
      <c r="J1766" s="10" t="n">
        <v>24.2</v>
      </c>
      <c r="K1766" s="11" t="n">
        <v>0.05</v>
      </c>
      <c r="L1766" s="10">
        <f>I1766*J1766*(1-K1766)</f>
        <v/>
      </c>
      <c r="M1766" s="10" t="n">
        <v>187.5</v>
      </c>
      <c r="N1766" s="10">
        <f>L1766-M1766</f>
        <v/>
      </c>
    </row>
    <row r="1767">
      <c r="A1767" s="7" t="inlineStr">
        <is>
          <t>ORD-05016</t>
        </is>
      </c>
      <c r="B1767" s="8" t="n">
        <v>45311</v>
      </c>
      <c r="C1767" s="9" t="n">
        <v>45292</v>
      </c>
      <c r="D1767" s="7" t="n">
        <v>2024</v>
      </c>
      <c r="E1767" s="7" t="inlineStr">
        <is>
          <t>East</t>
        </is>
      </c>
      <c r="F1767" s="7" t="inlineStr">
        <is>
          <t>Office Supplies</t>
        </is>
      </c>
      <c r="G1767" s="7" t="inlineStr">
        <is>
          <t>Paper</t>
        </is>
      </c>
      <c r="H1767" s="7" t="inlineStr">
        <is>
          <t>Consumer</t>
        </is>
      </c>
      <c r="I1767" s="7" t="n">
        <v>7</v>
      </c>
      <c r="J1767" s="10" t="n">
        <v>26.05</v>
      </c>
      <c r="K1767" s="11" t="n">
        <v>0.2</v>
      </c>
      <c r="L1767" s="10">
        <f>I1767*J1767*(1-K1767)</f>
        <v/>
      </c>
      <c r="M1767" s="10" t="n">
        <v>87.5</v>
      </c>
      <c r="N1767" s="10">
        <f>L1767-M1767</f>
        <v/>
      </c>
    </row>
    <row r="1768">
      <c r="A1768" s="7" t="inlineStr">
        <is>
          <t>ORD-01521</t>
        </is>
      </c>
      <c r="B1768" s="8" t="n">
        <v>45311</v>
      </c>
      <c r="C1768" s="9" t="n">
        <v>45292</v>
      </c>
      <c r="D1768" s="7" t="n">
        <v>2024</v>
      </c>
      <c r="E1768" s="7" t="inlineStr">
        <is>
          <t>West</t>
        </is>
      </c>
      <c r="F1768" s="7" t="inlineStr">
        <is>
          <t>Technology</t>
        </is>
      </c>
      <c r="G1768" s="7" t="inlineStr">
        <is>
          <t>Headphones</t>
        </is>
      </c>
      <c r="H1768" s="7" t="inlineStr">
        <is>
          <t>Corporate</t>
        </is>
      </c>
      <c r="I1768" s="7" t="n">
        <v>1</v>
      </c>
      <c r="J1768" s="10" t="n">
        <v>117.4</v>
      </c>
      <c r="K1768" s="11" t="n">
        <v>0.3</v>
      </c>
      <c r="L1768" s="10">
        <f>I1768*J1768*(1-K1768)</f>
        <v/>
      </c>
      <c r="M1768" s="10" t="n">
        <v>72</v>
      </c>
      <c r="N1768" s="10">
        <f>L1768-M1768</f>
        <v/>
      </c>
    </row>
    <row r="1769">
      <c r="A1769" s="7" t="inlineStr">
        <is>
          <t>ORD-03315</t>
        </is>
      </c>
      <c r="B1769" s="8" t="n">
        <v>45312</v>
      </c>
      <c r="C1769" s="9" t="n">
        <v>45292</v>
      </c>
      <c r="D1769" s="7" t="n">
        <v>2024</v>
      </c>
      <c r="E1769" s="7" t="inlineStr">
        <is>
          <t>West</t>
        </is>
      </c>
      <c r="F1769" s="7" t="inlineStr">
        <is>
          <t>Office Supplies</t>
        </is>
      </c>
      <c r="G1769" s="7" t="inlineStr">
        <is>
          <t>Pens</t>
        </is>
      </c>
      <c r="H1769" s="7" t="inlineStr">
        <is>
          <t>Consumer</t>
        </is>
      </c>
      <c r="I1769" s="7" t="n">
        <v>9</v>
      </c>
      <c r="J1769" s="10" t="n">
        <v>11.58</v>
      </c>
      <c r="K1769" s="11" t="n">
        <v>0</v>
      </c>
      <c r="L1769" s="10">
        <f>I1769*J1769*(1-K1769)</f>
        <v/>
      </c>
      <c r="M1769" s="10" t="n">
        <v>48.6</v>
      </c>
      <c r="N1769" s="10">
        <f>L1769-M1769</f>
        <v/>
      </c>
    </row>
    <row r="1770">
      <c r="A1770" s="7" t="inlineStr">
        <is>
          <t>ORD-05909</t>
        </is>
      </c>
      <c r="B1770" s="8" t="n">
        <v>45312</v>
      </c>
      <c r="C1770" s="9" t="n">
        <v>45292</v>
      </c>
      <c r="D1770" s="7" t="n">
        <v>2024</v>
      </c>
      <c r="E1770" s="7" t="inlineStr">
        <is>
          <t>East</t>
        </is>
      </c>
      <c r="F1770" s="7" t="inlineStr">
        <is>
          <t>Furniture</t>
        </is>
      </c>
      <c r="G1770" s="7" t="inlineStr">
        <is>
          <t>Bookcase</t>
        </is>
      </c>
      <c r="H1770" s="7" t="inlineStr">
        <is>
          <t>Corporate</t>
        </is>
      </c>
      <c r="I1770" s="7" t="n">
        <v>4</v>
      </c>
      <c r="J1770" s="10" t="n">
        <v>182.28</v>
      </c>
      <c r="K1770" s="11" t="n">
        <v>0.05</v>
      </c>
      <c r="L1770" s="10">
        <f>I1770*J1770*(1-K1770)</f>
        <v/>
      </c>
      <c r="M1770" s="10" t="n">
        <v>576</v>
      </c>
      <c r="N1770" s="10">
        <f>L1770-M1770</f>
        <v/>
      </c>
    </row>
    <row r="1771">
      <c r="A1771" s="7" t="inlineStr">
        <is>
          <t>ORD-02290</t>
        </is>
      </c>
      <c r="B1771" s="8" t="n">
        <v>45312</v>
      </c>
      <c r="C1771" s="9" t="n">
        <v>45292</v>
      </c>
      <c r="D1771" s="7" t="n">
        <v>2024</v>
      </c>
      <c r="E1771" s="7" t="inlineStr">
        <is>
          <t>West</t>
        </is>
      </c>
      <c r="F1771" s="7" t="inlineStr">
        <is>
          <t>Furniture</t>
        </is>
      </c>
      <c r="G1771" s="7" t="inlineStr">
        <is>
          <t>Bookcase</t>
        </is>
      </c>
      <c r="H1771" s="7" t="inlineStr">
        <is>
          <t>Consumer</t>
        </is>
      </c>
      <c r="I1771" s="7" t="n">
        <v>3</v>
      </c>
      <c r="J1771" s="10" t="n">
        <v>176.53</v>
      </c>
      <c r="K1771" s="11" t="n">
        <v>0.1</v>
      </c>
      <c r="L1771" s="10">
        <f>I1771*J1771*(1-K1771)</f>
        <v/>
      </c>
      <c r="M1771" s="10" t="n">
        <v>432</v>
      </c>
      <c r="N1771" s="10">
        <f>L1771-M1771</f>
        <v/>
      </c>
    </row>
    <row r="1772">
      <c r="A1772" s="7" t="inlineStr">
        <is>
          <t>ORD-00557</t>
        </is>
      </c>
      <c r="B1772" s="8" t="n">
        <v>45312</v>
      </c>
      <c r="C1772" s="9" t="n">
        <v>45292</v>
      </c>
      <c r="D1772" s="7" t="n">
        <v>2024</v>
      </c>
      <c r="E1772" s="7" t="inlineStr">
        <is>
          <t>North</t>
        </is>
      </c>
      <c r="F1772" s="7" t="inlineStr">
        <is>
          <t>Office Supplies</t>
        </is>
      </c>
      <c r="G1772" s="7" t="inlineStr">
        <is>
          <t>Binder</t>
        </is>
      </c>
      <c r="H1772" s="7" t="inlineStr">
        <is>
          <t>Consumer</t>
        </is>
      </c>
      <c r="I1772" s="7" t="n">
        <v>13</v>
      </c>
      <c r="J1772" s="10" t="n">
        <v>8.24</v>
      </c>
      <c r="K1772" s="11" t="n">
        <v>0</v>
      </c>
      <c r="L1772" s="10">
        <f>I1772*J1772*(1-K1772)</f>
        <v/>
      </c>
      <c r="M1772" s="10" t="n">
        <v>41.6</v>
      </c>
      <c r="N1772" s="10">
        <f>L1772-M1772</f>
        <v/>
      </c>
    </row>
    <row r="1773">
      <c r="A1773" s="7" t="inlineStr">
        <is>
          <t>ORD-03339</t>
        </is>
      </c>
      <c r="B1773" s="8" t="n">
        <v>45312</v>
      </c>
      <c r="C1773" s="9" t="n">
        <v>45292</v>
      </c>
      <c r="D1773" s="7" t="n">
        <v>2024</v>
      </c>
      <c r="E1773" s="7" t="inlineStr">
        <is>
          <t>East</t>
        </is>
      </c>
      <c r="F1773" s="7" t="inlineStr">
        <is>
          <t>Office Supplies</t>
        </is>
      </c>
      <c r="G1773" s="7" t="inlineStr">
        <is>
          <t>Pens</t>
        </is>
      </c>
      <c r="H1773" s="7" t="inlineStr">
        <is>
          <t>Home Office</t>
        </is>
      </c>
      <c r="I1773" s="7" t="n">
        <v>6</v>
      </c>
      <c r="J1773" s="10" t="n">
        <v>11.68</v>
      </c>
      <c r="K1773" s="11" t="n">
        <v>0.1</v>
      </c>
      <c r="L1773" s="10">
        <f>I1773*J1773*(1-K1773)</f>
        <v/>
      </c>
      <c r="M1773" s="10" t="n">
        <v>32.4</v>
      </c>
      <c r="N1773" s="10">
        <f>L1773-M1773</f>
        <v/>
      </c>
    </row>
    <row r="1774">
      <c r="A1774" s="7" t="inlineStr">
        <is>
          <t>ORD-05920</t>
        </is>
      </c>
      <c r="B1774" s="8" t="n">
        <v>45313</v>
      </c>
      <c r="C1774" s="9" t="n">
        <v>45292</v>
      </c>
      <c r="D1774" s="7" t="n">
        <v>2024</v>
      </c>
      <c r="E1774" s="7" t="inlineStr">
        <is>
          <t>East</t>
        </is>
      </c>
      <c r="F1774" s="7" t="inlineStr">
        <is>
          <t>Office Supplies</t>
        </is>
      </c>
      <c r="G1774" s="7" t="inlineStr">
        <is>
          <t>Paper</t>
        </is>
      </c>
      <c r="H1774" s="7" t="inlineStr">
        <is>
          <t>Consumer</t>
        </is>
      </c>
      <c r="I1774" s="7" t="n">
        <v>13</v>
      </c>
      <c r="J1774" s="10" t="n">
        <v>24.9</v>
      </c>
      <c r="K1774" s="11" t="n">
        <v>0.1</v>
      </c>
      <c r="L1774" s="10">
        <f>I1774*J1774*(1-K1774)</f>
        <v/>
      </c>
      <c r="M1774" s="10" t="n">
        <v>162.5</v>
      </c>
      <c r="N1774" s="10">
        <f>L1774-M1774</f>
        <v/>
      </c>
    </row>
    <row r="1775">
      <c r="A1775" s="7" t="inlineStr">
        <is>
          <t>ORD-03590</t>
        </is>
      </c>
      <c r="B1775" s="8" t="n">
        <v>45313</v>
      </c>
      <c r="C1775" s="9" t="n">
        <v>45292</v>
      </c>
      <c r="D1775" s="7" t="n">
        <v>2024</v>
      </c>
      <c r="E1775" s="7" t="inlineStr">
        <is>
          <t>West</t>
        </is>
      </c>
      <c r="F1775" s="7" t="inlineStr">
        <is>
          <t>Office Supplies</t>
        </is>
      </c>
      <c r="G1775" s="7" t="inlineStr">
        <is>
          <t>Paper</t>
        </is>
      </c>
      <c r="H1775" s="7" t="inlineStr">
        <is>
          <t>Corporate</t>
        </is>
      </c>
      <c r="I1775" s="7" t="n">
        <v>14</v>
      </c>
      <c r="J1775" s="10" t="n">
        <v>25.27</v>
      </c>
      <c r="K1775" s="11" t="n">
        <v>0.2</v>
      </c>
      <c r="L1775" s="10">
        <f>I1775*J1775*(1-K1775)</f>
        <v/>
      </c>
      <c r="M1775" s="10" t="n">
        <v>175</v>
      </c>
      <c r="N1775" s="10">
        <f>L1775-M1775</f>
        <v/>
      </c>
    </row>
    <row r="1776">
      <c r="A1776" s="7" t="inlineStr">
        <is>
          <t>ORD-03011</t>
        </is>
      </c>
      <c r="B1776" s="8" t="n">
        <v>45313</v>
      </c>
      <c r="C1776" s="9" t="n">
        <v>45292</v>
      </c>
      <c r="D1776" s="7" t="n">
        <v>2024</v>
      </c>
      <c r="E1776" s="7" t="inlineStr">
        <is>
          <t>East</t>
        </is>
      </c>
      <c r="F1776" s="7" t="inlineStr">
        <is>
          <t>Office Supplies</t>
        </is>
      </c>
      <c r="G1776" s="7" t="inlineStr">
        <is>
          <t>Binder</t>
        </is>
      </c>
      <c r="H1776" s="7" t="inlineStr">
        <is>
          <t>Consumer</t>
        </is>
      </c>
      <c r="I1776" s="7" t="n">
        <v>13</v>
      </c>
      <c r="J1776" s="10" t="n">
        <v>8.109999999999999</v>
      </c>
      <c r="K1776" s="11" t="n">
        <v>0.1</v>
      </c>
      <c r="L1776" s="10">
        <f>I1776*J1776*(1-K1776)</f>
        <v/>
      </c>
      <c r="M1776" s="10" t="n">
        <v>41.6</v>
      </c>
      <c r="N1776" s="10">
        <f>L1776-M1776</f>
        <v/>
      </c>
    </row>
    <row r="1777">
      <c r="A1777" s="7" t="inlineStr">
        <is>
          <t>ORD-05219</t>
        </is>
      </c>
      <c r="B1777" s="8" t="n">
        <v>45313</v>
      </c>
      <c r="C1777" s="9" t="n">
        <v>45292</v>
      </c>
      <c r="D1777" s="7" t="n">
        <v>2024</v>
      </c>
      <c r="E1777" s="7" t="inlineStr">
        <is>
          <t>East</t>
        </is>
      </c>
      <c r="F1777" s="7" t="inlineStr">
        <is>
          <t>Office Supplies</t>
        </is>
      </c>
      <c r="G1777" s="7" t="inlineStr">
        <is>
          <t>Stapler</t>
        </is>
      </c>
      <c r="H1777" s="7" t="inlineStr">
        <is>
          <t>Consumer</t>
        </is>
      </c>
      <c r="I1777" s="7" t="n">
        <v>9</v>
      </c>
      <c r="J1777" s="10" t="n">
        <v>14.82</v>
      </c>
      <c r="K1777" s="11" t="n">
        <v>0.1</v>
      </c>
      <c r="L1777" s="10">
        <f>I1777*J1777*(1-K1777)</f>
        <v/>
      </c>
      <c r="M1777" s="10" t="n">
        <v>67.5</v>
      </c>
      <c r="N1777" s="10">
        <f>L1777-M1777</f>
        <v/>
      </c>
    </row>
    <row r="1778">
      <c r="A1778" s="7" t="inlineStr">
        <is>
          <t>ORD-03555</t>
        </is>
      </c>
      <c r="B1778" s="8" t="n">
        <v>45313</v>
      </c>
      <c r="C1778" s="9" t="n">
        <v>45292</v>
      </c>
      <c r="D1778" s="7" t="n">
        <v>2024</v>
      </c>
      <c r="E1778" s="7" t="inlineStr">
        <is>
          <t>West</t>
        </is>
      </c>
      <c r="F1778" s="7" t="inlineStr">
        <is>
          <t>Technology</t>
        </is>
      </c>
      <c r="G1778" s="7" t="inlineStr">
        <is>
          <t>Monitor</t>
        </is>
      </c>
      <c r="H1778" s="7" t="inlineStr">
        <is>
          <t>Corporate</t>
        </is>
      </c>
      <c r="I1778" s="7" t="n">
        <v>2</v>
      </c>
      <c r="J1778" s="10" t="n">
        <v>247.77</v>
      </c>
      <c r="K1778" s="11" t="n">
        <v>0.2</v>
      </c>
      <c r="L1778" s="10">
        <f>I1778*J1778*(1-K1778)</f>
        <v/>
      </c>
      <c r="M1778" s="10" t="n">
        <v>360</v>
      </c>
      <c r="N1778" s="10">
        <f>L1778-M1778</f>
        <v/>
      </c>
    </row>
    <row r="1779">
      <c r="A1779" s="7" t="inlineStr">
        <is>
          <t>ORD-04057</t>
        </is>
      </c>
      <c r="B1779" s="8" t="n">
        <v>45314</v>
      </c>
      <c r="C1779" s="9" t="n">
        <v>45292</v>
      </c>
      <c r="D1779" s="7" t="n">
        <v>2024</v>
      </c>
      <c r="E1779" s="7" t="inlineStr">
        <is>
          <t>West</t>
        </is>
      </c>
      <c r="F1779" s="7" t="inlineStr">
        <is>
          <t>Office Supplies</t>
        </is>
      </c>
      <c r="G1779" s="7" t="inlineStr">
        <is>
          <t>Stapler</t>
        </is>
      </c>
      <c r="H1779" s="7" t="inlineStr">
        <is>
          <t>Home Office</t>
        </is>
      </c>
      <c r="I1779" s="7" t="n">
        <v>15</v>
      </c>
      <c r="J1779" s="10" t="n">
        <v>14.25</v>
      </c>
      <c r="K1779" s="11" t="n">
        <v>0</v>
      </c>
      <c r="L1779" s="10">
        <f>I1779*J1779*(1-K1779)</f>
        <v/>
      </c>
      <c r="M1779" s="10" t="n">
        <v>112.5</v>
      </c>
      <c r="N1779" s="10">
        <f>L1779-M1779</f>
        <v/>
      </c>
    </row>
    <row r="1780">
      <c r="A1780" s="7" t="inlineStr">
        <is>
          <t>ORD-04867</t>
        </is>
      </c>
      <c r="B1780" s="8" t="n">
        <v>45314</v>
      </c>
      <c r="C1780" s="9" t="n">
        <v>45292</v>
      </c>
      <c r="D1780" s="7" t="n">
        <v>2024</v>
      </c>
      <c r="E1780" s="7" t="inlineStr">
        <is>
          <t>West</t>
        </is>
      </c>
      <c r="F1780" s="7" t="inlineStr">
        <is>
          <t>Office Supplies</t>
        </is>
      </c>
      <c r="G1780" s="7" t="inlineStr">
        <is>
          <t>Binder</t>
        </is>
      </c>
      <c r="H1780" s="7" t="inlineStr">
        <is>
          <t>Consumer</t>
        </is>
      </c>
      <c r="I1780" s="7" t="n">
        <v>12</v>
      </c>
      <c r="J1780" s="10" t="n">
        <v>7.99</v>
      </c>
      <c r="K1780" s="11" t="n">
        <v>0</v>
      </c>
      <c r="L1780" s="10">
        <f>I1780*J1780*(1-K1780)</f>
        <v/>
      </c>
      <c r="M1780" s="10" t="n">
        <v>38.4</v>
      </c>
      <c r="N1780" s="10">
        <f>L1780-M1780</f>
        <v/>
      </c>
    </row>
    <row r="1781">
      <c r="A1781" s="7" t="inlineStr">
        <is>
          <t>ORD-05242</t>
        </is>
      </c>
      <c r="B1781" s="8" t="n">
        <v>45314</v>
      </c>
      <c r="C1781" s="9" t="n">
        <v>45292</v>
      </c>
      <c r="D1781" s="7" t="n">
        <v>2024</v>
      </c>
      <c r="E1781" s="7" t="inlineStr">
        <is>
          <t>West</t>
        </is>
      </c>
      <c r="F1781" s="7" t="inlineStr">
        <is>
          <t>Furniture</t>
        </is>
      </c>
      <c r="G1781" s="7" t="inlineStr">
        <is>
          <t>Bookcase</t>
        </is>
      </c>
      <c r="H1781" s="7" t="inlineStr">
        <is>
          <t>Corporate</t>
        </is>
      </c>
      <c r="I1781" s="7" t="n">
        <v>2</v>
      </c>
      <c r="J1781" s="10" t="n">
        <v>176.85</v>
      </c>
      <c r="K1781" s="11" t="n">
        <v>0.05</v>
      </c>
      <c r="L1781" s="10">
        <f>I1781*J1781*(1-K1781)</f>
        <v/>
      </c>
      <c r="M1781" s="10" t="n">
        <v>288</v>
      </c>
      <c r="N1781" s="10">
        <f>L1781-M1781</f>
        <v/>
      </c>
    </row>
    <row r="1782">
      <c r="A1782" s="7" t="inlineStr">
        <is>
          <t>ORD-02550</t>
        </is>
      </c>
      <c r="B1782" s="8" t="n">
        <v>45315</v>
      </c>
      <c r="C1782" s="9" t="n">
        <v>45292</v>
      </c>
      <c r="D1782" s="7" t="n">
        <v>2024</v>
      </c>
      <c r="E1782" s="7" t="inlineStr">
        <is>
          <t>South</t>
        </is>
      </c>
      <c r="F1782" s="7" t="inlineStr">
        <is>
          <t>Office Supplies</t>
        </is>
      </c>
      <c r="G1782" s="7" t="inlineStr">
        <is>
          <t>Stapler</t>
        </is>
      </c>
      <c r="H1782" s="7" t="inlineStr">
        <is>
          <t>Consumer</t>
        </is>
      </c>
      <c r="I1782" s="7" t="n">
        <v>4</v>
      </c>
      <c r="J1782" s="10" t="n">
        <v>14.47</v>
      </c>
      <c r="K1782" s="11" t="n">
        <v>0.1</v>
      </c>
      <c r="L1782" s="10">
        <f>I1782*J1782*(1-K1782)</f>
        <v/>
      </c>
      <c r="M1782" s="10" t="n">
        <v>30</v>
      </c>
      <c r="N1782" s="10">
        <f>L1782-M1782</f>
        <v/>
      </c>
    </row>
    <row r="1783">
      <c r="A1783" s="7" t="inlineStr">
        <is>
          <t>ORD-00077</t>
        </is>
      </c>
      <c r="B1783" s="8" t="n">
        <v>45315</v>
      </c>
      <c r="C1783" s="9" t="n">
        <v>45292</v>
      </c>
      <c r="D1783" s="7" t="n">
        <v>2024</v>
      </c>
      <c r="E1783" s="7" t="inlineStr">
        <is>
          <t>South</t>
        </is>
      </c>
      <c r="F1783" s="7" t="inlineStr">
        <is>
          <t>Office Supplies</t>
        </is>
      </c>
      <c r="G1783" s="7" t="inlineStr">
        <is>
          <t>Paper</t>
        </is>
      </c>
      <c r="H1783" s="7" t="inlineStr">
        <is>
          <t>Consumer</t>
        </is>
      </c>
      <c r="I1783" s="7" t="n">
        <v>2</v>
      </c>
      <c r="J1783" s="10" t="n">
        <v>25.81</v>
      </c>
      <c r="K1783" s="11" t="n">
        <v>0.3</v>
      </c>
      <c r="L1783" s="10">
        <f>I1783*J1783*(1-K1783)</f>
        <v/>
      </c>
      <c r="M1783" s="10" t="n">
        <v>25</v>
      </c>
      <c r="N1783" s="10">
        <f>L1783-M1783</f>
        <v/>
      </c>
    </row>
    <row r="1784">
      <c r="A1784" s="7" t="inlineStr">
        <is>
          <t>ORD-05308</t>
        </is>
      </c>
      <c r="B1784" s="8" t="n">
        <v>45316</v>
      </c>
      <c r="C1784" s="9" t="n">
        <v>45292</v>
      </c>
      <c r="D1784" s="7" t="n">
        <v>2024</v>
      </c>
      <c r="E1784" s="7" t="inlineStr">
        <is>
          <t>North</t>
        </is>
      </c>
      <c r="F1784" s="7" t="inlineStr">
        <is>
          <t>Office Supplies</t>
        </is>
      </c>
      <c r="G1784" s="7" t="inlineStr">
        <is>
          <t>Paper</t>
        </is>
      </c>
      <c r="H1784" s="7" t="inlineStr">
        <is>
          <t>Home Office</t>
        </is>
      </c>
      <c r="I1784" s="7" t="n">
        <v>4</v>
      </c>
      <c r="J1784" s="10" t="n">
        <v>24.98</v>
      </c>
      <c r="K1784" s="11" t="n">
        <v>0</v>
      </c>
      <c r="L1784" s="10">
        <f>I1784*J1784*(1-K1784)</f>
        <v/>
      </c>
      <c r="M1784" s="10" t="n">
        <v>50</v>
      </c>
      <c r="N1784" s="10">
        <f>L1784-M1784</f>
        <v/>
      </c>
    </row>
    <row r="1785">
      <c r="A1785" s="7" t="inlineStr">
        <is>
          <t>ORD-05102</t>
        </is>
      </c>
      <c r="B1785" s="8" t="n">
        <v>45316</v>
      </c>
      <c r="C1785" s="9" t="n">
        <v>45292</v>
      </c>
      <c r="D1785" s="7" t="n">
        <v>2024</v>
      </c>
      <c r="E1785" s="7" t="inlineStr">
        <is>
          <t>West</t>
        </is>
      </c>
      <c r="F1785" s="7" t="inlineStr">
        <is>
          <t>Office Supplies</t>
        </is>
      </c>
      <c r="G1785" s="7" t="inlineStr">
        <is>
          <t>Binder</t>
        </is>
      </c>
      <c r="H1785" s="7" t="inlineStr">
        <is>
          <t>Corporate</t>
        </is>
      </c>
      <c r="I1785" s="7" t="n">
        <v>8</v>
      </c>
      <c r="J1785" s="10" t="n">
        <v>7.87</v>
      </c>
      <c r="K1785" s="11" t="n">
        <v>0</v>
      </c>
      <c r="L1785" s="10">
        <f>I1785*J1785*(1-K1785)</f>
        <v/>
      </c>
      <c r="M1785" s="10" t="n">
        <v>25.6</v>
      </c>
      <c r="N1785" s="10">
        <f>L1785-M1785</f>
        <v/>
      </c>
    </row>
    <row r="1786">
      <c r="A1786" s="7" t="inlineStr">
        <is>
          <t>ORD-05071</t>
        </is>
      </c>
      <c r="B1786" s="8" t="n">
        <v>45316</v>
      </c>
      <c r="C1786" s="9" t="n">
        <v>45292</v>
      </c>
      <c r="D1786" s="7" t="n">
        <v>2024</v>
      </c>
      <c r="E1786" s="7" t="inlineStr">
        <is>
          <t>North</t>
        </is>
      </c>
      <c r="F1786" s="7" t="inlineStr">
        <is>
          <t>Office Supplies</t>
        </is>
      </c>
      <c r="G1786" s="7" t="inlineStr">
        <is>
          <t>Pens</t>
        </is>
      </c>
      <c r="H1786" s="7" t="inlineStr">
        <is>
          <t>Home Office</t>
        </is>
      </c>
      <c r="I1786" s="7" t="n">
        <v>6</v>
      </c>
      <c r="J1786" s="10" t="n">
        <v>12.09</v>
      </c>
      <c r="K1786" s="11" t="n">
        <v>0</v>
      </c>
      <c r="L1786" s="10">
        <f>I1786*J1786*(1-K1786)</f>
        <v/>
      </c>
      <c r="M1786" s="10" t="n">
        <v>32.4</v>
      </c>
      <c r="N1786" s="10">
        <f>L1786-M1786</f>
        <v/>
      </c>
    </row>
    <row r="1787">
      <c r="A1787" s="7" t="inlineStr">
        <is>
          <t>ORD-00910</t>
        </is>
      </c>
      <c r="B1787" s="8" t="n">
        <v>45316</v>
      </c>
      <c r="C1787" s="9" t="n">
        <v>45292</v>
      </c>
      <c r="D1787" s="7" t="n">
        <v>2024</v>
      </c>
      <c r="E1787" s="7" t="inlineStr">
        <is>
          <t>East</t>
        </is>
      </c>
      <c r="F1787" s="7" t="inlineStr">
        <is>
          <t>Office Supplies</t>
        </is>
      </c>
      <c r="G1787" s="7" t="inlineStr">
        <is>
          <t>Paper</t>
        </is>
      </c>
      <c r="H1787" s="7" t="inlineStr">
        <is>
          <t>Consumer</t>
        </is>
      </c>
      <c r="I1787" s="7" t="n">
        <v>12</v>
      </c>
      <c r="J1787" s="10" t="n">
        <v>25.22</v>
      </c>
      <c r="K1787" s="11" t="n">
        <v>0</v>
      </c>
      <c r="L1787" s="10">
        <f>I1787*J1787*(1-K1787)</f>
        <v/>
      </c>
      <c r="M1787" s="10" t="n">
        <v>150</v>
      </c>
      <c r="N1787" s="10">
        <f>L1787-M1787</f>
        <v/>
      </c>
    </row>
    <row r="1788">
      <c r="A1788" s="7" t="inlineStr">
        <is>
          <t>ORD-05588</t>
        </is>
      </c>
      <c r="B1788" s="8" t="n">
        <v>45316</v>
      </c>
      <c r="C1788" s="9" t="n">
        <v>45292</v>
      </c>
      <c r="D1788" s="7" t="n">
        <v>2024</v>
      </c>
      <c r="E1788" s="7" t="inlineStr">
        <is>
          <t>West</t>
        </is>
      </c>
      <c r="F1788" s="7" t="inlineStr">
        <is>
          <t>Office Supplies</t>
        </is>
      </c>
      <c r="G1788" s="7" t="inlineStr">
        <is>
          <t>Binder</t>
        </is>
      </c>
      <c r="H1788" s="7" t="inlineStr">
        <is>
          <t>Consumer</t>
        </is>
      </c>
      <c r="I1788" s="7" t="n">
        <v>7</v>
      </c>
      <c r="J1788" s="10" t="n">
        <v>8.279999999999999</v>
      </c>
      <c r="K1788" s="11" t="n">
        <v>0</v>
      </c>
      <c r="L1788" s="10">
        <f>I1788*J1788*(1-K1788)</f>
        <v/>
      </c>
      <c r="M1788" s="10" t="n">
        <v>22.4</v>
      </c>
      <c r="N1788" s="10">
        <f>L1788-M1788</f>
        <v/>
      </c>
    </row>
    <row r="1789">
      <c r="A1789" s="7" t="inlineStr">
        <is>
          <t>ORD-00398</t>
        </is>
      </c>
      <c r="B1789" s="8" t="n">
        <v>45317</v>
      </c>
      <c r="C1789" s="9" t="n">
        <v>45292</v>
      </c>
      <c r="D1789" s="7" t="n">
        <v>2024</v>
      </c>
      <c r="E1789" s="7" t="inlineStr">
        <is>
          <t>West</t>
        </is>
      </c>
      <c r="F1789" s="7" t="inlineStr">
        <is>
          <t>Office Supplies</t>
        </is>
      </c>
      <c r="G1789" s="7" t="inlineStr">
        <is>
          <t>Paper</t>
        </is>
      </c>
      <c r="H1789" s="7" t="inlineStr">
        <is>
          <t>Consumer</t>
        </is>
      </c>
      <c r="I1789" s="7" t="n">
        <v>2</v>
      </c>
      <c r="J1789" s="10" t="n">
        <v>25.87</v>
      </c>
      <c r="K1789" s="11" t="n">
        <v>0</v>
      </c>
      <c r="L1789" s="10">
        <f>I1789*J1789*(1-K1789)</f>
        <v/>
      </c>
      <c r="M1789" s="10" t="n">
        <v>25</v>
      </c>
      <c r="N1789" s="10">
        <f>L1789-M1789</f>
        <v/>
      </c>
    </row>
    <row r="1790">
      <c r="A1790" s="7" t="inlineStr">
        <is>
          <t>ORD-04174</t>
        </is>
      </c>
      <c r="B1790" s="8" t="n">
        <v>45317</v>
      </c>
      <c r="C1790" s="9" t="n">
        <v>45292</v>
      </c>
      <c r="D1790" s="7" t="n">
        <v>2024</v>
      </c>
      <c r="E1790" s="7" t="inlineStr">
        <is>
          <t>West</t>
        </is>
      </c>
      <c r="F1790" s="7" t="inlineStr">
        <is>
          <t>Technology</t>
        </is>
      </c>
      <c r="G1790" s="7" t="inlineStr">
        <is>
          <t>Laptop</t>
        </is>
      </c>
      <c r="H1790" s="7" t="inlineStr">
        <is>
          <t>Consumer</t>
        </is>
      </c>
      <c r="I1790" s="7" t="n">
        <v>1</v>
      </c>
      <c r="J1790" s="10" t="n">
        <v>926.14</v>
      </c>
      <c r="K1790" s="11" t="n">
        <v>0</v>
      </c>
      <c r="L1790" s="10">
        <f>I1790*J1790*(1-K1790)</f>
        <v/>
      </c>
      <c r="M1790" s="10" t="n">
        <v>702</v>
      </c>
      <c r="N1790" s="10">
        <f>L1790-M1790</f>
        <v/>
      </c>
    </row>
    <row r="1791">
      <c r="A1791" s="7" t="inlineStr">
        <is>
          <t>ORD-01796</t>
        </is>
      </c>
      <c r="B1791" s="8" t="n">
        <v>45317</v>
      </c>
      <c r="C1791" s="9" t="n">
        <v>45292</v>
      </c>
      <c r="D1791" s="7" t="n">
        <v>2024</v>
      </c>
      <c r="E1791" s="7" t="inlineStr">
        <is>
          <t>South</t>
        </is>
      </c>
      <c r="F1791" s="7" t="inlineStr">
        <is>
          <t>Technology</t>
        </is>
      </c>
      <c r="G1791" s="7" t="inlineStr">
        <is>
          <t>Headphones</t>
        </is>
      </c>
      <c r="H1791" s="7" t="inlineStr">
        <is>
          <t>Corporate</t>
        </is>
      </c>
      <c r="I1791" s="7" t="n">
        <v>3</v>
      </c>
      <c r="J1791" s="10" t="n">
        <v>119.58</v>
      </c>
      <c r="K1791" s="11" t="n">
        <v>0</v>
      </c>
      <c r="L1791" s="10">
        <f>I1791*J1791*(1-K1791)</f>
        <v/>
      </c>
      <c r="M1791" s="10" t="n">
        <v>216</v>
      </c>
      <c r="N1791" s="10">
        <f>L1791-M1791</f>
        <v/>
      </c>
    </row>
    <row r="1792">
      <c r="A1792" s="7" t="inlineStr">
        <is>
          <t>ORD-04101</t>
        </is>
      </c>
      <c r="B1792" s="8" t="n">
        <v>45317</v>
      </c>
      <c r="C1792" s="9" t="n">
        <v>45292</v>
      </c>
      <c r="D1792" s="7" t="n">
        <v>2024</v>
      </c>
      <c r="E1792" s="7" t="inlineStr">
        <is>
          <t>North</t>
        </is>
      </c>
      <c r="F1792" s="7" t="inlineStr">
        <is>
          <t>Office Supplies</t>
        </is>
      </c>
      <c r="G1792" s="7" t="inlineStr">
        <is>
          <t>Pens</t>
        </is>
      </c>
      <c r="H1792" s="7" t="inlineStr">
        <is>
          <t>Corporate</t>
        </is>
      </c>
      <c r="I1792" s="7" t="n">
        <v>10</v>
      </c>
      <c r="J1792" s="10" t="n">
        <v>12.41</v>
      </c>
      <c r="K1792" s="11" t="n">
        <v>0.3</v>
      </c>
      <c r="L1792" s="10">
        <f>I1792*J1792*(1-K1792)</f>
        <v/>
      </c>
      <c r="M1792" s="10" t="n">
        <v>54</v>
      </c>
      <c r="N1792" s="10">
        <f>L1792-M1792</f>
        <v/>
      </c>
    </row>
    <row r="1793">
      <c r="A1793" s="7" t="inlineStr">
        <is>
          <t>ORD-02595</t>
        </is>
      </c>
      <c r="B1793" s="8" t="n">
        <v>45317</v>
      </c>
      <c r="C1793" s="9" t="n">
        <v>45292</v>
      </c>
      <c r="D1793" s="7" t="n">
        <v>2024</v>
      </c>
      <c r="E1793" s="7" t="inlineStr">
        <is>
          <t>West</t>
        </is>
      </c>
      <c r="F1793" s="7" t="inlineStr">
        <is>
          <t>Office Supplies</t>
        </is>
      </c>
      <c r="G1793" s="7" t="inlineStr">
        <is>
          <t>Paper</t>
        </is>
      </c>
      <c r="H1793" s="7" t="inlineStr">
        <is>
          <t>Consumer</t>
        </is>
      </c>
      <c r="I1793" s="7" t="n">
        <v>4</v>
      </c>
      <c r="J1793" s="10" t="n">
        <v>24.69</v>
      </c>
      <c r="K1793" s="11" t="n">
        <v>0</v>
      </c>
      <c r="L1793" s="10">
        <f>I1793*J1793*(1-K1793)</f>
        <v/>
      </c>
      <c r="M1793" s="10" t="n">
        <v>50</v>
      </c>
      <c r="N1793" s="10">
        <f>L1793-M1793</f>
        <v/>
      </c>
    </row>
    <row r="1794">
      <c r="A1794" s="7" t="inlineStr">
        <is>
          <t>ORD-03950</t>
        </is>
      </c>
      <c r="B1794" s="8" t="n">
        <v>45317</v>
      </c>
      <c r="C1794" s="9" t="n">
        <v>45292</v>
      </c>
      <c r="D1794" s="7" t="n">
        <v>2024</v>
      </c>
      <c r="E1794" s="7" t="inlineStr">
        <is>
          <t>East</t>
        </is>
      </c>
      <c r="F1794" s="7" t="inlineStr">
        <is>
          <t>Office Supplies</t>
        </is>
      </c>
      <c r="G1794" s="7" t="inlineStr">
        <is>
          <t>Pens</t>
        </is>
      </c>
      <c r="H1794" s="7" t="inlineStr">
        <is>
          <t>Corporate</t>
        </is>
      </c>
      <c r="I1794" s="7" t="n">
        <v>3</v>
      </c>
      <c r="J1794" s="10" t="n">
        <v>11.96</v>
      </c>
      <c r="K1794" s="11" t="n">
        <v>0.05</v>
      </c>
      <c r="L1794" s="10">
        <f>I1794*J1794*(1-K1794)</f>
        <v/>
      </c>
      <c r="M1794" s="10" t="n">
        <v>16.2</v>
      </c>
      <c r="N1794" s="10">
        <f>L1794-M1794</f>
        <v/>
      </c>
    </row>
    <row r="1795">
      <c r="A1795" s="7" t="inlineStr">
        <is>
          <t>ORD-03673</t>
        </is>
      </c>
      <c r="B1795" s="8" t="n">
        <v>45319</v>
      </c>
      <c r="C1795" s="9" t="n">
        <v>45292</v>
      </c>
      <c r="D1795" s="7" t="n">
        <v>2024</v>
      </c>
      <c r="E1795" s="7" t="inlineStr">
        <is>
          <t>North</t>
        </is>
      </c>
      <c r="F1795" s="7" t="inlineStr">
        <is>
          <t>Technology</t>
        </is>
      </c>
      <c r="G1795" s="7" t="inlineStr">
        <is>
          <t>Keyboard</t>
        </is>
      </c>
      <c r="H1795" s="7" t="inlineStr">
        <is>
          <t>Corporate</t>
        </is>
      </c>
      <c r="I1795" s="7" t="n">
        <v>2</v>
      </c>
      <c r="J1795" s="10" t="n">
        <v>43.98</v>
      </c>
      <c r="K1795" s="11" t="n">
        <v>0.1</v>
      </c>
      <c r="L1795" s="10">
        <f>I1795*J1795*(1-K1795)</f>
        <v/>
      </c>
      <c r="M1795" s="10" t="n">
        <v>49.5</v>
      </c>
      <c r="N1795" s="10">
        <f>L1795-M1795</f>
        <v/>
      </c>
    </row>
    <row r="1796">
      <c r="A1796" s="7" t="inlineStr">
        <is>
          <t>ORD-04439</t>
        </is>
      </c>
      <c r="B1796" s="8" t="n">
        <v>45319</v>
      </c>
      <c r="C1796" s="9" t="n">
        <v>45292</v>
      </c>
      <c r="D1796" s="7" t="n">
        <v>2024</v>
      </c>
      <c r="E1796" s="7" t="inlineStr">
        <is>
          <t>North</t>
        </is>
      </c>
      <c r="F1796" s="7" t="inlineStr">
        <is>
          <t>Technology</t>
        </is>
      </c>
      <c r="G1796" s="7" t="inlineStr">
        <is>
          <t>Laptop</t>
        </is>
      </c>
      <c r="H1796" s="7" t="inlineStr">
        <is>
          <t>Consumer</t>
        </is>
      </c>
      <c r="I1796" s="7" t="n">
        <v>1</v>
      </c>
      <c r="J1796" s="10" t="n">
        <v>890.14</v>
      </c>
      <c r="K1796" s="11" t="n">
        <v>0.1</v>
      </c>
      <c r="L1796" s="10">
        <f>I1796*J1796*(1-K1796)</f>
        <v/>
      </c>
      <c r="M1796" s="10" t="n">
        <v>702</v>
      </c>
      <c r="N1796" s="10">
        <f>L1796-M1796</f>
        <v/>
      </c>
    </row>
    <row r="1797">
      <c r="A1797" s="7" t="inlineStr">
        <is>
          <t>ORD-00669</t>
        </is>
      </c>
      <c r="B1797" s="8" t="n">
        <v>45319</v>
      </c>
      <c r="C1797" s="9" t="n">
        <v>45292</v>
      </c>
      <c r="D1797" s="7" t="n">
        <v>2024</v>
      </c>
      <c r="E1797" s="7" t="inlineStr">
        <is>
          <t>West</t>
        </is>
      </c>
      <c r="F1797" s="7" t="inlineStr">
        <is>
          <t>Office Supplies</t>
        </is>
      </c>
      <c r="G1797" s="7" t="inlineStr">
        <is>
          <t>Binder</t>
        </is>
      </c>
      <c r="H1797" s="7" t="inlineStr">
        <is>
          <t>Consumer</t>
        </is>
      </c>
      <c r="I1797" s="7" t="n">
        <v>10</v>
      </c>
      <c r="J1797" s="10" t="n">
        <v>8.15</v>
      </c>
      <c r="K1797" s="11" t="n">
        <v>0.05</v>
      </c>
      <c r="L1797" s="10">
        <f>I1797*J1797*(1-K1797)</f>
        <v/>
      </c>
      <c r="M1797" s="10" t="n">
        <v>32</v>
      </c>
      <c r="N1797" s="10">
        <f>L1797-M1797</f>
        <v/>
      </c>
    </row>
    <row r="1798">
      <c r="A1798" s="7" t="inlineStr">
        <is>
          <t>ORD-01589</t>
        </is>
      </c>
      <c r="B1798" s="8" t="n">
        <v>45319</v>
      </c>
      <c r="C1798" s="9" t="n">
        <v>45292</v>
      </c>
      <c r="D1798" s="7" t="n">
        <v>2024</v>
      </c>
      <c r="E1798" s="7" t="inlineStr">
        <is>
          <t>South</t>
        </is>
      </c>
      <c r="F1798" s="7" t="inlineStr">
        <is>
          <t>Furniture</t>
        </is>
      </c>
      <c r="G1798" s="7" t="inlineStr">
        <is>
          <t>Office Chair</t>
        </is>
      </c>
      <c r="H1798" s="7" t="inlineStr">
        <is>
          <t>Corporate</t>
        </is>
      </c>
      <c r="I1798" s="7" t="n">
        <v>1</v>
      </c>
      <c r="J1798" s="10" t="n">
        <v>217.36</v>
      </c>
      <c r="K1798" s="11" t="n">
        <v>0.2</v>
      </c>
      <c r="L1798" s="10">
        <f>I1798*J1798*(1-K1798)</f>
        <v/>
      </c>
      <c r="M1798" s="10" t="n">
        <v>180.4</v>
      </c>
      <c r="N1798" s="10">
        <f>L1798-M1798</f>
        <v/>
      </c>
    </row>
    <row r="1799">
      <c r="A1799" s="7" t="inlineStr">
        <is>
          <t>ORD-00931</t>
        </is>
      </c>
      <c r="B1799" s="8" t="n">
        <v>45319</v>
      </c>
      <c r="C1799" s="9" t="n">
        <v>45292</v>
      </c>
      <c r="D1799" s="7" t="n">
        <v>2024</v>
      </c>
      <c r="E1799" s="7" t="inlineStr">
        <is>
          <t>West</t>
        </is>
      </c>
      <c r="F1799" s="7" t="inlineStr">
        <is>
          <t>Office Supplies</t>
        </is>
      </c>
      <c r="G1799" s="7" t="inlineStr">
        <is>
          <t>Printer Ink</t>
        </is>
      </c>
      <c r="H1799" s="7" t="inlineStr">
        <is>
          <t>Corporate</t>
        </is>
      </c>
      <c r="I1799" s="7" t="n">
        <v>4</v>
      </c>
      <c r="J1799" s="10" t="n">
        <v>61.57</v>
      </c>
      <c r="K1799" s="11" t="n">
        <v>0.05</v>
      </c>
      <c r="L1799" s="10">
        <f>I1799*J1799*(1-K1799)</f>
        <v/>
      </c>
      <c r="M1799" s="10" t="n">
        <v>144</v>
      </c>
      <c r="N1799" s="10">
        <f>L1799-M1799</f>
        <v/>
      </c>
    </row>
    <row r="1800">
      <c r="A1800" s="7" t="inlineStr">
        <is>
          <t>ORD-02241</t>
        </is>
      </c>
      <c r="B1800" s="8" t="n">
        <v>45320</v>
      </c>
      <c r="C1800" s="9" t="n">
        <v>45292</v>
      </c>
      <c r="D1800" s="7" t="n">
        <v>2024</v>
      </c>
      <c r="E1800" s="7" t="inlineStr">
        <is>
          <t>West</t>
        </is>
      </c>
      <c r="F1800" s="7" t="inlineStr">
        <is>
          <t>Office Supplies</t>
        </is>
      </c>
      <c r="G1800" s="7" t="inlineStr">
        <is>
          <t>Pens</t>
        </is>
      </c>
      <c r="H1800" s="7" t="inlineStr">
        <is>
          <t>Consumer</t>
        </is>
      </c>
      <c r="I1800" s="7" t="n">
        <v>5</v>
      </c>
      <c r="J1800" s="10" t="n">
        <v>12.51</v>
      </c>
      <c r="K1800" s="11" t="n">
        <v>0</v>
      </c>
      <c r="L1800" s="10">
        <f>I1800*J1800*(1-K1800)</f>
        <v/>
      </c>
      <c r="M1800" s="10" t="n">
        <v>27</v>
      </c>
      <c r="N1800" s="10">
        <f>L1800-M1800</f>
        <v/>
      </c>
    </row>
    <row r="1801">
      <c r="A1801" s="7" t="inlineStr">
        <is>
          <t>ORD-00319</t>
        </is>
      </c>
      <c r="B1801" s="8" t="n">
        <v>45320</v>
      </c>
      <c r="C1801" s="9" t="n">
        <v>45292</v>
      </c>
      <c r="D1801" s="7" t="n">
        <v>2024</v>
      </c>
      <c r="E1801" s="7" t="inlineStr">
        <is>
          <t>East</t>
        </is>
      </c>
      <c r="F1801" s="7" t="inlineStr">
        <is>
          <t>Furniture</t>
        </is>
      </c>
      <c r="G1801" s="7" t="inlineStr">
        <is>
          <t>Desk</t>
        </is>
      </c>
      <c r="H1801" s="7" t="inlineStr">
        <is>
          <t>Consumer</t>
        </is>
      </c>
      <c r="I1801" s="7" t="n">
        <v>1</v>
      </c>
      <c r="J1801" s="10" t="n">
        <v>450.48</v>
      </c>
      <c r="K1801" s="11" t="n">
        <v>0.2</v>
      </c>
      <c r="L1801" s="10">
        <f>I1801*J1801*(1-K1801)</f>
        <v/>
      </c>
      <c r="M1801" s="10" t="n">
        <v>382.5</v>
      </c>
      <c r="N1801" s="10">
        <f>L1801-M1801</f>
        <v/>
      </c>
    </row>
    <row r="1802">
      <c r="A1802" s="7" t="inlineStr">
        <is>
          <t>ORD-04706</t>
        </is>
      </c>
      <c r="B1802" s="8" t="n">
        <v>45320</v>
      </c>
      <c r="C1802" s="9" t="n">
        <v>45292</v>
      </c>
      <c r="D1802" s="7" t="n">
        <v>2024</v>
      </c>
      <c r="E1802" s="7" t="inlineStr">
        <is>
          <t>East</t>
        </is>
      </c>
      <c r="F1802" s="7" t="inlineStr">
        <is>
          <t>Office Supplies</t>
        </is>
      </c>
      <c r="G1802" s="7" t="inlineStr">
        <is>
          <t>Printer Ink</t>
        </is>
      </c>
      <c r="H1802" s="7" t="inlineStr">
        <is>
          <t>Consumer</t>
        </is>
      </c>
      <c r="I1802" s="7" t="n">
        <v>3</v>
      </c>
      <c r="J1802" s="10" t="n">
        <v>57.37</v>
      </c>
      <c r="K1802" s="11" t="n">
        <v>0</v>
      </c>
      <c r="L1802" s="10">
        <f>I1802*J1802*(1-K1802)</f>
        <v/>
      </c>
      <c r="M1802" s="10" t="n">
        <v>108</v>
      </c>
      <c r="N1802" s="10">
        <f>L1802-M1802</f>
        <v/>
      </c>
    </row>
    <row r="1803">
      <c r="A1803" s="7" t="inlineStr">
        <is>
          <t>ORD-03651</t>
        </is>
      </c>
      <c r="B1803" s="8" t="n">
        <v>45321</v>
      </c>
      <c r="C1803" s="9" t="n">
        <v>45292</v>
      </c>
      <c r="D1803" s="7" t="n">
        <v>2024</v>
      </c>
      <c r="E1803" s="7" t="inlineStr">
        <is>
          <t>North</t>
        </is>
      </c>
      <c r="F1803" s="7" t="inlineStr">
        <is>
          <t>Office Supplies</t>
        </is>
      </c>
      <c r="G1803" s="7" t="inlineStr">
        <is>
          <t>Pens</t>
        </is>
      </c>
      <c r="H1803" s="7" t="inlineStr">
        <is>
          <t>Corporate</t>
        </is>
      </c>
      <c r="I1803" s="7" t="n">
        <v>10</v>
      </c>
      <c r="J1803" s="10" t="n">
        <v>11.89</v>
      </c>
      <c r="K1803" s="11" t="n">
        <v>0.05</v>
      </c>
      <c r="L1803" s="10">
        <f>I1803*J1803*(1-K1803)</f>
        <v/>
      </c>
      <c r="M1803" s="10" t="n">
        <v>54</v>
      </c>
      <c r="N1803" s="10">
        <f>L1803-M1803</f>
        <v/>
      </c>
    </row>
    <row r="1804">
      <c r="A1804" s="7" t="inlineStr">
        <is>
          <t>ORD-02408</t>
        </is>
      </c>
      <c r="B1804" s="8" t="n">
        <v>45321</v>
      </c>
      <c r="C1804" s="9" t="n">
        <v>45292</v>
      </c>
      <c r="D1804" s="7" t="n">
        <v>2024</v>
      </c>
      <c r="E1804" s="7" t="inlineStr">
        <is>
          <t>South</t>
        </is>
      </c>
      <c r="F1804" s="7" t="inlineStr">
        <is>
          <t>Office Supplies</t>
        </is>
      </c>
      <c r="G1804" s="7" t="inlineStr">
        <is>
          <t>Binder</t>
        </is>
      </c>
      <c r="H1804" s="7" t="inlineStr">
        <is>
          <t>Corporate</t>
        </is>
      </c>
      <c r="I1804" s="7" t="n">
        <v>10</v>
      </c>
      <c r="J1804" s="10" t="n">
        <v>8.34</v>
      </c>
      <c r="K1804" s="11" t="n">
        <v>0.1</v>
      </c>
      <c r="L1804" s="10">
        <f>I1804*J1804*(1-K1804)</f>
        <v/>
      </c>
      <c r="M1804" s="10" t="n">
        <v>32</v>
      </c>
      <c r="N1804" s="10">
        <f>L1804-M1804</f>
        <v/>
      </c>
    </row>
    <row r="1805">
      <c r="A1805" s="7" t="inlineStr">
        <is>
          <t>ORD-05345</t>
        </is>
      </c>
      <c r="B1805" s="8" t="n">
        <v>45322</v>
      </c>
      <c r="C1805" s="9" t="n">
        <v>45292</v>
      </c>
      <c r="D1805" s="7" t="n">
        <v>2024</v>
      </c>
      <c r="E1805" s="7" t="inlineStr">
        <is>
          <t>South</t>
        </is>
      </c>
      <c r="F1805" s="7" t="inlineStr">
        <is>
          <t>Technology</t>
        </is>
      </c>
      <c r="G1805" s="7" t="inlineStr">
        <is>
          <t>Laptop</t>
        </is>
      </c>
      <c r="H1805" s="7" t="inlineStr">
        <is>
          <t>Consumer</t>
        </is>
      </c>
      <c r="I1805" s="7" t="n">
        <v>2</v>
      </c>
      <c r="J1805" s="10" t="n">
        <v>943.91</v>
      </c>
      <c r="K1805" s="11" t="n">
        <v>0</v>
      </c>
      <c r="L1805" s="10">
        <f>I1805*J1805*(1-K1805)</f>
        <v/>
      </c>
      <c r="M1805" s="10" t="n">
        <v>1404</v>
      </c>
      <c r="N1805" s="10">
        <f>L1805-M1805</f>
        <v/>
      </c>
    </row>
    <row r="1806">
      <c r="A1806" s="7" t="inlineStr">
        <is>
          <t>ORD-05832</t>
        </is>
      </c>
      <c r="B1806" s="8" t="n">
        <v>45322</v>
      </c>
      <c r="C1806" s="9" t="n">
        <v>45292</v>
      </c>
      <c r="D1806" s="7" t="n">
        <v>2024</v>
      </c>
      <c r="E1806" s="7" t="inlineStr">
        <is>
          <t>West</t>
        </is>
      </c>
      <c r="F1806" s="7" t="inlineStr">
        <is>
          <t>Furniture</t>
        </is>
      </c>
      <c r="G1806" s="7" t="inlineStr">
        <is>
          <t>Sofa</t>
        </is>
      </c>
      <c r="H1806" s="7" t="inlineStr">
        <is>
          <t>Consumer</t>
        </is>
      </c>
      <c r="I1806" s="7" t="n">
        <v>2</v>
      </c>
      <c r="J1806" s="10" t="n">
        <v>692.28</v>
      </c>
      <c r="K1806" s="11" t="n">
        <v>0.3</v>
      </c>
      <c r="L1806" s="10">
        <f>I1806*J1806*(1-K1806)</f>
        <v/>
      </c>
      <c r="M1806" s="10" t="n">
        <v>1232</v>
      </c>
      <c r="N1806" s="10">
        <f>L1806-M1806</f>
        <v/>
      </c>
    </row>
    <row r="1807">
      <c r="A1807" s="7" t="inlineStr">
        <is>
          <t>ORD-05537</t>
        </is>
      </c>
      <c r="B1807" s="8" t="n">
        <v>45322</v>
      </c>
      <c r="C1807" s="9" t="n">
        <v>45292</v>
      </c>
      <c r="D1807" s="7" t="n">
        <v>2024</v>
      </c>
      <c r="E1807" s="7" t="inlineStr">
        <is>
          <t>East</t>
        </is>
      </c>
      <c r="F1807" s="7" t="inlineStr">
        <is>
          <t>Technology</t>
        </is>
      </c>
      <c r="G1807" s="7" t="inlineStr">
        <is>
          <t>Laptop</t>
        </is>
      </c>
      <c r="H1807" s="7" t="inlineStr">
        <is>
          <t>Corporate</t>
        </is>
      </c>
      <c r="I1807" s="7" t="n">
        <v>2</v>
      </c>
      <c r="J1807" s="10" t="n">
        <v>887.05</v>
      </c>
      <c r="K1807" s="11" t="n">
        <v>0.2</v>
      </c>
      <c r="L1807" s="10">
        <f>I1807*J1807*(1-K1807)</f>
        <v/>
      </c>
      <c r="M1807" s="10" t="n">
        <v>1404</v>
      </c>
      <c r="N1807" s="10">
        <f>L1807-M1807</f>
        <v/>
      </c>
    </row>
    <row r="1808">
      <c r="A1808" s="7" t="inlineStr">
        <is>
          <t>ORD-04518</t>
        </is>
      </c>
      <c r="B1808" s="8" t="n">
        <v>45323</v>
      </c>
      <c r="C1808" s="9" t="n">
        <v>45323</v>
      </c>
      <c r="D1808" s="7" t="n">
        <v>2024</v>
      </c>
      <c r="E1808" s="7" t="inlineStr">
        <is>
          <t>South</t>
        </is>
      </c>
      <c r="F1808" s="7" t="inlineStr">
        <is>
          <t>Office Supplies</t>
        </is>
      </c>
      <c r="G1808" s="7" t="inlineStr">
        <is>
          <t>Paper</t>
        </is>
      </c>
      <c r="H1808" s="7" t="inlineStr">
        <is>
          <t>Corporate</t>
        </is>
      </c>
      <c r="I1808" s="7" t="n">
        <v>15</v>
      </c>
      <c r="J1808" s="10" t="n">
        <v>25.05</v>
      </c>
      <c r="K1808" s="11" t="n">
        <v>0.05</v>
      </c>
      <c r="L1808" s="10">
        <f>I1808*J1808*(1-K1808)</f>
        <v/>
      </c>
      <c r="M1808" s="10" t="n">
        <v>187.5</v>
      </c>
      <c r="N1808" s="10">
        <f>L1808-M1808</f>
        <v/>
      </c>
    </row>
    <row r="1809">
      <c r="A1809" s="7" t="inlineStr">
        <is>
          <t>ORD-05730</t>
        </is>
      </c>
      <c r="B1809" s="8" t="n">
        <v>45323</v>
      </c>
      <c r="C1809" s="9" t="n">
        <v>45323</v>
      </c>
      <c r="D1809" s="7" t="n">
        <v>2024</v>
      </c>
      <c r="E1809" s="7" t="inlineStr">
        <is>
          <t>West</t>
        </is>
      </c>
      <c r="F1809" s="7" t="inlineStr">
        <is>
          <t>Technology</t>
        </is>
      </c>
      <c r="G1809" s="7" t="inlineStr">
        <is>
          <t>Smartphone</t>
        </is>
      </c>
      <c r="H1809" s="7" t="inlineStr">
        <is>
          <t>Consumer</t>
        </is>
      </c>
      <c r="I1809" s="7" t="n">
        <v>2</v>
      </c>
      <c r="J1809" s="10" t="n">
        <v>572.91</v>
      </c>
      <c r="K1809" s="11" t="n">
        <v>0.3</v>
      </c>
      <c r="L1809" s="10">
        <f>I1809*J1809*(1-K1809)</f>
        <v/>
      </c>
      <c r="M1809" s="10" t="n">
        <v>900</v>
      </c>
      <c r="N1809" s="10">
        <f>L1809-M1809</f>
        <v/>
      </c>
    </row>
    <row r="1810">
      <c r="A1810" s="7" t="inlineStr">
        <is>
          <t>ORD-02732</t>
        </is>
      </c>
      <c r="B1810" s="8" t="n">
        <v>45323</v>
      </c>
      <c r="C1810" s="9" t="n">
        <v>45323</v>
      </c>
      <c r="D1810" s="7" t="n">
        <v>2024</v>
      </c>
      <c r="E1810" s="7" t="inlineStr">
        <is>
          <t>East</t>
        </is>
      </c>
      <c r="F1810" s="7" t="inlineStr">
        <is>
          <t>Furniture</t>
        </is>
      </c>
      <c r="G1810" s="7" t="inlineStr">
        <is>
          <t>Office Chair</t>
        </is>
      </c>
      <c r="H1810" s="7" t="inlineStr">
        <is>
          <t>Consumer</t>
        </is>
      </c>
      <c r="I1810" s="7" t="n">
        <v>3</v>
      </c>
      <c r="J1810" s="10" t="n">
        <v>227.83</v>
      </c>
      <c r="K1810" s="11" t="n">
        <v>0.05</v>
      </c>
      <c r="L1810" s="10">
        <f>I1810*J1810*(1-K1810)</f>
        <v/>
      </c>
      <c r="M1810" s="10" t="n">
        <v>541.2</v>
      </c>
      <c r="N1810" s="10">
        <f>L1810-M1810</f>
        <v/>
      </c>
    </row>
    <row r="1811">
      <c r="A1811" s="7" t="inlineStr">
        <is>
          <t>ORD-00658</t>
        </is>
      </c>
      <c r="B1811" s="8" t="n">
        <v>45323</v>
      </c>
      <c r="C1811" s="9" t="n">
        <v>45323</v>
      </c>
      <c r="D1811" s="7" t="n">
        <v>2024</v>
      </c>
      <c r="E1811" s="7" t="inlineStr">
        <is>
          <t>North</t>
        </is>
      </c>
      <c r="F1811" s="7" t="inlineStr">
        <is>
          <t>Technology</t>
        </is>
      </c>
      <c r="G1811" s="7" t="inlineStr">
        <is>
          <t>Smartphone</t>
        </is>
      </c>
      <c r="H1811" s="7" t="inlineStr">
        <is>
          <t>Corporate</t>
        </is>
      </c>
      <c r="I1811" s="7" t="n">
        <v>2</v>
      </c>
      <c r="J1811" s="10" t="n">
        <v>579</v>
      </c>
      <c r="K1811" s="11" t="n">
        <v>0</v>
      </c>
      <c r="L1811" s="10">
        <f>I1811*J1811*(1-K1811)</f>
        <v/>
      </c>
      <c r="M1811" s="10" t="n">
        <v>900</v>
      </c>
      <c r="N1811" s="10">
        <f>L1811-M1811</f>
        <v/>
      </c>
    </row>
    <row r="1812">
      <c r="A1812" s="7" t="inlineStr">
        <is>
          <t>ORD-04832</t>
        </is>
      </c>
      <c r="B1812" s="8" t="n">
        <v>45324</v>
      </c>
      <c r="C1812" s="9" t="n">
        <v>45323</v>
      </c>
      <c r="D1812" s="7" t="n">
        <v>2024</v>
      </c>
      <c r="E1812" s="7" t="inlineStr">
        <is>
          <t>West</t>
        </is>
      </c>
      <c r="F1812" s="7" t="inlineStr">
        <is>
          <t>Office Supplies</t>
        </is>
      </c>
      <c r="G1812" s="7" t="inlineStr">
        <is>
          <t>Pens</t>
        </is>
      </c>
      <c r="H1812" s="7" t="inlineStr">
        <is>
          <t>Corporate</t>
        </is>
      </c>
      <c r="I1812" s="7" t="n">
        <v>14</v>
      </c>
      <c r="J1812" s="10" t="n">
        <v>12.42</v>
      </c>
      <c r="K1812" s="11" t="n">
        <v>0.2</v>
      </c>
      <c r="L1812" s="10">
        <f>I1812*J1812*(1-K1812)</f>
        <v/>
      </c>
      <c r="M1812" s="10" t="n">
        <v>75.59999999999999</v>
      </c>
      <c r="N1812" s="10">
        <f>L1812-M1812</f>
        <v/>
      </c>
    </row>
    <row r="1813">
      <c r="A1813" s="7" t="inlineStr">
        <is>
          <t>ORD-00700</t>
        </is>
      </c>
      <c r="B1813" s="8" t="n">
        <v>45324</v>
      </c>
      <c r="C1813" s="9" t="n">
        <v>45323</v>
      </c>
      <c r="D1813" s="7" t="n">
        <v>2024</v>
      </c>
      <c r="E1813" s="7" t="inlineStr">
        <is>
          <t>East</t>
        </is>
      </c>
      <c r="F1813" s="7" t="inlineStr">
        <is>
          <t>Furniture</t>
        </is>
      </c>
      <c r="G1813" s="7" t="inlineStr">
        <is>
          <t>Sofa</t>
        </is>
      </c>
      <c r="H1813" s="7" t="inlineStr">
        <is>
          <t>Corporate</t>
        </is>
      </c>
      <c r="I1813" s="7" t="n">
        <v>2</v>
      </c>
      <c r="J1813" s="10" t="n">
        <v>708.59</v>
      </c>
      <c r="K1813" s="11" t="n">
        <v>0.3</v>
      </c>
      <c r="L1813" s="10">
        <f>I1813*J1813*(1-K1813)</f>
        <v/>
      </c>
      <c r="M1813" s="10" t="n">
        <v>1232</v>
      </c>
      <c r="N1813" s="10">
        <f>L1813-M1813</f>
        <v/>
      </c>
    </row>
    <row r="1814">
      <c r="A1814" s="7" t="inlineStr">
        <is>
          <t>ORD-05131</t>
        </is>
      </c>
      <c r="B1814" s="8" t="n">
        <v>45324</v>
      </c>
      <c r="C1814" s="9" t="n">
        <v>45323</v>
      </c>
      <c r="D1814" s="7" t="n">
        <v>2024</v>
      </c>
      <c r="E1814" s="7" t="inlineStr">
        <is>
          <t>West</t>
        </is>
      </c>
      <c r="F1814" s="7" t="inlineStr">
        <is>
          <t>Office Supplies</t>
        </is>
      </c>
      <c r="G1814" s="7" t="inlineStr">
        <is>
          <t>Pens</t>
        </is>
      </c>
      <c r="H1814" s="7" t="inlineStr">
        <is>
          <t>Home Office</t>
        </is>
      </c>
      <c r="I1814" s="7" t="n">
        <v>13</v>
      </c>
      <c r="J1814" s="10" t="n">
        <v>12.03</v>
      </c>
      <c r="K1814" s="11" t="n">
        <v>0</v>
      </c>
      <c r="L1814" s="10">
        <f>I1814*J1814*(1-K1814)</f>
        <v/>
      </c>
      <c r="M1814" s="10" t="n">
        <v>70.2</v>
      </c>
      <c r="N1814" s="10">
        <f>L1814-M1814</f>
        <v/>
      </c>
    </row>
    <row r="1815">
      <c r="A1815" s="7" t="inlineStr">
        <is>
          <t>ORD-03697</t>
        </is>
      </c>
      <c r="B1815" s="8" t="n">
        <v>45324</v>
      </c>
      <c r="C1815" s="9" t="n">
        <v>45323</v>
      </c>
      <c r="D1815" s="7" t="n">
        <v>2024</v>
      </c>
      <c r="E1815" s="7" t="inlineStr">
        <is>
          <t>East</t>
        </is>
      </c>
      <c r="F1815" s="7" t="inlineStr">
        <is>
          <t>Technology</t>
        </is>
      </c>
      <c r="G1815" s="7" t="inlineStr">
        <is>
          <t>Keyboard</t>
        </is>
      </c>
      <c r="H1815" s="7" t="inlineStr">
        <is>
          <t>Home Office</t>
        </is>
      </c>
      <c r="I1815" s="7" t="n">
        <v>3</v>
      </c>
      <c r="J1815" s="10" t="n">
        <v>44.79</v>
      </c>
      <c r="K1815" s="11" t="n">
        <v>0.3</v>
      </c>
      <c r="L1815" s="10">
        <f>I1815*J1815*(1-K1815)</f>
        <v/>
      </c>
      <c r="M1815" s="10" t="n">
        <v>74.25</v>
      </c>
      <c r="N1815" s="10">
        <f>L1815-M1815</f>
        <v/>
      </c>
    </row>
    <row r="1816">
      <c r="A1816" s="7" t="inlineStr">
        <is>
          <t>ORD-02295</t>
        </is>
      </c>
      <c r="B1816" s="8" t="n">
        <v>45324</v>
      </c>
      <c r="C1816" s="9" t="n">
        <v>45323</v>
      </c>
      <c r="D1816" s="7" t="n">
        <v>2024</v>
      </c>
      <c r="E1816" s="7" t="inlineStr">
        <is>
          <t>South</t>
        </is>
      </c>
      <c r="F1816" s="7" t="inlineStr">
        <is>
          <t>Technology</t>
        </is>
      </c>
      <c r="G1816" s="7" t="inlineStr">
        <is>
          <t>Smartphone</t>
        </is>
      </c>
      <c r="H1816" s="7" t="inlineStr">
        <is>
          <t>Consumer</t>
        </is>
      </c>
      <c r="I1816" s="7" t="n">
        <v>2</v>
      </c>
      <c r="J1816" s="10" t="n">
        <v>629.54</v>
      </c>
      <c r="K1816" s="11" t="n">
        <v>0.3</v>
      </c>
      <c r="L1816" s="10">
        <f>I1816*J1816*(1-K1816)</f>
        <v/>
      </c>
      <c r="M1816" s="10" t="n">
        <v>900</v>
      </c>
      <c r="N1816" s="10">
        <f>L1816-M1816</f>
        <v/>
      </c>
    </row>
    <row r="1817">
      <c r="A1817" s="7" t="inlineStr">
        <is>
          <t>ORD-03415</t>
        </is>
      </c>
      <c r="B1817" s="8" t="n">
        <v>45324</v>
      </c>
      <c r="C1817" s="9" t="n">
        <v>45323</v>
      </c>
      <c r="D1817" s="7" t="n">
        <v>2024</v>
      </c>
      <c r="E1817" s="7" t="inlineStr">
        <is>
          <t>North</t>
        </is>
      </c>
      <c r="F1817" s="7" t="inlineStr">
        <is>
          <t>Office Supplies</t>
        </is>
      </c>
      <c r="G1817" s="7" t="inlineStr">
        <is>
          <t>Printer Ink</t>
        </is>
      </c>
      <c r="H1817" s="7" t="inlineStr">
        <is>
          <t>Consumer</t>
        </is>
      </c>
      <c r="I1817" s="7" t="n">
        <v>5</v>
      </c>
      <c r="J1817" s="10" t="n">
        <v>59.31</v>
      </c>
      <c r="K1817" s="11" t="n">
        <v>0.1</v>
      </c>
      <c r="L1817" s="10">
        <f>I1817*J1817*(1-K1817)</f>
        <v/>
      </c>
      <c r="M1817" s="10" t="n">
        <v>180</v>
      </c>
      <c r="N1817" s="10">
        <f>L1817-M1817</f>
        <v/>
      </c>
    </row>
    <row r="1818">
      <c r="A1818" s="7" t="inlineStr">
        <is>
          <t>ORD-05817</t>
        </is>
      </c>
      <c r="B1818" s="8" t="n">
        <v>45325</v>
      </c>
      <c r="C1818" s="9" t="n">
        <v>45323</v>
      </c>
      <c r="D1818" s="7" t="n">
        <v>2024</v>
      </c>
      <c r="E1818" s="7" t="inlineStr">
        <is>
          <t>South</t>
        </is>
      </c>
      <c r="F1818" s="7" t="inlineStr">
        <is>
          <t>Office Supplies</t>
        </is>
      </c>
      <c r="G1818" s="7" t="inlineStr">
        <is>
          <t>Pens</t>
        </is>
      </c>
      <c r="H1818" s="7" t="inlineStr">
        <is>
          <t>Corporate</t>
        </is>
      </c>
      <c r="I1818" s="7" t="n">
        <v>15</v>
      </c>
      <c r="J1818" s="10" t="n">
        <v>12.22</v>
      </c>
      <c r="K1818" s="11" t="n">
        <v>0.05</v>
      </c>
      <c r="L1818" s="10">
        <f>I1818*J1818*(1-K1818)</f>
        <v/>
      </c>
      <c r="M1818" s="10" t="n">
        <v>81</v>
      </c>
      <c r="N1818" s="10">
        <f>L1818-M1818</f>
        <v/>
      </c>
    </row>
    <row r="1819">
      <c r="A1819" s="7" t="inlineStr">
        <is>
          <t>ORD-04516</t>
        </is>
      </c>
      <c r="B1819" s="8" t="n">
        <v>45325</v>
      </c>
      <c r="C1819" s="9" t="n">
        <v>45323</v>
      </c>
      <c r="D1819" s="7" t="n">
        <v>2024</v>
      </c>
      <c r="E1819" s="7" t="inlineStr">
        <is>
          <t>West</t>
        </is>
      </c>
      <c r="F1819" s="7" t="inlineStr">
        <is>
          <t>Technology</t>
        </is>
      </c>
      <c r="G1819" s="7" t="inlineStr">
        <is>
          <t>Keyboard</t>
        </is>
      </c>
      <c r="H1819" s="7" t="inlineStr">
        <is>
          <t>Corporate</t>
        </is>
      </c>
      <c r="I1819" s="7" t="n">
        <v>1</v>
      </c>
      <c r="J1819" s="10" t="n">
        <v>45.86</v>
      </c>
      <c r="K1819" s="11" t="n">
        <v>0</v>
      </c>
      <c r="L1819" s="10">
        <f>I1819*J1819*(1-K1819)</f>
        <v/>
      </c>
      <c r="M1819" s="10" t="n">
        <v>24.75</v>
      </c>
      <c r="N1819" s="10">
        <f>L1819-M1819</f>
        <v/>
      </c>
    </row>
    <row r="1820">
      <c r="A1820" s="7" t="inlineStr">
        <is>
          <t>ORD-01922</t>
        </is>
      </c>
      <c r="B1820" s="8" t="n">
        <v>45325</v>
      </c>
      <c r="C1820" s="9" t="n">
        <v>45323</v>
      </c>
      <c r="D1820" s="7" t="n">
        <v>2024</v>
      </c>
      <c r="E1820" s="7" t="inlineStr">
        <is>
          <t>East</t>
        </is>
      </c>
      <c r="F1820" s="7" t="inlineStr">
        <is>
          <t>Office Supplies</t>
        </is>
      </c>
      <c r="G1820" s="7" t="inlineStr">
        <is>
          <t>Printer Ink</t>
        </is>
      </c>
      <c r="H1820" s="7" t="inlineStr">
        <is>
          <t>Corporate</t>
        </is>
      </c>
      <c r="I1820" s="7" t="n">
        <v>4</v>
      </c>
      <c r="J1820" s="10" t="n">
        <v>61.38</v>
      </c>
      <c r="K1820" s="11" t="n">
        <v>0</v>
      </c>
      <c r="L1820" s="10">
        <f>I1820*J1820*(1-K1820)</f>
        <v/>
      </c>
      <c r="M1820" s="10" t="n">
        <v>144</v>
      </c>
      <c r="N1820" s="10">
        <f>L1820-M1820</f>
        <v/>
      </c>
    </row>
    <row r="1821">
      <c r="A1821" s="7" t="inlineStr">
        <is>
          <t>ORD-03244</t>
        </is>
      </c>
      <c r="B1821" s="8" t="n">
        <v>45325</v>
      </c>
      <c r="C1821" s="9" t="n">
        <v>45323</v>
      </c>
      <c r="D1821" s="7" t="n">
        <v>2024</v>
      </c>
      <c r="E1821" s="7" t="inlineStr">
        <is>
          <t>West</t>
        </is>
      </c>
      <c r="F1821" s="7" t="inlineStr">
        <is>
          <t>Furniture</t>
        </is>
      </c>
      <c r="G1821" s="7" t="inlineStr">
        <is>
          <t>Bookcase</t>
        </is>
      </c>
      <c r="H1821" s="7" t="inlineStr">
        <is>
          <t>Home Office</t>
        </is>
      </c>
      <c r="I1821" s="7" t="n">
        <v>3</v>
      </c>
      <c r="J1821" s="10" t="n">
        <v>186.61</v>
      </c>
      <c r="K1821" s="11" t="n">
        <v>0.2</v>
      </c>
      <c r="L1821" s="10">
        <f>I1821*J1821*(1-K1821)</f>
        <v/>
      </c>
      <c r="M1821" s="10" t="n">
        <v>432</v>
      </c>
      <c r="N1821" s="10">
        <f>L1821-M1821</f>
        <v/>
      </c>
    </row>
    <row r="1822">
      <c r="A1822" s="7" t="inlineStr">
        <is>
          <t>ORD-00221</t>
        </is>
      </c>
      <c r="B1822" s="8" t="n">
        <v>45326</v>
      </c>
      <c r="C1822" s="9" t="n">
        <v>45323</v>
      </c>
      <c r="D1822" s="7" t="n">
        <v>2024</v>
      </c>
      <c r="E1822" s="7" t="inlineStr">
        <is>
          <t>East</t>
        </is>
      </c>
      <c r="F1822" s="7" t="inlineStr">
        <is>
          <t>Office Supplies</t>
        </is>
      </c>
      <c r="G1822" s="7" t="inlineStr">
        <is>
          <t>Binder</t>
        </is>
      </c>
      <c r="H1822" s="7" t="inlineStr">
        <is>
          <t>Corporate</t>
        </is>
      </c>
      <c r="I1822" s="7" t="n">
        <v>2</v>
      </c>
      <c r="J1822" s="10" t="n">
        <v>8.31</v>
      </c>
      <c r="K1822" s="11" t="n">
        <v>0</v>
      </c>
      <c r="L1822" s="10">
        <f>I1822*J1822*(1-K1822)</f>
        <v/>
      </c>
      <c r="M1822" s="10" t="n">
        <v>6.4</v>
      </c>
      <c r="N1822" s="10">
        <f>L1822-M1822</f>
        <v/>
      </c>
    </row>
    <row r="1823">
      <c r="A1823" s="7" t="inlineStr">
        <is>
          <t>ORD-04846</t>
        </is>
      </c>
      <c r="B1823" s="8" t="n">
        <v>45327</v>
      </c>
      <c r="C1823" s="9" t="n">
        <v>45323</v>
      </c>
      <c r="D1823" s="7" t="n">
        <v>2024</v>
      </c>
      <c r="E1823" s="7" t="inlineStr">
        <is>
          <t>North</t>
        </is>
      </c>
      <c r="F1823" s="7" t="inlineStr">
        <is>
          <t>Office Supplies</t>
        </is>
      </c>
      <c r="G1823" s="7" t="inlineStr">
        <is>
          <t>Binder</t>
        </is>
      </c>
      <c r="H1823" s="7" t="inlineStr">
        <is>
          <t>Consumer</t>
        </is>
      </c>
      <c r="I1823" s="7" t="n">
        <v>9</v>
      </c>
      <c r="J1823" s="10" t="n">
        <v>7.81</v>
      </c>
      <c r="K1823" s="11" t="n">
        <v>0</v>
      </c>
      <c r="L1823" s="10">
        <f>I1823*J1823*(1-K1823)</f>
        <v/>
      </c>
      <c r="M1823" s="10" t="n">
        <v>28.8</v>
      </c>
      <c r="N1823" s="10">
        <f>L1823-M1823</f>
        <v/>
      </c>
    </row>
    <row r="1824">
      <c r="A1824" s="7" t="inlineStr">
        <is>
          <t>ORD-01715</t>
        </is>
      </c>
      <c r="B1824" s="8" t="n">
        <v>45327</v>
      </c>
      <c r="C1824" s="9" t="n">
        <v>45323</v>
      </c>
      <c r="D1824" s="7" t="n">
        <v>2024</v>
      </c>
      <c r="E1824" s="7" t="inlineStr">
        <is>
          <t>West</t>
        </is>
      </c>
      <c r="F1824" s="7" t="inlineStr">
        <is>
          <t>Technology</t>
        </is>
      </c>
      <c r="G1824" s="7" t="inlineStr">
        <is>
          <t>Monitor</t>
        </is>
      </c>
      <c r="H1824" s="7" t="inlineStr">
        <is>
          <t>Corporate</t>
        </is>
      </c>
      <c r="I1824" s="7" t="n">
        <v>2</v>
      </c>
      <c r="J1824" s="10" t="n">
        <v>240.02</v>
      </c>
      <c r="K1824" s="11" t="n">
        <v>0.1</v>
      </c>
      <c r="L1824" s="10">
        <f>I1824*J1824*(1-K1824)</f>
        <v/>
      </c>
      <c r="M1824" s="10" t="n">
        <v>360</v>
      </c>
      <c r="N1824" s="10">
        <f>L1824-M1824</f>
        <v/>
      </c>
    </row>
    <row r="1825">
      <c r="A1825" s="7" t="inlineStr">
        <is>
          <t>ORD-00095</t>
        </is>
      </c>
      <c r="B1825" s="8" t="n">
        <v>45327</v>
      </c>
      <c r="C1825" s="9" t="n">
        <v>45323</v>
      </c>
      <c r="D1825" s="7" t="n">
        <v>2024</v>
      </c>
      <c r="E1825" s="7" t="inlineStr">
        <is>
          <t>North</t>
        </is>
      </c>
      <c r="F1825" s="7" t="inlineStr">
        <is>
          <t>Furniture</t>
        </is>
      </c>
      <c r="G1825" s="7" t="inlineStr">
        <is>
          <t>Sofa</t>
        </is>
      </c>
      <c r="H1825" s="7" t="inlineStr">
        <is>
          <t>Consumer</t>
        </is>
      </c>
      <c r="I1825" s="7" t="n">
        <v>1</v>
      </c>
      <c r="J1825" s="10" t="n">
        <v>665.8099999999999</v>
      </c>
      <c r="K1825" s="11" t="n">
        <v>0.1</v>
      </c>
      <c r="L1825" s="10">
        <f>I1825*J1825*(1-K1825)</f>
        <v/>
      </c>
      <c r="M1825" s="10" t="n">
        <v>616</v>
      </c>
      <c r="N1825" s="10">
        <f>L1825-M1825</f>
        <v/>
      </c>
    </row>
    <row r="1826">
      <c r="A1826" s="7" t="inlineStr">
        <is>
          <t>ORD-00464</t>
        </is>
      </c>
      <c r="B1826" s="8" t="n">
        <v>45327</v>
      </c>
      <c r="C1826" s="9" t="n">
        <v>45323</v>
      </c>
      <c r="D1826" s="7" t="n">
        <v>2024</v>
      </c>
      <c r="E1826" s="7" t="inlineStr">
        <is>
          <t>West</t>
        </is>
      </c>
      <c r="F1826" s="7" t="inlineStr">
        <is>
          <t>Office Supplies</t>
        </is>
      </c>
      <c r="G1826" s="7" t="inlineStr">
        <is>
          <t>Paper</t>
        </is>
      </c>
      <c r="H1826" s="7" t="inlineStr">
        <is>
          <t>Consumer</t>
        </is>
      </c>
      <c r="I1826" s="7" t="n">
        <v>7</v>
      </c>
      <c r="J1826" s="10" t="n">
        <v>24.38</v>
      </c>
      <c r="K1826" s="11" t="n">
        <v>0.1</v>
      </c>
      <c r="L1826" s="10">
        <f>I1826*J1826*(1-K1826)</f>
        <v/>
      </c>
      <c r="M1826" s="10" t="n">
        <v>87.5</v>
      </c>
      <c r="N1826" s="10">
        <f>L1826-M1826</f>
        <v/>
      </c>
    </row>
    <row r="1827">
      <c r="A1827" s="7" t="inlineStr">
        <is>
          <t>ORD-02079</t>
        </is>
      </c>
      <c r="B1827" s="8" t="n">
        <v>45327</v>
      </c>
      <c r="C1827" s="9" t="n">
        <v>45323</v>
      </c>
      <c r="D1827" s="7" t="n">
        <v>2024</v>
      </c>
      <c r="E1827" s="7" t="inlineStr">
        <is>
          <t>North</t>
        </is>
      </c>
      <c r="F1827" s="7" t="inlineStr">
        <is>
          <t>Technology</t>
        </is>
      </c>
      <c r="G1827" s="7" t="inlineStr">
        <is>
          <t>Laptop</t>
        </is>
      </c>
      <c r="H1827" s="7" t="inlineStr">
        <is>
          <t>Consumer</t>
        </is>
      </c>
      <c r="I1827" s="7" t="n">
        <v>3</v>
      </c>
      <c r="J1827" s="10" t="n">
        <v>867.0599999999999</v>
      </c>
      <c r="K1827" s="11" t="n">
        <v>0</v>
      </c>
      <c r="L1827" s="10">
        <f>I1827*J1827*(1-K1827)</f>
        <v/>
      </c>
      <c r="M1827" s="10" t="n">
        <v>2106</v>
      </c>
      <c r="N1827" s="10">
        <f>L1827-M1827</f>
        <v/>
      </c>
    </row>
    <row r="1828">
      <c r="A1828" s="7" t="inlineStr">
        <is>
          <t>ORD-03468</t>
        </is>
      </c>
      <c r="B1828" s="8" t="n">
        <v>45327</v>
      </c>
      <c r="C1828" s="9" t="n">
        <v>45323</v>
      </c>
      <c r="D1828" s="7" t="n">
        <v>2024</v>
      </c>
      <c r="E1828" s="7" t="inlineStr">
        <is>
          <t>South</t>
        </is>
      </c>
      <c r="F1828" s="7" t="inlineStr">
        <is>
          <t>Office Supplies</t>
        </is>
      </c>
      <c r="G1828" s="7" t="inlineStr">
        <is>
          <t>Pens</t>
        </is>
      </c>
      <c r="H1828" s="7" t="inlineStr">
        <is>
          <t>Consumer</t>
        </is>
      </c>
      <c r="I1828" s="7" t="n">
        <v>3</v>
      </c>
      <c r="J1828" s="10" t="n">
        <v>12.14</v>
      </c>
      <c r="K1828" s="11" t="n">
        <v>0.2</v>
      </c>
      <c r="L1828" s="10">
        <f>I1828*J1828*(1-K1828)</f>
        <v/>
      </c>
      <c r="M1828" s="10" t="n">
        <v>16.2</v>
      </c>
      <c r="N1828" s="10">
        <f>L1828-M1828</f>
        <v/>
      </c>
    </row>
    <row r="1829">
      <c r="A1829" s="7" t="inlineStr">
        <is>
          <t>ORD-04440</t>
        </is>
      </c>
      <c r="B1829" s="8" t="n">
        <v>45328</v>
      </c>
      <c r="C1829" s="9" t="n">
        <v>45323</v>
      </c>
      <c r="D1829" s="7" t="n">
        <v>2024</v>
      </c>
      <c r="E1829" s="7" t="inlineStr">
        <is>
          <t>East</t>
        </is>
      </c>
      <c r="F1829" s="7" t="inlineStr">
        <is>
          <t>Furniture</t>
        </is>
      </c>
      <c r="G1829" s="7" t="inlineStr">
        <is>
          <t>Sofa</t>
        </is>
      </c>
      <c r="H1829" s="7" t="inlineStr">
        <is>
          <t>Consumer</t>
        </is>
      </c>
      <c r="I1829" s="7" t="n">
        <v>4</v>
      </c>
      <c r="J1829" s="10" t="n">
        <v>681.28</v>
      </c>
      <c r="K1829" s="11" t="n">
        <v>0.3</v>
      </c>
      <c r="L1829" s="10">
        <f>I1829*J1829*(1-K1829)</f>
        <v/>
      </c>
      <c r="M1829" s="10" t="n">
        <v>2464</v>
      </c>
      <c r="N1829" s="10">
        <f>L1829-M1829</f>
        <v/>
      </c>
    </row>
    <row r="1830">
      <c r="A1830" s="7" t="inlineStr">
        <is>
          <t>ORD-03111</t>
        </is>
      </c>
      <c r="B1830" s="8" t="n">
        <v>45328</v>
      </c>
      <c r="C1830" s="9" t="n">
        <v>45323</v>
      </c>
      <c r="D1830" s="7" t="n">
        <v>2024</v>
      </c>
      <c r="E1830" s="7" t="inlineStr">
        <is>
          <t>North</t>
        </is>
      </c>
      <c r="F1830" s="7" t="inlineStr">
        <is>
          <t>Technology</t>
        </is>
      </c>
      <c r="G1830" s="7" t="inlineStr">
        <is>
          <t>Smartphone</t>
        </is>
      </c>
      <c r="H1830" s="7" t="inlineStr">
        <is>
          <t>Consumer</t>
        </is>
      </c>
      <c r="I1830" s="7" t="n">
        <v>2</v>
      </c>
      <c r="J1830" s="10" t="n">
        <v>585.0700000000001</v>
      </c>
      <c r="K1830" s="11" t="n">
        <v>0.05</v>
      </c>
      <c r="L1830" s="10">
        <f>I1830*J1830*(1-K1830)</f>
        <v/>
      </c>
      <c r="M1830" s="10" t="n">
        <v>900</v>
      </c>
      <c r="N1830" s="10">
        <f>L1830-M1830</f>
        <v/>
      </c>
    </row>
    <row r="1831">
      <c r="A1831" s="7" t="inlineStr">
        <is>
          <t>ORD-05063</t>
        </is>
      </c>
      <c r="B1831" s="8" t="n">
        <v>45328</v>
      </c>
      <c r="C1831" s="9" t="n">
        <v>45323</v>
      </c>
      <c r="D1831" s="7" t="n">
        <v>2024</v>
      </c>
      <c r="E1831" s="7" t="inlineStr">
        <is>
          <t>West</t>
        </is>
      </c>
      <c r="F1831" s="7" t="inlineStr">
        <is>
          <t>Office Supplies</t>
        </is>
      </c>
      <c r="G1831" s="7" t="inlineStr">
        <is>
          <t>Pens</t>
        </is>
      </c>
      <c r="H1831" s="7" t="inlineStr">
        <is>
          <t>Home Office</t>
        </is>
      </c>
      <c r="I1831" s="7" t="n">
        <v>12</v>
      </c>
      <c r="J1831" s="10" t="n">
        <v>11.6</v>
      </c>
      <c r="K1831" s="11" t="n">
        <v>0.1</v>
      </c>
      <c r="L1831" s="10">
        <f>I1831*J1831*(1-K1831)</f>
        <v/>
      </c>
      <c r="M1831" s="10" t="n">
        <v>64.8</v>
      </c>
      <c r="N1831" s="10">
        <f>L1831-M1831</f>
        <v/>
      </c>
    </row>
    <row r="1832">
      <c r="A1832" s="7" t="inlineStr">
        <is>
          <t>ORD-00401</t>
        </is>
      </c>
      <c r="B1832" s="8" t="n">
        <v>45328</v>
      </c>
      <c r="C1832" s="9" t="n">
        <v>45323</v>
      </c>
      <c r="D1832" s="7" t="n">
        <v>2024</v>
      </c>
      <c r="E1832" s="7" t="inlineStr">
        <is>
          <t>West</t>
        </is>
      </c>
      <c r="F1832" s="7" t="inlineStr">
        <is>
          <t>Office Supplies</t>
        </is>
      </c>
      <c r="G1832" s="7" t="inlineStr">
        <is>
          <t>Pens</t>
        </is>
      </c>
      <c r="H1832" s="7" t="inlineStr">
        <is>
          <t>Corporate</t>
        </is>
      </c>
      <c r="I1832" s="7" t="n">
        <v>8</v>
      </c>
      <c r="J1832" s="10" t="n">
        <v>11.52</v>
      </c>
      <c r="K1832" s="11" t="n">
        <v>0.05</v>
      </c>
      <c r="L1832" s="10">
        <f>I1832*J1832*(1-K1832)</f>
        <v/>
      </c>
      <c r="M1832" s="10" t="n">
        <v>43.2</v>
      </c>
      <c r="N1832" s="10">
        <f>L1832-M1832</f>
        <v/>
      </c>
    </row>
    <row r="1833">
      <c r="A1833" s="7" t="inlineStr">
        <is>
          <t>ORD-00738</t>
        </is>
      </c>
      <c r="B1833" s="8" t="n">
        <v>45328</v>
      </c>
      <c r="C1833" s="9" t="n">
        <v>45323</v>
      </c>
      <c r="D1833" s="7" t="n">
        <v>2024</v>
      </c>
      <c r="E1833" s="7" t="inlineStr">
        <is>
          <t>East</t>
        </is>
      </c>
      <c r="F1833" s="7" t="inlineStr">
        <is>
          <t>Office Supplies</t>
        </is>
      </c>
      <c r="G1833" s="7" t="inlineStr">
        <is>
          <t>Binder</t>
        </is>
      </c>
      <c r="H1833" s="7" t="inlineStr">
        <is>
          <t>Home Office</t>
        </is>
      </c>
      <c r="I1833" s="7" t="n">
        <v>15</v>
      </c>
      <c r="J1833" s="10" t="n">
        <v>8.19</v>
      </c>
      <c r="K1833" s="11" t="n">
        <v>0</v>
      </c>
      <c r="L1833" s="10">
        <f>I1833*J1833*(1-K1833)</f>
        <v/>
      </c>
      <c r="M1833" s="10" t="n">
        <v>48</v>
      </c>
      <c r="N1833" s="10">
        <f>L1833-M1833</f>
        <v/>
      </c>
    </row>
    <row r="1834">
      <c r="A1834" s="7" t="inlineStr">
        <is>
          <t>ORD-01388</t>
        </is>
      </c>
      <c r="B1834" s="8" t="n">
        <v>45328</v>
      </c>
      <c r="C1834" s="9" t="n">
        <v>45323</v>
      </c>
      <c r="D1834" s="7" t="n">
        <v>2024</v>
      </c>
      <c r="E1834" s="7" t="inlineStr">
        <is>
          <t>West</t>
        </is>
      </c>
      <c r="F1834" s="7" t="inlineStr">
        <is>
          <t>Office Supplies</t>
        </is>
      </c>
      <c r="G1834" s="7" t="inlineStr">
        <is>
          <t>Paper</t>
        </is>
      </c>
      <c r="H1834" s="7" t="inlineStr">
        <is>
          <t>Home Office</t>
        </is>
      </c>
      <c r="I1834" s="7" t="n">
        <v>3</v>
      </c>
      <c r="J1834" s="10" t="n">
        <v>24.29</v>
      </c>
      <c r="K1834" s="11" t="n">
        <v>0.05</v>
      </c>
      <c r="L1834" s="10">
        <f>I1834*J1834*(1-K1834)</f>
        <v/>
      </c>
      <c r="M1834" s="10" t="n">
        <v>37.5</v>
      </c>
      <c r="N1834" s="10">
        <f>L1834-M1834</f>
        <v/>
      </c>
    </row>
    <row r="1835">
      <c r="A1835" s="7" t="inlineStr">
        <is>
          <t>ORD-05160</t>
        </is>
      </c>
      <c r="B1835" s="8" t="n">
        <v>45328</v>
      </c>
      <c r="C1835" s="9" t="n">
        <v>45323</v>
      </c>
      <c r="D1835" s="7" t="n">
        <v>2024</v>
      </c>
      <c r="E1835" s="7" t="inlineStr">
        <is>
          <t>West</t>
        </is>
      </c>
      <c r="F1835" s="7" t="inlineStr">
        <is>
          <t>Technology</t>
        </is>
      </c>
      <c r="G1835" s="7" t="inlineStr">
        <is>
          <t>Keyboard</t>
        </is>
      </c>
      <c r="H1835" s="7" t="inlineStr">
        <is>
          <t>Corporate</t>
        </is>
      </c>
      <c r="I1835" s="7" t="n">
        <v>3</v>
      </c>
      <c r="J1835" s="10" t="n">
        <v>44.4</v>
      </c>
      <c r="K1835" s="11" t="n">
        <v>0</v>
      </c>
      <c r="L1835" s="10">
        <f>I1835*J1835*(1-K1835)</f>
        <v/>
      </c>
      <c r="M1835" s="10" t="n">
        <v>74.25</v>
      </c>
      <c r="N1835" s="10">
        <f>L1835-M1835</f>
        <v/>
      </c>
    </row>
    <row r="1836">
      <c r="A1836" s="7" t="inlineStr">
        <is>
          <t>ORD-01026</t>
        </is>
      </c>
      <c r="B1836" s="8" t="n">
        <v>45329</v>
      </c>
      <c r="C1836" s="9" t="n">
        <v>45323</v>
      </c>
      <c r="D1836" s="7" t="n">
        <v>2024</v>
      </c>
      <c r="E1836" s="7" t="inlineStr">
        <is>
          <t>East</t>
        </is>
      </c>
      <c r="F1836" s="7" t="inlineStr">
        <is>
          <t>Office Supplies</t>
        </is>
      </c>
      <c r="G1836" s="7" t="inlineStr">
        <is>
          <t>Paper</t>
        </is>
      </c>
      <c r="H1836" s="7" t="inlineStr">
        <is>
          <t>Consumer</t>
        </is>
      </c>
      <c r="I1836" s="7" t="n">
        <v>14</v>
      </c>
      <c r="J1836" s="10" t="n">
        <v>24.4</v>
      </c>
      <c r="K1836" s="11" t="n">
        <v>0.05</v>
      </c>
      <c r="L1836" s="10">
        <f>I1836*J1836*(1-K1836)</f>
        <v/>
      </c>
      <c r="M1836" s="10" t="n">
        <v>175</v>
      </c>
      <c r="N1836" s="10">
        <f>L1836-M1836</f>
        <v/>
      </c>
    </row>
    <row r="1837">
      <c r="A1837" s="7" t="inlineStr">
        <is>
          <t>ORD-05924</t>
        </is>
      </c>
      <c r="B1837" s="8" t="n">
        <v>45329</v>
      </c>
      <c r="C1837" s="9" t="n">
        <v>45323</v>
      </c>
      <c r="D1837" s="7" t="n">
        <v>2024</v>
      </c>
      <c r="E1837" s="7" t="inlineStr">
        <is>
          <t>South</t>
        </is>
      </c>
      <c r="F1837" s="7" t="inlineStr">
        <is>
          <t>Furniture</t>
        </is>
      </c>
      <c r="G1837" s="7" t="inlineStr">
        <is>
          <t>Sofa</t>
        </is>
      </c>
      <c r="H1837" s="7" t="inlineStr">
        <is>
          <t>Consumer</t>
        </is>
      </c>
      <c r="I1837" s="7" t="n">
        <v>2</v>
      </c>
      <c r="J1837" s="10" t="n">
        <v>703.9400000000001</v>
      </c>
      <c r="K1837" s="11" t="n">
        <v>0.3</v>
      </c>
      <c r="L1837" s="10">
        <f>I1837*J1837*(1-K1837)</f>
        <v/>
      </c>
      <c r="M1837" s="10" t="n">
        <v>1232</v>
      </c>
      <c r="N1837" s="10">
        <f>L1837-M1837</f>
        <v/>
      </c>
    </row>
    <row r="1838">
      <c r="A1838" s="7" t="inlineStr">
        <is>
          <t>ORD-05557</t>
        </is>
      </c>
      <c r="B1838" s="8" t="n">
        <v>45329</v>
      </c>
      <c r="C1838" s="9" t="n">
        <v>45323</v>
      </c>
      <c r="D1838" s="7" t="n">
        <v>2024</v>
      </c>
      <c r="E1838" s="7" t="inlineStr">
        <is>
          <t>West</t>
        </is>
      </c>
      <c r="F1838" s="7" t="inlineStr">
        <is>
          <t>Office Supplies</t>
        </is>
      </c>
      <c r="G1838" s="7" t="inlineStr">
        <is>
          <t>Binder</t>
        </is>
      </c>
      <c r="H1838" s="7" t="inlineStr">
        <is>
          <t>Home Office</t>
        </is>
      </c>
      <c r="I1838" s="7" t="n">
        <v>13</v>
      </c>
      <c r="J1838" s="10" t="n">
        <v>8.380000000000001</v>
      </c>
      <c r="K1838" s="11" t="n">
        <v>0</v>
      </c>
      <c r="L1838" s="10">
        <f>I1838*J1838*(1-K1838)</f>
        <v/>
      </c>
      <c r="M1838" s="10" t="n">
        <v>41.6</v>
      </c>
      <c r="N1838" s="10">
        <f>L1838-M1838</f>
        <v/>
      </c>
    </row>
    <row r="1839">
      <c r="A1839" s="7" t="inlineStr">
        <is>
          <t>ORD-05282</t>
        </is>
      </c>
      <c r="B1839" s="8" t="n">
        <v>45329</v>
      </c>
      <c r="C1839" s="9" t="n">
        <v>45323</v>
      </c>
      <c r="D1839" s="7" t="n">
        <v>2024</v>
      </c>
      <c r="E1839" s="7" t="inlineStr">
        <is>
          <t>South</t>
        </is>
      </c>
      <c r="F1839" s="7" t="inlineStr">
        <is>
          <t>Furniture</t>
        </is>
      </c>
      <c r="G1839" s="7" t="inlineStr">
        <is>
          <t>Sofa</t>
        </is>
      </c>
      <c r="H1839" s="7" t="inlineStr">
        <is>
          <t>Home Office</t>
        </is>
      </c>
      <c r="I1839" s="7" t="n">
        <v>3</v>
      </c>
      <c r="J1839" s="10" t="n">
        <v>665.35</v>
      </c>
      <c r="K1839" s="11" t="n">
        <v>0.3</v>
      </c>
      <c r="L1839" s="10">
        <f>I1839*J1839*(1-K1839)</f>
        <v/>
      </c>
      <c r="M1839" s="10" t="n">
        <v>1848</v>
      </c>
      <c r="N1839" s="10">
        <f>L1839-M1839</f>
        <v/>
      </c>
    </row>
    <row r="1840">
      <c r="A1840" s="7" t="inlineStr">
        <is>
          <t>ORD-01553</t>
        </is>
      </c>
      <c r="B1840" s="8" t="n">
        <v>45330</v>
      </c>
      <c r="C1840" s="9" t="n">
        <v>45323</v>
      </c>
      <c r="D1840" s="7" t="n">
        <v>2024</v>
      </c>
      <c r="E1840" s="7" t="inlineStr">
        <is>
          <t>West</t>
        </is>
      </c>
      <c r="F1840" s="7" t="inlineStr">
        <is>
          <t>Office Supplies</t>
        </is>
      </c>
      <c r="G1840" s="7" t="inlineStr">
        <is>
          <t>Paper</t>
        </is>
      </c>
      <c r="H1840" s="7" t="inlineStr">
        <is>
          <t>Consumer</t>
        </is>
      </c>
      <c r="I1840" s="7" t="n">
        <v>7</v>
      </c>
      <c r="J1840" s="10" t="n">
        <v>25.25</v>
      </c>
      <c r="K1840" s="11" t="n">
        <v>0.1</v>
      </c>
      <c r="L1840" s="10">
        <f>I1840*J1840*(1-K1840)</f>
        <v/>
      </c>
      <c r="M1840" s="10" t="n">
        <v>87.5</v>
      </c>
      <c r="N1840" s="10">
        <f>L1840-M1840</f>
        <v/>
      </c>
    </row>
    <row r="1841">
      <c r="A1841" s="7" t="inlineStr">
        <is>
          <t>ORD-03141</t>
        </is>
      </c>
      <c r="B1841" s="8" t="n">
        <v>45330</v>
      </c>
      <c r="C1841" s="9" t="n">
        <v>45323</v>
      </c>
      <c r="D1841" s="7" t="n">
        <v>2024</v>
      </c>
      <c r="E1841" s="7" t="inlineStr">
        <is>
          <t>East</t>
        </is>
      </c>
      <c r="F1841" s="7" t="inlineStr">
        <is>
          <t>Office Supplies</t>
        </is>
      </c>
      <c r="G1841" s="7" t="inlineStr">
        <is>
          <t>Paper</t>
        </is>
      </c>
      <c r="H1841" s="7" t="inlineStr">
        <is>
          <t>Corporate</t>
        </is>
      </c>
      <c r="I1841" s="7" t="n">
        <v>14</v>
      </c>
      <c r="J1841" s="10" t="n">
        <v>24.97</v>
      </c>
      <c r="K1841" s="11" t="n">
        <v>0.05</v>
      </c>
      <c r="L1841" s="10">
        <f>I1841*J1841*(1-K1841)</f>
        <v/>
      </c>
      <c r="M1841" s="10" t="n">
        <v>175</v>
      </c>
      <c r="N1841" s="10">
        <f>L1841-M1841</f>
        <v/>
      </c>
    </row>
    <row r="1842">
      <c r="A1842" s="7" t="inlineStr">
        <is>
          <t>ORD-04387</t>
        </is>
      </c>
      <c r="B1842" s="8" t="n">
        <v>45330</v>
      </c>
      <c r="C1842" s="9" t="n">
        <v>45323</v>
      </c>
      <c r="D1842" s="7" t="n">
        <v>2024</v>
      </c>
      <c r="E1842" s="7" t="inlineStr">
        <is>
          <t>South</t>
        </is>
      </c>
      <c r="F1842" s="7" t="inlineStr">
        <is>
          <t>Office Supplies</t>
        </is>
      </c>
      <c r="G1842" s="7" t="inlineStr">
        <is>
          <t>Paper</t>
        </is>
      </c>
      <c r="H1842" s="7" t="inlineStr">
        <is>
          <t>Consumer</t>
        </is>
      </c>
      <c r="I1842" s="7" t="n">
        <v>6</v>
      </c>
      <c r="J1842" s="10" t="n">
        <v>25.98</v>
      </c>
      <c r="K1842" s="11" t="n">
        <v>0.2</v>
      </c>
      <c r="L1842" s="10">
        <f>I1842*J1842*(1-K1842)</f>
        <v/>
      </c>
      <c r="M1842" s="10" t="n">
        <v>75</v>
      </c>
      <c r="N1842" s="10">
        <f>L1842-M1842</f>
        <v/>
      </c>
    </row>
    <row r="1843">
      <c r="A1843" s="7" t="inlineStr">
        <is>
          <t>ORD-04571</t>
        </is>
      </c>
      <c r="B1843" s="8" t="n">
        <v>45330</v>
      </c>
      <c r="C1843" s="9" t="n">
        <v>45323</v>
      </c>
      <c r="D1843" s="7" t="n">
        <v>2024</v>
      </c>
      <c r="E1843" s="7" t="inlineStr">
        <is>
          <t>East</t>
        </is>
      </c>
      <c r="F1843" s="7" t="inlineStr">
        <is>
          <t>Office Supplies</t>
        </is>
      </c>
      <c r="G1843" s="7" t="inlineStr">
        <is>
          <t>Paper</t>
        </is>
      </c>
      <c r="H1843" s="7" t="inlineStr">
        <is>
          <t>Corporate</t>
        </is>
      </c>
      <c r="I1843" s="7" t="n">
        <v>8</v>
      </c>
      <c r="J1843" s="10" t="n">
        <v>24.13</v>
      </c>
      <c r="K1843" s="11" t="n">
        <v>0.05</v>
      </c>
      <c r="L1843" s="10">
        <f>I1843*J1843*(1-K1843)</f>
        <v/>
      </c>
      <c r="M1843" s="10" t="n">
        <v>100</v>
      </c>
      <c r="N1843" s="10">
        <f>L1843-M1843</f>
        <v/>
      </c>
    </row>
    <row r="1844">
      <c r="A1844" s="7" t="inlineStr">
        <is>
          <t>ORD-01871</t>
        </is>
      </c>
      <c r="B1844" s="8" t="n">
        <v>45330</v>
      </c>
      <c r="C1844" s="9" t="n">
        <v>45323</v>
      </c>
      <c r="D1844" s="7" t="n">
        <v>2024</v>
      </c>
      <c r="E1844" s="7" t="inlineStr">
        <is>
          <t>West</t>
        </is>
      </c>
      <c r="F1844" s="7" t="inlineStr">
        <is>
          <t>Furniture</t>
        </is>
      </c>
      <c r="G1844" s="7" t="inlineStr">
        <is>
          <t>Bookcase</t>
        </is>
      </c>
      <c r="H1844" s="7" t="inlineStr">
        <is>
          <t>Consumer</t>
        </is>
      </c>
      <c r="I1844" s="7" t="n">
        <v>3</v>
      </c>
      <c r="J1844" s="10" t="n">
        <v>187.06</v>
      </c>
      <c r="K1844" s="11" t="n">
        <v>0.3</v>
      </c>
      <c r="L1844" s="10">
        <f>I1844*J1844*(1-K1844)</f>
        <v/>
      </c>
      <c r="M1844" s="10" t="n">
        <v>432</v>
      </c>
      <c r="N1844" s="10">
        <f>L1844-M1844</f>
        <v/>
      </c>
    </row>
    <row r="1845">
      <c r="A1845" s="7" t="inlineStr">
        <is>
          <t>ORD-05630</t>
        </is>
      </c>
      <c r="B1845" s="8" t="n">
        <v>45331</v>
      </c>
      <c r="C1845" s="9" t="n">
        <v>45323</v>
      </c>
      <c r="D1845" s="7" t="n">
        <v>2024</v>
      </c>
      <c r="E1845" s="7" t="inlineStr">
        <is>
          <t>South</t>
        </is>
      </c>
      <c r="F1845" s="7" t="inlineStr">
        <is>
          <t>Technology</t>
        </is>
      </c>
      <c r="G1845" s="7" t="inlineStr">
        <is>
          <t>Headphones</t>
        </is>
      </c>
      <c r="H1845" s="7" t="inlineStr">
        <is>
          <t>Corporate</t>
        </is>
      </c>
      <c r="I1845" s="7" t="n">
        <v>3</v>
      </c>
      <c r="J1845" s="10" t="n">
        <v>120.9</v>
      </c>
      <c r="K1845" s="11" t="n">
        <v>0.3</v>
      </c>
      <c r="L1845" s="10">
        <f>I1845*J1845*(1-K1845)</f>
        <v/>
      </c>
      <c r="M1845" s="10" t="n">
        <v>216</v>
      </c>
      <c r="N1845" s="10">
        <f>L1845-M1845</f>
        <v/>
      </c>
    </row>
    <row r="1846">
      <c r="A1846" s="7" t="inlineStr">
        <is>
          <t>ORD-01354</t>
        </is>
      </c>
      <c r="B1846" s="8" t="n">
        <v>45331</v>
      </c>
      <c r="C1846" s="9" t="n">
        <v>45323</v>
      </c>
      <c r="D1846" s="7" t="n">
        <v>2024</v>
      </c>
      <c r="E1846" s="7" t="inlineStr">
        <is>
          <t>East</t>
        </is>
      </c>
      <c r="F1846" s="7" t="inlineStr">
        <is>
          <t>Technology</t>
        </is>
      </c>
      <c r="G1846" s="7" t="inlineStr">
        <is>
          <t>Headphones</t>
        </is>
      </c>
      <c r="H1846" s="7" t="inlineStr">
        <is>
          <t>Corporate</t>
        </is>
      </c>
      <c r="I1846" s="7" t="n">
        <v>1</v>
      </c>
      <c r="J1846" s="10" t="n">
        <v>119.54</v>
      </c>
      <c r="K1846" s="11" t="n">
        <v>0.1</v>
      </c>
      <c r="L1846" s="10">
        <f>I1846*J1846*(1-K1846)</f>
        <v/>
      </c>
      <c r="M1846" s="10" t="n">
        <v>72</v>
      </c>
      <c r="N1846" s="10">
        <f>L1846-M1846</f>
        <v/>
      </c>
    </row>
    <row r="1847">
      <c r="A1847" s="7" t="inlineStr">
        <is>
          <t>ORD-04612</t>
        </is>
      </c>
      <c r="B1847" s="8" t="n">
        <v>45331</v>
      </c>
      <c r="C1847" s="9" t="n">
        <v>45323</v>
      </c>
      <c r="D1847" s="7" t="n">
        <v>2024</v>
      </c>
      <c r="E1847" s="7" t="inlineStr">
        <is>
          <t>West</t>
        </is>
      </c>
      <c r="F1847" s="7" t="inlineStr">
        <is>
          <t>Technology</t>
        </is>
      </c>
      <c r="G1847" s="7" t="inlineStr">
        <is>
          <t>Smartphone</t>
        </is>
      </c>
      <c r="H1847" s="7" t="inlineStr">
        <is>
          <t>Consumer</t>
        </is>
      </c>
      <c r="I1847" s="7" t="n">
        <v>2</v>
      </c>
      <c r="J1847" s="10" t="n">
        <v>576.75</v>
      </c>
      <c r="K1847" s="11" t="n">
        <v>0.1</v>
      </c>
      <c r="L1847" s="10">
        <f>I1847*J1847*(1-K1847)</f>
        <v/>
      </c>
      <c r="M1847" s="10" t="n">
        <v>900</v>
      </c>
      <c r="N1847" s="10">
        <f>L1847-M1847</f>
        <v/>
      </c>
    </row>
    <row r="1848">
      <c r="A1848" s="7" t="inlineStr">
        <is>
          <t>ORD-00068</t>
        </is>
      </c>
      <c r="B1848" s="8" t="n">
        <v>45331</v>
      </c>
      <c r="C1848" s="9" t="n">
        <v>45323</v>
      </c>
      <c r="D1848" s="7" t="n">
        <v>2024</v>
      </c>
      <c r="E1848" s="7" t="inlineStr">
        <is>
          <t>West</t>
        </is>
      </c>
      <c r="F1848" s="7" t="inlineStr">
        <is>
          <t>Office Supplies</t>
        </is>
      </c>
      <c r="G1848" s="7" t="inlineStr">
        <is>
          <t>Paper</t>
        </is>
      </c>
      <c r="H1848" s="7" t="inlineStr">
        <is>
          <t>Home Office</t>
        </is>
      </c>
      <c r="I1848" s="7" t="n">
        <v>9</v>
      </c>
      <c r="J1848" s="10" t="n">
        <v>24.12</v>
      </c>
      <c r="K1848" s="11" t="n">
        <v>0.2</v>
      </c>
      <c r="L1848" s="10">
        <f>I1848*J1848*(1-K1848)</f>
        <v/>
      </c>
      <c r="M1848" s="10" t="n">
        <v>112.5</v>
      </c>
      <c r="N1848" s="10">
        <f>L1848-M1848</f>
        <v/>
      </c>
    </row>
    <row r="1849">
      <c r="A1849" s="7" t="inlineStr">
        <is>
          <t>ORD-03540</t>
        </is>
      </c>
      <c r="B1849" s="8" t="n">
        <v>45331</v>
      </c>
      <c r="C1849" s="9" t="n">
        <v>45323</v>
      </c>
      <c r="D1849" s="7" t="n">
        <v>2024</v>
      </c>
      <c r="E1849" s="7" t="inlineStr">
        <is>
          <t>West</t>
        </is>
      </c>
      <c r="F1849" s="7" t="inlineStr">
        <is>
          <t>Technology</t>
        </is>
      </c>
      <c r="G1849" s="7" t="inlineStr">
        <is>
          <t>Laptop</t>
        </is>
      </c>
      <c r="H1849" s="7" t="inlineStr">
        <is>
          <t>Home Office</t>
        </is>
      </c>
      <c r="I1849" s="7" t="n">
        <v>1</v>
      </c>
      <c r="J1849" s="10" t="n">
        <v>888.05</v>
      </c>
      <c r="K1849" s="11" t="n">
        <v>0.3</v>
      </c>
      <c r="L1849" s="10">
        <f>I1849*J1849*(1-K1849)</f>
        <v/>
      </c>
      <c r="M1849" s="10" t="n">
        <v>702</v>
      </c>
      <c r="N1849" s="10">
        <f>L1849-M1849</f>
        <v/>
      </c>
    </row>
    <row r="1850">
      <c r="A1850" s="7" t="inlineStr">
        <is>
          <t>ORD-00919</t>
        </is>
      </c>
      <c r="B1850" s="8" t="n">
        <v>45332</v>
      </c>
      <c r="C1850" s="9" t="n">
        <v>45323</v>
      </c>
      <c r="D1850" s="7" t="n">
        <v>2024</v>
      </c>
      <c r="E1850" s="7" t="inlineStr">
        <is>
          <t>West</t>
        </is>
      </c>
      <c r="F1850" s="7" t="inlineStr">
        <is>
          <t>Technology</t>
        </is>
      </c>
      <c r="G1850" s="7" t="inlineStr">
        <is>
          <t>Laptop</t>
        </is>
      </c>
      <c r="H1850" s="7" t="inlineStr">
        <is>
          <t>Consumer</t>
        </is>
      </c>
      <c r="I1850" s="7" t="n">
        <v>3</v>
      </c>
      <c r="J1850" s="10" t="n">
        <v>926.01</v>
      </c>
      <c r="K1850" s="11" t="n">
        <v>0.05</v>
      </c>
      <c r="L1850" s="10">
        <f>I1850*J1850*(1-K1850)</f>
        <v/>
      </c>
      <c r="M1850" s="10" t="n">
        <v>2106</v>
      </c>
      <c r="N1850" s="10">
        <f>L1850-M1850</f>
        <v/>
      </c>
    </row>
    <row r="1851">
      <c r="A1851" s="7" t="inlineStr">
        <is>
          <t>ORD-00476</t>
        </is>
      </c>
      <c r="B1851" s="8" t="n">
        <v>45332</v>
      </c>
      <c r="C1851" s="9" t="n">
        <v>45323</v>
      </c>
      <c r="D1851" s="7" t="n">
        <v>2024</v>
      </c>
      <c r="E1851" s="7" t="inlineStr">
        <is>
          <t>West</t>
        </is>
      </c>
      <c r="F1851" s="7" t="inlineStr">
        <is>
          <t>Technology</t>
        </is>
      </c>
      <c r="G1851" s="7" t="inlineStr">
        <is>
          <t>Keyboard</t>
        </is>
      </c>
      <c r="H1851" s="7" t="inlineStr">
        <is>
          <t>Corporate</t>
        </is>
      </c>
      <c r="I1851" s="7" t="n">
        <v>3</v>
      </c>
      <c r="J1851" s="10" t="n">
        <v>44.1</v>
      </c>
      <c r="K1851" s="11" t="n">
        <v>0.1</v>
      </c>
      <c r="L1851" s="10">
        <f>I1851*J1851*(1-K1851)</f>
        <v/>
      </c>
      <c r="M1851" s="10" t="n">
        <v>74.25</v>
      </c>
      <c r="N1851" s="10">
        <f>L1851-M1851</f>
        <v/>
      </c>
    </row>
    <row r="1852">
      <c r="A1852" s="7" t="inlineStr">
        <is>
          <t>ORD-03916</t>
        </is>
      </c>
      <c r="B1852" s="8" t="n">
        <v>45333</v>
      </c>
      <c r="C1852" s="9" t="n">
        <v>45323</v>
      </c>
      <c r="D1852" s="7" t="n">
        <v>2024</v>
      </c>
      <c r="E1852" s="7" t="inlineStr">
        <is>
          <t>West</t>
        </is>
      </c>
      <c r="F1852" s="7" t="inlineStr">
        <is>
          <t>Technology</t>
        </is>
      </c>
      <c r="G1852" s="7" t="inlineStr">
        <is>
          <t>Laptop</t>
        </is>
      </c>
      <c r="H1852" s="7" t="inlineStr">
        <is>
          <t>Consumer</t>
        </is>
      </c>
      <c r="I1852" s="7" t="n">
        <v>3</v>
      </c>
      <c r="J1852" s="10" t="n">
        <v>892.73</v>
      </c>
      <c r="K1852" s="11" t="n">
        <v>0.2</v>
      </c>
      <c r="L1852" s="10">
        <f>I1852*J1852*(1-K1852)</f>
        <v/>
      </c>
      <c r="M1852" s="10" t="n">
        <v>2106</v>
      </c>
      <c r="N1852" s="10">
        <f>L1852-M1852</f>
        <v/>
      </c>
    </row>
    <row r="1853">
      <c r="A1853" s="7" t="inlineStr">
        <is>
          <t>ORD-02373</t>
        </is>
      </c>
      <c r="B1853" s="8" t="n">
        <v>45333</v>
      </c>
      <c r="C1853" s="9" t="n">
        <v>45323</v>
      </c>
      <c r="D1853" s="7" t="n">
        <v>2024</v>
      </c>
      <c r="E1853" s="7" t="inlineStr">
        <is>
          <t>West</t>
        </is>
      </c>
      <c r="F1853" s="7" t="inlineStr">
        <is>
          <t>Technology</t>
        </is>
      </c>
      <c r="G1853" s="7" t="inlineStr">
        <is>
          <t>Keyboard</t>
        </is>
      </c>
      <c r="H1853" s="7" t="inlineStr">
        <is>
          <t>Home Office</t>
        </is>
      </c>
      <c r="I1853" s="7" t="n">
        <v>1</v>
      </c>
      <c r="J1853" s="10" t="n">
        <v>45.78</v>
      </c>
      <c r="K1853" s="11" t="n">
        <v>0.05</v>
      </c>
      <c r="L1853" s="10">
        <f>I1853*J1853*(1-K1853)</f>
        <v/>
      </c>
      <c r="M1853" s="10" t="n">
        <v>24.75</v>
      </c>
      <c r="N1853" s="10">
        <f>L1853-M1853</f>
        <v/>
      </c>
    </row>
    <row r="1854">
      <c r="A1854" s="7" t="inlineStr">
        <is>
          <t>ORD-04421</t>
        </is>
      </c>
      <c r="B1854" s="8" t="n">
        <v>45333</v>
      </c>
      <c r="C1854" s="9" t="n">
        <v>45323</v>
      </c>
      <c r="D1854" s="7" t="n">
        <v>2024</v>
      </c>
      <c r="E1854" s="7" t="inlineStr">
        <is>
          <t>West</t>
        </is>
      </c>
      <c r="F1854" s="7" t="inlineStr">
        <is>
          <t>Office Supplies</t>
        </is>
      </c>
      <c r="G1854" s="7" t="inlineStr">
        <is>
          <t>Binder</t>
        </is>
      </c>
      <c r="H1854" s="7" t="inlineStr">
        <is>
          <t>Home Office</t>
        </is>
      </c>
      <c r="I1854" s="7" t="n">
        <v>14</v>
      </c>
      <c r="J1854" s="10" t="n">
        <v>7.97</v>
      </c>
      <c r="K1854" s="11" t="n">
        <v>0</v>
      </c>
      <c r="L1854" s="10">
        <f>I1854*J1854*(1-K1854)</f>
        <v/>
      </c>
      <c r="M1854" s="10" t="n">
        <v>44.8</v>
      </c>
      <c r="N1854" s="10">
        <f>L1854-M1854</f>
        <v/>
      </c>
    </row>
    <row r="1855">
      <c r="A1855" s="7" t="inlineStr">
        <is>
          <t>ORD-00113</t>
        </is>
      </c>
      <c r="B1855" s="8" t="n">
        <v>45334</v>
      </c>
      <c r="C1855" s="9" t="n">
        <v>45323</v>
      </c>
      <c r="D1855" s="7" t="n">
        <v>2024</v>
      </c>
      <c r="E1855" s="7" t="inlineStr">
        <is>
          <t>West</t>
        </is>
      </c>
      <c r="F1855" s="7" t="inlineStr">
        <is>
          <t>Office Supplies</t>
        </is>
      </c>
      <c r="G1855" s="7" t="inlineStr">
        <is>
          <t>Binder</t>
        </is>
      </c>
      <c r="H1855" s="7" t="inlineStr">
        <is>
          <t>Corporate</t>
        </is>
      </c>
      <c r="I1855" s="7" t="n">
        <v>6</v>
      </c>
      <c r="J1855" s="10" t="n">
        <v>8.119999999999999</v>
      </c>
      <c r="K1855" s="11" t="n">
        <v>0</v>
      </c>
      <c r="L1855" s="10">
        <f>I1855*J1855*(1-K1855)</f>
        <v/>
      </c>
      <c r="M1855" s="10" t="n">
        <v>19.2</v>
      </c>
      <c r="N1855" s="10">
        <f>L1855-M1855</f>
        <v/>
      </c>
    </row>
    <row r="1856">
      <c r="A1856" s="7" t="inlineStr">
        <is>
          <t>ORD-04104</t>
        </is>
      </c>
      <c r="B1856" s="8" t="n">
        <v>45334</v>
      </c>
      <c r="C1856" s="9" t="n">
        <v>45323</v>
      </c>
      <c r="D1856" s="7" t="n">
        <v>2024</v>
      </c>
      <c r="E1856" s="7" t="inlineStr">
        <is>
          <t>South</t>
        </is>
      </c>
      <c r="F1856" s="7" t="inlineStr">
        <is>
          <t>Office Supplies</t>
        </is>
      </c>
      <c r="G1856" s="7" t="inlineStr">
        <is>
          <t>Binder</t>
        </is>
      </c>
      <c r="H1856" s="7" t="inlineStr">
        <is>
          <t>Consumer</t>
        </is>
      </c>
      <c r="I1856" s="7" t="n">
        <v>8</v>
      </c>
      <c r="J1856" s="10" t="n">
        <v>8.08</v>
      </c>
      <c r="K1856" s="11" t="n">
        <v>0</v>
      </c>
      <c r="L1856" s="10">
        <f>I1856*J1856*(1-K1856)</f>
        <v/>
      </c>
      <c r="M1856" s="10" t="n">
        <v>25.6</v>
      </c>
      <c r="N1856" s="10">
        <f>L1856-M1856</f>
        <v/>
      </c>
    </row>
    <row r="1857">
      <c r="A1857" s="7" t="inlineStr">
        <is>
          <t>ORD-01671</t>
        </is>
      </c>
      <c r="B1857" s="8" t="n">
        <v>45334</v>
      </c>
      <c r="C1857" s="9" t="n">
        <v>45323</v>
      </c>
      <c r="D1857" s="7" t="n">
        <v>2024</v>
      </c>
      <c r="E1857" s="7" t="inlineStr">
        <is>
          <t>North</t>
        </is>
      </c>
      <c r="F1857" s="7" t="inlineStr">
        <is>
          <t>Technology</t>
        </is>
      </c>
      <c r="G1857" s="7" t="inlineStr">
        <is>
          <t>Monitor</t>
        </is>
      </c>
      <c r="H1857" s="7" t="inlineStr">
        <is>
          <t>Home Office</t>
        </is>
      </c>
      <c r="I1857" s="7" t="n">
        <v>2</v>
      </c>
      <c r="J1857" s="10" t="n">
        <v>248.18</v>
      </c>
      <c r="K1857" s="11" t="n">
        <v>0</v>
      </c>
      <c r="L1857" s="10">
        <f>I1857*J1857*(1-K1857)</f>
        <v/>
      </c>
      <c r="M1857" s="10" t="n">
        <v>360</v>
      </c>
      <c r="N1857" s="10">
        <f>L1857-M1857</f>
        <v/>
      </c>
    </row>
    <row r="1858">
      <c r="A1858" s="7" t="inlineStr">
        <is>
          <t>ORD-05243</t>
        </is>
      </c>
      <c r="B1858" s="8" t="n">
        <v>45334</v>
      </c>
      <c r="C1858" s="9" t="n">
        <v>45323</v>
      </c>
      <c r="D1858" s="7" t="n">
        <v>2024</v>
      </c>
      <c r="E1858" s="7" t="inlineStr">
        <is>
          <t>East</t>
        </is>
      </c>
      <c r="F1858" s="7" t="inlineStr">
        <is>
          <t>Office Supplies</t>
        </is>
      </c>
      <c r="G1858" s="7" t="inlineStr">
        <is>
          <t>Pens</t>
        </is>
      </c>
      <c r="H1858" s="7" t="inlineStr">
        <is>
          <t>Consumer</t>
        </is>
      </c>
      <c r="I1858" s="7" t="n">
        <v>15</v>
      </c>
      <c r="J1858" s="10" t="n">
        <v>12.28</v>
      </c>
      <c r="K1858" s="11" t="n">
        <v>0.05</v>
      </c>
      <c r="L1858" s="10">
        <f>I1858*J1858*(1-K1858)</f>
        <v/>
      </c>
      <c r="M1858" s="10" t="n">
        <v>81</v>
      </c>
      <c r="N1858" s="10">
        <f>L1858-M1858</f>
        <v/>
      </c>
    </row>
    <row r="1859">
      <c r="A1859" s="7" t="inlineStr">
        <is>
          <t>ORD-05527</t>
        </is>
      </c>
      <c r="B1859" s="8" t="n">
        <v>45335</v>
      </c>
      <c r="C1859" s="9" t="n">
        <v>45323</v>
      </c>
      <c r="D1859" s="7" t="n">
        <v>2024</v>
      </c>
      <c r="E1859" s="7" t="inlineStr">
        <is>
          <t>West</t>
        </is>
      </c>
      <c r="F1859" s="7" t="inlineStr">
        <is>
          <t>Office Supplies</t>
        </is>
      </c>
      <c r="G1859" s="7" t="inlineStr">
        <is>
          <t>Printer Ink</t>
        </is>
      </c>
      <c r="H1859" s="7" t="inlineStr">
        <is>
          <t>Home Office</t>
        </is>
      </c>
      <c r="I1859" s="7" t="n">
        <v>3</v>
      </c>
      <c r="J1859" s="10" t="n">
        <v>57.12</v>
      </c>
      <c r="K1859" s="11" t="n">
        <v>0</v>
      </c>
      <c r="L1859" s="10">
        <f>I1859*J1859*(1-K1859)</f>
        <v/>
      </c>
      <c r="M1859" s="10" t="n">
        <v>108</v>
      </c>
      <c r="N1859" s="10">
        <f>L1859-M1859</f>
        <v/>
      </c>
    </row>
    <row r="1860">
      <c r="A1860" s="7" t="inlineStr">
        <is>
          <t>ORD-05498</t>
        </is>
      </c>
      <c r="B1860" s="8" t="n">
        <v>45335</v>
      </c>
      <c r="C1860" s="9" t="n">
        <v>45323</v>
      </c>
      <c r="D1860" s="7" t="n">
        <v>2024</v>
      </c>
      <c r="E1860" s="7" t="inlineStr">
        <is>
          <t>North</t>
        </is>
      </c>
      <c r="F1860" s="7" t="inlineStr">
        <is>
          <t>Furniture</t>
        </is>
      </c>
      <c r="G1860" s="7" t="inlineStr">
        <is>
          <t>Office Chair</t>
        </is>
      </c>
      <c r="H1860" s="7" t="inlineStr">
        <is>
          <t>Corporate</t>
        </is>
      </c>
      <c r="I1860" s="7" t="n">
        <v>1</v>
      </c>
      <c r="J1860" s="10" t="n">
        <v>225.36</v>
      </c>
      <c r="K1860" s="11" t="n">
        <v>0</v>
      </c>
      <c r="L1860" s="10">
        <f>I1860*J1860*(1-K1860)</f>
        <v/>
      </c>
      <c r="M1860" s="10" t="n">
        <v>180.4</v>
      </c>
      <c r="N1860" s="10">
        <f>L1860-M1860</f>
        <v/>
      </c>
    </row>
    <row r="1861">
      <c r="A1861" s="7" t="inlineStr">
        <is>
          <t>ORD-03570</t>
        </is>
      </c>
      <c r="B1861" s="8" t="n">
        <v>45335</v>
      </c>
      <c r="C1861" s="9" t="n">
        <v>45323</v>
      </c>
      <c r="D1861" s="7" t="n">
        <v>2024</v>
      </c>
      <c r="E1861" s="7" t="inlineStr">
        <is>
          <t>South</t>
        </is>
      </c>
      <c r="F1861" s="7" t="inlineStr">
        <is>
          <t>Office Supplies</t>
        </is>
      </c>
      <c r="G1861" s="7" t="inlineStr">
        <is>
          <t>Printer Ink</t>
        </is>
      </c>
      <c r="H1861" s="7" t="inlineStr">
        <is>
          <t>Consumer</t>
        </is>
      </c>
      <c r="I1861" s="7" t="n">
        <v>12</v>
      </c>
      <c r="J1861" s="10" t="n">
        <v>60.99</v>
      </c>
      <c r="K1861" s="11" t="n">
        <v>0</v>
      </c>
      <c r="L1861" s="10">
        <f>I1861*J1861*(1-K1861)</f>
        <v/>
      </c>
      <c r="M1861" s="10" t="n">
        <v>432</v>
      </c>
      <c r="N1861" s="10">
        <f>L1861-M1861</f>
        <v/>
      </c>
    </row>
    <row r="1862">
      <c r="A1862" s="7" t="inlineStr">
        <is>
          <t>ORD-04672</t>
        </is>
      </c>
      <c r="B1862" s="8" t="n">
        <v>45335</v>
      </c>
      <c r="C1862" s="9" t="n">
        <v>45323</v>
      </c>
      <c r="D1862" s="7" t="n">
        <v>2024</v>
      </c>
      <c r="E1862" s="7" t="inlineStr">
        <is>
          <t>South</t>
        </is>
      </c>
      <c r="F1862" s="7" t="inlineStr">
        <is>
          <t>Furniture</t>
        </is>
      </c>
      <c r="G1862" s="7" t="inlineStr">
        <is>
          <t>Sofa</t>
        </is>
      </c>
      <c r="H1862" s="7" t="inlineStr">
        <is>
          <t>Home Office</t>
        </is>
      </c>
      <c r="I1862" s="7" t="n">
        <v>2</v>
      </c>
      <c r="J1862" s="10" t="n">
        <v>706.41</v>
      </c>
      <c r="K1862" s="11" t="n">
        <v>0.1</v>
      </c>
      <c r="L1862" s="10">
        <f>I1862*J1862*(1-K1862)</f>
        <v/>
      </c>
      <c r="M1862" s="10" t="n">
        <v>1232</v>
      </c>
      <c r="N1862" s="10">
        <f>L1862-M1862</f>
        <v/>
      </c>
    </row>
    <row r="1863">
      <c r="A1863" s="7" t="inlineStr">
        <is>
          <t>ORD-05289</t>
        </is>
      </c>
      <c r="B1863" s="8" t="n">
        <v>45336</v>
      </c>
      <c r="C1863" s="9" t="n">
        <v>45323</v>
      </c>
      <c r="D1863" s="7" t="n">
        <v>2024</v>
      </c>
      <c r="E1863" s="7" t="inlineStr">
        <is>
          <t>East</t>
        </is>
      </c>
      <c r="F1863" s="7" t="inlineStr">
        <is>
          <t>Technology</t>
        </is>
      </c>
      <c r="G1863" s="7" t="inlineStr">
        <is>
          <t>Keyboard</t>
        </is>
      </c>
      <c r="H1863" s="7" t="inlineStr">
        <is>
          <t>Consumer</t>
        </is>
      </c>
      <c r="I1863" s="7" t="n">
        <v>3</v>
      </c>
      <c r="J1863" s="10" t="n">
        <v>45.02</v>
      </c>
      <c r="K1863" s="11" t="n">
        <v>0</v>
      </c>
      <c r="L1863" s="10">
        <f>I1863*J1863*(1-K1863)</f>
        <v/>
      </c>
      <c r="M1863" s="10" t="n">
        <v>74.25</v>
      </c>
      <c r="N1863" s="10">
        <f>L1863-M1863</f>
        <v/>
      </c>
    </row>
    <row r="1864">
      <c r="A1864" s="7" t="inlineStr">
        <is>
          <t>ORD-05122</t>
        </is>
      </c>
      <c r="B1864" s="8" t="n">
        <v>45336</v>
      </c>
      <c r="C1864" s="9" t="n">
        <v>45323</v>
      </c>
      <c r="D1864" s="7" t="n">
        <v>2024</v>
      </c>
      <c r="E1864" s="7" t="inlineStr">
        <is>
          <t>East</t>
        </is>
      </c>
      <c r="F1864" s="7" t="inlineStr">
        <is>
          <t>Furniture</t>
        </is>
      </c>
      <c r="G1864" s="7" t="inlineStr">
        <is>
          <t>Desk</t>
        </is>
      </c>
      <c r="H1864" s="7" t="inlineStr">
        <is>
          <t>Consumer</t>
        </is>
      </c>
      <c r="I1864" s="7" t="n">
        <v>4</v>
      </c>
      <c r="J1864" s="10" t="n">
        <v>438.97</v>
      </c>
      <c r="K1864" s="11" t="n">
        <v>0.05</v>
      </c>
      <c r="L1864" s="10">
        <f>I1864*J1864*(1-K1864)</f>
        <v/>
      </c>
      <c r="M1864" s="10" t="n">
        <v>1530</v>
      </c>
      <c r="N1864" s="10">
        <f>L1864-M1864</f>
        <v/>
      </c>
    </row>
    <row r="1865">
      <c r="A1865" s="7" t="inlineStr">
        <is>
          <t>ORD-04985</t>
        </is>
      </c>
      <c r="B1865" s="8" t="n">
        <v>45336</v>
      </c>
      <c r="C1865" s="9" t="n">
        <v>45323</v>
      </c>
      <c r="D1865" s="7" t="n">
        <v>2024</v>
      </c>
      <c r="E1865" s="7" t="inlineStr">
        <is>
          <t>South</t>
        </is>
      </c>
      <c r="F1865" s="7" t="inlineStr">
        <is>
          <t>Office Supplies</t>
        </is>
      </c>
      <c r="G1865" s="7" t="inlineStr">
        <is>
          <t>Printer Ink</t>
        </is>
      </c>
      <c r="H1865" s="7" t="inlineStr">
        <is>
          <t>Corporate</t>
        </is>
      </c>
      <c r="I1865" s="7" t="n">
        <v>10</v>
      </c>
      <c r="J1865" s="10" t="n">
        <v>57.82</v>
      </c>
      <c r="K1865" s="11" t="n">
        <v>0.05</v>
      </c>
      <c r="L1865" s="10">
        <f>I1865*J1865*(1-K1865)</f>
        <v/>
      </c>
      <c r="M1865" s="10" t="n">
        <v>360</v>
      </c>
      <c r="N1865" s="10">
        <f>L1865-M1865</f>
        <v/>
      </c>
    </row>
    <row r="1866">
      <c r="A1866" s="7" t="inlineStr">
        <is>
          <t>ORD-03573</t>
        </is>
      </c>
      <c r="B1866" s="8" t="n">
        <v>45336</v>
      </c>
      <c r="C1866" s="9" t="n">
        <v>45323</v>
      </c>
      <c r="D1866" s="7" t="n">
        <v>2024</v>
      </c>
      <c r="E1866" s="7" t="inlineStr">
        <is>
          <t>East</t>
        </is>
      </c>
      <c r="F1866" s="7" t="inlineStr">
        <is>
          <t>Office Supplies</t>
        </is>
      </c>
      <c r="G1866" s="7" t="inlineStr">
        <is>
          <t>Pens</t>
        </is>
      </c>
      <c r="H1866" s="7" t="inlineStr">
        <is>
          <t>Consumer</t>
        </is>
      </c>
      <c r="I1866" s="7" t="n">
        <v>11</v>
      </c>
      <c r="J1866" s="10" t="n">
        <v>12.35</v>
      </c>
      <c r="K1866" s="11" t="n">
        <v>0</v>
      </c>
      <c r="L1866" s="10">
        <f>I1866*J1866*(1-K1866)</f>
        <v/>
      </c>
      <c r="M1866" s="10" t="n">
        <v>59.4</v>
      </c>
      <c r="N1866" s="10">
        <f>L1866-M1866</f>
        <v/>
      </c>
    </row>
    <row r="1867">
      <c r="A1867" s="7" t="inlineStr">
        <is>
          <t>ORD-00593</t>
        </is>
      </c>
      <c r="B1867" s="8" t="n">
        <v>45337</v>
      </c>
      <c r="C1867" s="9" t="n">
        <v>45323</v>
      </c>
      <c r="D1867" s="7" t="n">
        <v>2024</v>
      </c>
      <c r="E1867" s="7" t="inlineStr">
        <is>
          <t>East</t>
        </is>
      </c>
      <c r="F1867" s="7" t="inlineStr">
        <is>
          <t>Office Supplies</t>
        </is>
      </c>
      <c r="G1867" s="7" t="inlineStr">
        <is>
          <t>Paper</t>
        </is>
      </c>
      <c r="H1867" s="7" t="inlineStr">
        <is>
          <t>Corporate</t>
        </is>
      </c>
      <c r="I1867" s="7" t="n">
        <v>3</v>
      </c>
      <c r="J1867" s="10" t="n">
        <v>23.87</v>
      </c>
      <c r="K1867" s="11" t="n">
        <v>0</v>
      </c>
      <c r="L1867" s="10">
        <f>I1867*J1867*(1-K1867)</f>
        <v/>
      </c>
      <c r="M1867" s="10" t="n">
        <v>37.5</v>
      </c>
      <c r="N1867" s="10">
        <f>L1867-M1867</f>
        <v/>
      </c>
    </row>
    <row r="1868">
      <c r="A1868" s="7" t="inlineStr">
        <is>
          <t>ORD-01792</t>
        </is>
      </c>
      <c r="B1868" s="8" t="n">
        <v>45337</v>
      </c>
      <c r="C1868" s="9" t="n">
        <v>45323</v>
      </c>
      <c r="D1868" s="7" t="n">
        <v>2024</v>
      </c>
      <c r="E1868" s="7" t="inlineStr">
        <is>
          <t>East</t>
        </is>
      </c>
      <c r="F1868" s="7" t="inlineStr">
        <is>
          <t>Office Supplies</t>
        </is>
      </c>
      <c r="G1868" s="7" t="inlineStr">
        <is>
          <t>Binder</t>
        </is>
      </c>
      <c r="H1868" s="7" t="inlineStr">
        <is>
          <t>Home Office</t>
        </is>
      </c>
      <c r="I1868" s="7" t="n">
        <v>10</v>
      </c>
      <c r="J1868" s="10" t="n">
        <v>8.16</v>
      </c>
      <c r="K1868" s="11" t="n">
        <v>0.2</v>
      </c>
      <c r="L1868" s="10">
        <f>I1868*J1868*(1-K1868)</f>
        <v/>
      </c>
      <c r="M1868" s="10" t="n">
        <v>32</v>
      </c>
      <c r="N1868" s="10">
        <f>L1868-M1868</f>
        <v/>
      </c>
    </row>
    <row r="1869">
      <c r="A1869" s="7" t="inlineStr">
        <is>
          <t>ORD-02294</t>
        </is>
      </c>
      <c r="B1869" s="8" t="n">
        <v>45337</v>
      </c>
      <c r="C1869" s="9" t="n">
        <v>45323</v>
      </c>
      <c r="D1869" s="7" t="n">
        <v>2024</v>
      </c>
      <c r="E1869" s="7" t="inlineStr">
        <is>
          <t>West</t>
        </is>
      </c>
      <c r="F1869" s="7" t="inlineStr">
        <is>
          <t>Technology</t>
        </is>
      </c>
      <c r="G1869" s="7" t="inlineStr">
        <is>
          <t>Smartphone</t>
        </is>
      </c>
      <c r="H1869" s="7" t="inlineStr">
        <is>
          <t>Home Office</t>
        </is>
      </c>
      <c r="I1869" s="7" t="n">
        <v>1</v>
      </c>
      <c r="J1869" s="10" t="n">
        <v>593.71</v>
      </c>
      <c r="K1869" s="11" t="n">
        <v>0</v>
      </c>
      <c r="L1869" s="10">
        <f>I1869*J1869*(1-K1869)</f>
        <v/>
      </c>
      <c r="M1869" s="10" t="n">
        <v>450</v>
      </c>
      <c r="N1869" s="10">
        <f>L1869-M1869</f>
        <v/>
      </c>
    </row>
    <row r="1870">
      <c r="A1870" s="7" t="inlineStr">
        <is>
          <t>ORD-04781</t>
        </is>
      </c>
      <c r="B1870" s="8" t="n">
        <v>45338</v>
      </c>
      <c r="C1870" s="9" t="n">
        <v>45323</v>
      </c>
      <c r="D1870" s="7" t="n">
        <v>2024</v>
      </c>
      <c r="E1870" s="7" t="inlineStr">
        <is>
          <t>East</t>
        </is>
      </c>
      <c r="F1870" s="7" t="inlineStr">
        <is>
          <t>Technology</t>
        </is>
      </c>
      <c r="G1870" s="7" t="inlineStr">
        <is>
          <t>Headphones</t>
        </is>
      </c>
      <c r="H1870" s="7" t="inlineStr">
        <is>
          <t>Corporate</t>
        </is>
      </c>
      <c r="I1870" s="7" t="n">
        <v>3</v>
      </c>
      <c r="J1870" s="10" t="n">
        <v>116.96</v>
      </c>
      <c r="K1870" s="11" t="n">
        <v>0.2</v>
      </c>
      <c r="L1870" s="10">
        <f>I1870*J1870*(1-K1870)</f>
        <v/>
      </c>
      <c r="M1870" s="10" t="n">
        <v>216</v>
      </c>
      <c r="N1870" s="10">
        <f>L1870-M1870</f>
        <v/>
      </c>
    </row>
    <row r="1871">
      <c r="A1871" s="7" t="inlineStr">
        <is>
          <t>ORD-04431</t>
        </is>
      </c>
      <c r="B1871" s="8" t="n">
        <v>45338</v>
      </c>
      <c r="C1871" s="9" t="n">
        <v>45323</v>
      </c>
      <c r="D1871" s="7" t="n">
        <v>2024</v>
      </c>
      <c r="E1871" s="7" t="inlineStr">
        <is>
          <t>West</t>
        </is>
      </c>
      <c r="F1871" s="7" t="inlineStr">
        <is>
          <t>Furniture</t>
        </is>
      </c>
      <c r="G1871" s="7" t="inlineStr">
        <is>
          <t>Sofa</t>
        </is>
      </c>
      <c r="H1871" s="7" t="inlineStr">
        <is>
          <t>Corporate</t>
        </is>
      </c>
      <c r="I1871" s="7" t="n">
        <v>3</v>
      </c>
      <c r="J1871" s="10" t="n">
        <v>728.36</v>
      </c>
      <c r="K1871" s="11" t="n">
        <v>0.05</v>
      </c>
      <c r="L1871" s="10">
        <f>I1871*J1871*(1-K1871)</f>
        <v/>
      </c>
      <c r="M1871" s="10" t="n">
        <v>1848</v>
      </c>
      <c r="N1871" s="10">
        <f>L1871-M1871</f>
        <v/>
      </c>
    </row>
    <row r="1872">
      <c r="A1872" s="7" t="inlineStr">
        <is>
          <t>ORD-01531</t>
        </is>
      </c>
      <c r="B1872" s="8" t="n">
        <v>45338</v>
      </c>
      <c r="C1872" s="9" t="n">
        <v>45323</v>
      </c>
      <c r="D1872" s="7" t="n">
        <v>2024</v>
      </c>
      <c r="E1872" s="7" t="inlineStr">
        <is>
          <t>West</t>
        </is>
      </c>
      <c r="F1872" s="7" t="inlineStr">
        <is>
          <t>Technology</t>
        </is>
      </c>
      <c r="G1872" s="7" t="inlineStr">
        <is>
          <t>Keyboard</t>
        </is>
      </c>
      <c r="H1872" s="7" t="inlineStr">
        <is>
          <t>Corporate</t>
        </is>
      </c>
      <c r="I1872" s="7" t="n">
        <v>2</v>
      </c>
      <c r="J1872" s="10" t="n">
        <v>45.39</v>
      </c>
      <c r="K1872" s="11" t="n">
        <v>0.2</v>
      </c>
      <c r="L1872" s="10">
        <f>I1872*J1872*(1-K1872)</f>
        <v/>
      </c>
      <c r="M1872" s="10" t="n">
        <v>49.5</v>
      </c>
      <c r="N1872" s="10">
        <f>L1872-M1872</f>
        <v/>
      </c>
    </row>
    <row r="1873">
      <c r="A1873" s="7" t="inlineStr">
        <is>
          <t>ORD-02145</t>
        </is>
      </c>
      <c r="B1873" s="8" t="n">
        <v>45338</v>
      </c>
      <c r="C1873" s="9" t="n">
        <v>45323</v>
      </c>
      <c r="D1873" s="7" t="n">
        <v>2024</v>
      </c>
      <c r="E1873" s="7" t="inlineStr">
        <is>
          <t>South</t>
        </is>
      </c>
      <c r="F1873" s="7" t="inlineStr">
        <is>
          <t>Technology</t>
        </is>
      </c>
      <c r="G1873" s="7" t="inlineStr">
        <is>
          <t>Smartphone</t>
        </is>
      </c>
      <c r="H1873" s="7" t="inlineStr">
        <is>
          <t>Corporate</t>
        </is>
      </c>
      <c r="I1873" s="7" t="n">
        <v>2</v>
      </c>
      <c r="J1873" s="10" t="n">
        <v>591.8</v>
      </c>
      <c r="K1873" s="11" t="n">
        <v>0.1</v>
      </c>
      <c r="L1873" s="10">
        <f>I1873*J1873*(1-K1873)</f>
        <v/>
      </c>
      <c r="M1873" s="10" t="n">
        <v>900</v>
      </c>
      <c r="N1873" s="10">
        <f>L1873-M1873</f>
        <v/>
      </c>
    </row>
    <row r="1874">
      <c r="A1874" s="7" t="inlineStr">
        <is>
          <t>ORD-03258</t>
        </is>
      </c>
      <c r="B1874" s="8" t="n">
        <v>45339</v>
      </c>
      <c r="C1874" s="9" t="n">
        <v>45323</v>
      </c>
      <c r="D1874" s="7" t="n">
        <v>2024</v>
      </c>
      <c r="E1874" s="7" t="inlineStr">
        <is>
          <t>North</t>
        </is>
      </c>
      <c r="F1874" s="7" t="inlineStr">
        <is>
          <t>Office Supplies</t>
        </is>
      </c>
      <c r="G1874" s="7" t="inlineStr">
        <is>
          <t>Stapler</t>
        </is>
      </c>
      <c r="H1874" s="7" t="inlineStr">
        <is>
          <t>Consumer</t>
        </is>
      </c>
      <c r="I1874" s="7" t="n">
        <v>2</v>
      </c>
      <c r="J1874" s="10" t="n">
        <v>15.73</v>
      </c>
      <c r="K1874" s="11" t="n">
        <v>0</v>
      </c>
      <c r="L1874" s="10">
        <f>I1874*J1874*(1-K1874)</f>
        <v/>
      </c>
      <c r="M1874" s="10" t="n">
        <v>15</v>
      </c>
      <c r="N1874" s="10">
        <f>L1874-M1874</f>
        <v/>
      </c>
    </row>
    <row r="1875">
      <c r="A1875" s="7" t="inlineStr">
        <is>
          <t>ORD-03653</t>
        </is>
      </c>
      <c r="B1875" s="8" t="n">
        <v>45339</v>
      </c>
      <c r="C1875" s="9" t="n">
        <v>45323</v>
      </c>
      <c r="D1875" s="7" t="n">
        <v>2024</v>
      </c>
      <c r="E1875" s="7" t="inlineStr">
        <is>
          <t>West</t>
        </is>
      </c>
      <c r="F1875" s="7" t="inlineStr">
        <is>
          <t>Technology</t>
        </is>
      </c>
      <c r="G1875" s="7" t="inlineStr">
        <is>
          <t>Headphones</t>
        </is>
      </c>
      <c r="H1875" s="7" t="inlineStr">
        <is>
          <t>Home Office</t>
        </is>
      </c>
      <c r="I1875" s="7" t="n">
        <v>2</v>
      </c>
      <c r="J1875" s="10" t="n">
        <v>118.4</v>
      </c>
      <c r="K1875" s="11" t="n">
        <v>0.05</v>
      </c>
      <c r="L1875" s="10">
        <f>I1875*J1875*(1-K1875)</f>
        <v/>
      </c>
      <c r="M1875" s="10" t="n">
        <v>144</v>
      </c>
      <c r="N1875" s="10">
        <f>L1875-M1875</f>
        <v/>
      </c>
    </row>
    <row r="1876">
      <c r="A1876" s="7" t="inlineStr">
        <is>
          <t>ORD-05960</t>
        </is>
      </c>
      <c r="B1876" s="8" t="n">
        <v>45339</v>
      </c>
      <c r="C1876" s="9" t="n">
        <v>45323</v>
      </c>
      <c r="D1876" s="7" t="n">
        <v>2024</v>
      </c>
      <c r="E1876" s="7" t="inlineStr">
        <is>
          <t>West</t>
        </is>
      </c>
      <c r="F1876" s="7" t="inlineStr">
        <is>
          <t>Technology</t>
        </is>
      </c>
      <c r="G1876" s="7" t="inlineStr">
        <is>
          <t>Keyboard</t>
        </is>
      </c>
      <c r="H1876" s="7" t="inlineStr">
        <is>
          <t>Corporate</t>
        </is>
      </c>
      <c r="I1876" s="7" t="n">
        <v>2</v>
      </c>
      <c r="J1876" s="10" t="n">
        <v>42.89</v>
      </c>
      <c r="K1876" s="11" t="n">
        <v>0.3</v>
      </c>
      <c r="L1876" s="10">
        <f>I1876*J1876*(1-K1876)</f>
        <v/>
      </c>
      <c r="M1876" s="10" t="n">
        <v>49.5</v>
      </c>
      <c r="N1876" s="10">
        <f>L1876-M1876</f>
        <v/>
      </c>
    </row>
    <row r="1877">
      <c r="A1877" s="7" t="inlineStr">
        <is>
          <t>ORD-04649</t>
        </is>
      </c>
      <c r="B1877" s="8" t="n">
        <v>45340</v>
      </c>
      <c r="C1877" s="9" t="n">
        <v>45323</v>
      </c>
      <c r="D1877" s="7" t="n">
        <v>2024</v>
      </c>
      <c r="E1877" s="7" t="inlineStr">
        <is>
          <t>West</t>
        </is>
      </c>
      <c r="F1877" s="7" t="inlineStr">
        <is>
          <t>Technology</t>
        </is>
      </c>
      <c r="G1877" s="7" t="inlineStr">
        <is>
          <t>Keyboard</t>
        </is>
      </c>
      <c r="H1877" s="7" t="inlineStr">
        <is>
          <t>Home Office</t>
        </is>
      </c>
      <c r="I1877" s="7" t="n">
        <v>1</v>
      </c>
      <c r="J1877" s="10" t="n">
        <v>45.03</v>
      </c>
      <c r="K1877" s="11" t="n">
        <v>0.1</v>
      </c>
      <c r="L1877" s="10">
        <f>I1877*J1877*(1-K1877)</f>
        <v/>
      </c>
      <c r="M1877" s="10" t="n">
        <v>24.75</v>
      </c>
      <c r="N1877" s="10">
        <f>L1877-M1877</f>
        <v/>
      </c>
    </row>
    <row r="1878">
      <c r="A1878" s="7" t="inlineStr">
        <is>
          <t>ORD-02993</t>
        </is>
      </c>
      <c r="B1878" s="8" t="n">
        <v>45340</v>
      </c>
      <c r="C1878" s="9" t="n">
        <v>45323</v>
      </c>
      <c r="D1878" s="7" t="n">
        <v>2024</v>
      </c>
      <c r="E1878" s="7" t="inlineStr">
        <is>
          <t>West</t>
        </is>
      </c>
      <c r="F1878" s="7" t="inlineStr">
        <is>
          <t>Technology</t>
        </is>
      </c>
      <c r="G1878" s="7" t="inlineStr">
        <is>
          <t>Monitor</t>
        </is>
      </c>
      <c r="H1878" s="7" t="inlineStr">
        <is>
          <t>Consumer</t>
        </is>
      </c>
      <c r="I1878" s="7" t="n">
        <v>1</v>
      </c>
      <c r="J1878" s="10" t="n">
        <v>249.77</v>
      </c>
      <c r="K1878" s="11" t="n">
        <v>0.05</v>
      </c>
      <c r="L1878" s="10">
        <f>I1878*J1878*(1-K1878)</f>
        <v/>
      </c>
      <c r="M1878" s="10" t="n">
        <v>180</v>
      </c>
      <c r="N1878" s="10">
        <f>L1878-M1878</f>
        <v/>
      </c>
    </row>
    <row r="1879">
      <c r="A1879" s="7" t="inlineStr">
        <is>
          <t>ORD-04084</t>
        </is>
      </c>
      <c r="B1879" s="8" t="n">
        <v>45340</v>
      </c>
      <c r="C1879" s="9" t="n">
        <v>45323</v>
      </c>
      <c r="D1879" s="7" t="n">
        <v>2024</v>
      </c>
      <c r="E1879" s="7" t="inlineStr">
        <is>
          <t>North</t>
        </is>
      </c>
      <c r="F1879" s="7" t="inlineStr">
        <is>
          <t>Furniture</t>
        </is>
      </c>
      <c r="G1879" s="7" t="inlineStr">
        <is>
          <t>Office Chair</t>
        </is>
      </c>
      <c r="H1879" s="7" t="inlineStr">
        <is>
          <t>Home Office</t>
        </is>
      </c>
      <c r="I1879" s="7" t="n">
        <v>2</v>
      </c>
      <c r="J1879" s="10" t="n">
        <v>222.27</v>
      </c>
      <c r="K1879" s="11" t="n">
        <v>0</v>
      </c>
      <c r="L1879" s="10">
        <f>I1879*J1879*(1-K1879)</f>
        <v/>
      </c>
      <c r="M1879" s="10" t="n">
        <v>360.8</v>
      </c>
      <c r="N1879" s="10">
        <f>L1879-M1879</f>
        <v/>
      </c>
    </row>
    <row r="1880">
      <c r="A1880" s="7" t="inlineStr">
        <is>
          <t>ORD-03749</t>
        </is>
      </c>
      <c r="B1880" s="8" t="n">
        <v>45340</v>
      </c>
      <c r="C1880" s="9" t="n">
        <v>45323</v>
      </c>
      <c r="D1880" s="7" t="n">
        <v>2024</v>
      </c>
      <c r="E1880" s="7" t="inlineStr">
        <is>
          <t>North</t>
        </is>
      </c>
      <c r="F1880" s="7" t="inlineStr">
        <is>
          <t>Office Supplies</t>
        </is>
      </c>
      <c r="G1880" s="7" t="inlineStr">
        <is>
          <t>Binder</t>
        </is>
      </c>
      <c r="H1880" s="7" t="inlineStr">
        <is>
          <t>Corporate</t>
        </is>
      </c>
      <c r="I1880" s="7" t="n">
        <v>5</v>
      </c>
      <c r="J1880" s="10" t="n">
        <v>8.109999999999999</v>
      </c>
      <c r="K1880" s="11" t="n">
        <v>0.3</v>
      </c>
      <c r="L1880" s="10">
        <f>I1880*J1880*(1-K1880)</f>
        <v/>
      </c>
      <c r="M1880" s="10" t="n">
        <v>16</v>
      </c>
      <c r="N1880" s="10">
        <f>L1880-M1880</f>
        <v/>
      </c>
    </row>
    <row r="1881">
      <c r="A1881" s="7" t="inlineStr">
        <is>
          <t>ORD-05933</t>
        </is>
      </c>
      <c r="B1881" s="8" t="n">
        <v>45340</v>
      </c>
      <c r="C1881" s="9" t="n">
        <v>45323</v>
      </c>
      <c r="D1881" s="7" t="n">
        <v>2024</v>
      </c>
      <c r="E1881" s="7" t="inlineStr">
        <is>
          <t>West</t>
        </is>
      </c>
      <c r="F1881" s="7" t="inlineStr">
        <is>
          <t>Office Supplies</t>
        </is>
      </c>
      <c r="G1881" s="7" t="inlineStr">
        <is>
          <t>Binder</t>
        </is>
      </c>
      <c r="H1881" s="7" t="inlineStr">
        <is>
          <t>Consumer</t>
        </is>
      </c>
      <c r="I1881" s="7" t="n">
        <v>6</v>
      </c>
      <c r="J1881" s="10" t="n">
        <v>8.09</v>
      </c>
      <c r="K1881" s="11" t="n">
        <v>0</v>
      </c>
      <c r="L1881" s="10">
        <f>I1881*J1881*(1-K1881)</f>
        <v/>
      </c>
      <c r="M1881" s="10" t="n">
        <v>19.2</v>
      </c>
      <c r="N1881" s="10">
        <f>L1881-M1881</f>
        <v/>
      </c>
    </row>
    <row r="1882">
      <c r="A1882" s="7" t="inlineStr">
        <is>
          <t>ORD-00200</t>
        </is>
      </c>
      <c r="B1882" s="8" t="n">
        <v>45341</v>
      </c>
      <c r="C1882" s="9" t="n">
        <v>45323</v>
      </c>
      <c r="D1882" s="7" t="n">
        <v>2024</v>
      </c>
      <c r="E1882" s="7" t="inlineStr">
        <is>
          <t>North</t>
        </is>
      </c>
      <c r="F1882" s="7" t="inlineStr">
        <is>
          <t>Technology</t>
        </is>
      </c>
      <c r="G1882" s="7" t="inlineStr">
        <is>
          <t>Smartphone</t>
        </is>
      </c>
      <c r="H1882" s="7" t="inlineStr">
        <is>
          <t>Corporate</t>
        </is>
      </c>
      <c r="I1882" s="7" t="n">
        <v>3</v>
      </c>
      <c r="J1882" s="10" t="n">
        <v>585.78</v>
      </c>
      <c r="K1882" s="11" t="n">
        <v>0</v>
      </c>
      <c r="L1882" s="10">
        <f>I1882*J1882*(1-K1882)</f>
        <v/>
      </c>
      <c r="M1882" s="10" t="n">
        <v>1350</v>
      </c>
      <c r="N1882" s="10">
        <f>L1882-M1882</f>
        <v/>
      </c>
    </row>
    <row r="1883">
      <c r="A1883" s="7" t="inlineStr">
        <is>
          <t>ORD-00263</t>
        </is>
      </c>
      <c r="B1883" s="8" t="n">
        <v>45341</v>
      </c>
      <c r="C1883" s="9" t="n">
        <v>45323</v>
      </c>
      <c r="D1883" s="7" t="n">
        <v>2024</v>
      </c>
      <c r="E1883" s="7" t="inlineStr">
        <is>
          <t>West</t>
        </is>
      </c>
      <c r="F1883" s="7" t="inlineStr">
        <is>
          <t>Office Supplies</t>
        </is>
      </c>
      <c r="G1883" s="7" t="inlineStr">
        <is>
          <t>Binder</t>
        </is>
      </c>
      <c r="H1883" s="7" t="inlineStr">
        <is>
          <t>Consumer</t>
        </is>
      </c>
      <c r="I1883" s="7" t="n">
        <v>13</v>
      </c>
      <c r="J1883" s="10" t="n">
        <v>7.77</v>
      </c>
      <c r="K1883" s="11" t="n">
        <v>0.05</v>
      </c>
      <c r="L1883" s="10">
        <f>I1883*J1883*(1-K1883)</f>
        <v/>
      </c>
      <c r="M1883" s="10" t="n">
        <v>41.6</v>
      </c>
      <c r="N1883" s="10">
        <f>L1883-M1883</f>
        <v/>
      </c>
    </row>
    <row r="1884">
      <c r="A1884" s="7" t="inlineStr">
        <is>
          <t>ORD-01404</t>
        </is>
      </c>
      <c r="B1884" s="8" t="n">
        <v>45341</v>
      </c>
      <c r="C1884" s="9" t="n">
        <v>45323</v>
      </c>
      <c r="D1884" s="7" t="n">
        <v>2024</v>
      </c>
      <c r="E1884" s="7" t="inlineStr">
        <is>
          <t>East</t>
        </is>
      </c>
      <c r="F1884" s="7" t="inlineStr">
        <is>
          <t>Office Supplies</t>
        </is>
      </c>
      <c r="G1884" s="7" t="inlineStr">
        <is>
          <t>Paper</t>
        </is>
      </c>
      <c r="H1884" s="7" t="inlineStr">
        <is>
          <t>Corporate</t>
        </is>
      </c>
      <c r="I1884" s="7" t="n">
        <v>6</v>
      </c>
      <c r="J1884" s="10" t="n">
        <v>26.06</v>
      </c>
      <c r="K1884" s="11" t="n">
        <v>0</v>
      </c>
      <c r="L1884" s="10">
        <f>I1884*J1884*(1-K1884)</f>
        <v/>
      </c>
      <c r="M1884" s="10" t="n">
        <v>75</v>
      </c>
      <c r="N1884" s="10">
        <f>L1884-M1884</f>
        <v/>
      </c>
    </row>
    <row r="1885">
      <c r="A1885" s="7" t="inlineStr">
        <is>
          <t>ORD-05964</t>
        </is>
      </c>
      <c r="B1885" s="8" t="n">
        <v>45341</v>
      </c>
      <c r="C1885" s="9" t="n">
        <v>45323</v>
      </c>
      <c r="D1885" s="7" t="n">
        <v>2024</v>
      </c>
      <c r="E1885" s="7" t="inlineStr">
        <is>
          <t>West</t>
        </is>
      </c>
      <c r="F1885" s="7" t="inlineStr">
        <is>
          <t>Office Supplies</t>
        </is>
      </c>
      <c r="G1885" s="7" t="inlineStr">
        <is>
          <t>Pens</t>
        </is>
      </c>
      <c r="H1885" s="7" t="inlineStr">
        <is>
          <t>Home Office</t>
        </is>
      </c>
      <c r="I1885" s="7" t="n">
        <v>5</v>
      </c>
      <c r="J1885" s="10" t="n">
        <v>11.54</v>
      </c>
      <c r="K1885" s="11" t="n">
        <v>0.2</v>
      </c>
      <c r="L1885" s="10">
        <f>I1885*J1885*(1-K1885)</f>
        <v/>
      </c>
      <c r="M1885" s="10" t="n">
        <v>27</v>
      </c>
      <c r="N1885" s="10">
        <f>L1885-M1885</f>
        <v/>
      </c>
    </row>
    <row r="1886">
      <c r="A1886" s="7" t="inlineStr">
        <is>
          <t>ORD-03469</t>
        </is>
      </c>
      <c r="B1886" s="8" t="n">
        <v>45341</v>
      </c>
      <c r="C1886" s="9" t="n">
        <v>45323</v>
      </c>
      <c r="D1886" s="7" t="n">
        <v>2024</v>
      </c>
      <c r="E1886" s="7" t="inlineStr">
        <is>
          <t>East</t>
        </is>
      </c>
      <c r="F1886" s="7" t="inlineStr">
        <is>
          <t>Office Supplies</t>
        </is>
      </c>
      <c r="G1886" s="7" t="inlineStr">
        <is>
          <t>Printer Ink</t>
        </is>
      </c>
      <c r="H1886" s="7" t="inlineStr">
        <is>
          <t>Consumer</t>
        </is>
      </c>
      <c r="I1886" s="7" t="n">
        <v>7</v>
      </c>
      <c r="J1886" s="10" t="n">
        <v>58.17</v>
      </c>
      <c r="K1886" s="11" t="n">
        <v>0</v>
      </c>
      <c r="L1886" s="10">
        <f>I1886*J1886*(1-K1886)</f>
        <v/>
      </c>
      <c r="M1886" s="10" t="n">
        <v>252</v>
      </c>
      <c r="N1886" s="10">
        <f>L1886-M1886</f>
        <v/>
      </c>
    </row>
    <row r="1887">
      <c r="A1887" s="7" t="inlineStr">
        <is>
          <t>ORD-00530</t>
        </is>
      </c>
      <c r="B1887" s="8" t="n">
        <v>45342</v>
      </c>
      <c r="C1887" s="9" t="n">
        <v>45323</v>
      </c>
      <c r="D1887" s="7" t="n">
        <v>2024</v>
      </c>
      <c r="E1887" s="7" t="inlineStr">
        <is>
          <t>West</t>
        </is>
      </c>
      <c r="F1887" s="7" t="inlineStr">
        <is>
          <t>Technology</t>
        </is>
      </c>
      <c r="G1887" s="7" t="inlineStr">
        <is>
          <t>Laptop</t>
        </is>
      </c>
      <c r="H1887" s="7" t="inlineStr">
        <is>
          <t>Consumer</t>
        </is>
      </c>
      <c r="I1887" s="7" t="n">
        <v>3</v>
      </c>
      <c r="J1887" s="10" t="n">
        <v>934.0700000000001</v>
      </c>
      <c r="K1887" s="11" t="n">
        <v>0.3</v>
      </c>
      <c r="L1887" s="10">
        <f>I1887*J1887*(1-K1887)</f>
        <v/>
      </c>
      <c r="M1887" s="10" t="n">
        <v>2106</v>
      </c>
      <c r="N1887" s="10">
        <f>L1887-M1887</f>
        <v/>
      </c>
    </row>
    <row r="1888">
      <c r="A1888" s="7" t="inlineStr">
        <is>
          <t>ORD-03320</t>
        </is>
      </c>
      <c r="B1888" s="8" t="n">
        <v>45342</v>
      </c>
      <c r="C1888" s="9" t="n">
        <v>45323</v>
      </c>
      <c r="D1888" s="7" t="n">
        <v>2024</v>
      </c>
      <c r="E1888" s="7" t="inlineStr">
        <is>
          <t>West</t>
        </is>
      </c>
      <c r="F1888" s="7" t="inlineStr">
        <is>
          <t>Office Supplies</t>
        </is>
      </c>
      <c r="G1888" s="7" t="inlineStr">
        <is>
          <t>Stapler</t>
        </is>
      </c>
      <c r="H1888" s="7" t="inlineStr">
        <is>
          <t>Consumer</t>
        </is>
      </c>
      <c r="I1888" s="7" t="n">
        <v>12</v>
      </c>
      <c r="J1888" s="10" t="n">
        <v>14.5</v>
      </c>
      <c r="K1888" s="11" t="n">
        <v>0.1</v>
      </c>
      <c r="L1888" s="10">
        <f>I1888*J1888*(1-K1888)</f>
        <v/>
      </c>
      <c r="M1888" s="10" t="n">
        <v>90</v>
      </c>
      <c r="N1888" s="10">
        <f>L1888-M1888</f>
        <v/>
      </c>
    </row>
    <row r="1889">
      <c r="A1889" s="7" t="inlineStr">
        <is>
          <t>ORD-03897</t>
        </is>
      </c>
      <c r="B1889" s="8" t="n">
        <v>45342</v>
      </c>
      <c r="C1889" s="9" t="n">
        <v>45323</v>
      </c>
      <c r="D1889" s="7" t="n">
        <v>2024</v>
      </c>
      <c r="E1889" s="7" t="inlineStr">
        <is>
          <t>South</t>
        </is>
      </c>
      <c r="F1889" s="7" t="inlineStr">
        <is>
          <t>Technology</t>
        </is>
      </c>
      <c r="G1889" s="7" t="inlineStr">
        <is>
          <t>Keyboard</t>
        </is>
      </c>
      <c r="H1889" s="7" t="inlineStr">
        <is>
          <t>Consumer</t>
        </is>
      </c>
      <c r="I1889" s="7" t="n">
        <v>1</v>
      </c>
      <c r="J1889" s="10" t="n">
        <v>45.04</v>
      </c>
      <c r="K1889" s="11" t="n">
        <v>0</v>
      </c>
      <c r="L1889" s="10">
        <f>I1889*J1889*(1-K1889)</f>
        <v/>
      </c>
      <c r="M1889" s="10" t="n">
        <v>24.75</v>
      </c>
      <c r="N1889" s="10">
        <f>L1889-M1889</f>
        <v/>
      </c>
    </row>
    <row r="1890">
      <c r="A1890" s="7" t="inlineStr">
        <is>
          <t>ORD-04983</t>
        </is>
      </c>
      <c r="B1890" s="8" t="n">
        <v>45342</v>
      </c>
      <c r="C1890" s="9" t="n">
        <v>45323</v>
      </c>
      <c r="D1890" s="7" t="n">
        <v>2024</v>
      </c>
      <c r="E1890" s="7" t="inlineStr">
        <is>
          <t>West</t>
        </is>
      </c>
      <c r="F1890" s="7" t="inlineStr">
        <is>
          <t>Office Supplies</t>
        </is>
      </c>
      <c r="G1890" s="7" t="inlineStr">
        <is>
          <t>Pens</t>
        </is>
      </c>
      <c r="H1890" s="7" t="inlineStr">
        <is>
          <t>Consumer</t>
        </is>
      </c>
      <c r="I1890" s="7" t="n">
        <v>7</v>
      </c>
      <c r="J1890" s="10" t="n">
        <v>12.27</v>
      </c>
      <c r="K1890" s="11" t="n">
        <v>0.05</v>
      </c>
      <c r="L1890" s="10">
        <f>I1890*J1890*(1-K1890)</f>
        <v/>
      </c>
      <c r="M1890" s="10" t="n">
        <v>37.8</v>
      </c>
      <c r="N1890" s="10">
        <f>L1890-M1890</f>
        <v/>
      </c>
    </row>
    <row r="1891">
      <c r="A1891" s="7" t="inlineStr">
        <is>
          <t>ORD-05881</t>
        </is>
      </c>
      <c r="B1891" s="8" t="n">
        <v>45343</v>
      </c>
      <c r="C1891" s="9" t="n">
        <v>45323</v>
      </c>
      <c r="D1891" s="7" t="n">
        <v>2024</v>
      </c>
      <c r="E1891" s="7" t="inlineStr">
        <is>
          <t>East</t>
        </is>
      </c>
      <c r="F1891" s="7" t="inlineStr">
        <is>
          <t>Furniture</t>
        </is>
      </c>
      <c r="G1891" s="7" t="inlineStr">
        <is>
          <t>Desk</t>
        </is>
      </c>
      <c r="H1891" s="7" t="inlineStr">
        <is>
          <t>Consumer</t>
        </is>
      </c>
      <c r="I1891" s="7" t="n">
        <v>2</v>
      </c>
      <c r="J1891" s="10" t="n">
        <v>438.63</v>
      </c>
      <c r="K1891" s="11" t="n">
        <v>0.1</v>
      </c>
      <c r="L1891" s="10">
        <f>I1891*J1891*(1-K1891)</f>
        <v/>
      </c>
      <c r="M1891" s="10" t="n">
        <v>765</v>
      </c>
      <c r="N1891" s="10">
        <f>L1891-M1891</f>
        <v/>
      </c>
    </row>
    <row r="1892">
      <c r="A1892" s="7" t="inlineStr">
        <is>
          <t>ORD-05622</t>
        </is>
      </c>
      <c r="B1892" s="8" t="n">
        <v>45343</v>
      </c>
      <c r="C1892" s="9" t="n">
        <v>45323</v>
      </c>
      <c r="D1892" s="7" t="n">
        <v>2024</v>
      </c>
      <c r="E1892" s="7" t="inlineStr">
        <is>
          <t>East</t>
        </is>
      </c>
      <c r="F1892" s="7" t="inlineStr">
        <is>
          <t>Technology</t>
        </is>
      </c>
      <c r="G1892" s="7" t="inlineStr">
        <is>
          <t>Headphones</t>
        </is>
      </c>
      <c r="H1892" s="7" t="inlineStr">
        <is>
          <t>Consumer</t>
        </is>
      </c>
      <c r="I1892" s="7" t="n">
        <v>3</v>
      </c>
      <c r="J1892" s="10" t="n">
        <v>123.35</v>
      </c>
      <c r="K1892" s="11" t="n">
        <v>0</v>
      </c>
      <c r="L1892" s="10">
        <f>I1892*J1892*(1-K1892)</f>
        <v/>
      </c>
      <c r="M1892" s="10" t="n">
        <v>216</v>
      </c>
      <c r="N1892" s="10">
        <f>L1892-M1892</f>
        <v/>
      </c>
    </row>
    <row r="1893">
      <c r="A1893" s="7" t="inlineStr">
        <is>
          <t>ORD-00044</t>
        </is>
      </c>
      <c r="B1893" s="8" t="n">
        <v>45344</v>
      </c>
      <c r="C1893" s="9" t="n">
        <v>45323</v>
      </c>
      <c r="D1893" s="7" t="n">
        <v>2024</v>
      </c>
      <c r="E1893" s="7" t="inlineStr">
        <is>
          <t>North</t>
        </is>
      </c>
      <c r="F1893" s="7" t="inlineStr">
        <is>
          <t>Technology</t>
        </is>
      </c>
      <c r="G1893" s="7" t="inlineStr">
        <is>
          <t>Keyboard</t>
        </is>
      </c>
      <c r="H1893" s="7" t="inlineStr">
        <is>
          <t>Consumer</t>
        </is>
      </c>
      <c r="I1893" s="7" t="n">
        <v>1</v>
      </c>
      <c r="J1893" s="10" t="n">
        <v>46.26</v>
      </c>
      <c r="K1893" s="11" t="n">
        <v>0.05</v>
      </c>
      <c r="L1893" s="10">
        <f>I1893*J1893*(1-K1893)</f>
        <v/>
      </c>
      <c r="M1893" s="10" t="n">
        <v>24.75</v>
      </c>
      <c r="N1893" s="10">
        <f>L1893-M1893</f>
        <v/>
      </c>
    </row>
    <row r="1894">
      <c r="A1894" s="7" t="inlineStr">
        <is>
          <t>ORD-00731</t>
        </is>
      </c>
      <c r="B1894" s="8" t="n">
        <v>45344</v>
      </c>
      <c r="C1894" s="9" t="n">
        <v>45323</v>
      </c>
      <c r="D1894" s="7" t="n">
        <v>2024</v>
      </c>
      <c r="E1894" s="7" t="inlineStr">
        <is>
          <t>South</t>
        </is>
      </c>
      <c r="F1894" s="7" t="inlineStr">
        <is>
          <t>Office Supplies</t>
        </is>
      </c>
      <c r="G1894" s="7" t="inlineStr">
        <is>
          <t>Printer Ink</t>
        </is>
      </c>
      <c r="H1894" s="7" t="inlineStr">
        <is>
          <t>Home Office</t>
        </is>
      </c>
      <c r="I1894" s="7" t="n">
        <v>14</v>
      </c>
      <c r="J1894" s="10" t="n">
        <v>58.03</v>
      </c>
      <c r="K1894" s="11" t="n">
        <v>0.2</v>
      </c>
      <c r="L1894" s="10">
        <f>I1894*J1894*(1-K1894)</f>
        <v/>
      </c>
      <c r="M1894" s="10" t="n">
        <v>504</v>
      </c>
      <c r="N1894" s="10">
        <f>L1894-M1894</f>
        <v/>
      </c>
    </row>
    <row r="1895">
      <c r="A1895" s="7" t="inlineStr">
        <is>
          <t>ORD-05397</t>
        </is>
      </c>
      <c r="B1895" s="8" t="n">
        <v>45344</v>
      </c>
      <c r="C1895" s="9" t="n">
        <v>45323</v>
      </c>
      <c r="D1895" s="7" t="n">
        <v>2024</v>
      </c>
      <c r="E1895" s="7" t="inlineStr">
        <is>
          <t>North</t>
        </is>
      </c>
      <c r="F1895" s="7" t="inlineStr">
        <is>
          <t>Office Supplies</t>
        </is>
      </c>
      <c r="G1895" s="7" t="inlineStr">
        <is>
          <t>Paper</t>
        </is>
      </c>
      <c r="H1895" s="7" t="inlineStr">
        <is>
          <t>Consumer</t>
        </is>
      </c>
      <c r="I1895" s="7" t="n">
        <v>11</v>
      </c>
      <c r="J1895" s="10" t="n">
        <v>25.32</v>
      </c>
      <c r="K1895" s="11" t="n">
        <v>0.1</v>
      </c>
      <c r="L1895" s="10">
        <f>I1895*J1895*(1-K1895)</f>
        <v/>
      </c>
      <c r="M1895" s="10" t="n">
        <v>137.5</v>
      </c>
      <c r="N1895" s="10">
        <f>L1895-M1895</f>
        <v/>
      </c>
    </row>
    <row r="1896">
      <c r="A1896" s="7" t="inlineStr">
        <is>
          <t>ORD-01971</t>
        </is>
      </c>
      <c r="B1896" s="8" t="n">
        <v>45344</v>
      </c>
      <c r="C1896" s="9" t="n">
        <v>45323</v>
      </c>
      <c r="D1896" s="7" t="n">
        <v>2024</v>
      </c>
      <c r="E1896" s="7" t="inlineStr">
        <is>
          <t>South</t>
        </is>
      </c>
      <c r="F1896" s="7" t="inlineStr">
        <is>
          <t>Office Supplies</t>
        </is>
      </c>
      <c r="G1896" s="7" t="inlineStr">
        <is>
          <t>Printer Ink</t>
        </is>
      </c>
      <c r="H1896" s="7" t="inlineStr">
        <is>
          <t>Home Office</t>
        </is>
      </c>
      <c r="I1896" s="7" t="n">
        <v>2</v>
      </c>
      <c r="J1896" s="10" t="n">
        <v>62.8</v>
      </c>
      <c r="K1896" s="11" t="n">
        <v>0.2</v>
      </c>
      <c r="L1896" s="10">
        <f>I1896*J1896*(1-K1896)</f>
        <v/>
      </c>
      <c r="M1896" s="10" t="n">
        <v>72</v>
      </c>
      <c r="N1896" s="10">
        <f>L1896-M1896</f>
        <v/>
      </c>
    </row>
    <row r="1897">
      <c r="A1897" s="7" t="inlineStr">
        <is>
          <t>ORD-03160</t>
        </is>
      </c>
      <c r="B1897" s="8" t="n">
        <v>45344</v>
      </c>
      <c r="C1897" s="9" t="n">
        <v>45323</v>
      </c>
      <c r="D1897" s="7" t="n">
        <v>2024</v>
      </c>
      <c r="E1897" s="7" t="inlineStr">
        <is>
          <t>East</t>
        </is>
      </c>
      <c r="F1897" s="7" t="inlineStr">
        <is>
          <t>Technology</t>
        </is>
      </c>
      <c r="G1897" s="7" t="inlineStr">
        <is>
          <t>Keyboard</t>
        </is>
      </c>
      <c r="H1897" s="7" t="inlineStr">
        <is>
          <t>Consumer</t>
        </is>
      </c>
      <c r="I1897" s="7" t="n">
        <v>3</v>
      </c>
      <c r="J1897" s="10" t="n">
        <v>43.87</v>
      </c>
      <c r="K1897" s="11" t="n">
        <v>0.2</v>
      </c>
      <c r="L1897" s="10">
        <f>I1897*J1897*(1-K1897)</f>
        <v/>
      </c>
      <c r="M1897" s="10" t="n">
        <v>74.25</v>
      </c>
      <c r="N1897" s="10">
        <f>L1897-M1897</f>
        <v/>
      </c>
    </row>
    <row r="1898">
      <c r="A1898" s="7" t="inlineStr">
        <is>
          <t>ORD-05491</t>
        </is>
      </c>
      <c r="B1898" s="8" t="n">
        <v>45345</v>
      </c>
      <c r="C1898" s="9" t="n">
        <v>45323</v>
      </c>
      <c r="D1898" s="7" t="n">
        <v>2024</v>
      </c>
      <c r="E1898" s="7" t="inlineStr">
        <is>
          <t>West</t>
        </is>
      </c>
      <c r="F1898" s="7" t="inlineStr">
        <is>
          <t>Office Supplies</t>
        </is>
      </c>
      <c r="G1898" s="7" t="inlineStr">
        <is>
          <t>Printer Ink</t>
        </is>
      </c>
      <c r="H1898" s="7" t="inlineStr">
        <is>
          <t>Corporate</t>
        </is>
      </c>
      <c r="I1898" s="7" t="n">
        <v>4</v>
      </c>
      <c r="J1898" s="10" t="n">
        <v>58.03</v>
      </c>
      <c r="K1898" s="11" t="n">
        <v>0.2</v>
      </c>
      <c r="L1898" s="10">
        <f>I1898*J1898*(1-K1898)</f>
        <v/>
      </c>
      <c r="M1898" s="10" t="n">
        <v>144</v>
      </c>
      <c r="N1898" s="10">
        <f>L1898-M1898</f>
        <v/>
      </c>
    </row>
    <row r="1899">
      <c r="A1899" s="7" t="inlineStr">
        <is>
          <t>ORD-01549</t>
        </is>
      </c>
      <c r="B1899" s="8" t="n">
        <v>45346</v>
      </c>
      <c r="C1899" s="9" t="n">
        <v>45323</v>
      </c>
      <c r="D1899" s="7" t="n">
        <v>2024</v>
      </c>
      <c r="E1899" s="7" t="inlineStr">
        <is>
          <t>West</t>
        </is>
      </c>
      <c r="F1899" s="7" t="inlineStr">
        <is>
          <t>Office Supplies</t>
        </is>
      </c>
      <c r="G1899" s="7" t="inlineStr">
        <is>
          <t>Paper</t>
        </is>
      </c>
      <c r="H1899" s="7" t="inlineStr">
        <is>
          <t>Consumer</t>
        </is>
      </c>
      <c r="I1899" s="7" t="n">
        <v>5</v>
      </c>
      <c r="J1899" s="10" t="n">
        <v>25.85</v>
      </c>
      <c r="K1899" s="11" t="n">
        <v>0.1</v>
      </c>
      <c r="L1899" s="10">
        <f>I1899*J1899*(1-K1899)</f>
        <v/>
      </c>
      <c r="M1899" s="10" t="n">
        <v>62.5</v>
      </c>
      <c r="N1899" s="10">
        <f>L1899-M1899</f>
        <v/>
      </c>
    </row>
    <row r="1900">
      <c r="A1900" s="7" t="inlineStr">
        <is>
          <t>ORD-04037</t>
        </is>
      </c>
      <c r="B1900" s="8" t="n">
        <v>45346</v>
      </c>
      <c r="C1900" s="9" t="n">
        <v>45323</v>
      </c>
      <c r="D1900" s="7" t="n">
        <v>2024</v>
      </c>
      <c r="E1900" s="7" t="inlineStr">
        <is>
          <t>North</t>
        </is>
      </c>
      <c r="F1900" s="7" t="inlineStr">
        <is>
          <t>Office Supplies</t>
        </is>
      </c>
      <c r="G1900" s="7" t="inlineStr">
        <is>
          <t>Paper</t>
        </is>
      </c>
      <c r="H1900" s="7" t="inlineStr">
        <is>
          <t>Consumer</t>
        </is>
      </c>
      <c r="I1900" s="7" t="n">
        <v>3</v>
      </c>
      <c r="J1900" s="10" t="n">
        <v>24.2</v>
      </c>
      <c r="K1900" s="11" t="n">
        <v>0</v>
      </c>
      <c r="L1900" s="10">
        <f>I1900*J1900*(1-K1900)</f>
        <v/>
      </c>
      <c r="M1900" s="10" t="n">
        <v>37.5</v>
      </c>
      <c r="N1900" s="10">
        <f>L1900-M1900</f>
        <v/>
      </c>
    </row>
    <row r="1901">
      <c r="A1901" s="7" t="inlineStr">
        <is>
          <t>ORD-04358</t>
        </is>
      </c>
      <c r="B1901" s="8" t="n">
        <v>45346</v>
      </c>
      <c r="C1901" s="9" t="n">
        <v>45323</v>
      </c>
      <c r="D1901" s="7" t="n">
        <v>2024</v>
      </c>
      <c r="E1901" s="7" t="inlineStr">
        <is>
          <t>South</t>
        </is>
      </c>
      <c r="F1901" s="7" t="inlineStr">
        <is>
          <t>Furniture</t>
        </is>
      </c>
      <c r="G1901" s="7" t="inlineStr">
        <is>
          <t>Desk</t>
        </is>
      </c>
      <c r="H1901" s="7" t="inlineStr">
        <is>
          <t>Consumer</t>
        </is>
      </c>
      <c r="I1901" s="7" t="n">
        <v>3</v>
      </c>
      <c r="J1901" s="10" t="n">
        <v>454.34</v>
      </c>
      <c r="K1901" s="11" t="n">
        <v>0.05</v>
      </c>
      <c r="L1901" s="10">
        <f>I1901*J1901*(1-K1901)</f>
        <v/>
      </c>
      <c r="M1901" s="10" t="n">
        <v>1147.5</v>
      </c>
      <c r="N1901" s="10">
        <f>L1901-M1901</f>
        <v/>
      </c>
    </row>
    <row r="1902">
      <c r="A1902" s="7" t="inlineStr">
        <is>
          <t>ORD-00517</t>
        </is>
      </c>
      <c r="B1902" s="8" t="n">
        <v>45347</v>
      </c>
      <c r="C1902" s="9" t="n">
        <v>45323</v>
      </c>
      <c r="D1902" s="7" t="n">
        <v>2024</v>
      </c>
      <c r="E1902" s="7" t="inlineStr">
        <is>
          <t>South</t>
        </is>
      </c>
      <c r="F1902" s="7" t="inlineStr">
        <is>
          <t>Office Supplies</t>
        </is>
      </c>
      <c r="G1902" s="7" t="inlineStr">
        <is>
          <t>Binder</t>
        </is>
      </c>
      <c r="H1902" s="7" t="inlineStr">
        <is>
          <t>Corporate</t>
        </is>
      </c>
      <c r="I1902" s="7" t="n">
        <v>7</v>
      </c>
      <c r="J1902" s="10" t="n">
        <v>8.130000000000001</v>
      </c>
      <c r="K1902" s="11" t="n">
        <v>0.05</v>
      </c>
      <c r="L1902" s="10">
        <f>I1902*J1902*(1-K1902)</f>
        <v/>
      </c>
      <c r="M1902" s="10" t="n">
        <v>22.4</v>
      </c>
      <c r="N1902" s="10">
        <f>L1902-M1902</f>
        <v/>
      </c>
    </row>
    <row r="1903">
      <c r="A1903" s="7" t="inlineStr">
        <is>
          <t>ORD-00374</t>
        </is>
      </c>
      <c r="B1903" s="8" t="n">
        <v>45347</v>
      </c>
      <c r="C1903" s="9" t="n">
        <v>45323</v>
      </c>
      <c r="D1903" s="7" t="n">
        <v>2024</v>
      </c>
      <c r="E1903" s="7" t="inlineStr">
        <is>
          <t>South</t>
        </is>
      </c>
      <c r="F1903" s="7" t="inlineStr">
        <is>
          <t>Furniture</t>
        </is>
      </c>
      <c r="G1903" s="7" t="inlineStr">
        <is>
          <t>Sofa</t>
        </is>
      </c>
      <c r="H1903" s="7" t="inlineStr">
        <is>
          <t>Consumer</t>
        </is>
      </c>
      <c r="I1903" s="7" t="n">
        <v>4</v>
      </c>
      <c r="J1903" s="10" t="n">
        <v>695.2</v>
      </c>
      <c r="K1903" s="11" t="n">
        <v>0.3</v>
      </c>
      <c r="L1903" s="10">
        <f>I1903*J1903*(1-K1903)</f>
        <v/>
      </c>
      <c r="M1903" s="10" t="n">
        <v>2464</v>
      </c>
      <c r="N1903" s="10">
        <f>L1903-M1903</f>
        <v/>
      </c>
    </row>
    <row r="1904">
      <c r="A1904" s="7" t="inlineStr">
        <is>
          <t>ORD-00507</t>
        </is>
      </c>
      <c r="B1904" s="8" t="n">
        <v>45347</v>
      </c>
      <c r="C1904" s="9" t="n">
        <v>45323</v>
      </c>
      <c r="D1904" s="7" t="n">
        <v>2024</v>
      </c>
      <c r="E1904" s="7" t="inlineStr">
        <is>
          <t>North</t>
        </is>
      </c>
      <c r="F1904" s="7" t="inlineStr">
        <is>
          <t>Office Supplies</t>
        </is>
      </c>
      <c r="G1904" s="7" t="inlineStr">
        <is>
          <t>Pens</t>
        </is>
      </c>
      <c r="H1904" s="7" t="inlineStr">
        <is>
          <t>Corporate</t>
        </is>
      </c>
      <c r="I1904" s="7" t="n">
        <v>3</v>
      </c>
      <c r="J1904" s="10" t="n">
        <v>12.21</v>
      </c>
      <c r="K1904" s="11" t="n">
        <v>0.1</v>
      </c>
      <c r="L1904" s="10">
        <f>I1904*J1904*(1-K1904)</f>
        <v/>
      </c>
      <c r="M1904" s="10" t="n">
        <v>16.2</v>
      </c>
      <c r="N1904" s="10">
        <f>L1904-M1904</f>
        <v/>
      </c>
    </row>
    <row r="1905">
      <c r="A1905" s="7" t="inlineStr">
        <is>
          <t>ORD-03025</t>
        </is>
      </c>
      <c r="B1905" s="8" t="n">
        <v>45347</v>
      </c>
      <c r="C1905" s="9" t="n">
        <v>45323</v>
      </c>
      <c r="D1905" s="7" t="n">
        <v>2024</v>
      </c>
      <c r="E1905" s="7" t="inlineStr">
        <is>
          <t>South</t>
        </is>
      </c>
      <c r="F1905" s="7" t="inlineStr">
        <is>
          <t>Office Supplies</t>
        </is>
      </c>
      <c r="G1905" s="7" t="inlineStr">
        <is>
          <t>Paper</t>
        </is>
      </c>
      <c r="H1905" s="7" t="inlineStr">
        <is>
          <t>Home Office</t>
        </is>
      </c>
      <c r="I1905" s="7" t="n">
        <v>12</v>
      </c>
      <c r="J1905" s="10" t="n">
        <v>24.69</v>
      </c>
      <c r="K1905" s="11" t="n">
        <v>0</v>
      </c>
      <c r="L1905" s="10">
        <f>I1905*J1905*(1-K1905)</f>
        <v/>
      </c>
      <c r="M1905" s="10" t="n">
        <v>150</v>
      </c>
      <c r="N1905" s="10">
        <f>L1905-M1905</f>
        <v/>
      </c>
    </row>
    <row r="1906">
      <c r="A1906" s="7" t="inlineStr">
        <is>
          <t>ORD-01582</t>
        </is>
      </c>
      <c r="B1906" s="8" t="n">
        <v>45347</v>
      </c>
      <c r="C1906" s="9" t="n">
        <v>45323</v>
      </c>
      <c r="D1906" s="7" t="n">
        <v>2024</v>
      </c>
      <c r="E1906" s="7" t="inlineStr">
        <is>
          <t>North</t>
        </is>
      </c>
      <c r="F1906" s="7" t="inlineStr">
        <is>
          <t>Furniture</t>
        </is>
      </c>
      <c r="G1906" s="7" t="inlineStr">
        <is>
          <t>Bookcase</t>
        </is>
      </c>
      <c r="H1906" s="7" t="inlineStr">
        <is>
          <t>Consumer</t>
        </is>
      </c>
      <c r="I1906" s="7" t="n">
        <v>4</v>
      </c>
      <c r="J1906" s="10" t="n">
        <v>187.5</v>
      </c>
      <c r="K1906" s="11" t="n">
        <v>0.1</v>
      </c>
      <c r="L1906" s="10">
        <f>I1906*J1906*(1-K1906)</f>
        <v/>
      </c>
      <c r="M1906" s="10" t="n">
        <v>576</v>
      </c>
      <c r="N1906" s="10">
        <f>L1906-M1906</f>
        <v/>
      </c>
    </row>
    <row r="1907">
      <c r="A1907" s="7" t="inlineStr">
        <is>
          <t>ORD-03365</t>
        </is>
      </c>
      <c r="B1907" s="8" t="n">
        <v>45348</v>
      </c>
      <c r="C1907" s="9" t="n">
        <v>45323</v>
      </c>
      <c r="D1907" s="7" t="n">
        <v>2024</v>
      </c>
      <c r="E1907" s="7" t="inlineStr">
        <is>
          <t>South</t>
        </is>
      </c>
      <c r="F1907" s="7" t="inlineStr">
        <is>
          <t>Office Supplies</t>
        </is>
      </c>
      <c r="G1907" s="7" t="inlineStr">
        <is>
          <t>Binder</t>
        </is>
      </c>
      <c r="H1907" s="7" t="inlineStr">
        <is>
          <t>Corporate</t>
        </is>
      </c>
      <c r="I1907" s="7" t="n">
        <v>6</v>
      </c>
      <c r="J1907" s="10" t="n">
        <v>8.279999999999999</v>
      </c>
      <c r="K1907" s="11" t="n">
        <v>0.2</v>
      </c>
      <c r="L1907" s="10">
        <f>I1907*J1907*(1-K1907)</f>
        <v/>
      </c>
      <c r="M1907" s="10" t="n">
        <v>19.2</v>
      </c>
      <c r="N1907" s="10">
        <f>L1907-M1907</f>
        <v/>
      </c>
    </row>
    <row r="1908">
      <c r="A1908" s="7" t="inlineStr">
        <is>
          <t>ORD-01217</t>
        </is>
      </c>
      <c r="B1908" s="8" t="n">
        <v>45348</v>
      </c>
      <c r="C1908" s="9" t="n">
        <v>45323</v>
      </c>
      <c r="D1908" s="7" t="n">
        <v>2024</v>
      </c>
      <c r="E1908" s="7" t="inlineStr">
        <is>
          <t>South</t>
        </is>
      </c>
      <c r="F1908" s="7" t="inlineStr">
        <is>
          <t>Office Supplies</t>
        </is>
      </c>
      <c r="G1908" s="7" t="inlineStr">
        <is>
          <t>Printer Ink</t>
        </is>
      </c>
      <c r="H1908" s="7" t="inlineStr">
        <is>
          <t>Home Office</t>
        </is>
      </c>
      <c r="I1908" s="7" t="n">
        <v>11</v>
      </c>
      <c r="J1908" s="10" t="n">
        <v>62.35</v>
      </c>
      <c r="K1908" s="11" t="n">
        <v>0.3</v>
      </c>
      <c r="L1908" s="10">
        <f>I1908*J1908*(1-K1908)</f>
        <v/>
      </c>
      <c r="M1908" s="10" t="n">
        <v>396</v>
      </c>
      <c r="N1908" s="10">
        <f>L1908-M1908</f>
        <v/>
      </c>
    </row>
    <row r="1909">
      <c r="A1909" s="7" t="inlineStr">
        <is>
          <t>ORD-02220</t>
        </is>
      </c>
      <c r="B1909" s="8" t="n">
        <v>45348</v>
      </c>
      <c r="C1909" s="9" t="n">
        <v>45323</v>
      </c>
      <c r="D1909" s="7" t="n">
        <v>2024</v>
      </c>
      <c r="E1909" s="7" t="inlineStr">
        <is>
          <t>South</t>
        </is>
      </c>
      <c r="F1909" s="7" t="inlineStr">
        <is>
          <t>Office Supplies</t>
        </is>
      </c>
      <c r="G1909" s="7" t="inlineStr">
        <is>
          <t>Stapler</t>
        </is>
      </c>
      <c r="H1909" s="7" t="inlineStr">
        <is>
          <t>Consumer</t>
        </is>
      </c>
      <c r="I1909" s="7" t="n">
        <v>8</v>
      </c>
      <c r="J1909" s="10" t="n">
        <v>14.25</v>
      </c>
      <c r="K1909" s="11" t="n">
        <v>0.3</v>
      </c>
      <c r="L1909" s="10">
        <f>I1909*J1909*(1-K1909)</f>
        <v/>
      </c>
      <c r="M1909" s="10" t="n">
        <v>60</v>
      </c>
      <c r="N1909" s="10">
        <f>L1909-M1909</f>
        <v/>
      </c>
    </row>
    <row r="1910">
      <c r="A1910" s="7" t="inlineStr">
        <is>
          <t>ORD-02137</t>
        </is>
      </c>
      <c r="B1910" s="8" t="n">
        <v>45348</v>
      </c>
      <c r="C1910" s="9" t="n">
        <v>45323</v>
      </c>
      <c r="D1910" s="7" t="n">
        <v>2024</v>
      </c>
      <c r="E1910" s="7" t="inlineStr">
        <is>
          <t>East</t>
        </is>
      </c>
      <c r="F1910" s="7" t="inlineStr">
        <is>
          <t>Technology</t>
        </is>
      </c>
      <c r="G1910" s="7" t="inlineStr">
        <is>
          <t>Laptop</t>
        </is>
      </c>
      <c r="H1910" s="7" t="inlineStr">
        <is>
          <t>Corporate</t>
        </is>
      </c>
      <c r="I1910" s="7" t="n">
        <v>3</v>
      </c>
      <c r="J1910" s="10" t="n">
        <v>909.77</v>
      </c>
      <c r="K1910" s="11" t="n">
        <v>0</v>
      </c>
      <c r="L1910" s="10">
        <f>I1910*J1910*(1-K1910)</f>
        <v/>
      </c>
      <c r="M1910" s="10" t="n">
        <v>2106</v>
      </c>
      <c r="N1910" s="10">
        <f>L1910-M1910</f>
        <v/>
      </c>
    </row>
    <row r="1911">
      <c r="A1911" s="7" t="inlineStr">
        <is>
          <t>ORD-04023</t>
        </is>
      </c>
      <c r="B1911" s="8" t="n">
        <v>45348</v>
      </c>
      <c r="C1911" s="9" t="n">
        <v>45323</v>
      </c>
      <c r="D1911" s="7" t="n">
        <v>2024</v>
      </c>
      <c r="E1911" s="7" t="inlineStr">
        <is>
          <t>West</t>
        </is>
      </c>
      <c r="F1911" s="7" t="inlineStr">
        <is>
          <t>Office Supplies</t>
        </is>
      </c>
      <c r="G1911" s="7" t="inlineStr">
        <is>
          <t>Printer Ink</t>
        </is>
      </c>
      <c r="H1911" s="7" t="inlineStr">
        <is>
          <t>Home Office</t>
        </is>
      </c>
      <c r="I1911" s="7" t="n">
        <v>11</v>
      </c>
      <c r="J1911" s="10" t="n">
        <v>58.2</v>
      </c>
      <c r="K1911" s="11" t="n">
        <v>0.1</v>
      </c>
      <c r="L1911" s="10">
        <f>I1911*J1911*(1-K1911)</f>
        <v/>
      </c>
      <c r="M1911" s="10" t="n">
        <v>396</v>
      </c>
      <c r="N1911" s="10">
        <f>L1911-M1911</f>
        <v/>
      </c>
    </row>
    <row r="1912">
      <c r="A1912" s="7" t="inlineStr">
        <is>
          <t>ORD-04442</t>
        </is>
      </c>
      <c r="B1912" s="8" t="n">
        <v>45348</v>
      </c>
      <c r="C1912" s="9" t="n">
        <v>45323</v>
      </c>
      <c r="D1912" s="7" t="n">
        <v>2024</v>
      </c>
      <c r="E1912" s="7" t="inlineStr">
        <is>
          <t>East</t>
        </is>
      </c>
      <c r="F1912" s="7" t="inlineStr">
        <is>
          <t>Office Supplies</t>
        </is>
      </c>
      <c r="G1912" s="7" t="inlineStr">
        <is>
          <t>Printer Ink</t>
        </is>
      </c>
      <c r="H1912" s="7" t="inlineStr">
        <is>
          <t>Home Office</t>
        </is>
      </c>
      <c r="I1912" s="7" t="n">
        <v>11</v>
      </c>
      <c r="J1912" s="10" t="n">
        <v>60.15</v>
      </c>
      <c r="K1912" s="11" t="n">
        <v>0.3</v>
      </c>
      <c r="L1912" s="10">
        <f>I1912*J1912*(1-K1912)</f>
        <v/>
      </c>
      <c r="M1912" s="10" t="n">
        <v>396</v>
      </c>
      <c r="N1912" s="10">
        <f>L1912-M1912</f>
        <v/>
      </c>
    </row>
    <row r="1913">
      <c r="A1913" s="7" t="inlineStr">
        <is>
          <t>ORD-05370</t>
        </is>
      </c>
      <c r="B1913" s="8" t="n">
        <v>45349</v>
      </c>
      <c r="C1913" s="9" t="n">
        <v>45323</v>
      </c>
      <c r="D1913" s="7" t="n">
        <v>2024</v>
      </c>
      <c r="E1913" s="7" t="inlineStr">
        <is>
          <t>South</t>
        </is>
      </c>
      <c r="F1913" s="7" t="inlineStr">
        <is>
          <t>Technology</t>
        </is>
      </c>
      <c r="G1913" s="7" t="inlineStr">
        <is>
          <t>Laptop</t>
        </is>
      </c>
      <c r="H1913" s="7" t="inlineStr">
        <is>
          <t>Consumer</t>
        </is>
      </c>
      <c r="I1913" s="7" t="n">
        <v>1</v>
      </c>
      <c r="J1913" s="10" t="n">
        <v>886.26</v>
      </c>
      <c r="K1913" s="11" t="n">
        <v>0</v>
      </c>
      <c r="L1913" s="10">
        <f>I1913*J1913*(1-K1913)</f>
        <v/>
      </c>
      <c r="M1913" s="10" t="n">
        <v>702</v>
      </c>
      <c r="N1913" s="10">
        <f>L1913-M1913</f>
        <v/>
      </c>
    </row>
    <row r="1914">
      <c r="A1914" s="7" t="inlineStr">
        <is>
          <t>ORD-03961</t>
        </is>
      </c>
      <c r="B1914" s="8" t="n">
        <v>45349</v>
      </c>
      <c r="C1914" s="9" t="n">
        <v>45323</v>
      </c>
      <c r="D1914" s="7" t="n">
        <v>2024</v>
      </c>
      <c r="E1914" s="7" t="inlineStr">
        <is>
          <t>East</t>
        </is>
      </c>
      <c r="F1914" s="7" t="inlineStr">
        <is>
          <t>Technology</t>
        </is>
      </c>
      <c r="G1914" s="7" t="inlineStr">
        <is>
          <t>Keyboard</t>
        </is>
      </c>
      <c r="H1914" s="7" t="inlineStr">
        <is>
          <t>Corporate</t>
        </is>
      </c>
      <c r="I1914" s="7" t="n">
        <v>3</v>
      </c>
      <c r="J1914" s="10" t="n">
        <v>44.36</v>
      </c>
      <c r="K1914" s="11" t="n">
        <v>0</v>
      </c>
      <c r="L1914" s="10">
        <f>I1914*J1914*(1-K1914)</f>
        <v/>
      </c>
      <c r="M1914" s="10" t="n">
        <v>74.25</v>
      </c>
      <c r="N1914" s="10">
        <f>L1914-M1914</f>
        <v/>
      </c>
    </row>
    <row r="1915">
      <c r="A1915" s="7" t="inlineStr">
        <is>
          <t>ORD-02764</t>
        </is>
      </c>
      <c r="B1915" s="8" t="n">
        <v>45349</v>
      </c>
      <c r="C1915" s="9" t="n">
        <v>45323</v>
      </c>
      <c r="D1915" s="7" t="n">
        <v>2024</v>
      </c>
      <c r="E1915" s="7" t="inlineStr">
        <is>
          <t>South</t>
        </is>
      </c>
      <c r="F1915" s="7" t="inlineStr">
        <is>
          <t>Office Supplies</t>
        </is>
      </c>
      <c r="G1915" s="7" t="inlineStr">
        <is>
          <t>Printer Ink</t>
        </is>
      </c>
      <c r="H1915" s="7" t="inlineStr">
        <is>
          <t>Consumer</t>
        </is>
      </c>
      <c r="I1915" s="7" t="n">
        <v>9</v>
      </c>
      <c r="J1915" s="10" t="n">
        <v>57.97</v>
      </c>
      <c r="K1915" s="11" t="n">
        <v>0</v>
      </c>
      <c r="L1915" s="10">
        <f>I1915*J1915*(1-K1915)</f>
        <v/>
      </c>
      <c r="M1915" s="10" t="n">
        <v>324</v>
      </c>
      <c r="N1915" s="10">
        <f>L1915-M1915</f>
        <v/>
      </c>
    </row>
    <row r="1916">
      <c r="A1916" s="7" t="inlineStr">
        <is>
          <t>ORD-01895</t>
        </is>
      </c>
      <c r="B1916" s="8" t="n">
        <v>45350</v>
      </c>
      <c r="C1916" s="9" t="n">
        <v>45323</v>
      </c>
      <c r="D1916" s="7" t="n">
        <v>2024</v>
      </c>
      <c r="E1916" s="7" t="inlineStr">
        <is>
          <t>East</t>
        </is>
      </c>
      <c r="F1916" s="7" t="inlineStr">
        <is>
          <t>Office Supplies</t>
        </is>
      </c>
      <c r="G1916" s="7" t="inlineStr">
        <is>
          <t>Binder</t>
        </is>
      </c>
      <c r="H1916" s="7" t="inlineStr">
        <is>
          <t>Consumer</t>
        </is>
      </c>
      <c r="I1916" s="7" t="n">
        <v>13</v>
      </c>
      <c r="J1916" s="10" t="n">
        <v>7.63</v>
      </c>
      <c r="K1916" s="11" t="n">
        <v>0.1</v>
      </c>
      <c r="L1916" s="10">
        <f>I1916*J1916*(1-K1916)</f>
        <v/>
      </c>
      <c r="M1916" s="10" t="n">
        <v>41.6</v>
      </c>
      <c r="N1916" s="10">
        <f>L1916-M1916</f>
        <v/>
      </c>
    </row>
    <row r="1917">
      <c r="A1917" s="7" t="inlineStr">
        <is>
          <t>ORD-04795</t>
        </is>
      </c>
      <c r="B1917" s="8" t="n">
        <v>45350</v>
      </c>
      <c r="C1917" s="9" t="n">
        <v>45323</v>
      </c>
      <c r="D1917" s="7" t="n">
        <v>2024</v>
      </c>
      <c r="E1917" s="7" t="inlineStr">
        <is>
          <t>West</t>
        </is>
      </c>
      <c r="F1917" s="7" t="inlineStr">
        <is>
          <t>Technology</t>
        </is>
      </c>
      <c r="G1917" s="7" t="inlineStr">
        <is>
          <t>Keyboard</t>
        </is>
      </c>
      <c r="H1917" s="7" t="inlineStr">
        <is>
          <t>Corporate</t>
        </is>
      </c>
      <c r="I1917" s="7" t="n">
        <v>1</v>
      </c>
      <c r="J1917" s="10" t="n">
        <v>45.42</v>
      </c>
      <c r="K1917" s="11" t="n">
        <v>0.1</v>
      </c>
      <c r="L1917" s="10">
        <f>I1917*J1917*(1-K1917)</f>
        <v/>
      </c>
      <c r="M1917" s="10" t="n">
        <v>24.75</v>
      </c>
      <c r="N1917" s="10">
        <f>L1917-M1917</f>
        <v/>
      </c>
    </row>
    <row r="1918">
      <c r="A1918" s="7" t="inlineStr">
        <is>
          <t>ORD-04731</t>
        </is>
      </c>
      <c r="B1918" s="8" t="n">
        <v>45350</v>
      </c>
      <c r="C1918" s="9" t="n">
        <v>45323</v>
      </c>
      <c r="D1918" s="7" t="n">
        <v>2024</v>
      </c>
      <c r="E1918" s="7" t="inlineStr">
        <is>
          <t>East</t>
        </is>
      </c>
      <c r="F1918" s="7" t="inlineStr">
        <is>
          <t>Technology</t>
        </is>
      </c>
      <c r="G1918" s="7" t="inlineStr">
        <is>
          <t>Smartphone</t>
        </is>
      </c>
      <c r="H1918" s="7" t="inlineStr">
        <is>
          <t>Consumer</t>
        </is>
      </c>
      <c r="I1918" s="7" t="n">
        <v>3</v>
      </c>
      <c r="J1918" s="10" t="n">
        <v>622.74</v>
      </c>
      <c r="K1918" s="11" t="n">
        <v>0.05</v>
      </c>
      <c r="L1918" s="10">
        <f>I1918*J1918*(1-K1918)</f>
        <v/>
      </c>
      <c r="M1918" s="10" t="n">
        <v>1350</v>
      </c>
      <c r="N1918" s="10">
        <f>L1918-M1918</f>
        <v/>
      </c>
    </row>
    <row r="1919">
      <c r="A1919" s="7" t="inlineStr">
        <is>
          <t>ORD-00184</t>
        </is>
      </c>
      <c r="B1919" s="8" t="n">
        <v>45350</v>
      </c>
      <c r="C1919" s="9" t="n">
        <v>45323</v>
      </c>
      <c r="D1919" s="7" t="n">
        <v>2024</v>
      </c>
      <c r="E1919" s="7" t="inlineStr">
        <is>
          <t>South</t>
        </is>
      </c>
      <c r="F1919" s="7" t="inlineStr">
        <is>
          <t>Office Supplies</t>
        </is>
      </c>
      <c r="G1919" s="7" t="inlineStr">
        <is>
          <t>Pens</t>
        </is>
      </c>
      <c r="H1919" s="7" t="inlineStr">
        <is>
          <t>Corporate</t>
        </is>
      </c>
      <c r="I1919" s="7" t="n">
        <v>14</v>
      </c>
      <c r="J1919" s="10" t="n">
        <v>12.15</v>
      </c>
      <c r="K1919" s="11" t="n">
        <v>0.3</v>
      </c>
      <c r="L1919" s="10">
        <f>I1919*J1919*(1-K1919)</f>
        <v/>
      </c>
      <c r="M1919" s="10" t="n">
        <v>75.59999999999999</v>
      </c>
      <c r="N1919" s="10">
        <f>L1919-M1919</f>
        <v/>
      </c>
    </row>
    <row r="1920">
      <c r="A1920" s="7" t="inlineStr">
        <is>
          <t>ORD-00494</t>
        </is>
      </c>
      <c r="B1920" s="8" t="n">
        <v>45350</v>
      </c>
      <c r="C1920" s="9" t="n">
        <v>45323</v>
      </c>
      <c r="D1920" s="7" t="n">
        <v>2024</v>
      </c>
      <c r="E1920" s="7" t="inlineStr">
        <is>
          <t>West</t>
        </is>
      </c>
      <c r="F1920" s="7" t="inlineStr">
        <is>
          <t>Office Supplies</t>
        </is>
      </c>
      <c r="G1920" s="7" t="inlineStr">
        <is>
          <t>Printer Ink</t>
        </is>
      </c>
      <c r="H1920" s="7" t="inlineStr">
        <is>
          <t>Home Office</t>
        </is>
      </c>
      <c r="I1920" s="7" t="n">
        <v>9</v>
      </c>
      <c r="J1920" s="10" t="n">
        <v>61.07</v>
      </c>
      <c r="K1920" s="11" t="n">
        <v>0</v>
      </c>
      <c r="L1920" s="10">
        <f>I1920*J1920*(1-K1920)</f>
        <v/>
      </c>
      <c r="M1920" s="10" t="n">
        <v>324</v>
      </c>
      <c r="N1920" s="10">
        <f>L1920-M1920</f>
        <v/>
      </c>
    </row>
    <row r="1921">
      <c r="A1921" s="7" t="inlineStr">
        <is>
          <t>ORD-05043</t>
        </is>
      </c>
      <c r="B1921" s="8" t="n">
        <v>45350</v>
      </c>
      <c r="C1921" s="9" t="n">
        <v>45323</v>
      </c>
      <c r="D1921" s="7" t="n">
        <v>2024</v>
      </c>
      <c r="E1921" s="7" t="inlineStr">
        <is>
          <t>South</t>
        </is>
      </c>
      <c r="F1921" s="7" t="inlineStr">
        <is>
          <t>Technology</t>
        </is>
      </c>
      <c r="G1921" s="7" t="inlineStr">
        <is>
          <t>Keyboard</t>
        </is>
      </c>
      <c r="H1921" s="7" t="inlineStr">
        <is>
          <t>Consumer</t>
        </is>
      </c>
      <c r="I1921" s="7" t="n">
        <v>2</v>
      </c>
      <c r="J1921" s="10" t="n">
        <v>43.25</v>
      </c>
      <c r="K1921" s="11" t="n">
        <v>0.3</v>
      </c>
      <c r="L1921" s="10">
        <f>I1921*J1921*(1-K1921)</f>
        <v/>
      </c>
      <c r="M1921" s="10" t="n">
        <v>49.5</v>
      </c>
      <c r="N1921" s="10">
        <f>L1921-M1921</f>
        <v/>
      </c>
    </row>
    <row r="1922">
      <c r="A1922" s="7" t="inlineStr">
        <is>
          <t>ORD-03086</t>
        </is>
      </c>
      <c r="B1922" s="8" t="n">
        <v>45350</v>
      </c>
      <c r="C1922" s="9" t="n">
        <v>45323</v>
      </c>
      <c r="D1922" s="7" t="n">
        <v>2024</v>
      </c>
      <c r="E1922" s="7" t="inlineStr">
        <is>
          <t>West</t>
        </is>
      </c>
      <c r="F1922" s="7" t="inlineStr">
        <is>
          <t>Furniture</t>
        </is>
      </c>
      <c r="G1922" s="7" t="inlineStr">
        <is>
          <t>Desk</t>
        </is>
      </c>
      <c r="H1922" s="7" t="inlineStr">
        <is>
          <t>Home Office</t>
        </is>
      </c>
      <c r="I1922" s="7" t="n">
        <v>2</v>
      </c>
      <c r="J1922" s="10" t="n">
        <v>432.3</v>
      </c>
      <c r="K1922" s="11" t="n">
        <v>0</v>
      </c>
      <c r="L1922" s="10">
        <f>I1922*J1922*(1-K1922)</f>
        <v/>
      </c>
      <c r="M1922" s="10" t="n">
        <v>765</v>
      </c>
      <c r="N1922" s="10">
        <f>L1922-M1922</f>
        <v/>
      </c>
    </row>
    <row r="1923">
      <c r="A1923" s="7" t="inlineStr">
        <is>
          <t>ORD-00484</t>
        </is>
      </c>
      <c r="B1923" s="8" t="n">
        <v>45351</v>
      </c>
      <c r="C1923" s="9" t="n">
        <v>45323</v>
      </c>
      <c r="D1923" s="7" t="n">
        <v>2024</v>
      </c>
      <c r="E1923" s="7" t="inlineStr">
        <is>
          <t>South</t>
        </is>
      </c>
      <c r="F1923" s="7" t="inlineStr">
        <is>
          <t>Office Supplies</t>
        </is>
      </c>
      <c r="G1923" s="7" t="inlineStr">
        <is>
          <t>Binder</t>
        </is>
      </c>
      <c r="H1923" s="7" t="inlineStr">
        <is>
          <t>Home Office</t>
        </is>
      </c>
      <c r="I1923" s="7" t="n">
        <v>2</v>
      </c>
      <c r="J1923" s="10" t="n">
        <v>8.359999999999999</v>
      </c>
      <c r="K1923" s="11" t="n">
        <v>0</v>
      </c>
      <c r="L1923" s="10">
        <f>I1923*J1923*(1-K1923)</f>
        <v/>
      </c>
      <c r="M1923" s="10" t="n">
        <v>6.4</v>
      </c>
      <c r="N1923" s="10">
        <f>L1923-M1923</f>
        <v/>
      </c>
    </row>
    <row r="1924">
      <c r="A1924" s="7" t="inlineStr">
        <is>
          <t>ORD-04532</t>
        </is>
      </c>
      <c r="B1924" s="8" t="n">
        <v>45352</v>
      </c>
      <c r="C1924" s="9" t="n">
        <v>45352</v>
      </c>
      <c r="D1924" s="7" t="n">
        <v>2024</v>
      </c>
      <c r="E1924" s="7" t="inlineStr">
        <is>
          <t>West</t>
        </is>
      </c>
      <c r="F1924" s="7" t="inlineStr">
        <is>
          <t>Office Supplies</t>
        </is>
      </c>
      <c r="G1924" s="7" t="inlineStr">
        <is>
          <t>Pens</t>
        </is>
      </c>
      <c r="H1924" s="7" t="inlineStr">
        <is>
          <t>Consumer</t>
        </is>
      </c>
      <c r="I1924" s="7" t="n">
        <v>15</v>
      </c>
      <c r="J1924" s="10" t="n">
        <v>11.7</v>
      </c>
      <c r="K1924" s="11" t="n">
        <v>0</v>
      </c>
      <c r="L1924" s="10">
        <f>I1924*J1924*(1-K1924)</f>
        <v/>
      </c>
      <c r="M1924" s="10" t="n">
        <v>81</v>
      </c>
      <c r="N1924" s="10">
        <f>L1924-M1924</f>
        <v/>
      </c>
    </row>
    <row r="1925">
      <c r="A1925" s="7" t="inlineStr">
        <is>
          <t>ORD-00793</t>
        </is>
      </c>
      <c r="B1925" s="8" t="n">
        <v>45352</v>
      </c>
      <c r="C1925" s="9" t="n">
        <v>45352</v>
      </c>
      <c r="D1925" s="7" t="n">
        <v>2024</v>
      </c>
      <c r="E1925" s="7" t="inlineStr">
        <is>
          <t>South</t>
        </is>
      </c>
      <c r="F1925" s="7" t="inlineStr">
        <is>
          <t>Office Supplies</t>
        </is>
      </c>
      <c r="G1925" s="7" t="inlineStr">
        <is>
          <t>Binder</t>
        </is>
      </c>
      <c r="H1925" s="7" t="inlineStr">
        <is>
          <t>Consumer</t>
        </is>
      </c>
      <c r="I1925" s="7" t="n">
        <v>9</v>
      </c>
      <c r="J1925" s="10" t="n">
        <v>8.380000000000001</v>
      </c>
      <c r="K1925" s="11" t="n">
        <v>0</v>
      </c>
      <c r="L1925" s="10">
        <f>I1925*J1925*(1-K1925)</f>
        <v/>
      </c>
      <c r="M1925" s="10" t="n">
        <v>28.8</v>
      </c>
      <c r="N1925" s="10">
        <f>L1925-M1925</f>
        <v/>
      </c>
    </row>
    <row r="1926">
      <c r="A1926" s="7" t="inlineStr">
        <is>
          <t>ORD-02863</t>
        </is>
      </c>
      <c r="B1926" s="8" t="n">
        <v>45352</v>
      </c>
      <c r="C1926" s="9" t="n">
        <v>45352</v>
      </c>
      <c r="D1926" s="7" t="n">
        <v>2024</v>
      </c>
      <c r="E1926" s="7" t="inlineStr">
        <is>
          <t>North</t>
        </is>
      </c>
      <c r="F1926" s="7" t="inlineStr">
        <is>
          <t>Technology</t>
        </is>
      </c>
      <c r="G1926" s="7" t="inlineStr">
        <is>
          <t>Monitor</t>
        </is>
      </c>
      <c r="H1926" s="7" t="inlineStr">
        <is>
          <t>Consumer</t>
        </is>
      </c>
      <c r="I1926" s="7" t="n">
        <v>1</v>
      </c>
      <c r="J1926" s="10" t="n">
        <v>250.34</v>
      </c>
      <c r="K1926" s="11" t="n">
        <v>0.05</v>
      </c>
      <c r="L1926" s="10">
        <f>I1926*J1926*(1-K1926)</f>
        <v/>
      </c>
      <c r="M1926" s="10" t="n">
        <v>180</v>
      </c>
      <c r="N1926" s="10">
        <f>L1926-M1926</f>
        <v/>
      </c>
    </row>
    <row r="1927">
      <c r="A1927" s="7" t="inlineStr">
        <is>
          <t>ORD-00802</t>
        </is>
      </c>
      <c r="B1927" s="8" t="n">
        <v>45352</v>
      </c>
      <c r="C1927" s="9" t="n">
        <v>45352</v>
      </c>
      <c r="D1927" s="7" t="n">
        <v>2024</v>
      </c>
      <c r="E1927" s="7" t="inlineStr">
        <is>
          <t>South</t>
        </is>
      </c>
      <c r="F1927" s="7" t="inlineStr">
        <is>
          <t>Technology</t>
        </is>
      </c>
      <c r="G1927" s="7" t="inlineStr">
        <is>
          <t>Smartphone</t>
        </is>
      </c>
      <c r="H1927" s="7" t="inlineStr">
        <is>
          <t>Corporate</t>
        </is>
      </c>
      <c r="I1927" s="7" t="n">
        <v>3</v>
      </c>
      <c r="J1927" s="10" t="n">
        <v>583.61</v>
      </c>
      <c r="K1927" s="11" t="n">
        <v>0.1</v>
      </c>
      <c r="L1927" s="10">
        <f>I1927*J1927*(1-K1927)</f>
        <v/>
      </c>
      <c r="M1927" s="10" t="n">
        <v>1350</v>
      </c>
      <c r="N1927" s="10">
        <f>L1927-M1927</f>
        <v/>
      </c>
    </row>
    <row r="1928">
      <c r="A1928" s="7" t="inlineStr">
        <is>
          <t>ORD-03655</t>
        </is>
      </c>
      <c r="B1928" s="8" t="n">
        <v>45352</v>
      </c>
      <c r="C1928" s="9" t="n">
        <v>45352</v>
      </c>
      <c r="D1928" s="7" t="n">
        <v>2024</v>
      </c>
      <c r="E1928" s="7" t="inlineStr">
        <is>
          <t>North</t>
        </is>
      </c>
      <c r="F1928" s="7" t="inlineStr">
        <is>
          <t>Technology</t>
        </is>
      </c>
      <c r="G1928" s="7" t="inlineStr">
        <is>
          <t>Monitor</t>
        </is>
      </c>
      <c r="H1928" s="7" t="inlineStr">
        <is>
          <t>Consumer</t>
        </is>
      </c>
      <c r="I1928" s="7" t="n">
        <v>1</v>
      </c>
      <c r="J1928" s="10" t="n">
        <v>256.76</v>
      </c>
      <c r="K1928" s="11" t="n">
        <v>0.05</v>
      </c>
      <c r="L1928" s="10">
        <f>I1928*J1928*(1-K1928)</f>
        <v/>
      </c>
      <c r="M1928" s="10" t="n">
        <v>180</v>
      </c>
      <c r="N1928" s="10">
        <f>L1928-M1928</f>
        <v/>
      </c>
    </row>
    <row r="1929">
      <c r="A1929" s="7" t="inlineStr">
        <is>
          <t>ORD-01136</t>
        </is>
      </c>
      <c r="B1929" s="8" t="n">
        <v>45353</v>
      </c>
      <c r="C1929" s="9" t="n">
        <v>45352</v>
      </c>
      <c r="D1929" s="7" t="n">
        <v>2024</v>
      </c>
      <c r="E1929" s="7" t="inlineStr">
        <is>
          <t>South</t>
        </is>
      </c>
      <c r="F1929" s="7" t="inlineStr">
        <is>
          <t>Office Supplies</t>
        </is>
      </c>
      <c r="G1929" s="7" t="inlineStr">
        <is>
          <t>Pens</t>
        </is>
      </c>
      <c r="H1929" s="7" t="inlineStr">
        <is>
          <t>Home Office</t>
        </is>
      </c>
      <c r="I1929" s="7" t="n">
        <v>11</v>
      </c>
      <c r="J1929" s="10" t="n">
        <v>12.07</v>
      </c>
      <c r="K1929" s="11" t="n">
        <v>0.2</v>
      </c>
      <c r="L1929" s="10">
        <f>I1929*J1929*(1-K1929)</f>
        <v/>
      </c>
      <c r="M1929" s="10" t="n">
        <v>59.4</v>
      </c>
      <c r="N1929" s="10">
        <f>L1929-M1929</f>
        <v/>
      </c>
    </row>
    <row r="1930">
      <c r="A1930" s="7" t="inlineStr">
        <is>
          <t>ORD-00788</t>
        </is>
      </c>
      <c r="B1930" s="8" t="n">
        <v>45353</v>
      </c>
      <c r="C1930" s="9" t="n">
        <v>45352</v>
      </c>
      <c r="D1930" s="7" t="n">
        <v>2024</v>
      </c>
      <c r="E1930" s="7" t="inlineStr">
        <is>
          <t>South</t>
        </is>
      </c>
      <c r="F1930" s="7" t="inlineStr">
        <is>
          <t>Technology</t>
        </is>
      </c>
      <c r="G1930" s="7" t="inlineStr">
        <is>
          <t>Laptop</t>
        </is>
      </c>
      <c r="H1930" s="7" t="inlineStr">
        <is>
          <t>Corporate</t>
        </is>
      </c>
      <c r="I1930" s="7" t="n">
        <v>3</v>
      </c>
      <c r="J1930" s="10" t="n">
        <v>855.05</v>
      </c>
      <c r="K1930" s="11" t="n">
        <v>0</v>
      </c>
      <c r="L1930" s="10">
        <f>I1930*J1930*(1-K1930)</f>
        <v/>
      </c>
      <c r="M1930" s="10" t="n">
        <v>2106</v>
      </c>
      <c r="N1930" s="10">
        <f>L1930-M1930</f>
        <v/>
      </c>
    </row>
    <row r="1931">
      <c r="A1931" s="7" t="inlineStr">
        <is>
          <t>ORD-04968</t>
        </is>
      </c>
      <c r="B1931" s="8" t="n">
        <v>45353</v>
      </c>
      <c r="C1931" s="9" t="n">
        <v>45352</v>
      </c>
      <c r="D1931" s="7" t="n">
        <v>2024</v>
      </c>
      <c r="E1931" s="7" t="inlineStr">
        <is>
          <t>North</t>
        </is>
      </c>
      <c r="F1931" s="7" t="inlineStr">
        <is>
          <t>Office Supplies</t>
        </is>
      </c>
      <c r="G1931" s="7" t="inlineStr">
        <is>
          <t>Paper</t>
        </is>
      </c>
      <c r="H1931" s="7" t="inlineStr">
        <is>
          <t>Consumer</t>
        </is>
      </c>
      <c r="I1931" s="7" t="n">
        <v>5</v>
      </c>
      <c r="J1931" s="10" t="n">
        <v>23.76</v>
      </c>
      <c r="K1931" s="11" t="n">
        <v>0.05</v>
      </c>
      <c r="L1931" s="10">
        <f>I1931*J1931*(1-K1931)</f>
        <v/>
      </c>
      <c r="M1931" s="10" t="n">
        <v>62.5</v>
      </c>
      <c r="N1931" s="10">
        <f>L1931-M1931</f>
        <v/>
      </c>
    </row>
    <row r="1932">
      <c r="A1932" s="7" t="inlineStr">
        <is>
          <t>ORD-03361</t>
        </is>
      </c>
      <c r="B1932" s="8" t="n">
        <v>45353</v>
      </c>
      <c r="C1932" s="9" t="n">
        <v>45352</v>
      </c>
      <c r="D1932" s="7" t="n">
        <v>2024</v>
      </c>
      <c r="E1932" s="7" t="inlineStr">
        <is>
          <t>West</t>
        </is>
      </c>
      <c r="F1932" s="7" t="inlineStr">
        <is>
          <t>Technology</t>
        </is>
      </c>
      <c r="G1932" s="7" t="inlineStr">
        <is>
          <t>Headphones</t>
        </is>
      </c>
      <c r="H1932" s="7" t="inlineStr">
        <is>
          <t>Home Office</t>
        </is>
      </c>
      <c r="I1932" s="7" t="n">
        <v>3</v>
      </c>
      <c r="J1932" s="10" t="n">
        <v>122.87</v>
      </c>
      <c r="K1932" s="11" t="n">
        <v>0</v>
      </c>
      <c r="L1932" s="10">
        <f>I1932*J1932*(1-K1932)</f>
        <v/>
      </c>
      <c r="M1932" s="10" t="n">
        <v>216</v>
      </c>
      <c r="N1932" s="10">
        <f>L1932-M1932</f>
        <v/>
      </c>
    </row>
    <row r="1933">
      <c r="A1933" s="7" t="inlineStr">
        <is>
          <t>ORD-00277</t>
        </is>
      </c>
      <c r="B1933" s="8" t="n">
        <v>45353</v>
      </c>
      <c r="C1933" s="9" t="n">
        <v>45352</v>
      </c>
      <c r="D1933" s="7" t="n">
        <v>2024</v>
      </c>
      <c r="E1933" s="7" t="inlineStr">
        <is>
          <t>West</t>
        </is>
      </c>
      <c r="F1933" s="7" t="inlineStr">
        <is>
          <t>Furniture</t>
        </is>
      </c>
      <c r="G1933" s="7" t="inlineStr">
        <is>
          <t>Office Chair</t>
        </is>
      </c>
      <c r="H1933" s="7" t="inlineStr">
        <is>
          <t>Home Office</t>
        </is>
      </c>
      <c r="I1933" s="7" t="n">
        <v>4</v>
      </c>
      <c r="J1933" s="10" t="n">
        <v>219.33</v>
      </c>
      <c r="K1933" s="11" t="n">
        <v>0</v>
      </c>
      <c r="L1933" s="10">
        <f>I1933*J1933*(1-K1933)</f>
        <v/>
      </c>
      <c r="M1933" s="10" t="n">
        <v>721.6</v>
      </c>
      <c r="N1933" s="10">
        <f>L1933-M1933</f>
        <v/>
      </c>
    </row>
    <row r="1934">
      <c r="A1934" s="7" t="inlineStr">
        <is>
          <t>ORD-04119</t>
        </is>
      </c>
      <c r="B1934" s="8" t="n">
        <v>45353</v>
      </c>
      <c r="C1934" s="9" t="n">
        <v>45352</v>
      </c>
      <c r="D1934" s="7" t="n">
        <v>2024</v>
      </c>
      <c r="E1934" s="7" t="inlineStr">
        <is>
          <t>East</t>
        </is>
      </c>
      <c r="F1934" s="7" t="inlineStr">
        <is>
          <t>Office Supplies</t>
        </is>
      </c>
      <c r="G1934" s="7" t="inlineStr">
        <is>
          <t>Pens</t>
        </is>
      </c>
      <c r="H1934" s="7" t="inlineStr">
        <is>
          <t>Home Office</t>
        </is>
      </c>
      <c r="I1934" s="7" t="n">
        <v>6</v>
      </c>
      <c r="J1934" s="10" t="n">
        <v>11.49</v>
      </c>
      <c r="K1934" s="11" t="n">
        <v>0.05</v>
      </c>
      <c r="L1934" s="10">
        <f>I1934*J1934*(1-K1934)</f>
        <v/>
      </c>
      <c r="M1934" s="10" t="n">
        <v>32.4</v>
      </c>
      <c r="N1934" s="10">
        <f>L1934-M1934</f>
        <v/>
      </c>
    </row>
    <row r="1935">
      <c r="A1935" s="7" t="inlineStr">
        <is>
          <t>ORD-01008</t>
        </is>
      </c>
      <c r="B1935" s="8" t="n">
        <v>45354</v>
      </c>
      <c r="C1935" s="9" t="n">
        <v>45352</v>
      </c>
      <c r="D1935" s="7" t="n">
        <v>2024</v>
      </c>
      <c r="E1935" s="7" t="inlineStr">
        <is>
          <t>West</t>
        </is>
      </c>
      <c r="F1935" s="7" t="inlineStr">
        <is>
          <t>Office Supplies</t>
        </is>
      </c>
      <c r="G1935" s="7" t="inlineStr">
        <is>
          <t>Paper</t>
        </is>
      </c>
      <c r="H1935" s="7" t="inlineStr">
        <is>
          <t>Consumer</t>
        </is>
      </c>
      <c r="I1935" s="7" t="n">
        <v>15</v>
      </c>
      <c r="J1935" s="10" t="n">
        <v>24.53</v>
      </c>
      <c r="K1935" s="11" t="n">
        <v>0</v>
      </c>
      <c r="L1935" s="10">
        <f>I1935*J1935*(1-K1935)</f>
        <v/>
      </c>
      <c r="M1935" s="10" t="n">
        <v>187.5</v>
      </c>
      <c r="N1935" s="10">
        <f>L1935-M1935</f>
        <v/>
      </c>
    </row>
    <row r="1936">
      <c r="A1936" s="7" t="inlineStr">
        <is>
          <t>ORD-04787</t>
        </is>
      </c>
      <c r="B1936" s="8" t="n">
        <v>45354</v>
      </c>
      <c r="C1936" s="9" t="n">
        <v>45352</v>
      </c>
      <c r="D1936" s="7" t="n">
        <v>2024</v>
      </c>
      <c r="E1936" s="7" t="inlineStr">
        <is>
          <t>South</t>
        </is>
      </c>
      <c r="F1936" s="7" t="inlineStr">
        <is>
          <t>Furniture</t>
        </is>
      </c>
      <c r="G1936" s="7" t="inlineStr">
        <is>
          <t>Bookcase</t>
        </is>
      </c>
      <c r="H1936" s="7" t="inlineStr">
        <is>
          <t>Consumer</t>
        </is>
      </c>
      <c r="I1936" s="7" t="n">
        <v>1</v>
      </c>
      <c r="J1936" s="10" t="n">
        <v>184.89</v>
      </c>
      <c r="K1936" s="11" t="n">
        <v>0.2</v>
      </c>
      <c r="L1936" s="10">
        <f>I1936*J1936*(1-K1936)</f>
        <v/>
      </c>
      <c r="M1936" s="10" t="n">
        <v>144</v>
      </c>
      <c r="N1936" s="10">
        <f>L1936-M1936</f>
        <v/>
      </c>
    </row>
    <row r="1937">
      <c r="A1937" s="7" t="inlineStr">
        <is>
          <t>ORD-03302</t>
        </is>
      </c>
      <c r="B1937" s="8" t="n">
        <v>45354</v>
      </c>
      <c r="C1937" s="9" t="n">
        <v>45352</v>
      </c>
      <c r="D1937" s="7" t="n">
        <v>2024</v>
      </c>
      <c r="E1937" s="7" t="inlineStr">
        <is>
          <t>East</t>
        </is>
      </c>
      <c r="F1937" s="7" t="inlineStr">
        <is>
          <t>Furniture</t>
        </is>
      </c>
      <c r="G1937" s="7" t="inlineStr">
        <is>
          <t>Sofa</t>
        </is>
      </c>
      <c r="H1937" s="7" t="inlineStr">
        <is>
          <t>Consumer</t>
        </is>
      </c>
      <c r="I1937" s="7" t="n">
        <v>4</v>
      </c>
      <c r="J1937" s="10" t="n">
        <v>707.6900000000001</v>
      </c>
      <c r="K1937" s="11" t="n">
        <v>0.2</v>
      </c>
      <c r="L1937" s="10">
        <f>I1937*J1937*(1-K1937)</f>
        <v/>
      </c>
      <c r="M1937" s="10" t="n">
        <v>2464</v>
      </c>
      <c r="N1937" s="10">
        <f>L1937-M1937</f>
        <v/>
      </c>
    </row>
    <row r="1938">
      <c r="A1938" s="7" t="inlineStr">
        <is>
          <t>ORD-05143</t>
        </is>
      </c>
      <c r="B1938" s="8" t="n">
        <v>45354</v>
      </c>
      <c r="C1938" s="9" t="n">
        <v>45352</v>
      </c>
      <c r="D1938" s="7" t="n">
        <v>2024</v>
      </c>
      <c r="E1938" s="7" t="inlineStr">
        <is>
          <t>South</t>
        </is>
      </c>
      <c r="F1938" s="7" t="inlineStr">
        <is>
          <t>Office Supplies</t>
        </is>
      </c>
      <c r="G1938" s="7" t="inlineStr">
        <is>
          <t>Paper</t>
        </is>
      </c>
      <c r="H1938" s="7" t="inlineStr">
        <is>
          <t>Corporate</t>
        </is>
      </c>
      <c r="I1938" s="7" t="n">
        <v>6</v>
      </c>
      <c r="J1938" s="10" t="n">
        <v>24.5</v>
      </c>
      <c r="K1938" s="11" t="n">
        <v>0</v>
      </c>
      <c r="L1938" s="10">
        <f>I1938*J1938*(1-K1938)</f>
        <v/>
      </c>
      <c r="M1938" s="10" t="n">
        <v>75</v>
      </c>
      <c r="N1938" s="10">
        <f>L1938-M1938</f>
        <v/>
      </c>
    </row>
    <row r="1939">
      <c r="A1939" s="7" t="inlineStr">
        <is>
          <t>ORD-00878</t>
        </is>
      </c>
      <c r="B1939" s="8" t="n">
        <v>45354</v>
      </c>
      <c r="C1939" s="9" t="n">
        <v>45352</v>
      </c>
      <c r="D1939" s="7" t="n">
        <v>2024</v>
      </c>
      <c r="E1939" s="7" t="inlineStr">
        <is>
          <t>East</t>
        </is>
      </c>
      <c r="F1939" s="7" t="inlineStr">
        <is>
          <t>Technology</t>
        </is>
      </c>
      <c r="G1939" s="7" t="inlineStr">
        <is>
          <t>Smartphone</t>
        </is>
      </c>
      <c r="H1939" s="7" t="inlineStr">
        <is>
          <t>Consumer</t>
        </is>
      </c>
      <c r="I1939" s="7" t="n">
        <v>3</v>
      </c>
      <c r="J1939" s="10" t="n">
        <v>572.45</v>
      </c>
      <c r="K1939" s="11" t="n">
        <v>0.2</v>
      </c>
      <c r="L1939" s="10">
        <f>I1939*J1939*(1-K1939)</f>
        <v/>
      </c>
      <c r="M1939" s="10" t="n">
        <v>1350</v>
      </c>
      <c r="N1939" s="10">
        <f>L1939-M1939</f>
        <v/>
      </c>
    </row>
    <row r="1940">
      <c r="A1940" s="7" t="inlineStr">
        <is>
          <t>ORD-02238</t>
        </is>
      </c>
      <c r="B1940" s="8" t="n">
        <v>45355</v>
      </c>
      <c r="C1940" s="9" t="n">
        <v>45352</v>
      </c>
      <c r="D1940" s="7" t="n">
        <v>2024</v>
      </c>
      <c r="E1940" s="7" t="inlineStr">
        <is>
          <t>East</t>
        </is>
      </c>
      <c r="F1940" s="7" t="inlineStr">
        <is>
          <t>Office Supplies</t>
        </is>
      </c>
      <c r="G1940" s="7" t="inlineStr">
        <is>
          <t>Stapler</t>
        </is>
      </c>
      <c r="H1940" s="7" t="inlineStr">
        <is>
          <t>Corporate</t>
        </is>
      </c>
      <c r="I1940" s="7" t="n">
        <v>5</v>
      </c>
      <c r="J1940" s="10" t="n">
        <v>15.5</v>
      </c>
      <c r="K1940" s="11" t="n">
        <v>0.2</v>
      </c>
      <c r="L1940" s="10">
        <f>I1940*J1940*(1-K1940)</f>
        <v/>
      </c>
      <c r="M1940" s="10" t="n">
        <v>37.5</v>
      </c>
      <c r="N1940" s="10">
        <f>L1940-M1940</f>
        <v/>
      </c>
    </row>
    <row r="1941">
      <c r="A1941" s="7" t="inlineStr">
        <is>
          <t>ORD-02549</t>
        </is>
      </c>
      <c r="B1941" s="8" t="n">
        <v>45355</v>
      </c>
      <c r="C1941" s="9" t="n">
        <v>45352</v>
      </c>
      <c r="D1941" s="7" t="n">
        <v>2024</v>
      </c>
      <c r="E1941" s="7" t="inlineStr">
        <is>
          <t>South</t>
        </is>
      </c>
      <c r="F1941" s="7" t="inlineStr">
        <is>
          <t>Office Supplies</t>
        </is>
      </c>
      <c r="G1941" s="7" t="inlineStr">
        <is>
          <t>Binder</t>
        </is>
      </c>
      <c r="H1941" s="7" t="inlineStr">
        <is>
          <t>Consumer</t>
        </is>
      </c>
      <c r="I1941" s="7" t="n">
        <v>15</v>
      </c>
      <c r="J1941" s="10" t="n">
        <v>8.01</v>
      </c>
      <c r="K1941" s="11" t="n">
        <v>0</v>
      </c>
      <c r="L1941" s="10">
        <f>I1941*J1941*(1-K1941)</f>
        <v/>
      </c>
      <c r="M1941" s="10" t="n">
        <v>48</v>
      </c>
      <c r="N1941" s="10">
        <f>L1941-M1941</f>
        <v/>
      </c>
    </row>
    <row r="1942">
      <c r="A1942" s="7" t="inlineStr">
        <is>
          <t>ORD-01464</t>
        </is>
      </c>
      <c r="B1942" s="8" t="n">
        <v>45356</v>
      </c>
      <c r="C1942" s="9" t="n">
        <v>45352</v>
      </c>
      <c r="D1942" s="7" t="n">
        <v>2024</v>
      </c>
      <c r="E1942" s="7" t="inlineStr">
        <is>
          <t>North</t>
        </is>
      </c>
      <c r="F1942" s="7" t="inlineStr">
        <is>
          <t>Technology</t>
        </is>
      </c>
      <c r="G1942" s="7" t="inlineStr">
        <is>
          <t>Smartphone</t>
        </is>
      </c>
      <c r="H1942" s="7" t="inlineStr">
        <is>
          <t>Consumer</t>
        </is>
      </c>
      <c r="I1942" s="7" t="n">
        <v>3</v>
      </c>
      <c r="J1942" s="10" t="n">
        <v>622.4400000000001</v>
      </c>
      <c r="K1942" s="11" t="n">
        <v>0.05</v>
      </c>
      <c r="L1942" s="10">
        <f>I1942*J1942*(1-K1942)</f>
        <v/>
      </c>
      <c r="M1942" s="10" t="n">
        <v>1350</v>
      </c>
      <c r="N1942" s="10">
        <f>L1942-M1942</f>
        <v/>
      </c>
    </row>
    <row r="1943">
      <c r="A1943" s="7" t="inlineStr">
        <is>
          <t>ORD-02854</t>
        </is>
      </c>
      <c r="B1943" s="8" t="n">
        <v>45356</v>
      </c>
      <c r="C1943" s="9" t="n">
        <v>45352</v>
      </c>
      <c r="D1943" s="7" t="n">
        <v>2024</v>
      </c>
      <c r="E1943" s="7" t="inlineStr">
        <is>
          <t>East</t>
        </is>
      </c>
      <c r="F1943" s="7" t="inlineStr">
        <is>
          <t>Office Supplies</t>
        </is>
      </c>
      <c r="G1943" s="7" t="inlineStr">
        <is>
          <t>Binder</t>
        </is>
      </c>
      <c r="H1943" s="7" t="inlineStr">
        <is>
          <t>Consumer</t>
        </is>
      </c>
      <c r="I1943" s="7" t="n">
        <v>10</v>
      </c>
      <c r="J1943" s="10" t="n">
        <v>8.279999999999999</v>
      </c>
      <c r="K1943" s="11" t="n">
        <v>0.2</v>
      </c>
      <c r="L1943" s="10">
        <f>I1943*J1943*(1-K1943)</f>
        <v/>
      </c>
      <c r="M1943" s="10" t="n">
        <v>32</v>
      </c>
      <c r="N1943" s="10">
        <f>L1943-M1943</f>
        <v/>
      </c>
    </row>
    <row r="1944">
      <c r="A1944" s="7" t="inlineStr">
        <is>
          <t>ORD-02967</t>
        </is>
      </c>
      <c r="B1944" s="8" t="n">
        <v>45356</v>
      </c>
      <c r="C1944" s="9" t="n">
        <v>45352</v>
      </c>
      <c r="D1944" s="7" t="n">
        <v>2024</v>
      </c>
      <c r="E1944" s="7" t="inlineStr">
        <is>
          <t>East</t>
        </is>
      </c>
      <c r="F1944" s="7" t="inlineStr">
        <is>
          <t>Office Supplies</t>
        </is>
      </c>
      <c r="G1944" s="7" t="inlineStr">
        <is>
          <t>Binder</t>
        </is>
      </c>
      <c r="H1944" s="7" t="inlineStr">
        <is>
          <t>Corporate</t>
        </is>
      </c>
      <c r="I1944" s="7" t="n">
        <v>12</v>
      </c>
      <c r="J1944" s="10" t="n">
        <v>8.119999999999999</v>
      </c>
      <c r="K1944" s="11" t="n">
        <v>0.05</v>
      </c>
      <c r="L1944" s="10">
        <f>I1944*J1944*(1-K1944)</f>
        <v/>
      </c>
      <c r="M1944" s="10" t="n">
        <v>38.4</v>
      </c>
      <c r="N1944" s="10">
        <f>L1944-M1944</f>
        <v/>
      </c>
    </row>
    <row r="1945">
      <c r="A1945" s="7" t="inlineStr">
        <is>
          <t>ORD-03619</t>
        </is>
      </c>
      <c r="B1945" s="8" t="n">
        <v>45356</v>
      </c>
      <c r="C1945" s="9" t="n">
        <v>45352</v>
      </c>
      <c r="D1945" s="7" t="n">
        <v>2024</v>
      </c>
      <c r="E1945" s="7" t="inlineStr">
        <is>
          <t>East</t>
        </is>
      </c>
      <c r="F1945" s="7" t="inlineStr">
        <is>
          <t>Office Supplies</t>
        </is>
      </c>
      <c r="G1945" s="7" t="inlineStr">
        <is>
          <t>Binder</t>
        </is>
      </c>
      <c r="H1945" s="7" t="inlineStr">
        <is>
          <t>Consumer</t>
        </is>
      </c>
      <c r="I1945" s="7" t="n">
        <v>13</v>
      </c>
      <c r="J1945" s="10" t="n">
        <v>8.210000000000001</v>
      </c>
      <c r="K1945" s="11" t="n">
        <v>0.2</v>
      </c>
      <c r="L1945" s="10">
        <f>I1945*J1945*(1-K1945)</f>
        <v/>
      </c>
      <c r="M1945" s="10" t="n">
        <v>41.6</v>
      </c>
      <c r="N1945" s="10">
        <f>L1945-M1945</f>
        <v/>
      </c>
    </row>
    <row r="1946">
      <c r="A1946" s="7" t="inlineStr">
        <is>
          <t>ORD-01242</t>
        </is>
      </c>
      <c r="B1946" s="8" t="n">
        <v>45356</v>
      </c>
      <c r="C1946" s="9" t="n">
        <v>45352</v>
      </c>
      <c r="D1946" s="7" t="n">
        <v>2024</v>
      </c>
      <c r="E1946" s="7" t="inlineStr">
        <is>
          <t>West</t>
        </is>
      </c>
      <c r="F1946" s="7" t="inlineStr">
        <is>
          <t>Office Supplies</t>
        </is>
      </c>
      <c r="G1946" s="7" t="inlineStr">
        <is>
          <t>Pens</t>
        </is>
      </c>
      <c r="H1946" s="7" t="inlineStr">
        <is>
          <t>Consumer</t>
        </is>
      </c>
      <c r="I1946" s="7" t="n">
        <v>7</v>
      </c>
      <c r="J1946" s="10" t="n">
        <v>12.12</v>
      </c>
      <c r="K1946" s="11" t="n">
        <v>0</v>
      </c>
      <c r="L1946" s="10">
        <f>I1946*J1946*(1-K1946)</f>
        <v/>
      </c>
      <c r="M1946" s="10" t="n">
        <v>37.8</v>
      </c>
      <c r="N1946" s="10">
        <f>L1946-M1946</f>
        <v/>
      </c>
    </row>
    <row r="1947">
      <c r="A1947" s="7" t="inlineStr">
        <is>
          <t>ORD-01294</t>
        </is>
      </c>
      <c r="B1947" s="8" t="n">
        <v>45356</v>
      </c>
      <c r="C1947" s="9" t="n">
        <v>45352</v>
      </c>
      <c r="D1947" s="7" t="n">
        <v>2024</v>
      </c>
      <c r="E1947" s="7" t="inlineStr">
        <is>
          <t>West</t>
        </is>
      </c>
      <c r="F1947" s="7" t="inlineStr">
        <is>
          <t>Technology</t>
        </is>
      </c>
      <c r="G1947" s="7" t="inlineStr">
        <is>
          <t>Laptop</t>
        </is>
      </c>
      <c r="H1947" s="7" t="inlineStr">
        <is>
          <t>Consumer</t>
        </is>
      </c>
      <c r="I1947" s="7" t="n">
        <v>1</v>
      </c>
      <c r="J1947" s="10" t="n">
        <v>857.33</v>
      </c>
      <c r="K1947" s="11" t="n">
        <v>0.05</v>
      </c>
      <c r="L1947" s="10">
        <f>I1947*J1947*(1-K1947)</f>
        <v/>
      </c>
      <c r="M1947" s="10" t="n">
        <v>702</v>
      </c>
      <c r="N1947" s="10">
        <f>L1947-M1947</f>
        <v/>
      </c>
    </row>
    <row r="1948">
      <c r="A1948" s="7" t="inlineStr">
        <is>
          <t>ORD-01878</t>
        </is>
      </c>
      <c r="B1948" s="8" t="n">
        <v>45356</v>
      </c>
      <c r="C1948" s="9" t="n">
        <v>45352</v>
      </c>
      <c r="D1948" s="7" t="n">
        <v>2024</v>
      </c>
      <c r="E1948" s="7" t="inlineStr">
        <is>
          <t>South</t>
        </is>
      </c>
      <c r="F1948" s="7" t="inlineStr">
        <is>
          <t>Office Supplies</t>
        </is>
      </c>
      <c r="G1948" s="7" t="inlineStr">
        <is>
          <t>Binder</t>
        </is>
      </c>
      <c r="H1948" s="7" t="inlineStr">
        <is>
          <t>Consumer</t>
        </is>
      </c>
      <c r="I1948" s="7" t="n">
        <v>12</v>
      </c>
      <c r="J1948" s="10" t="n">
        <v>8.15</v>
      </c>
      <c r="K1948" s="11" t="n">
        <v>0.05</v>
      </c>
      <c r="L1948" s="10">
        <f>I1948*J1948*(1-K1948)</f>
        <v/>
      </c>
      <c r="M1948" s="10" t="n">
        <v>38.4</v>
      </c>
      <c r="N1948" s="10">
        <f>L1948-M1948</f>
        <v/>
      </c>
    </row>
    <row r="1949">
      <c r="A1949" s="7" t="inlineStr">
        <is>
          <t>ORD-01065</t>
        </is>
      </c>
      <c r="B1949" s="8" t="n">
        <v>45356</v>
      </c>
      <c r="C1949" s="9" t="n">
        <v>45352</v>
      </c>
      <c r="D1949" s="7" t="n">
        <v>2024</v>
      </c>
      <c r="E1949" s="7" t="inlineStr">
        <is>
          <t>East</t>
        </is>
      </c>
      <c r="F1949" s="7" t="inlineStr">
        <is>
          <t>Furniture</t>
        </is>
      </c>
      <c r="G1949" s="7" t="inlineStr">
        <is>
          <t>Bookcase</t>
        </is>
      </c>
      <c r="H1949" s="7" t="inlineStr">
        <is>
          <t>Consumer</t>
        </is>
      </c>
      <c r="I1949" s="7" t="n">
        <v>2</v>
      </c>
      <c r="J1949" s="10" t="n">
        <v>174.1</v>
      </c>
      <c r="K1949" s="11" t="n">
        <v>0.3</v>
      </c>
      <c r="L1949" s="10">
        <f>I1949*J1949*(1-K1949)</f>
        <v/>
      </c>
      <c r="M1949" s="10" t="n">
        <v>288</v>
      </c>
      <c r="N1949" s="10">
        <f>L1949-M1949</f>
        <v/>
      </c>
    </row>
    <row r="1950">
      <c r="A1950" s="7" t="inlineStr">
        <is>
          <t>ORD-01146</t>
        </is>
      </c>
      <c r="B1950" s="8" t="n">
        <v>45357</v>
      </c>
      <c r="C1950" s="9" t="n">
        <v>45352</v>
      </c>
      <c r="D1950" s="7" t="n">
        <v>2024</v>
      </c>
      <c r="E1950" s="7" t="inlineStr">
        <is>
          <t>South</t>
        </is>
      </c>
      <c r="F1950" s="7" t="inlineStr">
        <is>
          <t>Office Supplies</t>
        </is>
      </c>
      <c r="G1950" s="7" t="inlineStr">
        <is>
          <t>Printer Ink</t>
        </is>
      </c>
      <c r="H1950" s="7" t="inlineStr">
        <is>
          <t>Consumer</t>
        </is>
      </c>
      <c r="I1950" s="7" t="n">
        <v>15</v>
      </c>
      <c r="J1950" s="10" t="n">
        <v>60.13</v>
      </c>
      <c r="K1950" s="11" t="n">
        <v>0.2</v>
      </c>
      <c r="L1950" s="10">
        <f>I1950*J1950*(1-K1950)</f>
        <v/>
      </c>
      <c r="M1950" s="10" t="n">
        <v>540</v>
      </c>
      <c r="N1950" s="10">
        <f>L1950-M1950</f>
        <v/>
      </c>
    </row>
    <row r="1951">
      <c r="A1951" s="7" t="inlineStr">
        <is>
          <t>ORD-04111</t>
        </is>
      </c>
      <c r="B1951" s="8" t="n">
        <v>45357</v>
      </c>
      <c r="C1951" s="9" t="n">
        <v>45352</v>
      </c>
      <c r="D1951" s="7" t="n">
        <v>2024</v>
      </c>
      <c r="E1951" s="7" t="inlineStr">
        <is>
          <t>East</t>
        </is>
      </c>
      <c r="F1951" s="7" t="inlineStr">
        <is>
          <t>Office Supplies</t>
        </is>
      </c>
      <c r="G1951" s="7" t="inlineStr">
        <is>
          <t>Paper</t>
        </is>
      </c>
      <c r="H1951" s="7" t="inlineStr">
        <is>
          <t>Home Office</t>
        </is>
      </c>
      <c r="I1951" s="7" t="n">
        <v>6</v>
      </c>
      <c r="J1951" s="10" t="n">
        <v>26.15</v>
      </c>
      <c r="K1951" s="11" t="n">
        <v>0.2</v>
      </c>
      <c r="L1951" s="10">
        <f>I1951*J1951*(1-K1951)</f>
        <v/>
      </c>
      <c r="M1951" s="10" t="n">
        <v>75</v>
      </c>
      <c r="N1951" s="10">
        <f>L1951-M1951</f>
        <v/>
      </c>
    </row>
    <row r="1952">
      <c r="A1952" s="7" t="inlineStr">
        <is>
          <t>ORD-00975</t>
        </is>
      </c>
      <c r="B1952" s="8" t="n">
        <v>45357</v>
      </c>
      <c r="C1952" s="9" t="n">
        <v>45352</v>
      </c>
      <c r="D1952" s="7" t="n">
        <v>2024</v>
      </c>
      <c r="E1952" s="7" t="inlineStr">
        <is>
          <t>East</t>
        </is>
      </c>
      <c r="F1952" s="7" t="inlineStr">
        <is>
          <t>Office Supplies</t>
        </is>
      </c>
      <c r="G1952" s="7" t="inlineStr">
        <is>
          <t>Binder</t>
        </is>
      </c>
      <c r="H1952" s="7" t="inlineStr">
        <is>
          <t>Consumer</t>
        </is>
      </c>
      <c r="I1952" s="7" t="n">
        <v>14</v>
      </c>
      <c r="J1952" s="10" t="n">
        <v>8.32</v>
      </c>
      <c r="K1952" s="11" t="n">
        <v>0.1</v>
      </c>
      <c r="L1952" s="10">
        <f>I1952*J1952*(1-K1952)</f>
        <v/>
      </c>
      <c r="M1952" s="10" t="n">
        <v>44.8</v>
      </c>
      <c r="N1952" s="10">
        <f>L1952-M1952</f>
        <v/>
      </c>
    </row>
    <row r="1953">
      <c r="A1953" s="7" t="inlineStr">
        <is>
          <t>ORD-01276</t>
        </is>
      </c>
      <c r="B1953" s="8" t="n">
        <v>45357</v>
      </c>
      <c r="C1953" s="9" t="n">
        <v>45352</v>
      </c>
      <c r="D1953" s="7" t="n">
        <v>2024</v>
      </c>
      <c r="E1953" s="7" t="inlineStr">
        <is>
          <t>South</t>
        </is>
      </c>
      <c r="F1953" s="7" t="inlineStr">
        <is>
          <t>Technology</t>
        </is>
      </c>
      <c r="G1953" s="7" t="inlineStr">
        <is>
          <t>Laptop</t>
        </is>
      </c>
      <c r="H1953" s="7" t="inlineStr">
        <is>
          <t>Home Office</t>
        </is>
      </c>
      <c r="I1953" s="7" t="n">
        <v>2</v>
      </c>
      <c r="J1953" s="10" t="n">
        <v>891.1799999999999</v>
      </c>
      <c r="K1953" s="11" t="n">
        <v>0.05</v>
      </c>
      <c r="L1953" s="10">
        <f>I1953*J1953*(1-K1953)</f>
        <v/>
      </c>
      <c r="M1953" s="10" t="n">
        <v>1404</v>
      </c>
      <c r="N1953" s="10">
        <f>L1953-M1953</f>
        <v/>
      </c>
    </row>
    <row r="1954">
      <c r="A1954" s="7" t="inlineStr">
        <is>
          <t>ORD-04510</t>
        </is>
      </c>
      <c r="B1954" s="8" t="n">
        <v>45357</v>
      </c>
      <c r="C1954" s="9" t="n">
        <v>45352</v>
      </c>
      <c r="D1954" s="7" t="n">
        <v>2024</v>
      </c>
      <c r="E1954" s="7" t="inlineStr">
        <is>
          <t>South</t>
        </is>
      </c>
      <c r="F1954" s="7" t="inlineStr">
        <is>
          <t>Office Supplies</t>
        </is>
      </c>
      <c r="G1954" s="7" t="inlineStr">
        <is>
          <t>Pens</t>
        </is>
      </c>
      <c r="H1954" s="7" t="inlineStr">
        <is>
          <t>Consumer</t>
        </is>
      </c>
      <c r="I1954" s="7" t="n">
        <v>13</v>
      </c>
      <c r="J1954" s="10" t="n">
        <v>11.96</v>
      </c>
      <c r="K1954" s="11" t="n">
        <v>0.05</v>
      </c>
      <c r="L1954" s="10">
        <f>I1954*J1954*(1-K1954)</f>
        <v/>
      </c>
      <c r="M1954" s="10" t="n">
        <v>70.2</v>
      </c>
      <c r="N1954" s="10">
        <f>L1954-M1954</f>
        <v/>
      </c>
    </row>
    <row r="1955">
      <c r="A1955" s="7" t="inlineStr">
        <is>
          <t>ORD-02937</t>
        </is>
      </c>
      <c r="B1955" s="8" t="n">
        <v>45357</v>
      </c>
      <c r="C1955" s="9" t="n">
        <v>45352</v>
      </c>
      <c r="D1955" s="7" t="n">
        <v>2024</v>
      </c>
      <c r="E1955" s="7" t="inlineStr">
        <is>
          <t>West</t>
        </is>
      </c>
      <c r="F1955" s="7" t="inlineStr">
        <is>
          <t>Technology</t>
        </is>
      </c>
      <c r="G1955" s="7" t="inlineStr">
        <is>
          <t>Headphones</t>
        </is>
      </c>
      <c r="H1955" s="7" t="inlineStr">
        <is>
          <t>Corporate</t>
        </is>
      </c>
      <c r="I1955" s="7" t="n">
        <v>1</v>
      </c>
      <c r="J1955" s="10" t="n">
        <v>122.08</v>
      </c>
      <c r="K1955" s="11" t="n">
        <v>0.05</v>
      </c>
      <c r="L1955" s="10">
        <f>I1955*J1955*(1-K1955)</f>
        <v/>
      </c>
      <c r="M1955" s="10" t="n">
        <v>72</v>
      </c>
      <c r="N1955" s="10">
        <f>L1955-M1955</f>
        <v/>
      </c>
    </row>
    <row r="1956">
      <c r="A1956" s="7" t="inlineStr">
        <is>
          <t>ORD-05028</t>
        </is>
      </c>
      <c r="B1956" s="8" t="n">
        <v>45358</v>
      </c>
      <c r="C1956" s="9" t="n">
        <v>45352</v>
      </c>
      <c r="D1956" s="7" t="n">
        <v>2024</v>
      </c>
      <c r="E1956" s="7" t="inlineStr">
        <is>
          <t>North</t>
        </is>
      </c>
      <c r="F1956" s="7" t="inlineStr">
        <is>
          <t>Office Supplies</t>
        </is>
      </c>
      <c r="G1956" s="7" t="inlineStr">
        <is>
          <t>Pens</t>
        </is>
      </c>
      <c r="H1956" s="7" t="inlineStr">
        <is>
          <t>Consumer</t>
        </is>
      </c>
      <c r="I1956" s="7" t="n">
        <v>7</v>
      </c>
      <c r="J1956" s="10" t="n">
        <v>12.43</v>
      </c>
      <c r="K1956" s="11" t="n">
        <v>0</v>
      </c>
      <c r="L1956" s="10">
        <f>I1956*J1956*(1-K1956)</f>
        <v/>
      </c>
      <c r="M1956" s="10" t="n">
        <v>37.8</v>
      </c>
      <c r="N1956" s="10">
        <f>L1956-M1956</f>
        <v/>
      </c>
    </row>
    <row r="1957">
      <c r="A1957" s="7" t="inlineStr">
        <is>
          <t>ORD-03438</t>
        </is>
      </c>
      <c r="B1957" s="8" t="n">
        <v>45358</v>
      </c>
      <c r="C1957" s="9" t="n">
        <v>45352</v>
      </c>
      <c r="D1957" s="7" t="n">
        <v>2024</v>
      </c>
      <c r="E1957" s="7" t="inlineStr">
        <is>
          <t>South</t>
        </is>
      </c>
      <c r="F1957" s="7" t="inlineStr">
        <is>
          <t>Technology</t>
        </is>
      </c>
      <c r="G1957" s="7" t="inlineStr">
        <is>
          <t>Monitor</t>
        </is>
      </c>
      <c r="H1957" s="7" t="inlineStr">
        <is>
          <t>Corporate</t>
        </is>
      </c>
      <c r="I1957" s="7" t="n">
        <v>1</v>
      </c>
      <c r="J1957" s="10" t="n">
        <v>240.63</v>
      </c>
      <c r="K1957" s="11" t="n">
        <v>0</v>
      </c>
      <c r="L1957" s="10">
        <f>I1957*J1957*(1-K1957)</f>
        <v/>
      </c>
      <c r="M1957" s="10" t="n">
        <v>180</v>
      </c>
      <c r="N1957" s="10">
        <f>L1957-M1957</f>
        <v/>
      </c>
    </row>
    <row r="1958">
      <c r="A1958" s="7" t="inlineStr">
        <is>
          <t>ORD-02434</t>
        </is>
      </c>
      <c r="B1958" s="8" t="n">
        <v>45358</v>
      </c>
      <c r="C1958" s="9" t="n">
        <v>45352</v>
      </c>
      <c r="D1958" s="7" t="n">
        <v>2024</v>
      </c>
      <c r="E1958" s="7" t="inlineStr">
        <is>
          <t>South</t>
        </is>
      </c>
      <c r="F1958" s="7" t="inlineStr">
        <is>
          <t>Office Supplies</t>
        </is>
      </c>
      <c r="G1958" s="7" t="inlineStr">
        <is>
          <t>Printer Ink</t>
        </is>
      </c>
      <c r="H1958" s="7" t="inlineStr">
        <is>
          <t>Home Office</t>
        </is>
      </c>
      <c r="I1958" s="7" t="n">
        <v>10</v>
      </c>
      <c r="J1958" s="10" t="n">
        <v>58.97</v>
      </c>
      <c r="K1958" s="11" t="n">
        <v>0.05</v>
      </c>
      <c r="L1958" s="10">
        <f>I1958*J1958*(1-K1958)</f>
        <v/>
      </c>
      <c r="M1958" s="10" t="n">
        <v>360</v>
      </c>
      <c r="N1958" s="10">
        <f>L1958-M1958</f>
        <v/>
      </c>
    </row>
    <row r="1959">
      <c r="A1959" s="7" t="inlineStr">
        <is>
          <t>ORD-03240</t>
        </is>
      </c>
      <c r="B1959" s="8" t="n">
        <v>45358</v>
      </c>
      <c r="C1959" s="9" t="n">
        <v>45352</v>
      </c>
      <c r="D1959" s="7" t="n">
        <v>2024</v>
      </c>
      <c r="E1959" s="7" t="inlineStr">
        <is>
          <t>North</t>
        </is>
      </c>
      <c r="F1959" s="7" t="inlineStr">
        <is>
          <t>Office Supplies</t>
        </is>
      </c>
      <c r="G1959" s="7" t="inlineStr">
        <is>
          <t>Stapler</t>
        </is>
      </c>
      <c r="H1959" s="7" t="inlineStr">
        <is>
          <t>Consumer</t>
        </is>
      </c>
      <c r="I1959" s="7" t="n">
        <v>5</v>
      </c>
      <c r="J1959" s="10" t="n">
        <v>14.95</v>
      </c>
      <c r="K1959" s="11" t="n">
        <v>0</v>
      </c>
      <c r="L1959" s="10">
        <f>I1959*J1959*(1-K1959)</f>
        <v/>
      </c>
      <c r="M1959" s="10" t="n">
        <v>37.5</v>
      </c>
      <c r="N1959" s="10">
        <f>L1959-M1959</f>
        <v/>
      </c>
    </row>
    <row r="1960">
      <c r="A1960" s="7" t="inlineStr">
        <is>
          <t>ORD-01076</t>
        </is>
      </c>
      <c r="B1960" s="8" t="n">
        <v>45358</v>
      </c>
      <c r="C1960" s="9" t="n">
        <v>45352</v>
      </c>
      <c r="D1960" s="7" t="n">
        <v>2024</v>
      </c>
      <c r="E1960" s="7" t="inlineStr">
        <is>
          <t>East</t>
        </is>
      </c>
      <c r="F1960" s="7" t="inlineStr">
        <is>
          <t>Technology</t>
        </is>
      </c>
      <c r="G1960" s="7" t="inlineStr">
        <is>
          <t>Laptop</t>
        </is>
      </c>
      <c r="H1960" s="7" t="inlineStr">
        <is>
          <t>Home Office</t>
        </is>
      </c>
      <c r="I1960" s="7" t="n">
        <v>2</v>
      </c>
      <c r="J1960" s="10" t="n">
        <v>886.98</v>
      </c>
      <c r="K1960" s="11" t="n">
        <v>0</v>
      </c>
      <c r="L1960" s="10">
        <f>I1960*J1960*(1-K1960)</f>
        <v/>
      </c>
      <c r="M1960" s="10" t="n">
        <v>1404</v>
      </c>
      <c r="N1960" s="10">
        <f>L1960-M1960</f>
        <v/>
      </c>
    </row>
    <row r="1961">
      <c r="A1961" s="7" t="inlineStr">
        <is>
          <t>ORD-00702</t>
        </is>
      </c>
      <c r="B1961" s="8" t="n">
        <v>45358</v>
      </c>
      <c r="C1961" s="9" t="n">
        <v>45352</v>
      </c>
      <c r="D1961" s="7" t="n">
        <v>2024</v>
      </c>
      <c r="E1961" s="7" t="inlineStr">
        <is>
          <t>South</t>
        </is>
      </c>
      <c r="F1961" s="7" t="inlineStr">
        <is>
          <t>Office Supplies</t>
        </is>
      </c>
      <c r="G1961" s="7" t="inlineStr">
        <is>
          <t>Binder</t>
        </is>
      </c>
      <c r="H1961" s="7" t="inlineStr">
        <is>
          <t>Corporate</t>
        </is>
      </c>
      <c r="I1961" s="7" t="n">
        <v>13</v>
      </c>
      <c r="J1961" s="10" t="n">
        <v>8.390000000000001</v>
      </c>
      <c r="K1961" s="11" t="n">
        <v>0</v>
      </c>
      <c r="L1961" s="10">
        <f>I1961*J1961*(1-K1961)</f>
        <v/>
      </c>
      <c r="M1961" s="10" t="n">
        <v>41.6</v>
      </c>
      <c r="N1961" s="10">
        <f>L1961-M1961</f>
        <v/>
      </c>
    </row>
    <row r="1962">
      <c r="A1962" s="7" t="inlineStr">
        <is>
          <t>ORD-04606</t>
        </is>
      </c>
      <c r="B1962" s="8" t="n">
        <v>45358</v>
      </c>
      <c r="C1962" s="9" t="n">
        <v>45352</v>
      </c>
      <c r="D1962" s="7" t="n">
        <v>2024</v>
      </c>
      <c r="E1962" s="7" t="inlineStr">
        <is>
          <t>West</t>
        </is>
      </c>
      <c r="F1962" s="7" t="inlineStr">
        <is>
          <t>Office Supplies</t>
        </is>
      </c>
      <c r="G1962" s="7" t="inlineStr">
        <is>
          <t>Paper</t>
        </is>
      </c>
      <c r="H1962" s="7" t="inlineStr">
        <is>
          <t>Consumer</t>
        </is>
      </c>
      <c r="I1962" s="7" t="n">
        <v>2</v>
      </c>
      <c r="J1962" s="10" t="n">
        <v>23.8</v>
      </c>
      <c r="K1962" s="11" t="n">
        <v>0.05</v>
      </c>
      <c r="L1962" s="10">
        <f>I1962*J1962*(1-K1962)</f>
        <v/>
      </c>
      <c r="M1962" s="10" t="n">
        <v>25</v>
      </c>
      <c r="N1962" s="10">
        <f>L1962-M1962</f>
        <v/>
      </c>
    </row>
    <row r="1963">
      <c r="A1963" s="7" t="inlineStr">
        <is>
          <t>ORD-03575</t>
        </is>
      </c>
      <c r="B1963" s="8" t="n">
        <v>45358</v>
      </c>
      <c r="C1963" s="9" t="n">
        <v>45352</v>
      </c>
      <c r="D1963" s="7" t="n">
        <v>2024</v>
      </c>
      <c r="E1963" s="7" t="inlineStr">
        <is>
          <t>West</t>
        </is>
      </c>
      <c r="F1963" s="7" t="inlineStr">
        <is>
          <t>Office Supplies</t>
        </is>
      </c>
      <c r="G1963" s="7" t="inlineStr">
        <is>
          <t>Pens</t>
        </is>
      </c>
      <c r="H1963" s="7" t="inlineStr">
        <is>
          <t>Corporate</t>
        </is>
      </c>
      <c r="I1963" s="7" t="n">
        <v>12</v>
      </c>
      <c r="J1963" s="10" t="n">
        <v>11.98</v>
      </c>
      <c r="K1963" s="11" t="n">
        <v>0</v>
      </c>
      <c r="L1963" s="10">
        <f>I1963*J1963*(1-K1963)</f>
        <v/>
      </c>
      <c r="M1963" s="10" t="n">
        <v>64.8</v>
      </c>
      <c r="N1963" s="10">
        <f>L1963-M1963</f>
        <v/>
      </c>
    </row>
    <row r="1964">
      <c r="A1964" s="7" t="inlineStr">
        <is>
          <t>ORD-03677</t>
        </is>
      </c>
      <c r="B1964" s="8" t="n">
        <v>45358</v>
      </c>
      <c r="C1964" s="9" t="n">
        <v>45352</v>
      </c>
      <c r="D1964" s="7" t="n">
        <v>2024</v>
      </c>
      <c r="E1964" s="7" t="inlineStr">
        <is>
          <t>East</t>
        </is>
      </c>
      <c r="F1964" s="7" t="inlineStr">
        <is>
          <t>Office Supplies</t>
        </is>
      </c>
      <c r="G1964" s="7" t="inlineStr">
        <is>
          <t>Pens</t>
        </is>
      </c>
      <c r="H1964" s="7" t="inlineStr">
        <is>
          <t>Home Office</t>
        </is>
      </c>
      <c r="I1964" s="7" t="n">
        <v>11</v>
      </c>
      <c r="J1964" s="10" t="n">
        <v>11.66</v>
      </c>
      <c r="K1964" s="11" t="n">
        <v>0.2</v>
      </c>
      <c r="L1964" s="10">
        <f>I1964*J1964*(1-K1964)</f>
        <v/>
      </c>
      <c r="M1964" s="10" t="n">
        <v>59.4</v>
      </c>
      <c r="N1964" s="10">
        <f>L1964-M1964</f>
        <v/>
      </c>
    </row>
    <row r="1965">
      <c r="A1965" s="7" t="inlineStr">
        <is>
          <t>ORD-00752</t>
        </is>
      </c>
      <c r="B1965" s="8" t="n">
        <v>45358</v>
      </c>
      <c r="C1965" s="9" t="n">
        <v>45352</v>
      </c>
      <c r="D1965" s="7" t="n">
        <v>2024</v>
      </c>
      <c r="E1965" s="7" t="inlineStr">
        <is>
          <t>West</t>
        </is>
      </c>
      <c r="F1965" s="7" t="inlineStr">
        <is>
          <t>Office Supplies</t>
        </is>
      </c>
      <c r="G1965" s="7" t="inlineStr">
        <is>
          <t>Pens</t>
        </is>
      </c>
      <c r="H1965" s="7" t="inlineStr">
        <is>
          <t>Consumer</t>
        </is>
      </c>
      <c r="I1965" s="7" t="n">
        <v>4</v>
      </c>
      <c r="J1965" s="10" t="n">
        <v>11.53</v>
      </c>
      <c r="K1965" s="11" t="n">
        <v>0</v>
      </c>
      <c r="L1965" s="10">
        <f>I1965*J1965*(1-K1965)</f>
        <v/>
      </c>
      <c r="M1965" s="10" t="n">
        <v>21.6</v>
      </c>
      <c r="N1965" s="10">
        <f>L1965-M1965</f>
        <v/>
      </c>
    </row>
    <row r="1966">
      <c r="A1966" s="7" t="inlineStr">
        <is>
          <t>ORD-04615</t>
        </is>
      </c>
      <c r="B1966" s="8" t="n">
        <v>45359</v>
      </c>
      <c r="C1966" s="9" t="n">
        <v>45352</v>
      </c>
      <c r="D1966" s="7" t="n">
        <v>2024</v>
      </c>
      <c r="E1966" s="7" t="inlineStr">
        <is>
          <t>East</t>
        </is>
      </c>
      <c r="F1966" s="7" t="inlineStr">
        <is>
          <t>Office Supplies</t>
        </is>
      </c>
      <c r="G1966" s="7" t="inlineStr">
        <is>
          <t>Pens</t>
        </is>
      </c>
      <c r="H1966" s="7" t="inlineStr">
        <is>
          <t>Consumer</t>
        </is>
      </c>
      <c r="I1966" s="7" t="n">
        <v>14</v>
      </c>
      <c r="J1966" s="10" t="n">
        <v>11.97</v>
      </c>
      <c r="K1966" s="11" t="n">
        <v>0</v>
      </c>
      <c r="L1966" s="10">
        <f>I1966*J1966*(1-K1966)</f>
        <v/>
      </c>
      <c r="M1966" s="10" t="n">
        <v>75.59999999999999</v>
      </c>
      <c r="N1966" s="10">
        <f>L1966-M1966</f>
        <v/>
      </c>
    </row>
    <row r="1967">
      <c r="A1967" s="7" t="inlineStr">
        <is>
          <t>ORD-05728</t>
        </is>
      </c>
      <c r="B1967" s="8" t="n">
        <v>45359</v>
      </c>
      <c r="C1967" s="9" t="n">
        <v>45352</v>
      </c>
      <c r="D1967" s="7" t="n">
        <v>2024</v>
      </c>
      <c r="E1967" s="7" t="inlineStr">
        <is>
          <t>South</t>
        </is>
      </c>
      <c r="F1967" s="7" t="inlineStr">
        <is>
          <t>Technology</t>
        </is>
      </c>
      <c r="G1967" s="7" t="inlineStr">
        <is>
          <t>Smartphone</t>
        </is>
      </c>
      <c r="H1967" s="7" t="inlineStr">
        <is>
          <t>Home Office</t>
        </is>
      </c>
      <c r="I1967" s="7" t="n">
        <v>2</v>
      </c>
      <c r="J1967" s="10" t="n">
        <v>579.51</v>
      </c>
      <c r="K1967" s="11" t="n">
        <v>0</v>
      </c>
      <c r="L1967" s="10">
        <f>I1967*J1967*(1-K1967)</f>
        <v/>
      </c>
      <c r="M1967" s="10" t="n">
        <v>900</v>
      </c>
      <c r="N1967" s="10">
        <f>L1967-M1967</f>
        <v/>
      </c>
    </row>
    <row r="1968">
      <c r="A1968" s="7" t="inlineStr">
        <is>
          <t>ORD-04096</t>
        </is>
      </c>
      <c r="B1968" s="8" t="n">
        <v>45359</v>
      </c>
      <c r="C1968" s="9" t="n">
        <v>45352</v>
      </c>
      <c r="D1968" s="7" t="n">
        <v>2024</v>
      </c>
      <c r="E1968" s="7" t="inlineStr">
        <is>
          <t>South</t>
        </is>
      </c>
      <c r="F1968" s="7" t="inlineStr">
        <is>
          <t>Office Supplies</t>
        </is>
      </c>
      <c r="G1968" s="7" t="inlineStr">
        <is>
          <t>Paper</t>
        </is>
      </c>
      <c r="H1968" s="7" t="inlineStr">
        <is>
          <t>Consumer</t>
        </is>
      </c>
      <c r="I1968" s="7" t="n">
        <v>13</v>
      </c>
      <c r="J1968" s="10" t="n">
        <v>24</v>
      </c>
      <c r="K1968" s="11" t="n">
        <v>0.2</v>
      </c>
      <c r="L1968" s="10">
        <f>I1968*J1968*(1-K1968)</f>
        <v/>
      </c>
      <c r="M1968" s="10" t="n">
        <v>162.5</v>
      </c>
      <c r="N1968" s="10">
        <f>L1968-M1968</f>
        <v/>
      </c>
    </row>
    <row r="1969">
      <c r="A1969" s="7" t="inlineStr">
        <is>
          <t>ORD-02205</t>
        </is>
      </c>
      <c r="B1969" s="8" t="n">
        <v>45359</v>
      </c>
      <c r="C1969" s="9" t="n">
        <v>45352</v>
      </c>
      <c r="D1969" s="7" t="n">
        <v>2024</v>
      </c>
      <c r="E1969" s="7" t="inlineStr">
        <is>
          <t>West</t>
        </is>
      </c>
      <c r="F1969" s="7" t="inlineStr">
        <is>
          <t>Office Supplies</t>
        </is>
      </c>
      <c r="G1969" s="7" t="inlineStr">
        <is>
          <t>Binder</t>
        </is>
      </c>
      <c r="H1969" s="7" t="inlineStr">
        <is>
          <t>Home Office</t>
        </is>
      </c>
      <c r="I1969" s="7" t="n">
        <v>2</v>
      </c>
      <c r="J1969" s="10" t="n">
        <v>7.61</v>
      </c>
      <c r="K1969" s="11" t="n">
        <v>0.1</v>
      </c>
      <c r="L1969" s="10">
        <f>I1969*J1969*(1-K1969)</f>
        <v/>
      </c>
      <c r="M1969" s="10" t="n">
        <v>6.4</v>
      </c>
      <c r="N1969" s="10">
        <f>L1969-M1969</f>
        <v/>
      </c>
    </row>
    <row r="1970">
      <c r="A1970" s="7" t="inlineStr">
        <is>
          <t>ORD-05494</t>
        </is>
      </c>
      <c r="B1970" s="8" t="n">
        <v>45360</v>
      </c>
      <c r="C1970" s="9" t="n">
        <v>45352</v>
      </c>
      <c r="D1970" s="7" t="n">
        <v>2024</v>
      </c>
      <c r="E1970" s="7" t="inlineStr">
        <is>
          <t>West</t>
        </is>
      </c>
      <c r="F1970" s="7" t="inlineStr">
        <is>
          <t>Office Supplies</t>
        </is>
      </c>
      <c r="G1970" s="7" t="inlineStr">
        <is>
          <t>Stapler</t>
        </is>
      </c>
      <c r="H1970" s="7" t="inlineStr">
        <is>
          <t>Consumer</t>
        </is>
      </c>
      <c r="I1970" s="7" t="n">
        <v>7</v>
      </c>
      <c r="J1970" s="10" t="n">
        <v>15.1</v>
      </c>
      <c r="K1970" s="11" t="n">
        <v>0</v>
      </c>
      <c r="L1970" s="10">
        <f>I1970*J1970*(1-K1970)</f>
        <v/>
      </c>
      <c r="M1970" s="10" t="n">
        <v>52.5</v>
      </c>
      <c r="N1970" s="10">
        <f>L1970-M1970</f>
        <v/>
      </c>
    </row>
    <row r="1971">
      <c r="A1971" s="7" t="inlineStr">
        <is>
          <t>ORD-03994</t>
        </is>
      </c>
      <c r="B1971" s="8" t="n">
        <v>45360</v>
      </c>
      <c r="C1971" s="9" t="n">
        <v>45352</v>
      </c>
      <c r="D1971" s="7" t="n">
        <v>2024</v>
      </c>
      <c r="E1971" s="7" t="inlineStr">
        <is>
          <t>West</t>
        </is>
      </c>
      <c r="F1971" s="7" t="inlineStr">
        <is>
          <t>Technology</t>
        </is>
      </c>
      <c r="G1971" s="7" t="inlineStr">
        <is>
          <t>Laptop</t>
        </is>
      </c>
      <c r="H1971" s="7" t="inlineStr">
        <is>
          <t>Corporate</t>
        </is>
      </c>
      <c r="I1971" s="7" t="n">
        <v>3</v>
      </c>
      <c r="J1971" s="10" t="n">
        <v>917.39</v>
      </c>
      <c r="K1971" s="11" t="n">
        <v>0</v>
      </c>
      <c r="L1971" s="10">
        <f>I1971*J1971*(1-K1971)</f>
        <v/>
      </c>
      <c r="M1971" s="10" t="n">
        <v>2106</v>
      </c>
      <c r="N1971" s="10">
        <f>L1971-M1971</f>
        <v/>
      </c>
    </row>
    <row r="1972">
      <c r="A1972" s="7" t="inlineStr">
        <is>
          <t>ORD-02055</t>
        </is>
      </c>
      <c r="B1972" s="8" t="n">
        <v>45360</v>
      </c>
      <c r="C1972" s="9" t="n">
        <v>45352</v>
      </c>
      <c r="D1972" s="7" t="n">
        <v>2024</v>
      </c>
      <c r="E1972" s="7" t="inlineStr">
        <is>
          <t>North</t>
        </is>
      </c>
      <c r="F1972" s="7" t="inlineStr">
        <is>
          <t>Office Supplies</t>
        </is>
      </c>
      <c r="G1972" s="7" t="inlineStr">
        <is>
          <t>Pens</t>
        </is>
      </c>
      <c r="H1972" s="7" t="inlineStr">
        <is>
          <t>Consumer</t>
        </is>
      </c>
      <c r="I1972" s="7" t="n">
        <v>10</v>
      </c>
      <c r="J1972" s="10" t="n">
        <v>11.55</v>
      </c>
      <c r="K1972" s="11" t="n">
        <v>0.2</v>
      </c>
      <c r="L1972" s="10">
        <f>I1972*J1972*(1-K1972)</f>
        <v/>
      </c>
      <c r="M1972" s="10" t="n">
        <v>54</v>
      </c>
      <c r="N1972" s="10">
        <f>L1972-M1972</f>
        <v/>
      </c>
    </row>
    <row r="1973">
      <c r="A1973" s="7" t="inlineStr">
        <is>
          <t>ORD-01263</t>
        </is>
      </c>
      <c r="B1973" s="8" t="n">
        <v>45360</v>
      </c>
      <c r="C1973" s="9" t="n">
        <v>45352</v>
      </c>
      <c r="D1973" s="7" t="n">
        <v>2024</v>
      </c>
      <c r="E1973" s="7" t="inlineStr">
        <is>
          <t>East</t>
        </is>
      </c>
      <c r="F1973" s="7" t="inlineStr">
        <is>
          <t>Office Supplies</t>
        </is>
      </c>
      <c r="G1973" s="7" t="inlineStr">
        <is>
          <t>Binder</t>
        </is>
      </c>
      <c r="H1973" s="7" t="inlineStr">
        <is>
          <t>Consumer</t>
        </is>
      </c>
      <c r="I1973" s="7" t="n">
        <v>14</v>
      </c>
      <c r="J1973" s="10" t="n">
        <v>8.07</v>
      </c>
      <c r="K1973" s="11" t="n">
        <v>0</v>
      </c>
      <c r="L1973" s="10">
        <f>I1973*J1973*(1-K1973)</f>
        <v/>
      </c>
      <c r="M1973" s="10" t="n">
        <v>44.8</v>
      </c>
      <c r="N1973" s="10">
        <f>L1973-M1973</f>
        <v/>
      </c>
    </row>
    <row r="1974">
      <c r="A1974" s="7" t="inlineStr">
        <is>
          <t>ORD-04915</t>
        </is>
      </c>
      <c r="B1974" s="8" t="n">
        <v>45360</v>
      </c>
      <c r="C1974" s="9" t="n">
        <v>45352</v>
      </c>
      <c r="D1974" s="7" t="n">
        <v>2024</v>
      </c>
      <c r="E1974" s="7" t="inlineStr">
        <is>
          <t>North</t>
        </is>
      </c>
      <c r="F1974" s="7" t="inlineStr">
        <is>
          <t>Office Supplies</t>
        </is>
      </c>
      <c r="G1974" s="7" t="inlineStr">
        <is>
          <t>Pens</t>
        </is>
      </c>
      <c r="H1974" s="7" t="inlineStr">
        <is>
          <t>Corporate</t>
        </is>
      </c>
      <c r="I1974" s="7" t="n">
        <v>11</v>
      </c>
      <c r="J1974" s="10" t="n">
        <v>11.83</v>
      </c>
      <c r="K1974" s="11" t="n">
        <v>0.2</v>
      </c>
      <c r="L1974" s="10">
        <f>I1974*J1974*(1-K1974)</f>
        <v/>
      </c>
      <c r="M1974" s="10" t="n">
        <v>59.4</v>
      </c>
      <c r="N1974" s="10">
        <f>L1974-M1974</f>
        <v/>
      </c>
    </row>
    <row r="1975">
      <c r="A1975" s="7" t="inlineStr">
        <is>
          <t>ORD-03792</t>
        </is>
      </c>
      <c r="B1975" s="8" t="n">
        <v>45361</v>
      </c>
      <c r="C1975" s="9" t="n">
        <v>45352</v>
      </c>
      <c r="D1975" s="7" t="n">
        <v>2024</v>
      </c>
      <c r="E1975" s="7" t="inlineStr">
        <is>
          <t>West</t>
        </is>
      </c>
      <c r="F1975" s="7" t="inlineStr">
        <is>
          <t>Office Supplies</t>
        </is>
      </c>
      <c r="G1975" s="7" t="inlineStr">
        <is>
          <t>Paper</t>
        </is>
      </c>
      <c r="H1975" s="7" t="inlineStr">
        <is>
          <t>Home Office</t>
        </is>
      </c>
      <c r="I1975" s="7" t="n">
        <v>15</v>
      </c>
      <c r="J1975" s="10" t="n">
        <v>25.38</v>
      </c>
      <c r="K1975" s="11" t="n">
        <v>0</v>
      </c>
      <c r="L1975" s="10">
        <f>I1975*J1975*(1-K1975)</f>
        <v/>
      </c>
      <c r="M1975" s="10" t="n">
        <v>187.5</v>
      </c>
      <c r="N1975" s="10">
        <f>L1975-M1975</f>
        <v/>
      </c>
    </row>
    <row r="1976">
      <c r="A1976" s="7" t="inlineStr">
        <is>
          <t>ORD-05583</t>
        </is>
      </c>
      <c r="B1976" s="8" t="n">
        <v>45361</v>
      </c>
      <c r="C1976" s="9" t="n">
        <v>45352</v>
      </c>
      <c r="D1976" s="7" t="n">
        <v>2024</v>
      </c>
      <c r="E1976" s="7" t="inlineStr">
        <is>
          <t>East</t>
        </is>
      </c>
      <c r="F1976" s="7" t="inlineStr">
        <is>
          <t>Furniture</t>
        </is>
      </c>
      <c r="G1976" s="7" t="inlineStr">
        <is>
          <t>Desk</t>
        </is>
      </c>
      <c r="H1976" s="7" t="inlineStr">
        <is>
          <t>Consumer</t>
        </is>
      </c>
      <c r="I1976" s="7" t="n">
        <v>1</v>
      </c>
      <c r="J1976" s="10" t="n">
        <v>438.16</v>
      </c>
      <c r="K1976" s="11" t="n">
        <v>0.3</v>
      </c>
      <c r="L1976" s="10">
        <f>I1976*J1976*(1-K1976)</f>
        <v/>
      </c>
      <c r="M1976" s="10" t="n">
        <v>382.5</v>
      </c>
      <c r="N1976" s="10">
        <f>L1976-M1976</f>
        <v/>
      </c>
    </row>
    <row r="1977">
      <c r="A1977" s="7" t="inlineStr">
        <is>
          <t>ORD-03866</t>
        </is>
      </c>
      <c r="B1977" s="8" t="n">
        <v>45361</v>
      </c>
      <c r="C1977" s="9" t="n">
        <v>45352</v>
      </c>
      <c r="D1977" s="7" t="n">
        <v>2024</v>
      </c>
      <c r="E1977" s="7" t="inlineStr">
        <is>
          <t>East</t>
        </is>
      </c>
      <c r="F1977" s="7" t="inlineStr">
        <is>
          <t>Technology</t>
        </is>
      </c>
      <c r="G1977" s="7" t="inlineStr">
        <is>
          <t>Monitor</t>
        </is>
      </c>
      <c r="H1977" s="7" t="inlineStr">
        <is>
          <t>Consumer</t>
        </is>
      </c>
      <c r="I1977" s="7" t="n">
        <v>2</v>
      </c>
      <c r="J1977" s="10" t="n">
        <v>253.45</v>
      </c>
      <c r="K1977" s="11" t="n">
        <v>0</v>
      </c>
      <c r="L1977" s="10">
        <f>I1977*J1977*(1-K1977)</f>
        <v/>
      </c>
      <c r="M1977" s="10" t="n">
        <v>360</v>
      </c>
      <c r="N1977" s="10">
        <f>L1977-M1977</f>
        <v/>
      </c>
    </row>
    <row r="1978">
      <c r="A1978" s="7" t="inlineStr">
        <is>
          <t>ORD-05157</t>
        </is>
      </c>
      <c r="B1978" s="8" t="n">
        <v>45361</v>
      </c>
      <c r="C1978" s="9" t="n">
        <v>45352</v>
      </c>
      <c r="D1978" s="7" t="n">
        <v>2024</v>
      </c>
      <c r="E1978" s="7" t="inlineStr">
        <is>
          <t>North</t>
        </is>
      </c>
      <c r="F1978" s="7" t="inlineStr">
        <is>
          <t>Technology</t>
        </is>
      </c>
      <c r="G1978" s="7" t="inlineStr">
        <is>
          <t>Laptop</t>
        </is>
      </c>
      <c r="H1978" s="7" t="inlineStr">
        <is>
          <t>Corporate</t>
        </is>
      </c>
      <c r="I1978" s="7" t="n">
        <v>2</v>
      </c>
      <c r="J1978" s="10" t="n">
        <v>914.22</v>
      </c>
      <c r="K1978" s="11" t="n">
        <v>0</v>
      </c>
      <c r="L1978" s="10">
        <f>I1978*J1978*(1-K1978)</f>
        <v/>
      </c>
      <c r="M1978" s="10" t="n">
        <v>1404</v>
      </c>
      <c r="N1978" s="10">
        <f>L1978-M1978</f>
        <v/>
      </c>
    </row>
    <row r="1979">
      <c r="A1979" s="7" t="inlineStr">
        <is>
          <t>ORD-02947</t>
        </is>
      </c>
      <c r="B1979" s="8" t="n">
        <v>45361</v>
      </c>
      <c r="C1979" s="9" t="n">
        <v>45352</v>
      </c>
      <c r="D1979" s="7" t="n">
        <v>2024</v>
      </c>
      <c r="E1979" s="7" t="inlineStr">
        <is>
          <t>West</t>
        </is>
      </c>
      <c r="F1979" s="7" t="inlineStr">
        <is>
          <t>Office Supplies</t>
        </is>
      </c>
      <c r="G1979" s="7" t="inlineStr">
        <is>
          <t>Paper</t>
        </is>
      </c>
      <c r="H1979" s="7" t="inlineStr">
        <is>
          <t>Consumer</t>
        </is>
      </c>
      <c r="I1979" s="7" t="n">
        <v>8</v>
      </c>
      <c r="J1979" s="10" t="n">
        <v>23.76</v>
      </c>
      <c r="K1979" s="11" t="n">
        <v>0.2</v>
      </c>
      <c r="L1979" s="10">
        <f>I1979*J1979*(1-K1979)</f>
        <v/>
      </c>
      <c r="M1979" s="10" t="n">
        <v>100</v>
      </c>
      <c r="N1979" s="10">
        <f>L1979-M1979</f>
        <v/>
      </c>
    </row>
    <row r="1980">
      <c r="A1980" s="7" t="inlineStr">
        <is>
          <t>ORD-02306</t>
        </is>
      </c>
      <c r="B1980" s="8" t="n">
        <v>45361</v>
      </c>
      <c r="C1980" s="9" t="n">
        <v>45352</v>
      </c>
      <c r="D1980" s="7" t="n">
        <v>2024</v>
      </c>
      <c r="E1980" s="7" t="inlineStr">
        <is>
          <t>West</t>
        </is>
      </c>
      <c r="F1980" s="7" t="inlineStr">
        <is>
          <t>Office Supplies</t>
        </is>
      </c>
      <c r="G1980" s="7" t="inlineStr">
        <is>
          <t>Binder</t>
        </is>
      </c>
      <c r="H1980" s="7" t="inlineStr">
        <is>
          <t>Consumer</t>
        </is>
      </c>
      <c r="I1980" s="7" t="n">
        <v>8</v>
      </c>
      <c r="J1980" s="10" t="n">
        <v>8.17</v>
      </c>
      <c r="K1980" s="11" t="n">
        <v>0.3</v>
      </c>
      <c r="L1980" s="10">
        <f>I1980*J1980*(1-K1980)</f>
        <v/>
      </c>
      <c r="M1980" s="10" t="n">
        <v>25.6</v>
      </c>
      <c r="N1980" s="10">
        <f>L1980-M1980</f>
        <v/>
      </c>
    </row>
    <row r="1981">
      <c r="A1981" s="7" t="inlineStr">
        <is>
          <t>ORD-00694</t>
        </is>
      </c>
      <c r="B1981" s="8" t="n">
        <v>45362</v>
      </c>
      <c r="C1981" s="9" t="n">
        <v>45352</v>
      </c>
      <c r="D1981" s="7" t="n">
        <v>2024</v>
      </c>
      <c r="E1981" s="7" t="inlineStr">
        <is>
          <t>South</t>
        </is>
      </c>
      <c r="F1981" s="7" t="inlineStr">
        <is>
          <t>Office Supplies</t>
        </is>
      </c>
      <c r="G1981" s="7" t="inlineStr">
        <is>
          <t>Paper</t>
        </is>
      </c>
      <c r="H1981" s="7" t="inlineStr">
        <is>
          <t>Consumer</t>
        </is>
      </c>
      <c r="I1981" s="7" t="n">
        <v>10</v>
      </c>
      <c r="J1981" s="10" t="n">
        <v>25.42</v>
      </c>
      <c r="K1981" s="11" t="n">
        <v>0.3</v>
      </c>
      <c r="L1981" s="10">
        <f>I1981*J1981*(1-K1981)</f>
        <v/>
      </c>
      <c r="M1981" s="10" t="n">
        <v>125</v>
      </c>
      <c r="N1981" s="10">
        <f>L1981-M1981</f>
        <v/>
      </c>
    </row>
    <row r="1982">
      <c r="A1982" s="7" t="inlineStr">
        <is>
          <t>ORD-04633</t>
        </is>
      </c>
      <c r="B1982" s="8" t="n">
        <v>45363</v>
      </c>
      <c r="C1982" s="9" t="n">
        <v>45352</v>
      </c>
      <c r="D1982" s="7" t="n">
        <v>2024</v>
      </c>
      <c r="E1982" s="7" t="inlineStr">
        <is>
          <t>North</t>
        </is>
      </c>
      <c r="F1982" s="7" t="inlineStr">
        <is>
          <t>Furniture</t>
        </is>
      </c>
      <c r="G1982" s="7" t="inlineStr">
        <is>
          <t>Office Chair</t>
        </is>
      </c>
      <c r="H1982" s="7" t="inlineStr">
        <is>
          <t>Consumer</t>
        </is>
      </c>
      <c r="I1982" s="7" t="n">
        <v>3</v>
      </c>
      <c r="J1982" s="10" t="n">
        <v>224</v>
      </c>
      <c r="K1982" s="11" t="n">
        <v>0</v>
      </c>
      <c r="L1982" s="10">
        <f>I1982*J1982*(1-K1982)</f>
        <v/>
      </c>
      <c r="M1982" s="10" t="n">
        <v>541.2</v>
      </c>
      <c r="N1982" s="10">
        <f>L1982-M1982</f>
        <v/>
      </c>
    </row>
    <row r="1983">
      <c r="A1983" s="7" t="inlineStr">
        <is>
          <t>ORD-03019</t>
        </is>
      </c>
      <c r="B1983" s="8" t="n">
        <v>45363</v>
      </c>
      <c r="C1983" s="9" t="n">
        <v>45352</v>
      </c>
      <c r="D1983" s="7" t="n">
        <v>2024</v>
      </c>
      <c r="E1983" s="7" t="inlineStr">
        <is>
          <t>South</t>
        </is>
      </c>
      <c r="F1983" s="7" t="inlineStr">
        <is>
          <t>Furniture</t>
        </is>
      </c>
      <c r="G1983" s="7" t="inlineStr">
        <is>
          <t>Office Chair</t>
        </is>
      </c>
      <c r="H1983" s="7" t="inlineStr">
        <is>
          <t>Consumer</t>
        </is>
      </c>
      <c r="I1983" s="7" t="n">
        <v>2</v>
      </c>
      <c r="J1983" s="10" t="n">
        <v>219.92</v>
      </c>
      <c r="K1983" s="11" t="n">
        <v>0.2</v>
      </c>
      <c r="L1983" s="10">
        <f>I1983*J1983*(1-K1983)</f>
        <v/>
      </c>
      <c r="M1983" s="10" t="n">
        <v>360.8</v>
      </c>
      <c r="N1983" s="10">
        <f>L1983-M1983</f>
        <v/>
      </c>
    </row>
    <row r="1984">
      <c r="A1984" s="7" t="inlineStr">
        <is>
          <t>ORD-00033</t>
        </is>
      </c>
      <c r="B1984" s="8" t="n">
        <v>45363</v>
      </c>
      <c r="C1984" s="9" t="n">
        <v>45352</v>
      </c>
      <c r="D1984" s="7" t="n">
        <v>2024</v>
      </c>
      <c r="E1984" s="7" t="inlineStr">
        <is>
          <t>West</t>
        </is>
      </c>
      <c r="F1984" s="7" t="inlineStr">
        <is>
          <t>Technology</t>
        </is>
      </c>
      <c r="G1984" s="7" t="inlineStr">
        <is>
          <t>Keyboard</t>
        </is>
      </c>
      <c r="H1984" s="7" t="inlineStr">
        <is>
          <t>Corporate</t>
        </is>
      </c>
      <c r="I1984" s="7" t="n">
        <v>3</v>
      </c>
      <c r="J1984" s="10" t="n">
        <v>46.23</v>
      </c>
      <c r="K1984" s="11" t="n">
        <v>0.05</v>
      </c>
      <c r="L1984" s="10">
        <f>I1984*J1984*(1-K1984)</f>
        <v/>
      </c>
      <c r="M1984" s="10" t="n">
        <v>74.25</v>
      </c>
      <c r="N1984" s="10">
        <f>L1984-M1984</f>
        <v/>
      </c>
    </row>
    <row r="1985">
      <c r="A1985" s="7" t="inlineStr">
        <is>
          <t>ORD-05398</t>
        </is>
      </c>
      <c r="B1985" s="8" t="n">
        <v>45363</v>
      </c>
      <c r="C1985" s="9" t="n">
        <v>45352</v>
      </c>
      <c r="D1985" s="7" t="n">
        <v>2024</v>
      </c>
      <c r="E1985" s="7" t="inlineStr">
        <is>
          <t>South</t>
        </is>
      </c>
      <c r="F1985" s="7" t="inlineStr">
        <is>
          <t>Office Supplies</t>
        </is>
      </c>
      <c r="G1985" s="7" t="inlineStr">
        <is>
          <t>Binder</t>
        </is>
      </c>
      <c r="H1985" s="7" t="inlineStr">
        <is>
          <t>Home Office</t>
        </is>
      </c>
      <c r="I1985" s="7" t="n">
        <v>6</v>
      </c>
      <c r="J1985" s="10" t="n">
        <v>8.1</v>
      </c>
      <c r="K1985" s="11" t="n">
        <v>0</v>
      </c>
      <c r="L1985" s="10">
        <f>I1985*J1985*(1-K1985)</f>
        <v/>
      </c>
      <c r="M1985" s="10" t="n">
        <v>19.2</v>
      </c>
      <c r="N1985" s="10">
        <f>L1985-M1985</f>
        <v/>
      </c>
    </row>
    <row r="1986">
      <c r="A1986" s="7" t="inlineStr">
        <is>
          <t>ORD-05575</t>
        </is>
      </c>
      <c r="B1986" s="8" t="n">
        <v>45363</v>
      </c>
      <c r="C1986" s="9" t="n">
        <v>45352</v>
      </c>
      <c r="D1986" s="7" t="n">
        <v>2024</v>
      </c>
      <c r="E1986" s="7" t="inlineStr">
        <is>
          <t>South</t>
        </is>
      </c>
      <c r="F1986" s="7" t="inlineStr">
        <is>
          <t>Technology</t>
        </is>
      </c>
      <c r="G1986" s="7" t="inlineStr">
        <is>
          <t>Laptop</t>
        </is>
      </c>
      <c r="H1986" s="7" t="inlineStr">
        <is>
          <t>Corporate</t>
        </is>
      </c>
      <c r="I1986" s="7" t="n">
        <v>1</v>
      </c>
      <c r="J1986" s="10" t="n">
        <v>936.28</v>
      </c>
      <c r="K1986" s="11" t="n">
        <v>0</v>
      </c>
      <c r="L1986" s="10">
        <f>I1986*J1986*(1-K1986)</f>
        <v/>
      </c>
      <c r="M1986" s="10" t="n">
        <v>702</v>
      </c>
      <c r="N1986" s="10">
        <f>L1986-M1986</f>
        <v/>
      </c>
    </row>
    <row r="1987">
      <c r="A1987" s="7" t="inlineStr">
        <is>
          <t>ORD-05514</t>
        </is>
      </c>
      <c r="B1987" s="8" t="n">
        <v>45364</v>
      </c>
      <c r="C1987" s="9" t="n">
        <v>45352</v>
      </c>
      <c r="D1987" s="7" t="n">
        <v>2024</v>
      </c>
      <c r="E1987" s="7" t="inlineStr">
        <is>
          <t>West</t>
        </is>
      </c>
      <c r="F1987" s="7" t="inlineStr">
        <is>
          <t>Technology</t>
        </is>
      </c>
      <c r="G1987" s="7" t="inlineStr">
        <is>
          <t>Smartphone</t>
        </is>
      </c>
      <c r="H1987" s="7" t="inlineStr">
        <is>
          <t>Consumer</t>
        </is>
      </c>
      <c r="I1987" s="7" t="n">
        <v>1</v>
      </c>
      <c r="J1987" s="10" t="n">
        <v>578.0599999999999</v>
      </c>
      <c r="K1987" s="11" t="n">
        <v>0.3</v>
      </c>
      <c r="L1987" s="10">
        <f>I1987*J1987*(1-K1987)</f>
        <v/>
      </c>
      <c r="M1987" s="10" t="n">
        <v>450</v>
      </c>
      <c r="N1987" s="10">
        <f>L1987-M1987</f>
        <v/>
      </c>
    </row>
    <row r="1988">
      <c r="A1988" s="7" t="inlineStr">
        <is>
          <t>ORD-02372</t>
        </is>
      </c>
      <c r="B1988" s="8" t="n">
        <v>45364</v>
      </c>
      <c r="C1988" s="9" t="n">
        <v>45352</v>
      </c>
      <c r="D1988" s="7" t="n">
        <v>2024</v>
      </c>
      <c r="E1988" s="7" t="inlineStr">
        <is>
          <t>East</t>
        </is>
      </c>
      <c r="F1988" s="7" t="inlineStr">
        <is>
          <t>Technology</t>
        </is>
      </c>
      <c r="G1988" s="7" t="inlineStr">
        <is>
          <t>Monitor</t>
        </is>
      </c>
      <c r="H1988" s="7" t="inlineStr">
        <is>
          <t>Consumer</t>
        </is>
      </c>
      <c r="I1988" s="7" t="n">
        <v>3</v>
      </c>
      <c r="J1988" s="10" t="n">
        <v>249.91</v>
      </c>
      <c r="K1988" s="11" t="n">
        <v>0.05</v>
      </c>
      <c r="L1988" s="10">
        <f>I1988*J1988*(1-K1988)</f>
        <v/>
      </c>
      <c r="M1988" s="10" t="n">
        <v>540</v>
      </c>
      <c r="N1988" s="10">
        <f>L1988-M1988</f>
        <v/>
      </c>
    </row>
    <row r="1989">
      <c r="A1989" s="7" t="inlineStr">
        <is>
          <t>ORD-04463</t>
        </is>
      </c>
      <c r="B1989" s="8" t="n">
        <v>45364</v>
      </c>
      <c r="C1989" s="9" t="n">
        <v>45352</v>
      </c>
      <c r="D1989" s="7" t="n">
        <v>2024</v>
      </c>
      <c r="E1989" s="7" t="inlineStr">
        <is>
          <t>West</t>
        </is>
      </c>
      <c r="F1989" s="7" t="inlineStr">
        <is>
          <t>Office Supplies</t>
        </is>
      </c>
      <c r="G1989" s="7" t="inlineStr">
        <is>
          <t>Paper</t>
        </is>
      </c>
      <c r="H1989" s="7" t="inlineStr">
        <is>
          <t>Consumer</t>
        </is>
      </c>
      <c r="I1989" s="7" t="n">
        <v>8</v>
      </c>
      <c r="J1989" s="10" t="n">
        <v>24.81</v>
      </c>
      <c r="K1989" s="11" t="n">
        <v>0.05</v>
      </c>
      <c r="L1989" s="10">
        <f>I1989*J1989*(1-K1989)</f>
        <v/>
      </c>
      <c r="M1989" s="10" t="n">
        <v>100</v>
      </c>
      <c r="N1989" s="10">
        <f>L1989-M1989</f>
        <v/>
      </c>
    </row>
    <row r="1990">
      <c r="A1990" s="7" t="inlineStr">
        <is>
          <t>ORD-01046</t>
        </is>
      </c>
      <c r="B1990" s="8" t="n">
        <v>45364</v>
      </c>
      <c r="C1990" s="9" t="n">
        <v>45352</v>
      </c>
      <c r="D1990" s="7" t="n">
        <v>2024</v>
      </c>
      <c r="E1990" s="7" t="inlineStr">
        <is>
          <t>North</t>
        </is>
      </c>
      <c r="F1990" s="7" t="inlineStr">
        <is>
          <t>Office Supplies</t>
        </is>
      </c>
      <c r="G1990" s="7" t="inlineStr">
        <is>
          <t>Pens</t>
        </is>
      </c>
      <c r="H1990" s="7" t="inlineStr">
        <is>
          <t>Corporate</t>
        </is>
      </c>
      <c r="I1990" s="7" t="n">
        <v>13</v>
      </c>
      <c r="J1990" s="10" t="n">
        <v>11.64</v>
      </c>
      <c r="K1990" s="11" t="n">
        <v>0.05</v>
      </c>
      <c r="L1990" s="10">
        <f>I1990*J1990*(1-K1990)</f>
        <v/>
      </c>
      <c r="M1990" s="10" t="n">
        <v>70.2</v>
      </c>
      <c r="N1990" s="10">
        <f>L1990-M1990</f>
        <v/>
      </c>
    </row>
    <row r="1991">
      <c r="A1991" s="7" t="inlineStr">
        <is>
          <t>ORD-03762</t>
        </is>
      </c>
      <c r="B1991" s="8" t="n">
        <v>45364</v>
      </c>
      <c r="C1991" s="9" t="n">
        <v>45352</v>
      </c>
      <c r="D1991" s="7" t="n">
        <v>2024</v>
      </c>
      <c r="E1991" s="7" t="inlineStr">
        <is>
          <t>West</t>
        </is>
      </c>
      <c r="F1991" s="7" t="inlineStr">
        <is>
          <t>Office Supplies</t>
        </is>
      </c>
      <c r="G1991" s="7" t="inlineStr">
        <is>
          <t>Stapler</t>
        </is>
      </c>
      <c r="H1991" s="7" t="inlineStr">
        <is>
          <t>Home Office</t>
        </is>
      </c>
      <c r="I1991" s="7" t="n">
        <v>13</v>
      </c>
      <c r="J1991" s="10" t="n">
        <v>14.42</v>
      </c>
      <c r="K1991" s="11" t="n">
        <v>0.1</v>
      </c>
      <c r="L1991" s="10">
        <f>I1991*J1991*(1-K1991)</f>
        <v/>
      </c>
      <c r="M1991" s="10" t="n">
        <v>97.5</v>
      </c>
      <c r="N1991" s="10">
        <f>L1991-M1991</f>
        <v/>
      </c>
    </row>
    <row r="1992">
      <c r="A1992" s="7" t="inlineStr">
        <is>
          <t>ORD-03828</t>
        </is>
      </c>
      <c r="B1992" s="8" t="n">
        <v>45365</v>
      </c>
      <c r="C1992" s="9" t="n">
        <v>45352</v>
      </c>
      <c r="D1992" s="7" t="n">
        <v>2024</v>
      </c>
      <c r="E1992" s="7" t="inlineStr">
        <is>
          <t>East</t>
        </is>
      </c>
      <c r="F1992" s="7" t="inlineStr">
        <is>
          <t>Technology</t>
        </is>
      </c>
      <c r="G1992" s="7" t="inlineStr">
        <is>
          <t>Laptop</t>
        </is>
      </c>
      <c r="H1992" s="7" t="inlineStr">
        <is>
          <t>Home Office</t>
        </is>
      </c>
      <c r="I1992" s="7" t="n">
        <v>2</v>
      </c>
      <c r="J1992" s="10" t="n">
        <v>868.0599999999999</v>
      </c>
      <c r="K1992" s="11" t="n">
        <v>0.2</v>
      </c>
      <c r="L1992" s="10">
        <f>I1992*J1992*(1-K1992)</f>
        <v/>
      </c>
      <c r="M1992" s="10" t="n">
        <v>1404</v>
      </c>
      <c r="N1992" s="10">
        <f>L1992-M1992</f>
        <v/>
      </c>
    </row>
    <row r="1993">
      <c r="A1993" s="7" t="inlineStr">
        <is>
          <t>ORD-02128</t>
        </is>
      </c>
      <c r="B1993" s="8" t="n">
        <v>45365</v>
      </c>
      <c r="C1993" s="9" t="n">
        <v>45352</v>
      </c>
      <c r="D1993" s="7" t="n">
        <v>2024</v>
      </c>
      <c r="E1993" s="7" t="inlineStr">
        <is>
          <t>South</t>
        </is>
      </c>
      <c r="F1993" s="7" t="inlineStr">
        <is>
          <t>Office Supplies</t>
        </is>
      </c>
      <c r="G1993" s="7" t="inlineStr">
        <is>
          <t>Paper</t>
        </is>
      </c>
      <c r="H1993" s="7" t="inlineStr">
        <is>
          <t>Corporate</t>
        </is>
      </c>
      <c r="I1993" s="7" t="n">
        <v>4</v>
      </c>
      <c r="J1993" s="10" t="n">
        <v>24.04</v>
      </c>
      <c r="K1993" s="11" t="n">
        <v>0.3</v>
      </c>
      <c r="L1993" s="10">
        <f>I1993*J1993*(1-K1993)</f>
        <v/>
      </c>
      <c r="M1993" s="10" t="n">
        <v>50</v>
      </c>
      <c r="N1993" s="10">
        <f>L1993-M1993</f>
        <v/>
      </c>
    </row>
    <row r="1994">
      <c r="A1994" s="7" t="inlineStr">
        <is>
          <t>ORD-00316</t>
        </is>
      </c>
      <c r="B1994" s="8" t="n">
        <v>45365</v>
      </c>
      <c r="C1994" s="9" t="n">
        <v>45352</v>
      </c>
      <c r="D1994" s="7" t="n">
        <v>2024</v>
      </c>
      <c r="E1994" s="7" t="inlineStr">
        <is>
          <t>East</t>
        </is>
      </c>
      <c r="F1994" s="7" t="inlineStr">
        <is>
          <t>Office Supplies</t>
        </is>
      </c>
      <c r="G1994" s="7" t="inlineStr">
        <is>
          <t>Binder</t>
        </is>
      </c>
      <c r="H1994" s="7" t="inlineStr">
        <is>
          <t>Consumer</t>
        </is>
      </c>
      <c r="I1994" s="7" t="n">
        <v>5</v>
      </c>
      <c r="J1994" s="10" t="n">
        <v>7.73</v>
      </c>
      <c r="K1994" s="11" t="n">
        <v>0</v>
      </c>
      <c r="L1994" s="10">
        <f>I1994*J1994*(1-K1994)</f>
        <v/>
      </c>
      <c r="M1994" s="10" t="n">
        <v>16</v>
      </c>
      <c r="N1994" s="10">
        <f>L1994-M1994</f>
        <v/>
      </c>
    </row>
    <row r="1995">
      <c r="A1995" s="7" t="inlineStr">
        <is>
          <t>ORD-02169</t>
        </is>
      </c>
      <c r="B1995" s="8" t="n">
        <v>45365</v>
      </c>
      <c r="C1995" s="9" t="n">
        <v>45352</v>
      </c>
      <c r="D1995" s="7" t="n">
        <v>2024</v>
      </c>
      <c r="E1995" s="7" t="inlineStr">
        <is>
          <t>West</t>
        </is>
      </c>
      <c r="F1995" s="7" t="inlineStr">
        <is>
          <t>Office Supplies</t>
        </is>
      </c>
      <c r="G1995" s="7" t="inlineStr">
        <is>
          <t>Paper</t>
        </is>
      </c>
      <c r="H1995" s="7" t="inlineStr">
        <is>
          <t>Corporate</t>
        </is>
      </c>
      <c r="I1995" s="7" t="n">
        <v>3</v>
      </c>
      <c r="J1995" s="10" t="n">
        <v>23.76</v>
      </c>
      <c r="K1995" s="11" t="n">
        <v>0.1</v>
      </c>
      <c r="L1995" s="10">
        <f>I1995*J1995*(1-K1995)</f>
        <v/>
      </c>
      <c r="M1995" s="10" t="n">
        <v>37.5</v>
      </c>
      <c r="N1995" s="10">
        <f>L1995-M1995</f>
        <v/>
      </c>
    </row>
    <row r="1996">
      <c r="A1996" s="7" t="inlineStr">
        <is>
          <t>ORD-03612</t>
        </is>
      </c>
      <c r="B1996" s="8" t="n">
        <v>45365</v>
      </c>
      <c r="C1996" s="9" t="n">
        <v>45352</v>
      </c>
      <c r="D1996" s="7" t="n">
        <v>2024</v>
      </c>
      <c r="E1996" s="7" t="inlineStr">
        <is>
          <t>South</t>
        </is>
      </c>
      <c r="F1996" s="7" t="inlineStr">
        <is>
          <t>Technology</t>
        </is>
      </c>
      <c r="G1996" s="7" t="inlineStr">
        <is>
          <t>Headphones</t>
        </is>
      </c>
      <c r="H1996" s="7" t="inlineStr">
        <is>
          <t>Consumer</t>
        </is>
      </c>
      <c r="I1996" s="7" t="n">
        <v>1</v>
      </c>
      <c r="J1996" s="10" t="n">
        <v>120.4</v>
      </c>
      <c r="K1996" s="11" t="n">
        <v>0.2</v>
      </c>
      <c r="L1996" s="10">
        <f>I1996*J1996*(1-K1996)</f>
        <v/>
      </c>
      <c r="M1996" s="10" t="n">
        <v>72</v>
      </c>
      <c r="N1996" s="10">
        <f>L1996-M1996</f>
        <v/>
      </c>
    </row>
    <row r="1997">
      <c r="A1997" s="7" t="inlineStr">
        <is>
          <t>ORD-05267</t>
        </is>
      </c>
      <c r="B1997" s="8" t="n">
        <v>45365</v>
      </c>
      <c r="C1997" s="9" t="n">
        <v>45352</v>
      </c>
      <c r="D1997" s="7" t="n">
        <v>2024</v>
      </c>
      <c r="E1997" s="7" t="inlineStr">
        <is>
          <t>East</t>
        </is>
      </c>
      <c r="F1997" s="7" t="inlineStr">
        <is>
          <t>Office Supplies</t>
        </is>
      </c>
      <c r="G1997" s="7" t="inlineStr">
        <is>
          <t>Paper</t>
        </is>
      </c>
      <c r="H1997" s="7" t="inlineStr">
        <is>
          <t>Consumer</t>
        </is>
      </c>
      <c r="I1997" s="7" t="n">
        <v>14</v>
      </c>
      <c r="J1997" s="10" t="n">
        <v>25.5</v>
      </c>
      <c r="K1997" s="11" t="n">
        <v>0.05</v>
      </c>
      <c r="L1997" s="10">
        <f>I1997*J1997*(1-K1997)</f>
        <v/>
      </c>
      <c r="M1997" s="10" t="n">
        <v>175</v>
      </c>
      <c r="N1997" s="10">
        <f>L1997-M1997</f>
        <v/>
      </c>
    </row>
    <row r="1998">
      <c r="A1998" s="7" t="inlineStr">
        <is>
          <t>ORD-00323</t>
        </is>
      </c>
      <c r="B1998" s="8" t="n">
        <v>45366</v>
      </c>
      <c r="C1998" s="9" t="n">
        <v>45352</v>
      </c>
      <c r="D1998" s="7" t="n">
        <v>2024</v>
      </c>
      <c r="E1998" s="7" t="inlineStr">
        <is>
          <t>North</t>
        </is>
      </c>
      <c r="F1998" s="7" t="inlineStr">
        <is>
          <t>Office Supplies</t>
        </is>
      </c>
      <c r="G1998" s="7" t="inlineStr">
        <is>
          <t>Pens</t>
        </is>
      </c>
      <c r="H1998" s="7" t="inlineStr">
        <is>
          <t>Consumer</t>
        </is>
      </c>
      <c r="I1998" s="7" t="n">
        <v>3</v>
      </c>
      <c r="J1998" s="10" t="n">
        <v>12</v>
      </c>
      <c r="K1998" s="11" t="n">
        <v>0.1</v>
      </c>
      <c r="L1998" s="10">
        <f>I1998*J1998*(1-K1998)</f>
        <v/>
      </c>
      <c r="M1998" s="10" t="n">
        <v>16.2</v>
      </c>
      <c r="N1998" s="10">
        <f>L1998-M1998</f>
        <v/>
      </c>
    </row>
    <row r="1999">
      <c r="A1999" s="7" t="inlineStr">
        <is>
          <t>ORD-03449</t>
        </is>
      </c>
      <c r="B1999" s="8" t="n">
        <v>45366</v>
      </c>
      <c r="C1999" s="9" t="n">
        <v>45352</v>
      </c>
      <c r="D1999" s="7" t="n">
        <v>2024</v>
      </c>
      <c r="E1999" s="7" t="inlineStr">
        <is>
          <t>West</t>
        </is>
      </c>
      <c r="F1999" s="7" t="inlineStr">
        <is>
          <t>Office Supplies</t>
        </is>
      </c>
      <c r="G1999" s="7" t="inlineStr">
        <is>
          <t>Pens</t>
        </is>
      </c>
      <c r="H1999" s="7" t="inlineStr">
        <is>
          <t>Home Office</t>
        </is>
      </c>
      <c r="I1999" s="7" t="n">
        <v>11</v>
      </c>
      <c r="J1999" s="10" t="n">
        <v>11.9</v>
      </c>
      <c r="K1999" s="11" t="n">
        <v>0</v>
      </c>
      <c r="L1999" s="10">
        <f>I1999*J1999*(1-K1999)</f>
        <v/>
      </c>
      <c r="M1999" s="10" t="n">
        <v>59.4</v>
      </c>
      <c r="N1999" s="10">
        <f>L1999-M1999</f>
        <v/>
      </c>
    </row>
    <row r="2000">
      <c r="A2000" s="7" t="inlineStr">
        <is>
          <t>ORD-03592</t>
        </is>
      </c>
      <c r="B2000" s="8" t="n">
        <v>45366</v>
      </c>
      <c r="C2000" s="9" t="n">
        <v>45352</v>
      </c>
      <c r="D2000" s="7" t="n">
        <v>2024</v>
      </c>
      <c r="E2000" s="7" t="inlineStr">
        <is>
          <t>West</t>
        </is>
      </c>
      <c r="F2000" s="7" t="inlineStr">
        <is>
          <t>Furniture</t>
        </is>
      </c>
      <c r="G2000" s="7" t="inlineStr">
        <is>
          <t>Bookcase</t>
        </is>
      </c>
      <c r="H2000" s="7" t="inlineStr">
        <is>
          <t>Consumer</t>
        </is>
      </c>
      <c r="I2000" s="7" t="n">
        <v>4</v>
      </c>
      <c r="J2000" s="10" t="n">
        <v>175.42</v>
      </c>
      <c r="K2000" s="11" t="n">
        <v>0.05</v>
      </c>
      <c r="L2000" s="10">
        <f>I2000*J2000*(1-K2000)</f>
        <v/>
      </c>
      <c r="M2000" s="10" t="n">
        <v>576</v>
      </c>
      <c r="N2000" s="10">
        <f>L2000-M2000</f>
        <v/>
      </c>
    </row>
    <row r="2001">
      <c r="A2001" s="7" t="inlineStr">
        <is>
          <t>ORD-05320</t>
        </is>
      </c>
      <c r="B2001" s="8" t="n">
        <v>45366</v>
      </c>
      <c r="C2001" s="9" t="n">
        <v>45352</v>
      </c>
      <c r="D2001" s="7" t="n">
        <v>2024</v>
      </c>
      <c r="E2001" s="7" t="inlineStr">
        <is>
          <t>West</t>
        </is>
      </c>
      <c r="F2001" s="7" t="inlineStr">
        <is>
          <t>Furniture</t>
        </is>
      </c>
      <c r="G2001" s="7" t="inlineStr">
        <is>
          <t>Office Chair</t>
        </is>
      </c>
      <c r="H2001" s="7" t="inlineStr">
        <is>
          <t>Home Office</t>
        </is>
      </c>
      <c r="I2001" s="7" t="n">
        <v>4</v>
      </c>
      <c r="J2001" s="10" t="n">
        <v>226.83</v>
      </c>
      <c r="K2001" s="11" t="n">
        <v>0.1</v>
      </c>
      <c r="L2001" s="10">
        <f>I2001*J2001*(1-K2001)</f>
        <v/>
      </c>
      <c r="M2001" s="10" t="n">
        <v>721.6</v>
      </c>
      <c r="N2001" s="10">
        <f>L2001-M2001</f>
        <v/>
      </c>
    </row>
    <row r="2002">
      <c r="A2002" s="7" t="inlineStr">
        <is>
          <t>ORD-02807</t>
        </is>
      </c>
      <c r="B2002" s="8" t="n">
        <v>45367</v>
      </c>
      <c r="C2002" s="9" t="n">
        <v>45352</v>
      </c>
      <c r="D2002" s="7" t="n">
        <v>2024</v>
      </c>
      <c r="E2002" s="7" t="inlineStr">
        <is>
          <t>West</t>
        </is>
      </c>
      <c r="F2002" s="7" t="inlineStr">
        <is>
          <t>Office Supplies</t>
        </is>
      </c>
      <c r="G2002" s="7" t="inlineStr">
        <is>
          <t>Binder</t>
        </is>
      </c>
      <c r="H2002" s="7" t="inlineStr">
        <is>
          <t>Corporate</t>
        </is>
      </c>
      <c r="I2002" s="7" t="n">
        <v>6</v>
      </c>
      <c r="J2002" s="10" t="n">
        <v>7.73</v>
      </c>
      <c r="K2002" s="11" t="n">
        <v>0</v>
      </c>
      <c r="L2002" s="10">
        <f>I2002*J2002*(1-K2002)</f>
        <v/>
      </c>
      <c r="M2002" s="10" t="n">
        <v>19.2</v>
      </c>
      <c r="N2002" s="10">
        <f>L2002-M2002</f>
        <v/>
      </c>
    </row>
    <row r="2003">
      <c r="A2003" s="7" t="inlineStr">
        <is>
          <t>ORD-01288</t>
        </is>
      </c>
      <c r="B2003" s="8" t="n">
        <v>45367</v>
      </c>
      <c r="C2003" s="9" t="n">
        <v>45352</v>
      </c>
      <c r="D2003" s="7" t="n">
        <v>2024</v>
      </c>
      <c r="E2003" s="7" t="inlineStr">
        <is>
          <t>West</t>
        </is>
      </c>
      <c r="F2003" s="7" t="inlineStr">
        <is>
          <t>Office Supplies</t>
        </is>
      </c>
      <c r="G2003" s="7" t="inlineStr">
        <is>
          <t>Paper</t>
        </is>
      </c>
      <c r="H2003" s="7" t="inlineStr">
        <is>
          <t>Home Office</t>
        </is>
      </c>
      <c r="I2003" s="7" t="n">
        <v>10</v>
      </c>
      <c r="J2003" s="10" t="n">
        <v>24.74</v>
      </c>
      <c r="K2003" s="11" t="n">
        <v>0.05</v>
      </c>
      <c r="L2003" s="10">
        <f>I2003*J2003*(1-K2003)</f>
        <v/>
      </c>
      <c r="M2003" s="10" t="n">
        <v>125</v>
      </c>
      <c r="N2003" s="10">
        <f>L2003-M2003</f>
        <v/>
      </c>
    </row>
    <row r="2004">
      <c r="A2004" s="7" t="inlineStr">
        <is>
          <t>ORD-03354</t>
        </is>
      </c>
      <c r="B2004" s="8" t="n">
        <v>45367</v>
      </c>
      <c r="C2004" s="9" t="n">
        <v>45352</v>
      </c>
      <c r="D2004" s="7" t="n">
        <v>2024</v>
      </c>
      <c r="E2004" s="7" t="inlineStr">
        <is>
          <t>South</t>
        </is>
      </c>
      <c r="F2004" s="7" t="inlineStr">
        <is>
          <t>Office Supplies</t>
        </is>
      </c>
      <c r="G2004" s="7" t="inlineStr">
        <is>
          <t>Binder</t>
        </is>
      </c>
      <c r="H2004" s="7" t="inlineStr">
        <is>
          <t>Corporate</t>
        </is>
      </c>
      <c r="I2004" s="7" t="n">
        <v>15</v>
      </c>
      <c r="J2004" s="10" t="n">
        <v>8.15</v>
      </c>
      <c r="K2004" s="11" t="n">
        <v>0.05</v>
      </c>
      <c r="L2004" s="10">
        <f>I2004*J2004*(1-K2004)</f>
        <v/>
      </c>
      <c r="M2004" s="10" t="n">
        <v>48</v>
      </c>
      <c r="N2004" s="10">
        <f>L2004-M2004</f>
        <v/>
      </c>
    </row>
    <row r="2005">
      <c r="A2005" s="7" t="inlineStr">
        <is>
          <t>ORD-03437</t>
        </is>
      </c>
      <c r="B2005" s="8" t="n">
        <v>45367</v>
      </c>
      <c r="C2005" s="9" t="n">
        <v>45352</v>
      </c>
      <c r="D2005" s="7" t="n">
        <v>2024</v>
      </c>
      <c r="E2005" s="7" t="inlineStr">
        <is>
          <t>West</t>
        </is>
      </c>
      <c r="F2005" s="7" t="inlineStr">
        <is>
          <t>Office Supplies</t>
        </is>
      </c>
      <c r="G2005" s="7" t="inlineStr">
        <is>
          <t>Paper</t>
        </is>
      </c>
      <c r="H2005" s="7" t="inlineStr">
        <is>
          <t>Consumer</t>
        </is>
      </c>
      <c r="I2005" s="7" t="n">
        <v>14</v>
      </c>
      <c r="J2005" s="10" t="n">
        <v>24.55</v>
      </c>
      <c r="K2005" s="11" t="n">
        <v>0.3</v>
      </c>
      <c r="L2005" s="10">
        <f>I2005*J2005*(1-K2005)</f>
        <v/>
      </c>
      <c r="M2005" s="10" t="n">
        <v>175</v>
      </c>
      <c r="N2005" s="10">
        <f>L2005-M2005</f>
        <v/>
      </c>
    </row>
    <row r="2006">
      <c r="A2006" s="7" t="inlineStr">
        <is>
          <t>ORD-02884</t>
        </is>
      </c>
      <c r="B2006" s="8" t="n">
        <v>45367</v>
      </c>
      <c r="C2006" s="9" t="n">
        <v>45352</v>
      </c>
      <c r="D2006" s="7" t="n">
        <v>2024</v>
      </c>
      <c r="E2006" s="7" t="inlineStr">
        <is>
          <t>West</t>
        </is>
      </c>
      <c r="F2006" s="7" t="inlineStr">
        <is>
          <t>Technology</t>
        </is>
      </c>
      <c r="G2006" s="7" t="inlineStr">
        <is>
          <t>Laptop</t>
        </is>
      </c>
      <c r="H2006" s="7" t="inlineStr">
        <is>
          <t>Consumer</t>
        </is>
      </c>
      <c r="I2006" s="7" t="n">
        <v>1</v>
      </c>
      <c r="J2006" s="10" t="n">
        <v>944.7</v>
      </c>
      <c r="K2006" s="11" t="n">
        <v>0</v>
      </c>
      <c r="L2006" s="10">
        <f>I2006*J2006*(1-K2006)</f>
        <v/>
      </c>
      <c r="M2006" s="10" t="n">
        <v>702</v>
      </c>
      <c r="N2006" s="10">
        <f>L2006-M2006</f>
        <v/>
      </c>
    </row>
    <row r="2007">
      <c r="A2007" s="7" t="inlineStr">
        <is>
          <t>ORD-03545</t>
        </is>
      </c>
      <c r="B2007" s="8" t="n">
        <v>45368</v>
      </c>
      <c r="C2007" s="9" t="n">
        <v>45352</v>
      </c>
      <c r="D2007" s="7" t="n">
        <v>2024</v>
      </c>
      <c r="E2007" s="7" t="inlineStr">
        <is>
          <t>East</t>
        </is>
      </c>
      <c r="F2007" s="7" t="inlineStr">
        <is>
          <t>Technology</t>
        </is>
      </c>
      <c r="G2007" s="7" t="inlineStr">
        <is>
          <t>Headphones</t>
        </is>
      </c>
      <c r="H2007" s="7" t="inlineStr">
        <is>
          <t>Home Office</t>
        </is>
      </c>
      <c r="I2007" s="7" t="n">
        <v>3</v>
      </c>
      <c r="J2007" s="10" t="n">
        <v>118.81</v>
      </c>
      <c r="K2007" s="11" t="n">
        <v>0.05</v>
      </c>
      <c r="L2007" s="10">
        <f>I2007*J2007*(1-K2007)</f>
        <v/>
      </c>
      <c r="M2007" s="10" t="n">
        <v>216</v>
      </c>
      <c r="N2007" s="10">
        <f>L2007-M2007</f>
        <v/>
      </c>
    </row>
    <row r="2008">
      <c r="A2008" s="7" t="inlineStr">
        <is>
          <t>ORD-02409</t>
        </is>
      </c>
      <c r="B2008" s="8" t="n">
        <v>45368</v>
      </c>
      <c r="C2008" s="9" t="n">
        <v>45352</v>
      </c>
      <c r="D2008" s="7" t="n">
        <v>2024</v>
      </c>
      <c r="E2008" s="7" t="inlineStr">
        <is>
          <t>North</t>
        </is>
      </c>
      <c r="F2008" s="7" t="inlineStr">
        <is>
          <t>Office Supplies</t>
        </is>
      </c>
      <c r="G2008" s="7" t="inlineStr">
        <is>
          <t>Binder</t>
        </is>
      </c>
      <c r="H2008" s="7" t="inlineStr">
        <is>
          <t>Consumer</t>
        </is>
      </c>
      <c r="I2008" s="7" t="n">
        <v>3</v>
      </c>
      <c r="J2008" s="10" t="n">
        <v>8.039999999999999</v>
      </c>
      <c r="K2008" s="11" t="n">
        <v>0.05</v>
      </c>
      <c r="L2008" s="10">
        <f>I2008*J2008*(1-K2008)</f>
        <v/>
      </c>
      <c r="M2008" s="10" t="n">
        <v>9.6</v>
      </c>
      <c r="N2008" s="10">
        <f>L2008-M2008</f>
        <v/>
      </c>
    </row>
    <row r="2009">
      <c r="A2009" s="7" t="inlineStr">
        <is>
          <t>ORD-00127</t>
        </is>
      </c>
      <c r="B2009" s="8" t="n">
        <v>45368</v>
      </c>
      <c r="C2009" s="9" t="n">
        <v>45352</v>
      </c>
      <c r="D2009" s="7" t="n">
        <v>2024</v>
      </c>
      <c r="E2009" s="7" t="inlineStr">
        <is>
          <t>West</t>
        </is>
      </c>
      <c r="F2009" s="7" t="inlineStr">
        <is>
          <t>Furniture</t>
        </is>
      </c>
      <c r="G2009" s="7" t="inlineStr">
        <is>
          <t>Office Chair</t>
        </is>
      </c>
      <c r="H2009" s="7" t="inlineStr">
        <is>
          <t>Consumer</t>
        </is>
      </c>
      <c r="I2009" s="7" t="n">
        <v>1</v>
      </c>
      <c r="J2009" s="10" t="n">
        <v>231</v>
      </c>
      <c r="K2009" s="11" t="n">
        <v>0.2</v>
      </c>
      <c r="L2009" s="10">
        <f>I2009*J2009*(1-K2009)</f>
        <v/>
      </c>
      <c r="M2009" s="10" t="n">
        <v>180.4</v>
      </c>
      <c r="N2009" s="10">
        <f>L2009-M2009</f>
        <v/>
      </c>
    </row>
    <row r="2010">
      <c r="A2010" s="7" t="inlineStr">
        <is>
          <t>ORD-01787</t>
        </is>
      </c>
      <c r="B2010" s="8" t="n">
        <v>45368</v>
      </c>
      <c r="C2010" s="9" t="n">
        <v>45352</v>
      </c>
      <c r="D2010" s="7" t="n">
        <v>2024</v>
      </c>
      <c r="E2010" s="7" t="inlineStr">
        <is>
          <t>South</t>
        </is>
      </c>
      <c r="F2010" s="7" t="inlineStr">
        <is>
          <t>Furniture</t>
        </is>
      </c>
      <c r="G2010" s="7" t="inlineStr">
        <is>
          <t>Bookcase</t>
        </is>
      </c>
      <c r="H2010" s="7" t="inlineStr">
        <is>
          <t>Corporate</t>
        </is>
      </c>
      <c r="I2010" s="7" t="n">
        <v>1</v>
      </c>
      <c r="J2010" s="10" t="n">
        <v>182.49</v>
      </c>
      <c r="K2010" s="11" t="n">
        <v>0</v>
      </c>
      <c r="L2010" s="10">
        <f>I2010*J2010*(1-K2010)</f>
        <v/>
      </c>
      <c r="M2010" s="10" t="n">
        <v>144</v>
      </c>
      <c r="N2010" s="10">
        <f>L2010-M2010</f>
        <v/>
      </c>
    </row>
    <row r="2011">
      <c r="A2011" s="7" t="inlineStr">
        <is>
          <t>ORD-01325</t>
        </is>
      </c>
      <c r="B2011" s="8" t="n">
        <v>45369</v>
      </c>
      <c r="C2011" s="9" t="n">
        <v>45352</v>
      </c>
      <c r="D2011" s="7" t="n">
        <v>2024</v>
      </c>
      <c r="E2011" s="7" t="inlineStr">
        <is>
          <t>South</t>
        </is>
      </c>
      <c r="F2011" s="7" t="inlineStr">
        <is>
          <t>Office Supplies</t>
        </is>
      </c>
      <c r="G2011" s="7" t="inlineStr">
        <is>
          <t>Stapler</t>
        </is>
      </c>
      <c r="H2011" s="7" t="inlineStr">
        <is>
          <t>Corporate</t>
        </is>
      </c>
      <c r="I2011" s="7" t="n">
        <v>12</v>
      </c>
      <c r="J2011" s="10" t="n">
        <v>15.06</v>
      </c>
      <c r="K2011" s="11" t="n">
        <v>0.1</v>
      </c>
      <c r="L2011" s="10">
        <f>I2011*J2011*(1-K2011)</f>
        <v/>
      </c>
      <c r="M2011" s="10" t="n">
        <v>90</v>
      </c>
      <c r="N2011" s="10">
        <f>L2011-M2011</f>
        <v/>
      </c>
    </row>
    <row r="2012">
      <c r="A2012" s="7" t="inlineStr">
        <is>
          <t>ORD-03366</t>
        </is>
      </c>
      <c r="B2012" s="8" t="n">
        <v>45369</v>
      </c>
      <c r="C2012" s="9" t="n">
        <v>45352</v>
      </c>
      <c r="D2012" s="7" t="n">
        <v>2024</v>
      </c>
      <c r="E2012" s="7" t="inlineStr">
        <is>
          <t>West</t>
        </is>
      </c>
      <c r="F2012" s="7" t="inlineStr">
        <is>
          <t>Office Supplies</t>
        </is>
      </c>
      <c r="G2012" s="7" t="inlineStr">
        <is>
          <t>Printer Ink</t>
        </is>
      </c>
      <c r="H2012" s="7" t="inlineStr">
        <is>
          <t>Home Office</t>
        </is>
      </c>
      <c r="I2012" s="7" t="n">
        <v>10</v>
      </c>
      <c r="J2012" s="10" t="n">
        <v>59.36</v>
      </c>
      <c r="K2012" s="11" t="n">
        <v>0</v>
      </c>
      <c r="L2012" s="10">
        <f>I2012*J2012*(1-K2012)</f>
        <v/>
      </c>
      <c r="M2012" s="10" t="n">
        <v>360</v>
      </c>
      <c r="N2012" s="10">
        <f>L2012-M2012</f>
        <v/>
      </c>
    </row>
    <row r="2013">
      <c r="A2013" s="7" t="inlineStr">
        <is>
          <t>ORD-01886</t>
        </is>
      </c>
      <c r="B2013" s="8" t="n">
        <v>45369</v>
      </c>
      <c r="C2013" s="9" t="n">
        <v>45352</v>
      </c>
      <c r="D2013" s="7" t="n">
        <v>2024</v>
      </c>
      <c r="E2013" s="7" t="inlineStr">
        <is>
          <t>East</t>
        </is>
      </c>
      <c r="F2013" s="7" t="inlineStr">
        <is>
          <t>Technology</t>
        </is>
      </c>
      <c r="G2013" s="7" t="inlineStr">
        <is>
          <t>Smartphone</t>
        </is>
      </c>
      <c r="H2013" s="7" t="inlineStr">
        <is>
          <t>Corporate</t>
        </is>
      </c>
      <c r="I2013" s="7" t="n">
        <v>1</v>
      </c>
      <c r="J2013" s="10" t="n">
        <v>619.16</v>
      </c>
      <c r="K2013" s="11" t="n">
        <v>0.1</v>
      </c>
      <c r="L2013" s="10">
        <f>I2013*J2013*(1-K2013)</f>
        <v/>
      </c>
      <c r="M2013" s="10" t="n">
        <v>450</v>
      </c>
      <c r="N2013" s="10">
        <f>L2013-M2013</f>
        <v/>
      </c>
    </row>
    <row r="2014">
      <c r="A2014" s="7" t="inlineStr">
        <is>
          <t>ORD-04628</t>
        </is>
      </c>
      <c r="B2014" s="8" t="n">
        <v>45369</v>
      </c>
      <c r="C2014" s="9" t="n">
        <v>45352</v>
      </c>
      <c r="D2014" s="7" t="n">
        <v>2024</v>
      </c>
      <c r="E2014" s="7" t="inlineStr">
        <is>
          <t>West</t>
        </is>
      </c>
      <c r="F2014" s="7" t="inlineStr">
        <is>
          <t>Office Supplies</t>
        </is>
      </c>
      <c r="G2014" s="7" t="inlineStr">
        <is>
          <t>Paper</t>
        </is>
      </c>
      <c r="H2014" s="7" t="inlineStr">
        <is>
          <t>Corporate</t>
        </is>
      </c>
      <c r="I2014" s="7" t="n">
        <v>2</v>
      </c>
      <c r="J2014" s="10" t="n">
        <v>26.23</v>
      </c>
      <c r="K2014" s="11" t="n">
        <v>0</v>
      </c>
      <c r="L2014" s="10">
        <f>I2014*J2014*(1-K2014)</f>
        <v/>
      </c>
      <c r="M2014" s="10" t="n">
        <v>25</v>
      </c>
      <c r="N2014" s="10">
        <f>L2014-M2014</f>
        <v/>
      </c>
    </row>
    <row r="2015">
      <c r="A2015" s="7" t="inlineStr">
        <is>
          <t>ORD-00757</t>
        </is>
      </c>
      <c r="B2015" s="8" t="n">
        <v>45369</v>
      </c>
      <c r="C2015" s="9" t="n">
        <v>45352</v>
      </c>
      <c r="D2015" s="7" t="n">
        <v>2024</v>
      </c>
      <c r="E2015" s="7" t="inlineStr">
        <is>
          <t>South</t>
        </is>
      </c>
      <c r="F2015" s="7" t="inlineStr">
        <is>
          <t>Office Supplies</t>
        </is>
      </c>
      <c r="G2015" s="7" t="inlineStr">
        <is>
          <t>Paper</t>
        </is>
      </c>
      <c r="H2015" s="7" t="inlineStr">
        <is>
          <t>Consumer</t>
        </is>
      </c>
      <c r="I2015" s="7" t="n">
        <v>12</v>
      </c>
      <c r="J2015" s="10" t="n">
        <v>25.64</v>
      </c>
      <c r="K2015" s="11" t="n">
        <v>0.05</v>
      </c>
      <c r="L2015" s="10">
        <f>I2015*J2015*(1-K2015)</f>
        <v/>
      </c>
      <c r="M2015" s="10" t="n">
        <v>150</v>
      </c>
      <c r="N2015" s="10">
        <f>L2015-M2015</f>
        <v/>
      </c>
    </row>
    <row r="2016">
      <c r="A2016" s="7" t="inlineStr">
        <is>
          <t>ORD-03220</t>
        </is>
      </c>
      <c r="B2016" s="8" t="n">
        <v>45369</v>
      </c>
      <c r="C2016" s="9" t="n">
        <v>45352</v>
      </c>
      <c r="D2016" s="7" t="n">
        <v>2024</v>
      </c>
      <c r="E2016" s="7" t="inlineStr">
        <is>
          <t>West</t>
        </is>
      </c>
      <c r="F2016" s="7" t="inlineStr">
        <is>
          <t>Furniture</t>
        </is>
      </c>
      <c r="G2016" s="7" t="inlineStr">
        <is>
          <t>Sofa</t>
        </is>
      </c>
      <c r="H2016" s="7" t="inlineStr">
        <is>
          <t>Corporate</t>
        </is>
      </c>
      <c r="I2016" s="7" t="n">
        <v>2</v>
      </c>
      <c r="J2016" s="10" t="n">
        <v>711.37</v>
      </c>
      <c r="K2016" s="11" t="n">
        <v>0.05</v>
      </c>
      <c r="L2016" s="10">
        <f>I2016*J2016*(1-K2016)</f>
        <v/>
      </c>
      <c r="M2016" s="10" t="n">
        <v>1232</v>
      </c>
      <c r="N2016" s="10">
        <f>L2016-M2016</f>
        <v/>
      </c>
    </row>
    <row r="2017">
      <c r="A2017" s="7" t="inlineStr">
        <is>
          <t>ORD-04599</t>
        </is>
      </c>
      <c r="B2017" s="8" t="n">
        <v>45370</v>
      </c>
      <c r="C2017" s="9" t="n">
        <v>45352</v>
      </c>
      <c r="D2017" s="7" t="n">
        <v>2024</v>
      </c>
      <c r="E2017" s="7" t="inlineStr">
        <is>
          <t>West</t>
        </is>
      </c>
      <c r="F2017" s="7" t="inlineStr">
        <is>
          <t>Office Supplies</t>
        </is>
      </c>
      <c r="G2017" s="7" t="inlineStr">
        <is>
          <t>Paper</t>
        </is>
      </c>
      <c r="H2017" s="7" t="inlineStr">
        <is>
          <t>Home Office</t>
        </is>
      </c>
      <c r="I2017" s="7" t="n">
        <v>5</v>
      </c>
      <c r="J2017" s="10" t="n">
        <v>24.64</v>
      </c>
      <c r="K2017" s="11" t="n">
        <v>0</v>
      </c>
      <c r="L2017" s="10">
        <f>I2017*J2017*(1-K2017)</f>
        <v/>
      </c>
      <c r="M2017" s="10" t="n">
        <v>62.5</v>
      </c>
      <c r="N2017" s="10">
        <f>L2017-M2017</f>
        <v/>
      </c>
    </row>
    <row r="2018">
      <c r="A2018" s="7" t="inlineStr">
        <is>
          <t>ORD-05170</t>
        </is>
      </c>
      <c r="B2018" s="8" t="n">
        <v>45370</v>
      </c>
      <c r="C2018" s="9" t="n">
        <v>45352</v>
      </c>
      <c r="D2018" s="7" t="n">
        <v>2024</v>
      </c>
      <c r="E2018" s="7" t="inlineStr">
        <is>
          <t>South</t>
        </is>
      </c>
      <c r="F2018" s="7" t="inlineStr">
        <is>
          <t>Office Supplies</t>
        </is>
      </c>
      <c r="G2018" s="7" t="inlineStr">
        <is>
          <t>Pens</t>
        </is>
      </c>
      <c r="H2018" s="7" t="inlineStr">
        <is>
          <t>Consumer</t>
        </is>
      </c>
      <c r="I2018" s="7" t="n">
        <v>4</v>
      </c>
      <c r="J2018" s="10" t="n">
        <v>11.5</v>
      </c>
      <c r="K2018" s="11" t="n">
        <v>0.05</v>
      </c>
      <c r="L2018" s="10">
        <f>I2018*J2018*(1-K2018)</f>
        <v/>
      </c>
      <c r="M2018" s="10" t="n">
        <v>21.6</v>
      </c>
      <c r="N2018" s="10">
        <f>L2018-M2018</f>
        <v/>
      </c>
    </row>
    <row r="2019">
      <c r="A2019" s="7" t="inlineStr">
        <is>
          <t>ORD-00147</t>
        </is>
      </c>
      <c r="B2019" s="8" t="n">
        <v>45370</v>
      </c>
      <c r="C2019" s="9" t="n">
        <v>45352</v>
      </c>
      <c r="D2019" s="7" t="n">
        <v>2024</v>
      </c>
      <c r="E2019" s="7" t="inlineStr">
        <is>
          <t>South</t>
        </is>
      </c>
      <c r="F2019" s="7" t="inlineStr">
        <is>
          <t>Office Supplies</t>
        </is>
      </c>
      <c r="G2019" s="7" t="inlineStr">
        <is>
          <t>Pens</t>
        </is>
      </c>
      <c r="H2019" s="7" t="inlineStr">
        <is>
          <t>Consumer</t>
        </is>
      </c>
      <c r="I2019" s="7" t="n">
        <v>13</v>
      </c>
      <c r="J2019" s="10" t="n">
        <v>11.9</v>
      </c>
      <c r="K2019" s="11" t="n">
        <v>0.3</v>
      </c>
      <c r="L2019" s="10">
        <f>I2019*J2019*(1-K2019)</f>
        <v/>
      </c>
      <c r="M2019" s="10" t="n">
        <v>70.2</v>
      </c>
      <c r="N2019" s="10">
        <f>L2019-M2019</f>
        <v/>
      </c>
    </row>
    <row r="2020">
      <c r="A2020" s="7" t="inlineStr">
        <is>
          <t>ORD-03707</t>
        </is>
      </c>
      <c r="B2020" s="8" t="n">
        <v>45370</v>
      </c>
      <c r="C2020" s="9" t="n">
        <v>45352</v>
      </c>
      <c r="D2020" s="7" t="n">
        <v>2024</v>
      </c>
      <c r="E2020" s="7" t="inlineStr">
        <is>
          <t>South</t>
        </is>
      </c>
      <c r="F2020" s="7" t="inlineStr">
        <is>
          <t>Office Supplies</t>
        </is>
      </c>
      <c r="G2020" s="7" t="inlineStr">
        <is>
          <t>Binder</t>
        </is>
      </c>
      <c r="H2020" s="7" t="inlineStr">
        <is>
          <t>Corporate</t>
        </is>
      </c>
      <c r="I2020" s="7" t="n">
        <v>12</v>
      </c>
      <c r="J2020" s="10" t="n">
        <v>7.8</v>
      </c>
      <c r="K2020" s="11" t="n">
        <v>0.05</v>
      </c>
      <c r="L2020" s="10">
        <f>I2020*J2020*(1-K2020)</f>
        <v/>
      </c>
      <c r="M2020" s="10" t="n">
        <v>38.4</v>
      </c>
      <c r="N2020" s="10">
        <f>L2020-M2020</f>
        <v/>
      </c>
    </row>
    <row r="2021">
      <c r="A2021" s="7" t="inlineStr">
        <is>
          <t>ORD-03107</t>
        </is>
      </c>
      <c r="B2021" s="8" t="n">
        <v>45370</v>
      </c>
      <c r="C2021" s="9" t="n">
        <v>45352</v>
      </c>
      <c r="D2021" s="7" t="n">
        <v>2024</v>
      </c>
      <c r="E2021" s="7" t="inlineStr">
        <is>
          <t>West</t>
        </is>
      </c>
      <c r="F2021" s="7" t="inlineStr">
        <is>
          <t>Office Supplies</t>
        </is>
      </c>
      <c r="G2021" s="7" t="inlineStr">
        <is>
          <t>Stapler</t>
        </is>
      </c>
      <c r="H2021" s="7" t="inlineStr">
        <is>
          <t>Consumer</t>
        </is>
      </c>
      <c r="I2021" s="7" t="n">
        <v>5</v>
      </c>
      <c r="J2021" s="10" t="n">
        <v>14.68</v>
      </c>
      <c r="K2021" s="11" t="n">
        <v>0</v>
      </c>
      <c r="L2021" s="10">
        <f>I2021*J2021*(1-K2021)</f>
        <v/>
      </c>
      <c r="M2021" s="10" t="n">
        <v>37.5</v>
      </c>
      <c r="N2021" s="10">
        <f>L2021-M2021</f>
        <v/>
      </c>
    </row>
    <row r="2022">
      <c r="A2022" s="7" t="inlineStr">
        <is>
          <t>ORD-05413</t>
        </is>
      </c>
      <c r="B2022" s="8" t="n">
        <v>45370</v>
      </c>
      <c r="C2022" s="9" t="n">
        <v>45352</v>
      </c>
      <c r="D2022" s="7" t="n">
        <v>2024</v>
      </c>
      <c r="E2022" s="7" t="inlineStr">
        <is>
          <t>South</t>
        </is>
      </c>
      <c r="F2022" s="7" t="inlineStr">
        <is>
          <t>Office Supplies</t>
        </is>
      </c>
      <c r="G2022" s="7" t="inlineStr">
        <is>
          <t>Binder</t>
        </is>
      </c>
      <c r="H2022" s="7" t="inlineStr">
        <is>
          <t>Consumer</t>
        </is>
      </c>
      <c r="I2022" s="7" t="n">
        <v>12</v>
      </c>
      <c r="J2022" s="10" t="n">
        <v>7.87</v>
      </c>
      <c r="K2022" s="11" t="n">
        <v>0.2</v>
      </c>
      <c r="L2022" s="10">
        <f>I2022*J2022*(1-K2022)</f>
        <v/>
      </c>
      <c r="M2022" s="10" t="n">
        <v>38.4</v>
      </c>
      <c r="N2022" s="10">
        <f>L2022-M2022</f>
        <v/>
      </c>
    </row>
    <row r="2023">
      <c r="A2023" s="7" t="inlineStr">
        <is>
          <t>ORD-03156</t>
        </is>
      </c>
      <c r="B2023" s="8" t="n">
        <v>45370</v>
      </c>
      <c r="C2023" s="9" t="n">
        <v>45352</v>
      </c>
      <c r="D2023" s="7" t="n">
        <v>2024</v>
      </c>
      <c r="E2023" s="7" t="inlineStr">
        <is>
          <t>North</t>
        </is>
      </c>
      <c r="F2023" s="7" t="inlineStr">
        <is>
          <t>Technology</t>
        </is>
      </c>
      <c r="G2023" s="7" t="inlineStr">
        <is>
          <t>Headphones</t>
        </is>
      </c>
      <c r="H2023" s="7" t="inlineStr">
        <is>
          <t>Corporate</t>
        </is>
      </c>
      <c r="I2023" s="7" t="n">
        <v>2</v>
      </c>
      <c r="J2023" s="10" t="n">
        <v>115.52</v>
      </c>
      <c r="K2023" s="11" t="n">
        <v>0.05</v>
      </c>
      <c r="L2023" s="10">
        <f>I2023*J2023*(1-K2023)</f>
        <v/>
      </c>
      <c r="M2023" s="10" t="n">
        <v>144</v>
      </c>
      <c r="N2023" s="10">
        <f>L2023-M2023</f>
        <v/>
      </c>
    </row>
    <row r="2024">
      <c r="A2024" s="7" t="inlineStr">
        <is>
          <t>ORD-05145</t>
        </is>
      </c>
      <c r="B2024" s="8" t="n">
        <v>45370</v>
      </c>
      <c r="C2024" s="9" t="n">
        <v>45352</v>
      </c>
      <c r="D2024" s="7" t="n">
        <v>2024</v>
      </c>
      <c r="E2024" s="7" t="inlineStr">
        <is>
          <t>West</t>
        </is>
      </c>
      <c r="F2024" s="7" t="inlineStr">
        <is>
          <t>Office Supplies</t>
        </is>
      </c>
      <c r="G2024" s="7" t="inlineStr">
        <is>
          <t>Pens</t>
        </is>
      </c>
      <c r="H2024" s="7" t="inlineStr">
        <is>
          <t>Corporate</t>
        </is>
      </c>
      <c r="I2024" s="7" t="n">
        <v>12</v>
      </c>
      <c r="J2024" s="10" t="n">
        <v>11.41</v>
      </c>
      <c r="K2024" s="11" t="n">
        <v>0.1</v>
      </c>
      <c r="L2024" s="10">
        <f>I2024*J2024*(1-K2024)</f>
        <v/>
      </c>
      <c r="M2024" s="10" t="n">
        <v>64.8</v>
      </c>
      <c r="N2024" s="10">
        <f>L2024-M2024</f>
        <v/>
      </c>
    </row>
    <row r="2025">
      <c r="A2025" s="7" t="inlineStr">
        <is>
          <t>ORD-03123</t>
        </is>
      </c>
      <c r="B2025" s="8" t="n">
        <v>45370</v>
      </c>
      <c r="C2025" s="9" t="n">
        <v>45352</v>
      </c>
      <c r="D2025" s="7" t="n">
        <v>2024</v>
      </c>
      <c r="E2025" s="7" t="inlineStr">
        <is>
          <t>North</t>
        </is>
      </c>
      <c r="F2025" s="7" t="inlineStr">
        <is>
          <t>Office Supplies</t>
        </is>
      </c>
      <c r="G2025" s="7" t="inlineStr">
        <is>
          <t>Paper</t>
        </is>
      </c>
      <c r="H2025" s="7" t="inlineStr">
        <is>
          <t>Consumer</t>
        </is>
      </c>
      <c r="I2025" s="7" t="n">
        <v>11</v>
      </c>
      <c r="J2025" s="10" t="n">
        <v>25.92</v>
      </c>
      <c r="K2025" s="11" t="n">
        <v>0.3</v>
      </c>
      <c r="L2025" s="10">
        <f>I2025*J2025*(1-K2025)</f>
        <v/>
      </c>
      <c r="M2025" s="10" t="n">
        <v>137.5</v>
      </c>
      <c r="N2025" s="10">
        <f>L2025-M2025</f>
        <v/>
      </c>
    </row>
    <row r="2026">
      <c r="A2026" s="7" t="inlineStr">
        <is>
          <t>ORD-01761</t>
        </is>
      </c>
      <c r="B2026" s="8" t="n">
        <v>45371</v>
      </c>
      <c r="C2026" s="9" t="n">
        <v>45352</v>
      </c>
      <c r="D2026" s="7" t="n">
        <v>2024</v>
      </c>
      <c r="E2026" s="7" t="inlineStr">
        <is>
          <t>East</t>
        </is>
      </c>
      <c r="F2026" s="7" t="inlineStr">
        <is>
          <t>Office Supplies</t>
        </is>
      </c>
      <c r="G2026" s="7" t="inlineStr">
        <is>
          <t>Pens</t>
        </is>
      </c>
      <c r="H2026" s="7" t="inlineStr">
        <is>
          <t>Consumer</t>
        </is>
      </c>
      <c r="I2026" s="7" t="n">
        <v>10</v>
      </c>
      <c r="J2026" s="10" t="n">
        <v>12.31</v>
      </c>
      <c r="K2026" s="11" t="n">
        <v>0.05</v>
      </c>
      <c r="L2026" s="10">
        <f>I2026*J2026*(1-K2026)</f>
        <v/>
      </c>
      <c r="M2026" s="10" t="n">
        <v>54</v>
      </c>
      <c r="N2026" s="10">
        <f>L2026-M2026</f>
        <v/>
      </c>
    </row>
    <row r="2027">
      <c r="A2027" s="7" t="inlineStr">
        <is>
          <t>ORD-03122</t>
        </is>
      </c>
      <c r="B2027" s="8" t="n">
        <v>45371</v>
      </c>
      <c r="C2027" s="9" t="n">
        <v>45352</v>
      </c>
      <c r="D2027" s="7" t="n">
        <v>2024</v>
      </c>
      <c r="E2027" s="7" t="inlineStr">
        <is>
          <t>North</t>
        </is>
      </c>
      <c r="F2027" s="7" t="inlineStr">
        <is>
          <t>Technology</t>
        </is>
      </c>
      <c r="G2027" s="7" t="inlineStr">
        <is>
          <t>Keyboard</t>
        </is>
      </c>
      <c r="H2027" s="7" t="inlineStr">
        <is>
          <t>Corporate</t>
        </is>
      </c>
      <c r="I2027" s="7" t="n">
        <v>2</v>
      </c>
      <c r="J2027" s="10" t="n">
        <v>46.48</v>
      </c>
      <c r="K2027" s="11" t="n">
        <v>0.2</v>
      </c>
      <c r="L2027" s="10">
        <f>I2027*J2027*(1-K2027)</f>
        <v/>
      </c>
      <c r="M2027" s="10" t="n">
        <v>49.5</v>
      </c>
      <c r="N2027" s="10">
        <f>L2027-M2027</f>
        <v/>
      </c>
    </row>
    <row r="2028">
      <c r="A2028" s="7" t="inlineStr">
        <is>
          <t>ORD-05291</t>
        </is>
      </c>
      <c r="B2028" s="8" t="n">
        <v>45371</v>
      </c>
      <c r="C2028" s="9" t="n">
        <v>45352</v>
      </c>
      <c r="D2028" s="7" t="n">
        <v>2024</v>
      </c>
      <c r="E2028" s="7" t="inlineStr">
        <is>
          <t>North</t>
        </is>
      </c>
      <c r="F2028" s="7" t="inlineStr">
        <is>
          <t>Furniture</t>
        </is>
      </c>
      <c r="G2028" s="7" t="inlineStr">
        <is>
          <t>Desk</t>
        </is>
      </c>
      <c r="H2028" s="7" t="inlineStr">
        <is>
          <t>Corporate</t>
        </is>
      </c>
      <c r="I2028" s="7" t="n">
        <v>1</v>
      </c>
      <c r="J2028" s="10" t="n">
        <v>451.46</v>
      </c>
      <c r="K2028" s="11" t="n">
        <v>0</v>
      </c>
      <c r="L2028" s="10">
        <f>I2028*J2028*(1-K2028)</f>
        <v/>
      </c>
      <c r="M2028" s="10" t="n">
        <v>382.5</v>
      </c>
      <c r="N2028" s="10">
        <f>L2028-M2028</f>
        <v/>
      </c>
    </row>
    <row r="2029">
      <c r="A2029" s="7" t="inlineStr">
        <is>
          <t>ORD-04835</t>
        </is>
      </c>
      <c r="B2029" s="8" t="n">
        <v>45371</v>
      </c>
      <c r="C2029" s="9" t="n">
        <v>45352</v>
      </c>
      <c r="D2029" s="7" t="n">
        <v>2024</v>
      </c>
      <c r="E2029" s="7" t="inlineStr">
        <is>
          <t>East</t>
        </is>
      </c>
      <c r="F2029" s="7" t="inlineStr">
        <is>
          <t>Office Supplies</t>
        </is>
      </c>
      <c r="G2029" s="7" t="inlineStr">
        <is>
          <t>Stapler</t>
        </is>
      </c>
      <c r="H2029" s="7" t="inlineStr">
        <is>
          <t>Home Office</t>
        </is>
      </c>
      <c r="I2029" s="7" t="n">
        <v>5</v>
      </c>
      <c r="J2029" s="10" t="n">
        <v>14.3</v>
      </c>
      <c r="K2029" s="11" t="n">
        <v>0.05</v>
      </c>
      <c r="L2029" s="10">
        <f>I2029*J2029*(1-K2029)</f>
        <v/>
      </c>
      <c r="M2029" s="10" t="n">
        <v>37.5</v>
      </c>
      <c r="N2029" s="10">
        <f>L2029-M2029</f>
        <v/>
      </c>
    </row>
    <row r="2030">
      <c r="A2030" s="7" t="inlineStr">
        <is>
          <t>ORD-00747</t>
        </is>
      </c>
      <c r="B2030" s="8" t="n">
        <v>45372</v>
      </c>
      <c r="C2030" s="9" t="n">
        <v>45352</v>
      </c>
      <c r="D2030" s="7" t="n">
        <v>2024</v>
      </c>
      <c r="E2030" s="7" t="inlineStr">
        <is>
          <t>South</t>
        </is>
      </c>
      <c r="F2030" s="7" t="inlineStr">
        <is>
          <t>Furniture</t>
        </is>
      </c>
      <c r="G2030" s="7" t="inlineStr">
        <is>
          <t>Sofa</t>
        </is>
      </c>
      <c r="H2030" s="7" t="inlineStr">
        <is>
          <t>Home Office</t>
        </is>
      </c>
      <c r="I2030" s="7" t="n">
        <v>3</v>
      </c>
      <c r="J2030" s="10" t="n">
        <v>730.53</v>
      </c>
      <c r="K2030" s="11" t="n">
        <v>0.1</v>
      </c>
      <c r="L2030" s="10">
        <f>I2030*J2030*(1-K2030)</f>
        <v/>
      </c>
      <c r="M2030" s="10" t="n">
        <v>1848</v>
      </c>
      <c r="N2030" s="10">
        <f>L2030-M2030</f>
        <v/>
      </c>
    </row>
    <row r="2031">
      <c r="A2031" s="7" t="inlineStr">
        <is>
          <t>ORD-05842</t>
        </is>
      </c>
      <c r="B2031" s="8" t="n">
        <v>45372</v>
      </c>
      <c r="C2031" s="9" t="n">
        <v>45352</v>
      </c>
      <c r="D2031" s="7" t="n">
        <v>2024</v>
      </c>
      <c r="E2031" s="7" t="inlineStr">
        <is>
          <t>North</t>
        </is>
      </c>
      <c r="F2031" s="7" t="inlineStr">
        <is>
          <t>Office Supplies</t>
        </is>
      </c>
      <c r="G2031" s="7" t="inlineStr">
        <is>
          <t>Paper</t>
        </is>
      </c>
      <c r="H2031" s="7" t="inlineStr">
        <is>
          <t>Consumer</t>
        </is>
      </c>
      <c r="I2031" s="7" t="n">
        <v>8</v>
      </c>
      <c r="J2031" s="10" t="n">
        <v>25.38</v>
      </c>
      <c r="K2031" s="11" t="n">
        <v>0.1</v>
      </c>
      <c r="L2031" s="10">
        <f>I2031*J2031*(1-K2031)</f>
        <v/>
      </c>
      <c r="M2031" s="10" t="n">
        <v>100</v>
      </c>
      <c r="N2031" s="10">
        <f>L2031-M2031</f>
        <v/>
      </c>
    </row>
    <row r="2032">
      <c r="A2032" s="7" t="inlineStr">
        <is>
          <t>ORD-05833</t>
        </is>
      </c>
      <c r="B2032" s="8" t="n">
        <v>45372</v>
      </c>
      <c r="C2032" s="9" t="n">
        <v>45352</v>
      </c>
      <c r="D2032" s="7" t="n">
        <v>2024</v>
      </c>
      <c r="E2032" s="7" t="inlineStr">
        <is>
          <t>East</t>
        </is>
      </c>
      <c r="F2032" s="7" t="inlineStr">
        <is>
          <t>Technology</t>
        </is>
      </c>
      <c r="G2032" s="7" t="inlineStr">
        <is>
          <t>Keyboard</t>
        </is>
      </c>
      <c r="H2032" s="7" t="inlineStr">
        <is>
          <t>Corporate</t>
        </is>
      </c>
      <c r="I2032" s="7" t="n">
        <v>1</v>
      </c>
      <c r="J2032" s="10" t="n">
        <v>45.73</v>
      </c>
      <c r="K2032" s="11" t="n">
        <v>0</v>
      </c>
      <c r="L2032" s="10">
        <f>I2032*J2032*(1-K2032)</f>
        <v/>
      </c>
      <c r="M2032" s="10" t="n">
        <v>24.75</v>
      </c>
      <c r="N2032" s="10">
        <f>L2032-M2032</f>
        <v/>
      </c>
    </row>
    <row r="2033">
      <c r="A2033" s="7" t="inlineStr">
        <is>
          <t>ORD-04986</t>
        </is>
      </c>
      <c r="B2033" s="8" t="n">
        <v>45372</v>
      </c>
      <c r="C2033" s="9" t="n">
        <v>45352</v>
      </c>
      <c r="D2033" s="7" t="n">
        <v>2024</v>
      </c>
      <c r="E2033" s="7" t="inlineStr">
        <is>
          <t>West</t>
        </is>
      </c>
      <c r="F2033" s="7" t="inlineStr">
        <is>
          <t>Office Supplies</t>
        </is>
      </c>
      <c r="G2033" s="7" t="inlineStr">
        <is>
          <t>Printer Ink</t>
        </is>
      </c>
      <c r="H2033" s="7" t="inlineStr">
        <is>
          <t>Consumer</t>
        </is>
      </c>
      <c r="I2033" s="7" t="n">
        <v>4</v>
      </c>
      <c r="J2033" s="10" t="n">
        <v>60.49</v>
      </c>
      <c r="K2033" s="11" t="n">
        <v>0</v>
      </c>
      <c r="L2033" s="10">
        <f>I2033*J2033*(1-K2033)</f>
        <v/>
      </c>
      <c r="M2033" s="10" t="n">
        <v>144</v>
      </c>
      <c r="N2033" s="10">
        <f>L2033-M2033</f>
        <v/>
      </c>
    </row>
    <row r="2034">
      <c r="A2034" s="7" t="inlineStr">
        <is>
          <t>ORD-05558</t>
        </is>
      </c>
      <c r="B2034" s="8" t="n">
        <v>45372</v>
      </c>
      <c r="C2034" s="9" t="n">
        <v>45352</v>
      </c>
      <c r="D2034" s="7" t="n">
        <v>2024</v>
      </c>
      <c r="E2034" s="7" t="inlineStr">
        <is>
          <t>North</t>
        </is>
      </c>
      <c r="F2034" s="7" t="inlineStr">
        <is>
          <t>Furniture</t>
        </is>
      </c>
      <c r="G2034" s="7" t="inlineStr">
        <is>
          <t>Office Chair</t>
        </is>
      </c>
      <c r="H2034" s="7" t="inlineStr">
        <is>
          <t>Home Office</t>
        </is>
      </c>
      <c r="I2034" s="7" t="n">
        <v>2</v>
      </c>
      <c r="J2034" s="10" t="n">
        <v>226.15</v>
      </c>
      <c r="K2034" s="11" t="n">
        <v>0</v>
      </c>
      <c r="L2034" s="10">
        <f>I2034*J2034*(1-K2034)</f>
        <v/>
      </c>
      <c r="M2034" s="10" t="n">
        <v>360.8</v>
      </c>
      <c r="N2034" s="10">
        <f>L2034-M2034</f>
        <v/>
      </c>
    </row>
    <row r="2035">
      <c r="A2035" s="7" t="inlineStr">
        <is>
          <t>ORD-00369</t>
        </is>
      </c>
      <c r="B2035" s="8" t="n">
        <v>45373</v>
      </c>
      <c r="C2035" s="9" t="n">
        <v>45352</v>
      </c>
      <c r="D2035" s="7" t="n">
        <v>2024</v>
      </c>
      <c r="E2035" s="7" t="inlineStr">
        <is>
          <t>East</t>
        </is>
      </c>
      <c r="F2035" s="7" t="inlineStr">
        <is>
          <t>Technology</t>
        </is>
      </c>
      <c r="G2035" s="7" t="inlineStr">
        <is>
          <t>Laptop</t>
        </is>
      </c>
      <c r="H2035" s="7" t="inlineStr">
        <is>
          <t>Corporate</t>
        </is>
      </c>
      <c r="I2035" s="7" t="n">
        <v>2</v>
      </c>
      <c r="J2035" s="10" t="n">
        <v>890.21</v>
      </c>
      <c r="K2035" s="11" t="n">
        <v>0.05</v>
      </c>
      <c r="L2035" s="10">
        <f>I2035*J2035*(1-K2035)</f>
        <v/>
      </c>
      <c r="M2035" s="10" t="n">
        <v>1404</v>
      </c>
      <c r="N2035" s="10">
        <f>L2035-M2035</f>
        <v/>
      </c>
    </row>
    <row r="2036">
      <c r="A2036" s="7" t="inlineStr">
        <is>
          <t>ORD-00515</t>
        </is>
      </c>
      <c r="B2036" s="8" t="n">
        <v>45373</v>
      </c>
      <c r="C2036" s="9" t="n">
        <v>45352</v>
      </c>
      <c r="D2036" s="7" t="n">
        <v>2024</v>
      </c>
      <c r="E2036" s="7" t="inlineStr">
        <is>
          <t>West</t>
        </is>
      </c>
      <c r="F2036" s="7" t="inlineStr">
        <is>
          <t>Furniture</t>
        </is>
      </c>
      <c r="G2036" s="7" t="inlineStr">
        <is>
          <t>Bookcase</t>
        </is>
      </c>
      <c r="H2036" s="7" t="inlineStr">
        <is>
          <t>Corporate</t>
        </is>
      </c>
      <c r="I2036" s="7" t="n">
        <v>1</v>
      </c>
      <c r="J2036" s="10" t="n">
        <v>179.05</v>
      </c>
      <c r="K2036" s="11" t="n">
        <v>0.1</v>
      </c>
      <c r="L2036" s="10">
        <f>I2036*J2036*(1-K2036)</f>
        <v/>
      </c>
      <c r="M2036" s="10" t="n">
        <v>144</v>
      </c>
      <c r="N2036" s="10">
        <f>L2036-M2036</f>
        <v/>
      </c>
    </row>
    <row r="2037">
      <c r="A2037" s="7" t="inlineStr">
        <is>
          <t>ORD-01885</t>
        </is>
      </c>
      <c r="B2037" s="8" t="n">
        <v>45373</v>
      </c>
      <c r="C2037" s="9" t="n">
        <v>45352</v>
      </c>
      <c r="D2037" s="7" t="n">
        <v>2024</v>
      </c>
      <c r="E2037" s="7" t="inlineStr">
        <is>
          <t>West</t>
        </is>
      </c>
      <c r="F2037" s="7" t="inlineStr">
        <is>
          <t>Furniture</t>
        </is>
      </c>
      <c r="G2037" s="7" t="inlineStr">
        <is>
          <t>Office Chair</t>
        </is>
      </c>
      <c r="H2037" s="7" t="inlineStr">
        <is>
          <t>Corporate</t>
        </is>
      </c>
      <c r="I2037" s="7" t="n">
        <v>4</v>
      </c>
      <c r="J2037" s="10" t="n">
        <v>224.41</v>
      </c>
      <c r="K2037" s="11" t="n">
        <v>0.05</v>
      </c>
      <c r="L2037" s="10">
        <f>I2037*J2037*(1-K2037)</f>
        <v/>
      </c>
      <c r="M2037" s="10" t="n">
        <v>721.6</v>
      </c>
      <c r="N2037" s="10">
        <f>L2037-M2037</f>
        <v/>
      </c>
    </row>
    <row r="2038">
      <c r="A2038" s="7" t="inlineStr">
        <is>
          <t>ORD-01080</t>
        </is>
      </c>
      <c r="B2038" s="8" t="n">
        <v>45373</v>
      </c>
      <c r="C2038" s="9" t="n">
        <v>45352</v>
      </c>
      <c r="D2038" s="7" t="n">
        <v>2024</v>
      </c>
      <c r="E2038" s="7" t="inlineStr">
        <is>
          <t>North</t>
        </is>
      </c>
      <c r="F2038" s="7" t="inlineStr">
        <is>
          <t>Furniture</t>
        </is>
      </c>
      <c r="G2038" s="7" t="inlineStr">
        <is>
          <t>Bookcase</t>
        </is>
      </c>
      <c r="H2038" s="7" t="inlineStr">
        <is>
          <t>Home Office</t>
        </is>
      </c>
      <c r="I2038" s="7" t="n">
        <v>3</v>
      </c>
      <c r="J2038" s="10" t="n">
        <v>181.2</v>
      </c>
      <c r="K2038" s="11" t="n">
        <v>0.3</v>
      </c>
      <c r="L2038" s="10">
        <f>I2038*J2038*(1-K2038)</f>
        <v/>
      </c>
      <c r="M2038" s="10" t="n">
        <v>432</v>
      </c>
      <c r="N2038" s="10">
        <f>L2038-M2038</f>
        <v/>
      </c>
    </row>
    <row r="2039">
      <c r="A2039" s="7" t="inlineStr">
        <is>
          <t>ORD-02734</t>
        </is>
      </c>
      <c r="B2039" s="8" t="n">
        <v>45373</v>
      </c>
      <c r="C2039" s="9" t="n">
        <v>45352</v>
      </c>
      <c r="D2039" s="7" t="n">
        <v>2024</v>
      </c>
      <c r="E2039" s="7" t="inlineStr">
        <is>
          <t>East</t>
        </is>
      </c>
      <c r="F2039" s="7" t="inlineStr">
        <is>
          <t>Office Supplies</t>
        </is>
      </c>
      <c r="G2039" s="7" t="inlineStr">
        <is>
          <t>Pens</t>
        </is>
      </c>
      <c r="H2039" s="7" t="inlineStr">
        <is>
          <t>Corporate</t>
        </is>
      </c>
      <c r="I2039" s="7" t="n">
        <v>15</v>
      </c>
      <c r="J2039" s="10" t="n">
        <v>11.52</v>
      </c>
      <c r="K2039" s="11" t="n">
        <v>0.2</v>
      </c>
      <c r="L2039" s="10">
        <f>I2039*J2039*(1-K2039)</f>
        <v/>
      </c>
      <c r="M2039" s="10" t="n">
        <v>81</v>
      </c>
      <c r="N2039" s="10">
        <f>L2039-M2039</f>
        <v/>
      </c>
    </row>
    <row r="2040">
      <c r="A2040" s="7" t="inlineStr">
        <is>
          <t>ORD-04456</t>
        </is>
      </c>
      <c r="B2040" s="8" t="n">
        <v>45374</v>
      </c>
      <c r="C2040" s="9" t="n">
        <v>45352</v>
      </c>
      <c r="D2040" s="7" t="n">
        <v>2024</v>
      </c>
      <c r="E2040" s="7" t="inlineStr">
        <is>
          <t>South</t>
        </is>
      </c>
      <c r="F2040" s="7" t="inlineStr">
        <is>
          <t>Office Supplies</t>
        </is>
      </c>
      <c r="G2040" s="7" t="inlineStr">
        <is>
          <t>Printer Ink</t>
        </is>
      </c>
      <c r="H2040" s="7" t="inlineStr">
        <is>
          <t>Corporate</t>
        </is>
      </c>
      <c r="I2040" s="7" t="n">
        <v>4</v>
      </c>
      <c r="J2040" s="10" t="n">
        <v>59.58</v>
      </c>
      <c r="K2040" s="11" t="n">
        <v>0.3</v>
      </c>
      <c r="L2040" s="10">
        <f>I2040*J2040*(1-K2040)</f>
        <v/>
      </c>
      <c r="M2040" s="10" t="n">
        <v>144</v>
      </c>
      <c r="N2040" s="10">
        <f>L2040-M2040</f>
        <v/>
      </c>
    </row>
    <row r="2041">
      <c r="A2041" s="7" t="inlineStr">
        <is>
          <t>ORD-04223</t>
        </is>
      </c>
      <c r="B2041" s="8" t="n">
        <v>45374</v>
      </c>
      <c r="C2041" s="9" t="n">
        <v>45352</v>
      </c>
      <c r="D2041" s="7" t="n">
        <v>2024</v>
      </c>
      <c r="E2041" s="7" t="inlineStr">
        <is>
          <t>South</t>
        </is>
      </c>
      <c r="F2041" s="7" t="inlineStr">
        <is>
          <t>Technology</t>
        </is>
      </c>
      <c r="G2041" s="7" t="inlineStr">
        <is>
          <t>Laptop</t>
        </is>
      </c>
      <c r="H2041" s="7" t="inlineStr">
        <is>
          <t>Corporate</t>
        </is>
      </c>
      <c r="I2041" s="7" t="n">
        <v>2</v>
      </c>
      <c r="J2041" s="10" t="n">
        <v>915.1</v>
      </c>
      <c r="K2041" s="11" t="n">
        <v>0.05</v>
      </c>
      <c r="L2041" s="10">
        <f>I2041*J2041*(1-K2041)</f>
        <v/>
      </c>
      <c r="M2041" s="10" t="n">
        <v>1404</v>
      </c>
      <c r="N2041" s="10">
        <f>L2041-M2041</f>
        <v/>
      </c>
    </row>
    <row r="2042">
      <c r="A2042" s="7" t="inlineStr">
        <is>
          <t>ORD-02587</t>
        </is>
      </c>
      <c r="B2042" s="8" t="n">
        <v>45374</v>
      </c>
      <c r="C2042" s="9" t="n">
        <v>45352</v>
      </c>
      <c r="D2042" s="7" t="n">
        <v>2024</v>
      </c>
      <c r="E2042" s="7" t="inlineStr">
        <is>
          <t>West</t>
        </is>
      </c>
      <c r="F2042" s="7" t="inlineStr">
        <is>
          <t>Technology</t>
        </is>
      </c>
      <c r="G2042" s="7" t="inlineStr">
        <is>
          <t>Headphones</t>
        </is>
      </c>
      <c r="H2042" s="7" t="inlineStr">
        <is>
          <t>Corporate</t>
        </is>
      </c>
      <c r="I2042" s="7" t="n">
        <v>3</v>
      </c>
      <c r="J2042" s="10" t="n">
        <v>114.42</v>
      </c>
      <c r="K2042" s="11" t="n">
        <v>0.05</v>
      </c>
      <c r="L2042" s="10">
        <f>I2042*J2042*(1-K2042)</f>
        <v/>
      </c>
      <c r="M2042" s="10" t="n">
        <v>216</v>
      </c>
      <c r="N2042" s="10">
        <f>L2042-M2042</f>
        <v/>
      </c>
    </row>
    <row r="2043">
      <c r="A2043" s="7" t="inlineStr">
        <is>
          <t>ORD-05304</t>
        </is>
      </c>
      <c r="B2043" s="8" t="n">
        <v>45375</v>
      </c>
      <c r="C2043" s="9" t="n">
        <v>45352</v>
      </c>
      <c r="D2043" s="7" t="n">
        <v>2024</v>
      </c>
      <c r="E2043" s="7" t="inlineStr">
        <is>
          <t>North</t>
        </is>
      </c>
      <c r="F2043" s="7" t="inlineStr">
        <is>
          <t>Technology</t>
        </is>
      </c>
      <c r="G2043" s="7" t="inlineStr">
        <is>
          <t>Smartphone</t>
        </is>
      </c>
      <c r="H2043" s="7" t="inlineStr">
        <is>
          <t>Consumer</t>
        </is>
      </c>
      <c r="I2043" s="7" t="n">
        <v>1</v>
      </c>
      <c r="J2043" s="10" t="n">
        <v>570.95</v>
      </c>
      <c r="K2043" s="11" t="n">
        <v>0.1</v>
      </c>
      <c r="L2043" s="10">
        <f>I2043*J2043*(1-K2043)</f>
        <v/>
      </c>
      <c r="M2043" s="10" t="n">
        <v>450</v>
      </c>
      <c r="N2043" s="10">
        <f>L2043-M2043</f>
        <v/>
      </c>
    </row>
    <row r="2044">
      <c r="A2044" s="7" t="inlineStr">
        <is>
          <t>ORD-01998</t>
        </is>
      </c>
      <c r="B2044" s="8" t="n">
        <v>45375</v>
      </c>
      <c r="C2044" s="9" t="n">
        <v>45352</v>
      </c>
      <c r="D2044" s="7" t="n">
        <v>2024</v>
      </c>
      <c r="E2044" s="7" t="inlineStr">
        <is>
          <t>East</t>
        </is>
      </c>
      <c r="F2044" s="7" t="inlineStr">
        <is>
          <t>Office Supplies</t>
        </is>
      </c>
      <c r="G2044" s="7" t="inlineStr">
        <is>
          <t>Pens</t>
        </is>
      </c>
      <c r="H2044" s="7" t="inlineStr">
        <is>
          <t>Consumer</t>
        </is>
      </c>
      <c r="I2044" s="7" t="n">
        <v>4</v>
      </c>
      <c r="J2044" s="10" t="n">
        <v>11.95</v>
      </c>
      <c r="K2044" s="11" t="n">
        <v>0.2</v>
      </c>
      <c r="L2044" s="10">
        <f>I2044*J2044*(1-K2044)</f>
        <v/>
      </c>
      <c r="M2044" s="10" t="n">
        <v>21.6</v>
      </c>
      <c r="N2044" s="10">
        <f>L2044-M2044</f>
        <v/>
      </c>
    </row>
    <row r="2045">
      <c r="A2045" s="7" t="inlineStr">
        <is>
          <t>ORD-02956</t>
        </is>
      </c>
      <c r="B2045" s="8" t="n">
        <v>45376</v>
      </c>
      <c r="C2045" s="9" t="n">
        <v>45352</v>
      </c>
      <c r="D2045" s="7" t="n">
        <v>2024</v>
      </c>
      <c r="E2045" s="7" t="inlineStr">
        <is>
          <t>East</t>
        </is>
      </c>
      <c r="F2045" s="7" t="inlineStr">
        <is>
          <t>Office Supplies</t>
        </is>
      </c>
      <c r="G2045" s="7" t="inlineStr">
        <is>
          <t>Printer Ink</t>
        </is>
      </c>
      <c r="H2045" s="7" t="inlineStr">
        <is>
          <t>Consumer</t>
        </is>
      </c>
      <c r="I2045" s="7" t="n">
        <v>4</v>
      </c>
      <c r="J2045" s="10" t="n">
        <v>62.91</v>
      </c>
      <c r="K2045" s="11" t="n">
        <v>0.05</v>
      </c>
      <c r="L2045" s="10">
        <f>I2045*J2045*(1-K2045)</f>
        <v/>
      </c>
      <c r="M2045" s="10" t="n">
        <v>144</v>
      </c>
      <c r="N2045" s="10">
        <f>L2045-M2045</f>
        <v/>
      </c>
    </row>
    <row r="2046">
      <c r="A2046" s="7" t="inlineStr">
        <is>
          <t>ORD-01102</t>
        </is>
      </c>
      <c r="B2046" s="8" t="n">
        <v>45376</v>
      </c>
      <c r="C2046" s="9" t="n">
        <v>45352</v>
      </c>
      <c r="D2046" s="7" t="n">
        <v>2024</v>
      </c>
      <c r="E2046" s="7" t="inlineStr">
        <is>
          <t>West</t>
        </is>
      </c>
      <c r="F2046" s="7" t="inlineStr">
        <is>
          <t>Furniture</t>
        </is>
      </c>
      <c r="G2046" s="7" t="inlineStr">
        <is>
          <t>Sofa</t>
        </is>
      </c>
      <c r="H2046" s="7" t="inlineStr">
        <is>
          <t>Consumer</t>
        </is>
      </c>
      <c r="I2046" s="7" t="n">
        <v>1</v>
      </c>
      <c r="J2046" s="10" t="n">
        <v>674.12</v>
      </c>
      <c r="K2046" s="11" t="n">
        <v>0.2</v>
      </c>
      <c r="L2046" s="10">
        <f>I2046*J2046*(1-K2046)</f>
        <v/>
      </c>
      <c r="M2046" s="10" t="n">
        <v>616</v>
      </c>
      <c r="N2046" s="10">
        <f>L2046-M2046</f>
        <v/>
      </c>
    </row>
    <row r="2047">
      <c r="A2047" s="7" t="inlineStr">
        <is>
          <t>ORD-02050</t>
        </is>
      </c>
      <c r="B2047" s="8" t="n">
        <v>45376</v>
      </c>
      <c r="C2047" s="9" t="n">
        <v>45352</v>
      </c>
      <c r="D2047" s="7" t="n">
        <v>2024</v>
      </c>
      <c r="E2047" s="7" t="inlineStr">
        <is>
          <t>South</t>
        </is>
      </c>
      <c r="F2047" s="7" t="inlineStr">
        <is>
          <t>Office Supplies</t>
        </is>
      </c>
      <c r="G2047" s="7" t="inlineStr">
        <is>
          <t>Binder</t>
        </is>
      </c>
      <c r="H2047" s="7" t="inlineStr">
        <is>
          <t>Consumer</t>
        </is>
      </c>
      <c r="I2047" s="7" t="n">
        <v>11</v>
      </c>
      <c r="J2047" s="10" t="n">
        <v>7.79</v>
      </c>
      <c r="K2047" s="11" t="n">
        <v>0.1</v>
      </c>
      <c r="L2047" s="10">
        <f>I2047*J2047*(1-K2047)</f>
        <v/>
      </c>
      <c r="M2047" s="10" t="n">
        <v>35.2</v>
      </c>
      <c r="N2047" s="10">
        <f>L2047-M2047</f>
        <v/>
      </c>
    </row>
    <row r="2048">
      <c r="A2048" s="7" t="inlineStr">
        <is>
          <t>ORD-05984</t>
        </is>
      </c>
      <c r="B2048" s="8" t="n">
        <v>45377</v>
      </c>
      <c r="C2048" s="9" t="n">
        <v>45352</v>
      </c>
      <c r="D2048" s="7" t="n">
        <v>2024</v>
      </c>
      <c r="E2048" s="7" t="inlineStr">
        <is>
          <t>West</t>
        </is>
      </c>
      <c r="F2048" s="7" t="inlineStr">
        <is>
          <t>Office Supplies</t>
        </is>
      </c>
      <c r="G2048" s="7" t="inlineStr">
        <is>
          <t>Stapler</t>
        </is>
      </c>
      <c r="H2048" s="7" t="inlineStr">
        <is>
          <t>Corporate</t>
        </is>
      </c>
      <c r="I2048" s="7" t="n">
        <v>8</v>
      </c>
      <c r="J2048" s="10" t="n">
        <v>15.73</v>
      </c>
      <c r="K2048" s="11" t="n">
        <v>0.1</v>
      </c>
      <c r="L2048" s="10">
        <f>I2048*J2048*(1-K2048)</f>
        <v/>
      </c>
      <c r="M2048" s="10" t="n">
        <v>60</v>
      </c>
      <c r="N2048" s="10">
        <f>L2048-M2048</f>
        <v/>
      </c>
    </row>
    <row r="2049">
      <c r="A2049" s="7" t="inlineStr">
        <is>
          <t>ORD-04726</t>
        </is>
      </c>
      <c r="B2049" s="8" t="n">
        <v>45377</v>
      </c>
      <c r="C2049" s="9" t="n">
        <v>45352</v>
      </c>
      <c r="D2049" s="7" t="n">
        <v>2024</v>
      </c>
      <c r="E2049" s="7" t="inlineStr">
        <is>
          <t>North</t>
        </is>
      </c>
      <c r="F2049" s="7" t="inlineStr">
        <is>
          <t>Office Supplies</t>
        </is>
      </c>
      <c r="G2049" s="7" t="inlineStr">
        <is>
          <t>Paper</t>
        </is>
      </c>
      <c r="H2049" s="7" t="inlineStr">
        <is>
          <t>Consumer</t>
        </is>
      </c>
      <c r="I2049" s="7" t="n">
        <v>6</v>
      </c>
      <c r="J2049" s="10" t="n">
        <v>25.75</v>
      </c>
      <c r="K2049" s="11" t="n">
        <v>0.05</v>
      </c>
      <c r="L2049" s="10">
        <f>I2049*J2049*(1-K2049)</f>
        <v/>
      </c>
      <c r="M2049" s="10" t="n">
        <v>75</v>
      </c>
      <c r="N2049" s="10">
        <f>L2049-M2049</f>
        <v/>
      </c>
    </row>
    <row r="2050">
      <c r="A2050" s="7" t="inlineStr">
        <is>
          <t>ORD-03446</t>
        </is>
      </c>
      <c r="B2050" s="8" t="n">
        <v>45377</v>
      </c>
      <c r="C2050" s="9" t="n">
        <v>45352</v>
      </c>
      <c r="D2050" s="7" t="n">
        <v>2024</v>
      </c>
      <c r="E2050" s="7" t="inlineStr">
        <is>
          <t>West</t>
        </is>
      </c>
      <c r="F2050" s="7" t="inlineStr">
        <is>
          <t>Office Supplies</t>
        </is>
      </c>
      <c r="G2050" s="7" t="inlineStr">
        <is>
          <t>Printer Ink</t>
        </is>
      </c>
      <c r="H2050" s="7" t="inlineStr">
        <is>
          <t>Consumer</t>
        </is>
      </c>
      <c r="I2050" s="7" t="n">
        <v>11</v>
      </c>
      <c r="J2050" s="10" t="n">
        <v>60.22</v>
      </c>
      <c r="K2050" s="11" t="n">
        <v>0.3</v>
      </c>
      <c r="L2050" s="10">
        <f>I2050*J2050*(1-K2050)</f>
        <v/>
      </c>
      <c r="M2050" s="10" t="n">
        <v>396</v>
      </c>
      <c r="N2050" s="10">
        <f>L2050-M2050</f>
        <v/>
      </c>
    </row>
    <row r="2051">
      <c r="A2051" s="7" t="inlineStr">
        <is>
          <t>ORD-01717</t>
        </is>
      </c>
      <c r="B2051" s="8" t="n">
        <v>45377</v>
      </c>
      <c r="C2051" s="9" t="n">
        <v>45352</v>
      </c>
      <c r="D2051" s="7" t="n">
        <v>2024</v>
      </c>
      <c r="E2051" s="7" t="inlineStr">
        <is>
          <t>East</t>
        </is>
      </c>
      <c r="F2051" s="7" t="inlineStr">
        <is>
          <t>Office Supplies</t>
        </is>
      </c>
      <c r="G2051" s="7" t="inlineStr">
        <is>
          <t>Pens</t>
        </is>
      </c>
      <c r="H2051" s="7" t="inlineStr">
        <is>
          <t>Corporate</t>
        </is>
      </c>
      <c r="I2051" s="7" t="n">
        <v>4</v>
      </c>
      <c r="J2051" s="10" t="n">
        <v>12.5</v>
      </c>
      <c r="K2051" s="11" t="n">
        <v>0</v>
      </c>
      <c r="L2051" s="10">
        <f>I2051*J2051*(1-K2051)</f>
        <v/>
      </c>
      <c r="M2051" s="10" t="n">
        <v>21.6</v>
      </c>
      <c r="N2051" s="10">
        <f>L2051-M2051</f>
        <v/>
      </c>
    </row>
    <row r="2052">
      <c r="A2052" s="7" t="inlineStr">
        <is>
          <t>ORD-03768</t>
        </is>
      </c>
      <c r="B2052" s="8" t="n">
        <v>45377</v>
      </c>
      <c r="C2052" s="9" t="n">
        <v>45352</v>
      </c>
      <c r="D2052" s="7" t="n">
        <v>2024</v>
      </c>
      <c r="E2052" s="7" t="inlineStr">
        <is>
          <t>South</t>
        </is>
      </c>
      <c r="F2052" s="7" t="inlineStr">
        <is>
          <t>Furniture</t>
        </is>
      </c>
      <c r="G2052" s="7" t="inlineStr">
        <is>
          <t>Office Chair</t>
        </is>
      </c>
      <c r="H2052" s="7" t="inlineStr">
        <is>
          <t>Home Office</t>
        </is>
      </c>
      <c r="I2052" s="7" t="n">
        <v>4</v>
      </c>
      <c r="J2052" s="10" t="n">
        <v>226.91</v>
      </c>
      <c r="K2052" s="11" t="n">
        <v>0.3</v>
      </c>
      <c r="L2052" s="10">
        <f>I2052*J2052*(1-K2052)</f>
        <v/>
      </c>
      <c r="M2052" s="10" t="n">
        <v>721.6</v>
      </c>
      <c r="N2052" s="10">
        <f>L2052-M2052</f>
        <v/>
      </c>
    </row>
    <row r="2053">
      <c r="A2053" s="7" t="inlineStr">
        <is>
          <t>ORD-03077</t>
        </is>
      </c>
      <c r="B2053" s="8" t="n">
        <v>45378</v>
      </c>
      <c r="C2053" s="9" t="n">
        <v>45352</v>
      </c>
      <c r="D2053" s="7" t="n">
        <v>2024</v>
      </c>
      <c r="E2053" s="7" t="inlineStr">
        <is>
          <t>South</t>
        </is>
      </c>
      <c r="F2053" s="7" t="inlineStr">
        <is>
          <t>Furniture</t>
        </is>
      </c>
      <c r="G2053" s="7" t="inlineStr">
        <is>
          <t>Desk</t>
        </is>
      </c>
      <c r="H2053" s="7" t="inlineStr">
        <is>
          <t>Corporate</t>
        </is>
      </c>
      <c r="I2053" s="7" t="n">
        <v>3</v>
      </c>
      <c r="J2053" s="10" t="n">
        <v>466.86</v>
      </c>
      <c r="K2053" s="11" t="n">
        <v>0</v>
      </c>
      <c r="L2053" s="10">
        <f>I2053*J2053*(1-K2053)</f>
        <v/>
      </c>
      <c r="M2053" s="10" t="n">
        <v>1147.5</v>
      </c>
      <c r="N2053" s="10">
        <f>L2053-M2053</f>
        <v/>
      </c>
    </row>
    <row r="2054">
      <c r="A2054" s="7" t="inlineStr">
        <is>
          <t>ORD-03265</t>
        </is>
      </c>
      <c r="B2054" s="8" t="n">
        <v>45379</v>
      </c>
      <c r="C2054" s="9" t="n">
        <v>45352</v>
      </c>
      <c r="D2054" s="7" t="n">
        <v>2024</v>
      </c>
      <c r="E2054" s="7" t="inlineStr">
        <is>
          <t>West</t>
        </is>
      </c>
      <c r="F2054" s="7" t="inlineStr">
        <is>
          <t>Office Supplies</t>
        </is>
      </c>
      <c r="G2054" s="7" t="inlineStr">
        <is>
          <t>Paper</t>
        </is>
      </c>
      <c r="H2054" s="7" t="inlineStr">
        <is>
          <t>Consumer</t>
        </is>
      </c>
      <c r="I2054" s="7" t="n">
        <v>10</v>
      </c>
      <c r="J2054" s="10" t="n">
        <v>24.9</v>
      </c>
      <c r="K2054" s="11" t="n">
        <v>0.05</v>
      </c>
      <c r="L2054" s="10">
        <f>I2054*J2054*(1-K2054)</f>
        <v/>
      </c>
      <c r="M2054" s="10" t="n">
        <v>125</v>
      </c>
      <c r="N2054" s="10">
        <f>L2054-M2054</f>
        <v/>
      </c>
    </row>
    <row r="2055">
      <c r="A2055" s="7" t="inlineStr">
        <is>
          <t>ORD-00571</t>
        </is>
      </c>
      <c r="B2055" s="8" t="n">
        <v>45379</v>
      </c>
      <c r="C2055" s="9" t="n">
        <v>45352</v>
      </c>
      <c r="D2055" s="7" t="n">
        <v>2024</v>
      </c>
      <c r="E2055" s="7" t="inlineStr">
        <is>
          <t>South</t>
        </is>
      </c>
      <c r="F2055" s="7" t="inlineStr">
        <is>
          <t>Office Supplies</t>
        </is>
      </c>
      <c r="G2055" s="7" t="inlineStr">
        <is>
          <t>Pens</t>
        </is>
      </c>
      <c r="H2055" s="7" t="inlineStr">
        <is>
          <t>Corporate</t>
        </is>
      </c>
      <c r="I2055" s="7" t="n">
        <v>8</v>
      </c>
      <c r="J2055" s="10" t="n">
        <v>12.45</v>
      </c>
      <c r="K2055" s="11" t="n">
        <v>0.2</v>
      </c>
      <c r="L2055" s="10">
        <f>I2055*J2055*(1-K2055)</f>
        <v/>
      </c>
      <c r="M2055" s="10" t="n">
        <v>43.2</v>
      </c>
      <c r="N2055" s="10">
        <f>L2055-M2055</f>
        <v/>
      </c>
    </row>
    <row r="2056">
      <c r="A2056" s="7" t="inlineStr">
        <is>
          <t>ORD-02470</t>
        </is>
      </c>
      <c r="B2056" s="8" t="n">
        <v>45379</v>
      </c>
      <c r="C2056" s="9" t="n">
        <v>45352</v>
      </c>
      <c r="D2056" s="7" t="n">
        <v>2024</v>
      </c>
      <c r="E2056" s="7" t="inlineStr">
        <is>
          <t>East</t>
        </is>
      </c>
      <c r="F2056" s="7" t="inlineStr">
        <is>
          <t>Technology</t>
        </is>
      </c>
      <c r="G2056" s="7" t="inlineStr">
        <is>
          <t>Laptop</t>
        </is>
      </c>
      <c r="H2056" s="7" t="inlineStr">
        <is>
          <t>Home Office</t>
        </is>
      </c>
      <c r="I2056" s="7" t="n">
        <v>1</v>
      </c>
      <c r="J2056" s="10" t="n">
        <v>893.24</v>
      </c>
      <c r="K2056" s="11" t="n">
        <v>0</v>
      </c>
      <c r="L2056" s="10">
        <f>I2056*J2056*(1-K2056)</f>
        <v/>
      </c>
      <c r="M2056" s="10" t="n">
        <v>702</v>
      </c>
      <c r="N2056" s="10">
        <f>L2056-M2056</f>
        <v/>
      </c>
    </row>
    <row r="2057">
      <c r="A2057" s="7" t="inlineStr">
        <is>
          <t>ORD-02484</t>
        </is>
      </c>
      <c r="B2057" s="8" t="n">
        <v>45379</v>
      </c>
      <c r="C2057" s="9" t="n">
        <v>45352</v>
      </c>
      <c r="D2057" s="7" t="n">
        <v>2024</v>
      </c>
      <c r="E2057" s="7" t="inlineStr">
        <is>
          <t>East</t>
        </is>
      </c>
      <c r="F2057" s="7" t="inlineStr">
        <is>
          <t>Furniture</t>
        </is>
      </c>
      <c r="G2057" s="7" t="inlineStr">
        <is>
          <t>Bookcase</t>
        </is>
      </c>
      <c r="H2057" s="7" t="inlineStr">
        <is>
          <t>Consumer</t>
        </is>
      </c>
      <c r="I2057" s="7" t="n">
        <v>3</v>
      </c>
      <c r="J2057" s="10" t="n">
        <v>183.26</v>
      </c>
      <c r="K2057" s="11" t="n">
        <v>0.3</v>
      </c>
      <c r="L2057" s="10">
        <f>I2057*J2057*(1-K2057)</f>
        <v/>
      </c>
      <c r="M2057" s="10" t="n">
        <v>432</v>
      </c>
      <c r="N2057" s="10">
        <f>L2057-M2057</f>
        <v/>
      </c>
    </row>
    <row r="2058">
      <c r="A2058" s="7" t="inlineStr">
        <is>
          <t>ORD-00588</t>
        </is>
      </c>
      <c r="B2058" s="8" t="n">
        <v>45380</v>
      </c>
      <c r="C2058" s="9" t="n">
        <v>45352</v>
      </c>
      <c r="D2058" s="7" t="n">
        <v>2024</v>
      </c>
      <c r="E2058" s="7" t="inlineStr">
        <is>
          <t>North</t>
        </is>
      </c>
      <c r="F2058" s="7" t="inlineStr">
        <is>
          <t>Technology</t>
        </is>
      </c>
      <c r="G2058" s="7" t="inlineStr">
        <is>
          <t>Laptop</t>
        </is>
      </c>
      <c r="H2058" s="7" t="inlineStr">
        <is>
          <t>Consumer</t>
        </is>
      </c>
      <c r="I2058" s="7" t="n">
        <v>1</v>
      </c>
      <c r="J2058" s="10" t="n">
        <v>902.02</v>
      </c>
      <c r="K2058" s="11" t="n">
        <v>0.05</v>
      </c>
      <c r="L2058" s="10">
        <f>I2058*J2058*(1-K2058)</f>
        <v/>
      </c>
      <c r="M2058" s="10" t="n">
        <v>702</v>
      </c>
      <c r="N2058" s="10">
        <f>L2058-M2058</f>
        <v/>
      </c>
    </row>
    <row r="2059">
      <c r="A2059" s="7" t="inlineStr">
        <is>
          <t>ORD-02283</t>
        </is>
      </c>
      <c r="B2059" s="8" t="n">
        <v>45380</v>
      </c>
      <c r="C2059" s="9" t="n">
        <v>45352</v>
      </c>
      <c r="D2059" s="7" t="n">
        <v>2024</v>
      </c>
      <c r="E2059" s="7" t="inlineStr">
        <is>
          <t>East</t>
        </is>
      </c>
      <c r="F2059" s="7" t="inlineStr">
        <is>
          <t>Office Supplies</t>
        </is>
      </c>
      <c r="G2059" s="7" t="inlineStr">
        <is>
          <t>Binder</t>
        </is>
      </c>
      <c r="H2059" s="7" t="inlineStr">
        <is>
          <t>Corporate</t>
        </is>
      </c>
      <c r="I2059" s="7" t="n">
        <v>6</v>
      </c>
      <c r="J2059" s="10" t="n">
        <v>8.109999999999999</v>
      </c>
      <c r="K2059" s="11" t="n">
        <v>0</v>
      </c>
      <c r="L2059" s="10">
        <f>I2059*J2059*(1-K2059)</f>
        <v/>
      </c>
      <c r="M2059" s="10" t="n">
        <v>19.2</v>
      </c>
      <c r="N2059" s="10">
        <f>L2059-M2059</f>
        <v/>
      </c>
    </row>
    <row r="2060">
      <c r="A2060" s="7" t="inlineStr">
        <is>
          <t>ORD-00950</t>
        </is>
      </c>
      <c r="B2060" s="8" t="n">
        <v>45380</v>
      </c>
      <c r="C2060" s="9" t="n">
        <v>45352</v>
      </c>
      <c r="D2060" s="7" t="n">
        <v>2024</v>
      </c>
      <c r="E2060" s="7" t="inlineStr">
        <is>
          <t>North</t>
        </is>
      </c>
      <c r="F2060" s="7" t="inlineStr">
        <is>
          <t>Office Supplies</t>
        </is>
      </c>
      <c r="G2060" s="7" t="inlineStr">
        <is>
          <t>Pens</t>
        </is>
      </c>
      <c r="H2060" s="7" t="inlineStr">
        <is>
          <t>Home Office</t>
        </is>
      </c>
      <c r="I2060" s="7" t="n">
        <v>11</v>
      </c>
      <c r="J2060" s="10" t="n">
        <v>12.44</v>
      </c>
      <c r="K2060" s="11" t="n">
        <v>0</v>
      </c>
      <c r="L2060" s="10">
        <f>I2060*J2060*(1-K2060)</f>
        <v/>
      </c>
      <c r="M2060" s="10" t="n">
        <v>59.4</v>
      </c>
      <c r="N2060" s="10">
        <f>L2060-M2060</f>
        <v/>
      </c>
    </row>
    <row r="2061">
      <c r="A2061" s="7" t="inlineStr">
        <is>
          <t>ORD-02231</t>
        </is>
      </c>
      <c r="B2061" s="8" t="n">
        <v>45380</v>
      </c>
      <c r="C2061" s="9" t="n">
        <v>45352</v>
      </c>
      <c r="D2061" s="7" t="n">
        <v>2024</v>
      </c>
      <c r="E2061" s="7" t="inlineStr">
        <is>
          <t>West</t>
        </is>
      </c>
      <c r="F2061" s="7" t="inlineStr">
        <is>
          <t>Technology</t>
        </is>
      </c>
      <c r="G2061" s="7" t="inlineStr">
        <is>
          <t>Monitor</t>
        </is>
      </c>
      <c r="H2061" s="7" t="inlineStr">
        <is>
          <t>Home Office</t>
        </is>
      </c>
      <c r="I2061" s="7" t="n">
        <v>3</v>
      </c>
      <c r="J2061" s="10" t="n">
        <v>247.51</v>
      </c>
      <c r="K2061" s="11" t="n">
        <v>0.05</v>
      </c>
      <c r="L2061" s="10">
        <f>I2061*J2061*(1-K2061)</f>
        <v/>
      </c>
      <c r="M2061" s="10" t="n">
        <v>540</v>
      </c>
      <c r="N2061" s="10">
        <f>L2061-M2061</f>
        <v/>
      </c>
    </row>
    <row r="2062">
      <c r="A2062" s="7" t="inlineStr">
        <is>
          <t>ORD-02127</t>
        </is>
      </c>
      <c r="B2062" s="8" t="n">
        <v>45380</v>
      </c>
      <c r="C2062" s="9" t="n">
        <v>45352</v>
      </c>
      <c r="D2062" s="7" t="n">
        <v>2024</v>
      </c>
      <c r="E2062" s="7" t="inlineStr">
        <is>
          <t>East</t>
        </is>
      </c>
      <c r="F2062" s="7" t="inlineStr">
        <is>
          <t>Technology</t>
        </is>
      </c>
      <c r="G2062" s="7" t="inlineStr">
        <is>
          <t>Keyboard</t>
        </is>
      </c>
      <c r="H2062" s="7" t="inlineStr">
        <is>
          <t>Consumer</t>
        </is>
      </c>
      <c r="I2062" s="7" t="n">
        <v>1</v>
      </c>
      <c r="J2062" s="10" t="n">
        <v>44.94</v>
      </c>
      <c r="K2062" s="11" t="n">
        <v>0.05</v>
      </c>
      <c r="L2062" s="10">
        <f>I2062*J2062*(1-K2062)</f>
        <v/>
      </c>
      <c r="M2062" s="10" t="n">
        <v>24.75</v>
      </c>
      <c r="N2062" s="10">
        <f>L2062-M2062</f>
        <v/>
      </c>
    </row>
    <row r="2063">
      <c r="A2063" s="7" t="inlineStr">
        <is>
          <t>ORD-00891</t>
        </is>
      </c>
      <c r="B2063" s="8" t="n">
        <v>45380</v>
      </c>
      <c r="C2063" s="9" t="n">
        <v>45352</v>
      </c>
      <c r="D2063" s="7" t="n">
        <v>2024</v>
      </c>
      <c r="E2063" s="7" t="inlineStr">
        <is>
          <t>South</t>
        </is>
      </c>
      <c r="F2063" s="7" t="inlineStr">
        <is>
          <t>Technology</t>
        </is>
      </c>
      <c r="G2063" s="7" t="inlineStr">
        <is>
          <t>Smartphone</t>
        </is>
      </c>
      <c r="H2063" s="7" t="inlineStr">
        <is>
          <t>Corporate</t>
        </is>
      </c>
      <c r="I2063" s="7" t="n">
        <v>3</v>
      </c>
      <c r="J2063" s="10" t="n">
        <v>571.26</v>
      </c>
      <c r="K2063" s="11" t="n">
        <v>0.05</v>
      </c>
      <c r="L2063" s="10">
        <f>I2063*J2063*(1-K2063)</f>
        <v/>
      </c>
      <c r="M2063" s="10" t="n">
        <v>1350</v>
      </c>
      <c r="N2063" s="10">
        <f>L2063-M2063</f>
        <v/>
      </c>
    </row>
    <row r="2064">
      <c r="A2064" s="7" t="inlineStr">
        <is>
          <t>ORD-03999</t>
        </is>
      </c>
      <c r="B2064" s="8" t="n">
        <v>45381</v>
      </c>
      <c r="C2064" s="9" t="n">
        <v>45352</v>
      </c>
      <c r="D2064" s="7" t="n">
        <v>2024</v>
      </c>
      <c r="E2064" s="7" t="inlineStr">
        <is>
          <t>East</t>
        </is>
      </c>
      <c r="F2064" s="7" t="inlineStr">
        <is>
          <t>Office Supplies</t>
        </is>
      </c>
      <c r="G2064" s="7" t="inlineStr">
        <is>
          <t>Paper</t>
        </is>
      </c>
      <c r="H2064" s="7" t="inlineStr">
        <is>
          <t>Corporate</t>
        </is>
      </c>
      <c r="I2064" s="7" t="n">
        <v>9</v>
      </c>
      <c r="J2064" s="10" t="n">
        <v>23.93</v>
      </c>
      <c r="K2064" s="11" t="n">
        <v>0.05</v>
      </c>
      <c r="L2064" s="10">
        <f>I2064*J2064*(1-K2064)</f>
        <v/>
      </c>
      <c r="M2064" s="10" t="n">
        <v>112.5</v>
      </c>
      <c r="N2064" s="10">
        <f>L2064-M2064</f>
        <v/>
      </c>
    </row>
    <row r="2065">
      <c r="A2065" s="7" t="inlineStr">
        <is>
          <t>ORD-02543</t>
        </is>
      </c>
      <c r="B2065" s="8" t="n">
        <v>45381</v>
      </c>
      <c r="C2065" s="9" t="n">
        <v>45352</v>
      </c>
      <c r="D2065" s="7" t="n">
        <v>2024</v>
      </c>
      <c r="E2065" s="7" t="inlineStr">
        <is>
          <t>West</t>
        </is>
      </c>
      <c r="F2065" s="7" t="inlineStr">
        <is>
          <t>Office Supplies</t>
        </is>
      </c>
      <c r="G2065" s="7" t="inlineStr">
        <is>
          <t>Printer Ink</t>
        </is>
      </c>
      <c r="H2065" s="7" t="inlineStr">
        <is>
          <t>Corporate</t>
        </is>
      </c>
      <c r="I2065" s="7" t="n">
        <v>11</v>
      </c>
      <c r="J2065" s="10" t="n">
        <v>60.72</v>
      </c>
      <c r="K2065" s="11" t="n">
        <v>0.2</v>
      </c>
      <c r="L2065" s="10">
        <f>I2065*J2065*(1-K2065)</f>
        <v/>
      </c>
      <c r="M2065" s="10" t="n">
        <v>396</v>
      </c>
      <c r="N2065" s="10">
        <f>L2065-M2065</f>
        <v/>
      </c>
    </row>
    <row r="2066">
      <c r="A2066" s="7" t="inlineStr">
        <is>
          <t>ORD-03341</t>
        </is>
      </c>
      <c r="B2066" s="8" t="n">
        <v>45381</v>
      </c>
      <c r="C2066" s="9" t="n">
        <v>45352</v>
      </c>
      <c r="D2066" s="7" t="n">
        <v>2024</v>
      </c>
      <c r="E2066" s="7" t="inlineStr">
        <is>
          <t>West</t>
        </is>
      </c>
      <c r="F2066" s="7" t="inlineStr">
        <is>
          <t>Office Supplies</t>
        </is>
      </c>
      <c r="G2066" s="7" t="inlineStr">
        <is>
          <t>Pens</t>
        </is>
      </c>
      <c r="H2066" s="7" t="inlineStr">
        <is>
          <t>Consumer</t>
        </is>
      </c>
      <c r="I2066" s="7" t="n">
        <v>5</v>
      </c>
      <c r="J2066" s="10" t="n">
        <v>11.7</v>
      </c>
      <c r="K2066" s="11" t="n">
        <v>0.2</v>
      </c>
      <c r="L2066" s="10">
        <f>I2066*J2066*(1-K2066)</f>
        <v/>
      </c>
      <c r="M2066" s="10" t="n">
        <v>27</v>
      </c>
      <c r="N2066" s="10">
        <f>L2066-M2066</f>
        <v/>
      </c>
    </row>
    <row r="2067">
      <c r="A2067" s="7" t="inlineStr">
        <is>
          <t>ORD-05341</t>
        </is>
      </c>
      <c r="B2067" s="8" t="n">
        <v>45381</v>
      </c>
      <c r="C2067" s="9" t="n">
        <v>45352</v>
      </c>
      <c r="D2067" s="7" t="n">
        <v>2024</v>
      </c>
      <c r="E2067" s="7" t="inlineStr">
        <is>
          <t>South</t>
        </is>
      </c>
      <c r="F2067" s="7" t="inlineStr">
        <is>
          <t>Office Supplies</t>
        </is>
      </c>
      <c r="G2067" s="7" t="inlineStr">
        <is>
          <t>Binder</t>
        </is>
      </c>
      <c r="H2067" s="7" t="inlineStr">
        <is>
          <t>Corporate</t>
        </is>
      </c>
      <c r="I2067" s="7" t="n">
        <v>4</v>
      </c>
      <c r="J2067" s="10" t="n">
        <v>7.95</v>
      </c>
      <c r="K2067" s="11" t="n">
        <v>0.1</v>
      </c>
      <c r="L2067" s="10">
        <f>I2067*J2067*(1-K2067)</f>
        <v/>
      </c>
      <c r="M2067" s="10" t="n">
        <v>12.8</v>
      </c>
      <c r="N2067" s="10">
        <f>L2067-M2067</f>
        <v/>
      </c>
    </row>
    <row r="2068">
      <c r="A2068" s="7" t="inlineStr">
        <is>
          <t>ORD-01993</t>
        </is>
      </c>
      <c r="B2068" s="8" t="n">
        <v>45381</v>
      </c>
      <c r="C2068" s="9" t="n">
        <v>45352</v>
      </c>
      <c r="D2068" s="7" t="n">
        <v>2024</v>
      </c>
      <c r="E2068" s="7" t="inlineStr">
        <is>
          <t>West</t>
        </is>
      </c>
      <c r="F2068" s="7" t="inlineStr">
        <is>
          <t>Office Supplies</t>
        </is>
      </c>
      <c r="G2068" s="7" t="inlineStr">
        <is>
          <t>Binder</t>
        </is>
      </c>
      <c r="H2068" s="7" t="inlineStr">
        <is>
          <t>Corporate</t>
        </is>
      </c>
      <c r="I2068" s="7" t="n">
        <v>13</v>
      </c>
      <c r="J2068" s="10" t="n">
        <v>7.63</v>
      </c>
      <c r="K2068" s="11" t="n">
        <v>0.05</v>
      </c>
      <c r="L2068" s="10">
        <f>I2068*J2068*(1-K2068)</f>
        <v/>
      </c>
      <c r="M2068" s="10" t="n">
        <v>41.6</v>
      </c>
      <c r="N2068" s="10">
        <f>L2068-M2068</f>
        <v/>
      </c>
    </row>
    <row r="2069">
      <c r="A2069" s="7" t="inlineStr">
        <is>
          <t>ORD-04884</t>
        </is>
      </c>
      <c r="B2069" s="8" t="n">
        <v>45381</v>
      </c>
      <c r="C2069" s="9" t="n">
        <v>45352</v>
      </c>
      <c r="D2069" s="7" t="n">
        <v>2024</v>
      </c>
      <c r="E2069" s="7" t="inlineStr">
        <is>
          <t>North</t>
        </is>
      </c>
      <c r="F2069" s="7" t="inlineStr">
        <is>
          <t>Technology</t>
        </is>
      </c>
      <c r="G2069" s="7" t="inlineStr">
        <is>
          <t>Keyboard</t>
        </is>
      </c>
      <c r="H2069" s="7" t="inlineStr">
        <is>
          <t>Consumer</t>
        </is>
      </c>
      <c r="I2069" s="7" t="n">
        <v>3</v>
      </c>
      <c r="J2069" s="10" t="n">
        <v>43.42</v>
      </c>
      <c r="K2069" s="11" t="n">
        <v>0</v>
      </c>
      <c r="L2069" s="10">
        <f>I2069*J2069*(1-K2069)</f>
        <v/>
      </c>
      <c r="M2069" s="10" t="n">
        <v>74.25</v>
      </c>
      <c r="N2069" s="10">
        <f>L2069-M2069</f>
        <v/>
      </c>
    </row>
    <row r="2070">
      <c r="A2070" s="7" t="inlineStr">
        <is>
          <t>ORD-04251</t>
        </is>
      </c>
      <c r="B2070" s="8" t="n">
        <v>45381</v>
      </c>
      <c r="C2070" s="9" t="n">
        <v>45352</v>
      </c>
      <c r="D2070" s="7" t="n">
        <v>2024</v>
      </c>
      <c r="E2070" s="7" t="inlineStr">
        <is>
          <t>South</t>
        </is>
      </c>
      <c r="F2070" s="7" t="inlineStr">
        <is>
          <t>Office Supplies</t>
        </is>
      </c>
      <c r="G2070" s="7" t="inlineStr">
        <is>
          <t>Paper</t>
        </is>
      </c>
      <c r="H2070" s="7" t="inlineStr">
        <is>
          <t>Consumer</t>
        </is>
      </c>
      <c r="I2070" s="7" t="n">
        <v>8</v>
      </c>
      <c r="J2070" s="10" t="n">
        <v>24.01</v>
      </c>
      <c r="K2070" s="11" t="n">
        <v>0</v>
      </c>
      <c r="L2070" s="10">
        <f>I2070*J2070*(1-K2070)</f>
        <v/>
      </c>
      <c r="M2070" s="10" t="n">
        <v>100</v>
      </c>
      <c r="N2070" s="10">
        <f>L2070-M2070</f>
        <v/>
      </c>
    </row>
    <row r="2071">
      <c r="A2071" s="7" t="inlineStr">
        <is>
          <t>ORD-04637</t>
        </is>
      </c>
      <c r="B2071" s="8" t="n">
        <v>45382</v>
      </c>
      <c r="C2071" s="9" t="n">
        <v>45352</v>
      </c>
      <c r="D2071" s="7" t="n">
        <v>2024</v>
      </c>
      <c r="E2071" s="7" t="inlineStr">
        <is>
          <t>North</t>
        </is>
      </c>
      <c r="F2071" s="7" t="inlineStr">
        <is>
          <t>Furniture</t>
        </is>
      </c>
      <c r="G2071" s="7" t="inlineStr">
        <is>
          <t>Desk</t>
        </is>
      </c>
      <c r="H2071" s="7" t="inlineStr">
        <is>
          <t>Home Office</t>
        </is>
      </c>
      <c r="I2071" s="7" t="n">
        <v>3</v>
      </c>
      <c r="J2071" s="10" t="n">
        <v>466.69</v>
      </c>
      <c r="K2071" s="11" t="n">
        <v>0</v>
      </c>
      <c r="L2071" s="10">
        <f>I2071*J2071*(1-K2071)</f>
        <v/>
      </c>
      <c r="M2071" s="10" t="n">
        <v>1147.5</v>
      </c>
      <c r="N2071" s="10">
        <f>L2071-M2071</f>
        <v/>
      </c>
    </row>
    <row r="2072">
      <c r="A2072" s="7" t="inlineStr">
        <is>
          <t>ORD-04668</t>
        </is>
      </c>
      <c r="B2072" s="8" t="n">
        <v>45382</v>
      </c>
      <c r="C2072" s="9" t="n">
        <v>45352</v>
      </c>
      <c r="D2072" s="7" t="n">
        <v>2024</v>
      </c>
      <c r="E2072" s="7" t="inlineStr">
        <is>
          <t>West</t>
        </is>
      </c>
      <c r="F2072" s="7" t="inlineStr">
        <is>
          <t>Office Supplies</t>
        </is>
      </c>
      <c r="G2072" s="7" t="inlineStr">
        <is>
          <t>Pens</t>
        </is>
      </c>
      <c r="H2072" s="7" t="inlineStr">
        <is>
          <t>Corporate</t>
        </is>
      </c>
      <c r="I2072" s="7" t="n">
        <v>15</v>
      </c>
      <c r="J2072" s="10" t="n">
        <v>11.93</v>
      </c>
      <c r="K2072" s="11" t="n">
        <v>0.2</v>
      </c>
      <c r="L2072" s="10">
        <f>I2072*J2072*(1-K2072)</f>
        <v/>
      </c>
      <c r="M2072" s="10" t="n">
        <v>81</v>
      </c>
      <c r="N2072" s="10">
        <f>L2072-M2072</f>
        <v/>
      </c>
    </row>
    <row r="2073">
      <c r="A2073" s="7" t="inlineStr">
        <is>
          <t>ORD-00580</t>
        </is>
      </c>
      <c r="B2073" s="8" t="n">
        <v>45382</v>
      </c>
      <c r="C2073" s="9" t="n">
        <v>45352</v>
      </c>
      <c r="D2073" s="7" t="n">
        <v>2024</v>
      </c>
      <c r="E2073" s="7" t="inlineStr">
        <is>
          <t>North</t>
        </is>
      </c>
      <c r="F2073" s="7" t="inlineStr">
        <is>
          <t>Furniture</t>
        </is>
      </c>
      <c r="G2073" s="7" t="inlineStr">
        <is>
          <t>Desk</t>
        </is>
      </c>
      <c r="H2073" s="7" t="inlineStr">
        <is>
          <t>Consumer</t>
        </is>
      </c>
      <c r="I2073" s="7" t="n">
        <v>1</v>
      </c>
      <c r="J2073" s="10" t="n">
        <v>432.99</v>
      </c>
      <c r="K2073" s="11" t="n">
        <v>0.2</v>
      </c>
      <c r="L2073" s="10">
        <f>I2073*J2073*(1-K2073)</f>
        <v/>
      </c>
      <c r="M2073" s="10" t="n">
        <v>382.5</v>
      </c>
      <c r="N2073" s="10">
        <f>L2073-M2073</f>
        <v/>
      </c>
    </row>
    <row r="2074">
      <c r="A2074" s="7" t="inlineStr">
        <is>
          <t>ORD-00987</t>
        </is>
      </c>
      <c r="B2074" s="8" t="n">
        <v>45383</v>
      </c>
      <c r="C2074" s="9" t="n">
        <v>45383</v>
      </c>
      <c r="D2074" s="7" t="n">
        <v>2024</v>
      </c>
      <c r="E2074" s="7" t="inlineStr">
        <is>
          <t>East</t>
        </is>
      </c>
      <c r="F2074" s="7" t="inlineStr">
        <is>
          <t>Technology</t>
        </is>
      </c>
      <c r="G2074" s="7" t="inlineStr">
        <is>
          <t>Smartphone</t>
        </is>
      </c>
      <c r="H2074" s="7" t="inlineStr">
        <is>
          <t>Home Office</t>
        </is>
      </c>
      <c r="I2074" s="7" t="n">
        <v>3</v>
      </c>
      <c r="J2074" s="10" t="n">
        <v>617.87</v>
      </c>
      <c r="K2074" s="11" t="n">
        <v>0.1</v>
      </c>
      <c r="L2074" s="10">
        <f>I2074*J2074*(1-K2074)</f>
        <v/>
      </c>
      <c r="M2074" s="10" t="n">
        <v>1350</v>
      </c>
      <c r="N2074" s="10">
        <f>L2074-M2074</f>
        <v/>
      </c>
    </row>
    <row r="2075">
      <c r="A2075" s="7" t="inlineStr">
        <is>
          <t>ORD-02109</t>
        </is>
      </c>
      <c r="B2075" s="8" t="n">
        <v>45383</v>
      </c>
      <c r="C2075" s="9" t="n">
        <v>45383</v>
      </c>
      <c r="D2075" s="7" t="n">
        <v>2024</v>
      </c>
      <c r="E2075" s="7" t="inlineStr">
        <is>
          <t>South</t>
        </is>
      </c>
      <c r="F2075" s="7" t="inlineStr">
        <is>
          <t>Office Supplies</t>
        </is>
      </c>
      <c r="G2075" s="7" t="inlineStr">
        <is>
          <t>Binder</t>
        </is>
      </c>
      <c r="H2075" s="7" t="inlineStr">
        <is>
          <t>Consumer</t>
        </is>
      </c>
      <c r="I2075" s="7" t="n">
        <v>4</v>
      </c>
      <c r="J2075" s="10" t="n">
        <v>8.23</v>
      </c>
      <c r="K2075" s="11" t="n">
        <v>0</v>
      </c>
      <c r="L2075" s="10">
        <f>I2075*J2075*(1-K2075)</f>
        <v/>
      </c>
      <c r="M2075" s="10" t="n">
        <v>12.8</v>
      </c>
      <c r="N2075" s="10">
        <f>L2075-M2075</f>
        <v/>
      </c>
    </row>
    <row r="2076">
      <c r="A2076" s="7" t="inlineStr">
        <is>
          <t>ORD-02680</t>
        </is>
      </c>
      <c r="B2076" s="8" t="n">
        <v>45383</v>
      </c>
      <c r="C2076" s="9" t="n">
        <v>45383</v>
      </c>
      <c r="D2076" s="7" t="n">
        <v>2024</v>
      </c>
      <c r="E2076" s="7" t="inlineStr">
        <is>
          <t>South</t>
        </is>
      </c>
      <c r="F2076" s="7" t="inlineStr">
        <is>
          <t>Furniture</t>
        </is>
      </c>
      <c r="G2076" s="7" t="inlineStr">
        <is>
          <t>Office Chair</t>
        </is>
      </c>
      <c r="H2076" s="7" t="inlineStr">
        <is>
          <t>Corporate</t>
        </is>
      </c>
      <c r="I2076" s="7" t="n">
        <v>2</v>
      </c>
      <c r="J2076" s="10" t="n">
        <v>217.32</v>
      </c>
      <c r="K2076" s="11" t="n">
        <v>0.2</v>
      </c>
      <c r="L2076" s="10">
        <f>I2076*J2076*(1-K2076)</f>
        <v/>
      </c>
      <c r="M2076" s="10" t="n">
        <v>360.8</v>
      </c>
      <c r="N2076" s="10">
        <f>L2076-M2076</f>
        <v/>
      </c>
    </row>
    <row r="2077">
      <c r="A2077" s="7" t="inlineStr">
        <is>
          <t>ORD-04926</t>
        </is>
      </c>
      <c r="B2077" s="8" t="n">
        <v>45383</v>
      </c>
      <c r="C2077" s="9" t="n">
        <v>45383</v>
      </c>
      <c r="D2077" s="7" t="n">
        <v>2024</v>
      </c>
      <c r="E2077" s="7" t="inlineStr">
        <is>
          <t>West</t>
        </is>
      </c>
      <c r="F2077" s="7" t="inlineStr">
        <is>
          <t>Furniture</t>
        </is>
      </c>
      <c r="G2077" s="7" t="inlineStr">
        <is>
          <t>Bookcase</t>
        </is>
      </c>
      <c r="H2077" s="7" t="inlineStr">
        <is>
          <t>Home Office</t>
        </is>
      </c>
      <c r="I2077" s="7" t="n">
        <v>1</v>
      </c>
      <c r="J2077" s="10" t="n">
        <v>176.16</v>
      </c>
      <c r="K2077" s="11" t="n">
        <v>0.05</v>
      </c>
      <c r="L2077" s="10">
        <f>I2077*J2077*(1-K2077)</f>
        <v/>
      </c>
      <c r="M2077" s="10" t="n">
        <v>144</v>
      </c>
      <c r="N2077" s="10">
        <f>L2077-M2077</f>
        <v/>
      </c>
    </row>
    <row r="2078">
      <c r="A2078" s="7" t="inlineStr">
        <is>
          <t>ORD-02096</t>
        </is>
      </c>
      <c r="B2078" s="8" t="n">
        <v>45384</v>
      </c>
      <c r="C2078" s="9" t="n">
        <v>45383</v>
      </c>
      <c r="D2078" s="7" t="n">
        <v>2024</v>
      </c>
      <c r="E2078" s="7" t="inlineStr">
        <is>
          <t>North</t>
        </is>
      </c>
      <c r="F2078" s="7" t="inlineStr">
        <is>
          <t>Technology</t>
        </is>
      </c>
      <c r="G2078" s="7" t="inlineStr">
        <is>
          <t>Laptop</t>
        </is>
      </c>
      <c r="H2078" s="7" t="inlineStr">
        <is>
          <t>Consumer</t>
        </is>
      </c>
      <c r="I2078" s="7" t="n">
        <v>2</v>
      </c>
      <c r="J2078" s="10" t="n">
        <v>859.88</v>
      </c>
      <c r="K2078" s="11" t="n">
        <v>0</v>
      </c>
      <c r="L2078" s="10">
        <f>I2078*J2078*(1-K2078)</f>
        <v/>
      </c>
      <c r="M2078" s="10" t="n">
        <v>1404</v>
      </c>
      <c r="N2078" s="10">
        <f>L2078-M2078</f>
        <v/>
      </c>
    </row>
    <row r="2079">
      <c r="A2079" s="7" t="inlineStr">
        <is>
          <t>ORD-01037</t>
        </is>
      </c>
      <c r="B2079" s="8" t="n">
        <v>45384</v>
      </c>
      <c r="C2079" s="9" t="n">
        <v>45383</v>
      </c>
      <c r="D2079" s="7" t="n">
        <v>2024</v>
      </c>
      <c r="E2079" s="7" t="inlineStr">
        <is>
          <t>West</t>
        </is>
      </c>
      <c r="F2079" s="7" t="inlineStr">
        <is>
          <t>Technology</t>
        </is>
      </c>
      <c r="G2079" s="7" t="inlineStr">
        <is>
          <t>Keyboard</t>
        </is>
      </c>
      <c r="H2079" s="7" t="inlineStr">
        <is>
          <t>Home Office</t>
        </is>
      </c>
      <c r="I2079" s="7" t="n">
        <v>1</v>
      </c>
      <c r="J2079" s="10" t="n">
        <v>45.25</v>
      </c>
      <c r="K2079" s="11" t="n">
        <v>0.05</v>
      </c>
      <c r="L2079" s="10">
        <f>I2079*J2079*(1-K2079)</f>
        <v/>
      </c>
      <c r="M2079" s="10" t="n">
        <v>24.75</v>
      </c>
      <c r="N2079" s="10">
        <f>L2079-M2079</f>
        <v/>
      </c>
    </row>
    <row r="2080">
      <c r="A2080" s="7" t="inlineStr">
        <is>
          <t>ORD-03937</t>
        </is>
      </c>
      <c r="B2080" s="8" t="n">
        <v>45384</v>
      </c>
      <c r="C2080" s="9" t="n">
        <v>45383</v>
      </c>
      <c r="D2080" s="7" t="n">
        <v>2024</v>
      </c>
      <c r="E2080" s="7" t="inlineStr">
        <is>
          <t>West</t>
        </is>
      </c>
      <c r="F2080" s="7" t="inlineStr">
        <is>
          <t>Technology</t>
        </is>
      </c>
      <c r="G2080" s="7" t="inlineStr">
        <is>
          <t>Laptop</t>
        </is>
      </c>
      <c r="H2080" s="7" t="inlineStr">
        <is>
          <t>Home Office</t>
        </is>
      </c>
      <c r="I2080" s="7" t="n">
        <v>1</v>
      </c>
      <c r="J2080" s="10" t="n">
        <v>874.1</v>
      </c>
      <c r="K2080" s="11" t="n">
        <v>0</v>
      </c>
      <c r="L2080" s="10">
        <f>I2080*J2080*(1-K2080)</f>
        <v/>
      </c>
      <c r="M2080" s="10" t="n">
        <v>702</v>
      </c>
      <c r="N2080" s="10">
        <f>L2080-M2080</f>
        <v/>
      </c>
    </row>
    <row r="2081">
      <c r="A2081" s="7" t="inlineStr">
        <is>
          <t>ORD-00989</t>
        </is>
      </c>
      <c r="B2081" s="8" t="n">
        <v>45384</v>
      </c>
      <c r="C2081" s="9" t="n">
        <v>45383</v>
      </c>
      <c r="D2081" s="7" t="n">
        <v>2024</v>
      </c>
      <c r="E2081" s="7" t="inlineStr">
        <is>
          <t>West</t>
        </is>
      </c>
      <c r="F2081" s="7" t="inlineStr">
        <is>
          <t>Office Supplies</t>
        </is>
      </c>
      <c r="G2081" s="7" t="inlineStr">
        <is>
          <t>Paper</t>
        </is>
      </c>
      <c r="H2081" s="7" t="inlineStr">
        <is>
          <t>Corporate</t>
        </is>
      </c>
      <c r="I2081" s="7" t="n">
        <v>6</v>
      </c>
      <c r="J2081" s="10" t="n">
        <v>24.31</v>
      </c>
      <c r="K2081" s="11" t="n">
        <v>0.2</v>
      </c>
      <c r="L2081" s="10">
        <f>I2081*J2081*(1-K2081)</f>
        <v/>
      </c>
      <c r="M2081" s="10" t="n">
        <v>75</v>
      </c>
      <c r="N2081" s="10">
        <f>L2081-M2081</f>
        <v/>
      </c>
    </row>
    <row r="2082">
      <c r="A2082" s="7" t="inlineStr">
        <is>
          <t>ORD-02628</t>
        </is>
      </c>
      <c r="B2082" s="8" t="n">
        <v>45384</v>
      </c>
      <c r="C2082" s="9" t="n">
        <v>45383</v>
      </c>
      <c r="D2082" s="7" t="n">
        <v>2024</v>
      </c>
      <c r="E2082" s="7" t="inlineStr">
        <is>
          <t>North</t>
        </is>
      </c>
      <c r="F2082" s="7" t="inlineStr">
        <is>
          <t>Office Supplies</t>
        </is>
      </c>
      <c r="G2082" s="7" t="inlineStr">
        <is>
          <t>Stapler</t>
        </is>
      </c>
      <c r="H2082" s="7" t="inlineStr">
        <is>
          <t>Corporate</t>
        </is>
      </c>
      <c r="I2082" s="7" t="n">
        <v>2</v>
      </c>
      <c r="J2082" s="10" t="n">
        <v>14.4</v>
      </c>
      <c r="K2082" s="11" t="n">
        <v>0</v>
      </c>
      <c r="L2082" s="10">
        <f>I2082*J2082*(1-K2082)</f>
        <v/>
      </c>
      <c r="M2082" s="10" t="n">
        <v>15</v>
      </c>
      <c r="N2082" s="10">
        <f>L2082-M2082</f>
        <v/>
      </c>
    </row>
    <row r="2083">
      <c r="A2083" s="7" t="inlineStr">
        <is>
          <t>ORD-04703</t>
        </is>
      </c>
      <c r="B2083" s="8" t="n">
        <v>45384</v>
      </c>
      <c r="C2083" s="9" t="n">
        <v>45383</v>
      </c>
      <c r="D2083" s="7" t="n">
        <v>2024</v>
      </c>
      <c r="E2083" s="7" t="inlineStr">
        <is>
          <t>West</t>
        </is>
      </c>
      <c r="F2083" s="7" t="inlineStr">
        <is>
          <t>Technology</t>
        </is>
      </c>
      <c r="G2083" s="7" t="inlineStr">
        <is>
          <t>Headphones</t>
        </is>
      </c>
      <c r="H2083" s="7" t="inlineStr">
        <is>
          <t>Consumer</t>
        </is>
      </c>
      <c r="I2083" s="7" t="n">
        <v>1</v>
      </c>
      <c r="J2083" s="10" t="n">
        <v>117.31</v>
      </c>
      <c r="K2083" s="11" t="n">
        <v>0</v>
      </c>
      <c r="L2083" s="10">
        <f>I2083*J2083*(1-K2083)</f>
        <v/>
      </c>
      <c r="M2083" s="10" t="n">
        <v>72</v>
      </c>
      <c r="N2083" s="10">
        <f>L2083-M2083</f>
        <v/>
      </c>
    </row>
    <row r="2084">
      <c r="A2084" s="7" t="inlineStr">
        <is>
          <t>ORD-03422</t>
        </is>
      </c>
      <c r="B2084" s="8" t="n">
        <v>45384</v>
      </c>
      <c r="C2084" s="9" t="n">
        <v>45383</v>
      </c>
      <c r="D2084" s="7" t="n">
        <v>2024</v>
      </c>
      <c r="E2084" s="7" t="inlineStr">
        <is>
          <t>West</t>
        </is>
      </c>
      <c r="F2084" s="7" t="inlineStr">
        <is>
          <t>Office Supplies</t>
        </is>
      </c>
      <c r="G2084" s="7" t="inlineStr">
        <is>
          <t>Paper</t>
        </is>
      </c>
      <c r="H2084" s="7" t="inlineStr">
        <is>
          <t>Consumer</t>
        </is>
      </c>
      <c r="I2084" s="7" t="n">
        <v>15</v>
      </c>
      <c r="J2084" s="10" t="n">
        <v>26.03</v>
      </c>
      <c r="K2084" s="11" t="n">
        <v>0.2</v>
      </c>
      <c r="L2084" s="10">
        <f>I2084*J2084*(1-K2084)</f>
        <v/>
      </c>
      <c r="M2084" s="10" t="n">
        <v>187.5</v>
      </c>
      <c r="N2084" s="10">
        <f>L2084-M2084</f>
        <v/>
      </c>
    </row>
    <row r="2085">
      <c r="A2085" s="7" t="inlineStr">
        <is>
          <t>ORD-01015</t>
        </is>
      </c>
      <c r="B2085" s="8" t="n">
        <v>45384</v>
      </c>
      <c r="C2085" s="9" t="n">
        <v>45383</v>
      </c>
      <c r="D2085" s="7" t="n">
        <v>2024</v>
      </c>
      <c r="E2085" s="7" t="inlineStr">
        <is>
          <t>West</t>
        </is>
      </c>
      <c r="F2085" s="7" t="inlineStr">
        <is>
          <t>Technology</t>
        </is>
      </c>
      <c r="G2085" s="7" t="inlineStr">
        <is>
          <t>Headphones</t>
        </is>
      </c>
      <c r="H2085" s="7" t="inlineStr">
        <is>
          <t>Consumer</t>
        </is>
      </c>
      <c r="I2085" s="7" t="n">
        <v>2</v>
      </c>
      <c r="J2085" s="10" t="n">
        <v>117.61</v>
      </c>
      <c r="K2085" s="11" t="n">
        <v>0.3</v>
      </c>
      <c r="L2085" s="10">
        <f>I2085*J2085*(1-K2085)</f>
        <v/>
      </c>
      <c r="M2085" s="10" t="n">
        <v>144</v>
      </c>
      <c r="N2085" s="10">
        <f>L2085-M2085</f>
        <v/>
      </c>
    </row>
    <row r="2086">
      <c r="A2086" s="7" t="inlineStr">
        <is>
          <t>ORD-00665</t>
        </is>
      </c>
      <c r="B2086" s="8" t="n">
        <v>45384</v>
      </c>
      <c r="C2086" s="9" t="n">
        <v>45383</v>
      </c>
      <c r="D2086" s="7" t="n">
        <v>2024</v>
      </c>
      <c r="E2086" s="7" t="inlineStr">
        <is>
          <t>West</t>
        </is>
      </c>
      <c r="F2086" s="7" t="inlineStr">
        <is>
          <t>Furniture</t>
        </is>
      </c>
      <c r="G2086" s="7" t="inlineStr">
        <is>
          <t>Desk</t>
        </is>
      </c>
      <c r="H2086" s="7" t="inlineStr">
        <is>
          <t>Consumer</t>
        </is>
      </c>
      <c r="I2086" s="7" t="n">
        <v>1</v>
      </c>
      <c r="J2086" s="10" t="n">
        <v>428.15</v>
      </c>
      <c r="K2086" s="11" t="n">
        <v>0.05</v>
      </c>
      <c r="L2086" s="10">
        <f>I2086*J2086*(1-K2086)</f>
        <v/>
      </c>
      <c r="M2086" s="10" t="n">
        <v>382.5</v>
      </c>
      <c r="N2086" s="10">
        <f>L2086-M2086</f>
        <v/>
      </c>
    </row>
    <row r="2087">
      <c r="A2087" s="7" t="inlineStr">
        <is>
          <t>ORD-04733</t>
        </is>
      </c>
      <c r="B2087" s="8" t="n">
        <v>45385</v>
      </c>
      <c r="C2087" s="9" t="n">
        <v>45383</v>
      </c>
      <c r="D2087" s="7" t="n">
        <v>2024</v>
      </c>
      <c r="E2087" s="7" t="inlineStr">
        <is>
          <t>South</t>
        </is>
      </c>
      <c r="F2087" s="7" t="inlineStr">
        <is>
          <t>Technology</t>
        </is>
      </c>
      <c r="G2087" s="7" t="inlineStr">
        <is>
          <t>Headphones</t>
        </is>
      </c>
      <c r="H2087" s="7" t="inlineStr">
        <is>
          <t>Corporate</t>
        </is>
      </c>
      <c r="I2087" s="7" t="n">
        <v>3</v>
      </c>
      <c r="J2087" s="10" t="n">
        <v>121</v>
      </c>
      <c r="K2087" s="11" t="n">
        <v>0</v>
      </c>
      <c r="L2087" s="10">
        <f>I2087*J2087*(1-K2087)</f>
        <v/>
      </c>
      <c r="M2087" s="10" t="n">
        <v>216</v>
      </c>
      <c r="N2087" s="10">
        <f>L2087-M2087</f>
        <v/>
      </c>
    </row>
    <row r="2088">
      <c r="A2088" s="7" t="inlineStr">
        <is>
          <t>ORD-00686</t>
        </is>
      </c>
      <c r="B2088" s="8" t="n">
        <v>45385</v>
      </c>
      <c r="C2088" s="9" t="n">
        <v>45383</v>
      </c>
      <c r="D2088" s="7" t="n">
        <v>2024</v>
      </c>
      <c r="E2088" s="7" t="inlineStr">
        <is>
          <t>East</t>
        </is>
      </c>
      <c r="F2088" s="7" t="inlineStr">
        <is>
          <t>Technology</t>
        </is>
      </c>
      <c r="G2088" s="7" t="inlineStr">
        <is>
          <t>Keyboard</t>
        </is>
      </c>
      <c r="H2088" s="7" t="inlineStr">
        <is>
          <t>Consumer</t>
        </is>
      </c>
      <c r="I2088" s="7" t="n">
        <v>3</v>
      </c>
      <c r="J2088" s="10" t="n">
        <v>45.85</v>
      </c>
      <c r="K2088" s="11" t="n">
        <v>0.1</v>
      </c>
      <c r="L2088" s="10">
        <f>I2088*J2088*(1-K2088)</f>
        <v/>
      </c>
      <c r="M2088" s="10" t="n">
        <v>74.25</v>
      </c>
      <c r="N2088" s="10">
        <f>L2088-M2088</f>
        <v/>
      </c>
    </row>
    <row r="2089">
      <c r="A2089" s="7" t="inlineStr">
        <is>
          <t>ORD-05531</t>
        </is>
      </c>
      <c r="B2089" s="8" t="n">
        <v>45385</v>
      </c>
      <c r="C2089" s="9" t="n">
        <v>45383</v>
      </c>
      <c r="D2089" s="7" t="n">
        <v>2024</v>
      </c>
      <c r="E2089" s="7" t="inlineStr">
        <is>
          <t>East</t>
        </is>
      </c>
      <c r="F2089" s="7" t="inlineStr">
        <is>
          <t>Office Supplies</t>
        </is>
      </c>
      <c r="G2089" s="7" t="inlineStr">
        <is>
          <t>Binder</t>
        </is>
      </c>
      <c r="H2089" s="7" t="inlineStr">
        <is>
          <t>Corporate</t>
        </is>
      </c>
      <c r="I2089" s="7" t="n">
        <v>9</v>
      </c>
      <c r="J2089" s="10" t="n">
        <v>7.78</v>
      </c>
      <c r="K2089" s="11" t="n">
        <v>0.05</v>
      </c>
      <c r="L2089" s="10">
        <f>I2089*J2089*(1-K2089)</f>
        <v/>
      </c>
      <c r="M2089" s="10" t="n">
        <v>28.8</v>
      </c>
      <c r="N2089" s="10">
        <f>L2089-M2089</f>
        <v/>
      </c>
    </row>
    <row r="2090">
      <c r="A2090" s="7" t="inlineStr">
        <is>
          <t>ORD-01370</t>
        </is>
      </c>
      <c r="B2090" s="8" t="n">
        <v>45386</v>
      </c>
      <c r="C2090" s="9" t="n">
        <v>45383</v>
      </c>
      <c r="D2090" s="7" t="n">
        <v>2024</v>
      </c>
      <c r="E2090" s="7" t="inlineStr">
        <is>
          <t>North</t>
        </is>
      </c>
      <c r="F2090" s="7" t="inlineStr">
        <is>
          <t>Office Supplies</t>
        </is>
      </c>
      <c r="G2090" s="7" t="inlineStr">
        <is>
          <t>Binder</t>
        </is>
      </c>
      <c r="H2090" s="7" t="inlineStr">
        <is>
          <t>Corporate</t>
        </is>
      </c>
      <c r="I2090" s="7" t="n">
        <v>8</v>
      </c>
      <c r="J2090" s="10" t="n">
        <v>8.23</v>
      </c>
      <c r="K2090" s="11" t="n">
        <v>0</v>
      </c>
      <c r="L2090" s="10">
        <f>I2090*J2090*(1-K2090)</f>
        <v/>
      </c>
      <c r="M2090" s="10" t="n">
        <v>25.6</v>
      </c>
      <c r="N2090" s="10">
        <f>L2090-M2090</f>
        <v/>
      </c>
    </row>
    <row r="2091">
      <c r="A2091" s="7" t="inlineStr">
        <is>
          <t>ORD-05330</t>
        </is>
      </c>
      <c r="B2091" s="8" t="n">
        <v>45386</v>
      </c>
      <c r="C2091" s="9" t="n">
        <v>45383</v>
      </c>
      <c r="D2091" s="7" t="n">
        <v>2024</v>
      </c>
      <c r="E2091" s="7" t="inlineStr">
        <is>
          <t>North</t>
        </is>
      </c>
      <c r="F2091" s="7" t="inlineStr">
        <is>
          <t>Office Supplies</t>
        </is>
      </c>
      <c r="G2091" s="7" t="inlineStr">
        <is>
          <t>Printer Ink</t>
        </is>
      </c>
      <c r="H2091" s="7" t="inlineStr">
        <is>
          <t>Consumer</t>
        </is>
      </c>
      <c r="I2091" s="7" t="n">
        <v>6</v>
      </c>
      <c r="J2091" s="10" t="n">
        <v>60.53</v>
      </c>
      <c r="K2091" s="11" t="n">
        <v>0</v>
      </c>
      <c r="L2091" s="10">
        <f>I2091*J2091*(1-K2091)</f>
        <v/>
      </c>
      <c r="M2091" s="10" t="n">
        <v>216</v>
      </c>
      <c r="N2091" s="10">
        <f>L2091-M2091</f>
        <v/>
      </c>
    </row>
    <row r="2092">
      <c r="A2092" s="7" t="inlineStr">
        <is>
          <t>ORD-03756</t>
        </is>
      </c>
      <c r="B2092" s="8" t="n">
        <v>45386</v>
      </c>
      <c r="C2092" s="9" t="n">
        <v>45383</v>
      </c>
      <c r="D2092" s="7" t="n">
        <v>2024</v>
      </c>
      <c r="E2092" s="7" t="inlineStr">
        <is>
          <t>East</t>
        </is>
      </c>
      <c r="F2092" s="7" t="inlineStr">
        <is>
          <t>Office Supplies</t>
        </is>
      </c>
      <c r="G2092" s="7" t="inlineStr">
        <is>
          <t>Printer Ink</t>
        </is>
      </c>
      <c r="H2092" s="7" t="inlineStr">
        <is>
          <t>Consumer</t>
        </is>
      </c>
      <c r="I2092" s="7" t="n">
        <v>3</v>
      </c>
      <c r="J2092" s="10" t="n">
        <v>57.93</v>
      </c>
      <c r="K2092" s="11" t="n">
        <v>0</v>
      </c>
      <c r="L2092" s="10">
        <f>I2092*J2092*(1-K2092)</f>
        <v/>
      </c>
      <c r="M2092" s="10" t="n">
        <v>108</v>
      </c>
      <c r="N2092" s="10">
        <f>L2092-M2092</f>
        <v/>
      </c>
    </row>
    <row r="2093">
      <c r="A2093" s="7" t="inlineStr">
        <is>
          <t>ORD-04308</t>
        </is>
      </c>
      <c r="B2093" s="8" t="n">
        <v>45386</v>
      </c>
      <c r="C2093" s="9" t="n">
        <v>45383</v>
      </c>
      <c r="D2093" s="7" t="n">
        <v>2024</v>
      </c>
      <c r="E2093" s="7" t="inlineStr">
        <is>
          <t>West</t>
        </is>
      </c>
      <c r="F2093" s="7" t="inlineStr">
        <is>
          <t>Office Supplies</t>
        </is>
      </c>
      <c r="G2093" s="7" t="inlineStr">
        <is>
          <t>Stapler</t>
        </is>
      </c>
      <c r="H2093" s="7" t="inlineStr">
        <is>
          <t>Consumer</t>
        </is>
      </c>
      <c r="I2093" s="7" t="n">
        <v>12</v>
      </c>
      <c r="J2093" s="10" t="n">
        <v>15.4</v>
      </c>
      <c r="K2093" s="11" t="n">
        <v>0</v>
      </c>
      <c r="L2093" s="10">
        <f>I2093*J2093*(1-K2093)</f>
        <v/>
      </c>
      <c r="M2093" s="10" t="n">
        <v>90</v>
      </c>
      <c r="N2093" s="10">
        <f>L2093-M2093</f>
        <v/>
      </c>
    </row>
    <row r="2094">
      <c r="A2094" s="7" t="inlineStr">
        <is>
          <t>ORD-03553</t>
        </is>
      </c>
      <c r="B2094" s="8" t="n">
        <v>45386</v>
      </c>
      <c r="C2094" s="9" t="n">
        <v>45383</v>
      </c>
      <c r="D2094" s="7" t="n">
        <v>2024</v>
      </c>
      <c r="E2094" s="7" t="inlineStr">
        <is>
          <t>South</t>
        </is>
      </c>
      <c r="F2094" s="7" t="inlineStr">
        <is>
          <t>Office Supplies</t>
        </is>
      </c>
      <c r="G2094" s="7" t="inlineStr">
        <is>
          <t>Stapler</t>
        </is>
      </c>
      <c r="H2094" s="7" t="inlineStr">
        <is>
          <t>Corporate</t>
        </is>
      </c>
      <c r="I2094" s="7" t="n">
        <v>12</v>
      </c>
      <c r="J2094" s="10" t="n">
        <v>14.27</v>
      </c>
      <c r="K2094" s="11" t="n">
        <v>0.3</v>
      </c>
      <c r="L2094" s="10">
        <f>I2094*J2094*(1-K2094)</f>
        <v/>
      </c>
      <c r="M2094" s="10" t="n">
        <v>90</v>
      </c>
      <c r="N2094" s="10">
        <f>L2094-M2094</f>
        <v/>
      </c>
    </row>
    <row r="2095">
      <c r="A2095" s="7" t="inlineStr">
        <is>
          <t>ORD-05072</t>
        </is>
      </c>
      <c r="B2095" s="8" t="n">
        <v>45386</v>
      </c>
      <c r="C2095" s="9" t="n">
        <v>45383</v>
      </c>
      <c r="D2095" s="7" t="n">
        <v>2024</v>
      </c>
      <c r="E2095" s="7" t="inlineStr">
        <is>
          <t>West</t>
        </is>
      </c>
      <c r="F2095" s="7" t="inlineStr">
        <is>
          <t>Office Supplies</t>
        </is>
      </c>
      <c r="G2095" s="7" t="inlineStr">
        <is>
          <t>Stapler</t>
        </is>
      </c>
      <c r="H2095" s="7" t="inlineStr">
        <is>
          <t>Consumer</t>
        </is>
      </c>
      <c r="I2095" s="7" t="n">
        <v>2</v>
      </c>
      <c r="J2095" s="10" t="n">
        <v>15.4</v>
      </c>
      <c r="K2095" s="11" t="n">
        <v>0.2</v>
      </c>
      <c r="L2095" s="10">
        <f>I2095*J2095*(1-K2095)</f>
        <v/>
      </c>
      <c r="M2095" s="10" t="n">
        <v>15</v>
      </c>
      <c r="N2095" s="10">
        <f>L2095-M2095</f>
        <v/>
      </c>
    </row>
    <row r="2096">
      <c r="A2096" s="7" t="inlineStr">
        <is>
          <t>ORD-03864</t>
        </is>
      </c>
      <c r="B2096" s="8" t="n">
        <v>45386</v>
      </c>
      <c r="C2096" s="9" t="n">
        <v>45383</v>
      </c>
      <c r="D2096" s="7" t="n">
        <v>2024</v>
      </c>
      <c r="E2096" s="7" t="inlineStr">
        <is>
          <t>North</t>
        </is>
      </c>
      <c r="F2096" s="7" t="inlineStr">
        <is>
          <t>Technology</t>
        </is>
      </c>
      <c r="G2096" s="7" t="inlineStr">
        <is>
          <t>Keyboard</t>
        </is>
      </c>
      <c r="H2096" s="7" t="inlineStr">
        <is>
          <t>Home Office</t>
        </is>
      </c>
      <c r="I2096" s="7" t="n">
        <v>1</v>
      </c>
      <c r="J2096" s="10" t="n">
        <v>43.32</v>
      </c>
      <c r="K2096" s="11" t="n">
        <v>0.1</v>
      </c>
      <c r="L2096" s="10">
        <f>I2096*J2096*(1-K2096)</f>
        <v/>
      </c>
      <c r="M2096" s="10" t="n">
        <v>24.75</v>
      </c>
      <c r="N2096" s="10">
        <f>L2096-M2096</f>
        <v/>
      </c>
    </row>
    <row r="2097">
      <c r="A2097" s="7" t="inlineStr">
        <is>
          <t>ORD-05093</t>
        </is>
      </c>
      <c r="B2097" s="8" t="n">
        <v>45386</v>
      </c>
      <c r="C2097" s="9" t="n">
        <v>45383</v>
      </c>
      <c r="D2097" s="7" t="n">
        <v>2024</v>
      </c>
      <c r="E2097" s="7" t="inlineStr">
        <is>
          <t>South</t>
        </is>
      </c>
      <c r="F2097" s="7" t="inlineStr">
        <is>
          <t>Technology</t>
        </is>
      </c>
      <c r="G2097" s="7" t="inlineStr">
        <is>
          <t>Smartphone</t>
        </is>
      </c>
      <c r="H2097" s="7" t="inlineStr">
        <is>
          <t>Corporate</t>
        </is>
      </c>
      <c r="I2097" s="7" t="n">
        <v>2</v>
      </c>
      <c r="J2097" s="10" t="n">
        <v>593.74</v>
      </c>
      <c r="K2097" s="11" t="n">
        <v>0.3</v>
      </c>
      <c r="L2097" s="10">
        <f>I2097*J2097*(1-K2097)</f>
        <v/>
      </c>
      <c r="M2097" s="10" t="n">
        <v>900</v>
      </c>
      <c r="N2097" s="10">
        <f>L2097-M2097</f>
        <v/>
      </c>
    </row>
    <row r="2098">
      <c r="A2098" s="7" t="inlineStr">
        <is>
          <t>ORD-05315</t>
        </is>
      </c>
      <c r="B2098" s="8" t="n">
        <v>45387</v>
      </c>
      <c r="C2098" s="9" t="n">
        <v>45383</v>
      </c>
      <c r="D2098" s="7" t="n">
        <v>2024</v>
      </c>
      <c r="E2098" s="7" t="inlineStr">
        <is>
          <t>West</t>
        </is>
      </c>
      <c r="F2098" s="7" t="inlineStr">
        <is>
          <t>Office Supplies</t>
        </is>
      </c>
      <c r="G2098" s="7" t="inlineStr">
        <is>
          <t>Pens</t>
        </is>
      </c>
      <c r="H2098" s="7" t="inlineStr">
        <is>
          <t>Corporate</t>
        </is>
      </c>
      <c r="I2098" s="7" t="n">
        <v>3</v>
      </c>
      <c r="J2098" s="10" t="n">
        <v>12.24</v>
      </c>
      <c r="K2098" s="11" t="n">
        <v>0.05</v>
      </c>
      <c r="L2098" s="10">
        <f>I2098*J2098*(1-K2098)</f>
        <v/>
      </c>
      <c r="M2098" s="10" t="n">
        <v>16.2</v>
      </c>
      <c r="N2098" s="10">
        <f>L2098-M2098</f>
        <v/>
      </c>
    </row>
    <row r="2099">
      <c r="A2099" s="7" t="inlineStr">
        <is>
          <t>ORD-01587</t>
        </is>
      </c>
      <c r="B2099" s="8" t="n">
        <v>45387</v>
      </c>
      <c r="C2099" s="9" t="n">
        <v>45383</v>
      </c>
      <c r="D2099" s="7" t="n">
        <v>2024</v>
      </c>
      <c r="E2099" s="7" t="inlineStr">
        <is>
          <t>West</t>
        </is>
      </c>
      <c r="F2099" s="7" t="inlineStr">
        <is>
          <t>Technology</t>
        </is>
      </c>
      <c r="G2099" s="7" t="inlineStr">
        <is>
          <t>Monitor</t>
        </is>
      </c>
      <c r="H2099" s="7" t="inlineStr">
        <is>
          <t>Consumer</t>
        </is>
      </c>
      <c r="I2099" s="7" t="n">
        <v>2</v>
      </c>
      <c r="J2099" s="10" t="n">
        <v>254.98</v>
      </c>
      <c r="K2099" s="11" t="n">
        <v>0.1</v>
      </c>
      <c r="L2099" s="10">
        <f>I2099*J2099*(1-K2099)</f>
        <v/>
      </c>
      <c r="M2099" s="10" t="n">
        <v>360</v>
      </c>
      <c r="N2099" s="10">
        <f>L2099-M2099</f>
        <v/>
      </c>
    </row>
    <row r="2100">
      <c r="A2100" s="7" t="inlineStr">
        <is>
          <t>ORD-04717</t>
        </is>
      </c>
      <c r="B2100" s="8" t="n">
        <v>45387</v>
      </c>
      <c r="C2100" s="9" t="n">
        <v>45383</v>
      </c>
      <c r="D2100" s="7" t="n">
        <v>2024</v>
      </c>
      <c r="E2100" s="7" t="inlineStr">
        <is>
          <t>East</t>
        </is>
      </c>
      <c r="F2100" s="7" t="inlineStr">
        <is>
          <t>Office Supplies</t>
        </is>
      </c>
      <c r="G2100" s="7" t="inlineStr">
        <is>
          <t>Binder</t>
        </is>
      </c>
      <c r="H2100" s="7" t="inlineStr">
        <is>
          <t>Corporate</t>
        </is>
      </c>
      <c r="I2100" s="7" t="n">
        <v>10</v>
      </c>
      <c r="J2100" s="10" t="n">
        <v>7.81</v>
      </c>
      <c r="K2100" s="11" t="n">
        <v>0.05</v>
      </c>
      <c r="L2100" s="10">
        <f>I2100*J2100*(1-K2100)</f>
        <v/>
      </c>
      <c r="M2100" s="10" t="n">
        <v>32</v>
      </c>
      <c r="N2100" s="10">
        <f>L2100-M2100</f>
        <v/>
      </c>
    </row>
    <row r="2101">
      <c r="A2101" s="7" t="inlineStr">
        <is>
          <t>ORD-05198</t>
        </is>
      </c>
      <c r="B2101" s="8" t="n">
        <v>45387</v>
      </c>
      <c r="C2101" s="9" t="n">
        <v>45383</v>
      </c>
      <c r="D2101" s="7" t="n">
        <v>2024</v>
      </c>
      <c r="E2101" s="7" t="inlineStr">
        <is>
          <t>West</t>
        </is>
      </c>
      <c r="F2101" s="7" t="inlineStr">
        <is>
          <t>Technology</t>
        </is>
      </c>
      <c r="G2101" s="7" t="inlineStr">
        <is>
          <t>Keyboard</t>
        </is>
      </c>
      <c r="H2101" s="7" t="inlineStr">
        <is>
          <t>Consumer</t>
        </is>
      </c>
      <c r="I2101" s="7" t="n">
        <v>3</v>
      </c>
      <c r="J2101" s="10" t="n">
        <v>45.1</v>
      </c>
      <c r="K2101" s="11" t="n">
        <v>0.1</v>
      </c>
      <c r="L2101" s="10">
        <f>I2101*J2101*(1-K2101)</f>
        <v/>
      </c>
      <c r="M2101" s="10" t="n">
        <v>74.25</v>
      </c>
      <c r="N2101" s="10">
        <f>L2101-M2101</f>
        <v/>
      </c>
    </row>
    <row r="2102">
      <c r="A2102" s="7" t="inlineStr">
        <is>
          <t>ORD-05978</t>
        </is>
      </c>
      <c r="B2102" s="8" t="n">
        <v>45387</v>
      </c>
      <c r="C2102" s="9" t="n">
        <v>45383</v>
      </c>
      <c r="D2102" s="7" t="n">
        <v>2024</v>
      </c>
      <c r="E2102" s="7" t="inlineStr">
        <is>
          <t>East</t>
        </is>
      </c>
      <c r="F2102" s="7" t="inlineStr">
        <is>
          <t>Technology</t>
        </is>
      </c>
      <c r="G2102" s="7" t="inlineStr">
        <is>
          <t>Monitor</t>
        </is>
      </c>
      <c r="H2102" s="7" t="inlineStr">
        <is>
          <t>Home Office</t>
        </is>
      </c>
      <c r="I2102" s="7" t="n">
        <v>3</v>
      </c>
      <c r="J2102" s="10" t="n">
        <v>246.56</v>
      </c>
      <c r="K2102" s="11" t="n">
        <v>0</v>
      </c>
      <c r="L2102" s="10">
        <f>I2102*J2102*(1-K2102)</f>
        <v/>
      </c>
      <c r="M2102" s="10" t="n">
        <v>540</v>
      </c>
      <c r="N2102" s="10">
        <f>L2102-M2102</f>
        <v/>
      </c>
    </row>
    <row r="2103">
      <c r="A2103" s="7" t="inlineStr">
        <is>
          <t>ORD-02033</t>
        </is>
      </c>
      <c r="B2103" s="8" t="n">
        <v>45387</v>
      </c>
      <c r="C2103" s="9" t="n">
        <v>45383</v>
      </c>
      <c r="D2103" s="7" t="n">
        <v>2024</v>
      </c>
      <c r="E2103" s="7" t="inlineStr">
        <is>
          <t>East</t>
        </is>
      </c>
      <c r="F2103" s="7" t="inlineStr">
        <is>
          <t>Office Supplies</t>
        </is>
      </c>
      <c r="G2103" s="7" t="inlineStr">
        <is>
          <t>Pens</t>
        </is>
      </c>
      <c r="H2103" s="7" t="inlineStr">
        <is>
          <t>Consumer</t>
        </is>
      </c>
      <c r="I2103" s="7" t="n">
        <v>6</v>
      </c>
      <c r="J2103" s="10" t="n">
        <v>12.16</v>
      </c>
      <c r="K2103" s="11" t="n">
        <v>0.1</v>
      </c>
      <c r="L2103" s="10">
        <f>I2103*J2103*(1-K2103)</f>
        <v/>
      </c>
      <c r="M2103" s="10" t="n">
        <v>32.4</v>
      </c>
      <c r="N2103" s="10">
        <f>L2103-M2103</f>
        <v/>
      </c>
    </row>
    <row r="2104">
      <c r="A2104" s="7" t="inlineStr">
        <is>
          <t>ORD-03965</t>
        </is>
      </c>
      <c r="B2104" s="8" t="n">
        <v>45387</v>
      </c>
      <c r="C2104" s="9" t="n">
        <v>45383</v>
      </c>
      <c r="D2104" s="7" t="n">
        <v>2024</v>
      </c>
      <c r="E2104" s="7" t="inlineStr">
        <is>
          <t>West</t>
        </is>
      </c>
      <c r="F2104" s="7" t="inlineStr">
        <is>
          <t>Office Supplies</t>
        </is>
      </c>
      <c r="G2104" s="7" t="inlineStr">
        <is>
          <t>Paper</t>
        </is>
      </c>
      <c r="H2104" s="7" t="inlineStr">
        <is>
          <t>Consumer</t>
        </is>
      </c>
      <c r="I2104" s="7" t="n">
        <v>11</v>
      </c>
      <c r="J2104" s="10" t="n">
        <v>25.07</v>
      </c>
      <c r="K2104" s="11" t="n">
        <v>0.2</v>
      </c>
      <c r="L2104" s="10">
        <f>I2104*J2104*(1-K2104)</f>
        <v/>
      </c>
      <c r="M2104" s="10" t="n">
        <v>137.5</v>
      </c>
      <c r="N2104" s="10">
        <f>L2104-M2104</f>
        <v/>
      </c>
    </row>
    <row r="2105">
      <c r="A2105" s="7" t="inlineStr">
        <is>
          <t>ORD-03674</t>
        </is>
      </c>
      <c r="B2105" s="8" t="n">
        <v>45388</v>
      </c>
      <c r="C2105" s="9" t="n">
        <v>45383</v>
      </c>
      <c r="D2105" s="7" t="n">
        <v>2024</v>
      </c>
      <c r="E2105" s="7" t="inlineStr">
        <is>
          <t>East</t>
        </is>
      </c>
      <c r="F2105" s="7" t="inlineStr">
        <is>
          <t>Technology</t>
        </is>
      </c>
      <c r="G2105" s="7" t="inlineStr">
        <is>
          <t>Monitor</t>
        </is>
      </c>
      <c r="H2105" s="7" t="inlineStr">
        <is>
          <t>Corporate</t>
        </is>
      </c>
      <c r="I2105" s="7" t="n">
        <v>2</v>
      </c>
      <c r="J2105" s="10" t="n">
        <v>259.55</v>
      </c>
      <c r="K2105" s="11" t="n">
        <v>0</v>
      </c>
      <c r="L2105" s="10">
        <f>I2105*J2105*(1-K2105)</f>
        <v/>
      </c>
      <c r="M2105" s="10" t="n">
        <v>360</v>
      </c>
      <c r="N2105" s="10">
        <f>L2105-M2105</f>
        <v/>
      </c>
    </row>
    <row r="2106">
      <c r="A2106" s="7" t="inlineStr">
        <is>
          <t>ORD-02250</t>
        </is>
      </c>
      <c r="B2106" s="8" t="n">
        <v>45388</v>
      </c>
      <c r="C2106" s="9" t="n">
        <v>45383</v>
      </c>
      <c r="D2106" s="7" t="n">
        <v>2024</v>
      </c>
      <c r="E2106" s="7" t="inlineStr">
        <is>
          <t>West</t>
        </is>
      </c>
      <c r="F2106" s="7" t="inlineStr">
        <is>
          <t>Furniture</t>
        </is>
      </c>
      <c r="G2106" s="7" t="inlineStr">
        <is>
          <t>Sofa</t>
        </is>
      </c>
      <c r="H2106" s="7" t="inlineStr">
        <is>
          <t>Consumer</t>
        </is>
      </c>
      <c r="I2106" s="7" t="n">
        <v>4</v>
      </c>
      <c r="J2106" s="10" t="n">
        <v>716.78</v>
      </c>
      <c r="K2106" s="11" t="n">
        <v>0</v>
      </c>
      <c r="L2106" s="10">
        <f>I2106*J2106*(1-K2106)</f>
        <v/>
      </c>
      <c r="M2106" s="10" t="n">
        <v>2464</v>
      </c>
      <c r="N2106" s="10">
        <f>L2106-M2106</f>
        <v/>
      </c>
    </row>
    <row r="2107">
      <c r="A2107" s="7" t="inlineStr">
        <is>
          <t>ORD-01295</t>
        </is>
      </c>
      <c r="B2107" s="8" t="n">
        <v>45388</v>
      </c>
      <c r="C2107" s="9" t="n">
        <v>45383</v>
      </c>
      <c r="D2107" s="7" t="n">
        <v>2024</v>
      </c>
      <c r="E2107" s="7" t="inlineStr">
        <is>
          <t>South</t>
        </is>
      </c>
      <c r="F2107" s="7" t="inlineStr">
        <is>
          <t>Technology</t>
        </is>
      </c>
      <c r="G2107" s="7" t="inlineStr">
        <is>
          <t>Headphones</t>
        </is>
      </c>
      <c r="H2107" s="7" t="inlineStr">
        <is>
          <t>Consumer</t>
        </is>
      </c>
      <c r="I2107" s="7" t="n">
        <v>2</v>
      </c>
      <c r="J2107" s="10" t="n">
        <v>125.25</v>
      </c>
      <c r="K2107" s="11" t="n">
        <v>0.05</v>
      </c>
      <c r="L2107" s="10">
        <f>I2107*J2107*(1-K2107)</f>
        <v/>
      </c>
      <c r="M2107" s="10" t="n">
        <v>144</v>
      </c>
      <c r="N2107" s="10">
        <f>L2107-M2107</f>
        <v/>
      </c>
    </row>
    <row r="2108">
      <c r="A2108" s="7" t="inlineStr">
        <is>
          <t>ORD-03923</t>
        </is>
      </c>
      <c r="B2108" s="8" t="n">
        <v>45388</v>
      </c>
      <c r="C2108" s="9" t="n">
        <v>45383</v>
      </c>
      <c r="D2108" s="7" t="n">
        <v>2024</v>
      </c>
      <c r="E2108" s="7" t="inlineStr">
        <is>
          <t>East</t>
        </is>
      </c>
      <c r="F2108" s="7" t="inlineStr">
        <is>
          <t>Office Supplies</t>
        </is>
      </c>
      <c r="G2108" s="7" t="inlineStr">
        <is>
          <t>Pens</t>
        </is>
      </c>
      <c r="H2108" s="7" t="inlineStr">
        <is>
          <t>Consumer</t>
        </is>
      </c>
      <c r="I2108" s="7" t="n">
        <v>6</v>
      </c>
      <c r="J2108" s="10" t="n">
        <v>11.94</v>
      </c>
      <c r="K2108" s="11" t="n">
        <v>0.3</v>
      </c>
      <c r="L2108" s="10">
        <f>I2108*J2108*(1-K2108)</f>
        <v/>
      </c>
      <c r="M2108" s="10" t="n">
        <v>32.4</v>
      </c>
      <c r="N2108" s="10">
        <f>L2108-M2108</f>
        <v/>
      </c>
    </row>
    <row r="2109">
      <c r="A2109" s="7" t="inlineStr">
        <is>
          <t>ORD-03247</t>
        </is>
      </c>
      <c r="B2109" s="8" t="n">
        <v>45388</v>
      </c>
      <c r="C2109" s="9" t="n">
        <v>45383</v>
      </c>
      <c r="D2109" s="7" t="n">
        <v>2024</v>
      </c>
      <c r="E2109" s="7" t="inlineStr">
        <is>
          <t>East</t>
        </is>
      </c>
      <c r="F2109" s="7" t="inlineStr">
        <is>
          <t>Office Supplies</t>
        </is>
      </c>
      <c r="G2109" s="7" t="inlineStr">
        <is>
          <t>Stapler</t>
        </is>
      </c>
      <c r="H2109" s="7" t="inlineStr">
        <is>
          <t>Home Office</t>
        </is>
      </c>
      <c r="I2109" s="7" t="n">
        <v>7</v>
      </c>
      <c r="J2109" s="10" t="n">
        <v>15.66</v>
      </c>
      <c r="K2109" s="11" t="n">
        <v>0.05</v>
      </c>
      <c r="L2109" s="10">
        <f>I2109*J2109*(1-K2109)</f>
        <v/>
      </c>
      <c r="M2109" s="10" t="n">
        <v>52.5</v>
      </c>
      <c r="N2109" s="10">
        <f>L2109-M2109</f>
        <v/>
      </c>
    </row>
    <row r="2110">
      <c r="A2110" s="7" t="inlineStr">
        <is>
          <t>ORD-05534</t>
        </is>
      </c>
      <c r="B2110" s="8" t="n">
        <v>45389</v>
      </c>
      <c r="C2110" s="9" t="n">
        <v>45383</v>
      </c>
      <c r="D2110" s="7" t="n">
        <v>2024</v>
      </c>
      <c r="E2110" s="7" t="inlineStr">
        <is>
          <t>South</t>
        </is>
      </c>
      <c r="F2110" s="7" t="inlineStr">
        <is>
          <t>Office Supplies</t>
        </is>
      </c>
      <c r="G2110" s="7" t="inlineStr">
        <is>
          <t>Pens</t>
        </is>
      </c>
      <c r="H2110" s="7" t="inlineStr">
        <is>
          <t>Consumer</t>
        </is>
      </c>
      <c r="I2110" s="7" t="n">
        <v>11</v>
      </c>
      <c r="J2110" s="10" t="n">
        <v>11.53</v>
      </c>
      <c r="K2110" s="11" t="n">
        <v>0</v>
      </c>
      <c r="L2110" s="10">
        <f>I2110*J2110*(1-K2110)</f>
        <v/>
      </c>
      <c r="M2110" s="10" t="n">
        <v>59.4</v>
      </c>
      <c r="N2110" s="10">
        <f>L2110-M2110</f>
        <v/>
      </c>
    </row>
    <row r="2111">
      <c r="A2111" s="7" t="inlineStr">
        <is>
          <t>ORD-03362</t>
        </is>
      </c>
      <c r="B2111" s="8" t="n">
        <v>45389</v>
      </c>
      <c r="C2111" s="9" t="n">
        <v>45383</v>
      </c>
      <c r="D2111" s="7" t="n">
        <v>2024</v>
      </c>
      <c r="E2111" s="7" t="inlineStr">
        <is>
          <t>East</t>
        </is>
      </c>
      <c r="F2111" s="7" t="inlineStr">
        <is>
          <t>Office Supplies</t>
        </is>
      </c>
      <c r="G2111" s="7" t="inlineStr">
        <is>
          <t>Pens</t>
        </is>
      </c>
      <c r="H2111" s="7" t="inlineStr">
        <is>
          <t>Consumer</t>
        </is>
      </c>
      <c r="I2111" s="7" t="n">
        <v>6</v>
      </c>
      <c r="J2111" s="10" t="n">
        <v>12.57</v>
      </c>
      <c r="K2111" s="11" t="n">
        <v>0</v>
      </c>
      <c r="L2111" s="10">
        <f>I2111*J2111*(1-K2111)</f>
        <v/>
      </c>
      <c r="M2111" s="10" t="n">
        <v>32.4</v>
      </c>
      <c r="N2111" s="10">
        <f>L2111-M2111</f>
        <v/>
      </c>
    </row>
    <row r="2112">
      <c r="A2112" s="7" t="inlineStr">
        <is>
          <t>ORD-00796</t>
        </is>
      </c>
      <c r="B2112" s="8" t="n">
        <v>45389</v>
      </c>
      <c r="C2112" s="9" t="n">
        <v>45383</v>
      </c>
      <c r="D2112" s="7" t="n">
        <v>2024</v>
      </c>
      <c r="E2112" s="7" t="inlineStr">
        <is>
          <t>East</t>
        </is>
      </c>
      <c r="F2112" s="7" t="inlineStr">
        <is>
          <t>Office Supplies</t>
        </is>
      </c>
      <c r="G2112" s="7" t="inlineStr">
        <is>
          <t>Stapler</t>
        </is>
      </c>
      <c r="H2112" s="7" t="inlineStr">
        <is>
          <t>Corporate</t>
        </is>
      </c>
      <c r="I2112" s="7" t="n">
        <v>2</v>
      </c>
      <c r="J2112" s="10" t="n">
        <v>15.28</v>
      </c>
      <c r="K2112" s="11" t="n">
        <v>0.2</v>
      </c>
      <c r="L2112" s="10">
        <f>I2112*J2112*(1-K2112)</f>
        <v/>
      </c>
      <c r="M2112" s="10" t="n">
        <v>15</v>
      </c>
      <c r="N2112" s="10">
        <f>L2112-M2112</f>
        <v/>
      </c>
    </row>
    <row r="2113">
      <c r="A2113" s="7" t="inlineStr">
        <is>
          <t>ORD-04710</t>
        </is>
      </c>
      <c r="B2113" s="8" t="n">
        <v>45389</v>
      </c>
      <c r="C2113" s="9" t="n">
        <v>45383</v>
      </c>
      <c r="D2113" s="7" t="n">
        <v>2024</v>
      </c>
      <c r="E2113" s="7" t="inlineStr">
        <is>
          <t>South</t>
        </is>
      </c>
      <c r="F2113" s="7" t="inlineStr">
        <is>
          <t>Technology</t>
        </is>
      </c>
      <c r="G2113" s="7" t="inlineStr">
        <is>
          <t>Keyboard</t>
        </is>
      </c>
      <c r="H2113" s="7" t="inlineStr">
        <is>
          <t>Corporate</t>
        </is>
      </c>
      <c r="I2113" s="7" t="n">
        <v>2</v>
      </c>
      <c r="J2113" s="10" t="n">
        <v>46.65</v>
      </c>
      <c r="K2113" s="11" t="n">
        <v>0</v>
      </c>
      <c r="L2113" s="10">
        <f>I2113*J2113*(1-K2113)</f>
        <v/>
      </c>
      <c r="M2113" s="10" t="n">
        <v>49.5</v>
      </c>
      <c r="N2113" s="10">
        <f>L2113-M2113</f>
        <v/>
      </c>
    </row>
    <row r="2114">
      <c r="A2114" s="7" t="inlineStr">
        <is>
          <t>ORD-01779</t>
        </is>
      </c>
      <c r="B2114" s="8" t="n">
        <v>45389</v>
      </c>
      <c r="C2114" s="9" t="n">
        <v>45383</v>
      </c>
      <c r="D2114" s="7" t="n">
        <v>2024</v>
      </c>
      <c r="E2114" s="7" t="inlineStr">
        <is>
          <t>West</t>
        </is>
      </c>
      <c r="F2114" s="7" t="inlineStr">
        <is>
          <t>Technology</t>
        </is>
      </c>
      <c r="G2114" s="7" t="inlineStr">
        <is>
          <t>Smartphone</t>
        </is>
      </c>
      <c r="H2114" s="7" t="inlineStr">
        <is>
          <t>Consumer</t>
        </is>
      </c>
      <c r="I2114" s="7" t="n">
        <v>3</v>
      </c>
      <c r="J2114" s="10" t="n">
        <v>593.99</v>
      </c>
      <c r="K2114" s="11" t="n">
        <v>0</v>
      </c>
      <c r="L2114" s="10">
        <f>I2114*J2114*(1-K2114)</f>
        <v/>
      </c>
      <c r="M2114" s="10" t="n">
        <v>1350</v>
      </c>
      <c r="N2114" s="10">
        <f>L2114-M2114</f>
        <v/>
      </c>
    </row>
    <row r="2115">
      <c r="A2115" s="7" t="inlineStr">
        <is>
          <t>ORD-00618</t>
        </is>
      </c>
      <c r="B2115" s="8" t="n">
        <v>45389</v>
      </c>
      <c r="C2115" s="9" t="n">
        <v>45383</v>
      </c>
      <c r="D2115" s="7" t="n">
        <v>2024</v>
      </c>
      <c r="E2115" s="7" t="inlineStr">
        <is>
          <t>North</t>
        </is>
      </c>
      <c r="F2115" s="7" t="inlineStr">
        <is>
          <t>Office Supplies</t>
        </is>
      </c>
      <c r="G2115" s="7" t="inlineStr">
        <is>
          <t>Paper</t>
        </is>
      </c>
      <c r="H2115" s="7" t="inlineStr">
        <is>
          <t>Consumer</t>
        </is>
      </c>
      <c r="I2115" s="7" t="n">
        <v>14</v>
      </c>
      <c r="J2115" s="10" t="n">
        <v>24.18</v>
      </c>
      <c r="K2115" s="11" t="n">
        <v>0</v>
      </c>
      <c r="L2115" s="10">
        <f>I2115*J2115*(1-K2115)</f>
        <v/>
      </c>
      <c r="M2115" s="10" t="n">
        <v>175</v>
      </c>
      <c r="N2115" s="10">
        <f>L2115-M2115</f>
        <v/>
      </c>
    </row>
    <row r="2116">
      <c r="A2116" s="7" t="inlineStr">
        <is>
          <t>ORD-05951</t>
        </is>
      </c>
      <c r="B2116" s="8" t="n">
        <v>45390</v>
      </c>
      <c r="C2116" s="9" t="n">
        <v>45383</v>
      </c>
      <c r="D2116" s="7" t="n">
        <v>2024</v>
      </c>
      <c r="E2116" s="7" t="inlineStr">
        <is>
          <t>North</t>
        </is>
      </c>
      <c r="F2116" s="7" t="inlineStr">
        <is>
          <t>Technology</t>
        </is>
      </c>
      <c r="G2116" s="7" t="inlineStr">
        <is>
          <t>Laptop</t>
        </is>
      </c>
      <c r="H2116" s="7" t="inlineStr">
        <is>
          <t>Home Office</t>
        </is>
      </c>
      <c r="I2116" s="7" t="n">
        <v>3</v>
      </c>
      <c r="J2116" s="10" t="n">
        <v>904.53</v>
      </c>
      <c r="K2116" s="11" t="n">
        <v>0</v>
      </c>
      <c r="L2116" s="10">
        <f>I2116*J2116*(1-K2116)</f>
        <v/>
      </c>
      <c r="M2116" s="10" t="n">
        <v>2106</v>
      </c>
      <c r="N2116" s="10">
        <f>L2116-M2116</f>
        <v/>
      </c>
    </row>
    <row r="2117">
      <c r="A2117" s="7" t="inlineStr">
        <is>
          <t>ORD-00134</t>
        </is>
      </c>
      <c r="B2117" s="8" t="n">
        <v>45390</v>
      </c>
      <c r="C2117" s="9" t="n">
        <v>45383</v>
      </c>
      <c r="D2117" s="7" t="n">
        <v>2024</v>
      </c>
      <c r="E2117" s="7" t="inlineStr">
        <is>
          <t>West</t>
        </is>
      </c>
      <c r="F2117" s="7" t="inlineStr">
        <is>
          <t>Furniture</t>
        </is>
      </c>
      <c r="G2117" s="7" t="inlineStr">
        <is>
          <t>Desk</t>
        </is>
      </c>
      <c r="H2117" s="7" t="inlineStr">
        <is>
          <t>Home Office</t>
        </is>
      </c>
      <c r="I2117" s="7" t="n">
        <v>3</v>
      </c>
      <c r="J2117" s="10" t="n">
        <v>466</v>
      </c>
      <c r="K2117" s="11" t="n">
        <v>0.1</v>
      </c>
      <c r="L2117" s="10">
        <f>I2117*J2117*(1-K2117)</f>
        <v/>
      </c>
      <c r="M2117" s="10" t="n">
        <v>1147.5</v>
      </c>
      <c r="N2117" s="10">
        <f>L2117-M2117</f>
        <v/>
      </c>
    </row>
    <row r="2118">
      <c r="A2118" s="7" t="inlineStr">
        <is>
          <t>ORD-05313</t>
        </is>
      </c>
      <c r="B2118" s="8" t="n">
        <v>45390</v>
      </c>
      <c r="C2118" s="9" t="n">
        <v>45383</v>
      </c>
      <c r="D2118" s="7" t="n">
        <v>2024</v>
      </c>
      <c r="E2118" s="7" t="inlineStr">
        <is>
          <t>East</t>
        </is>
      </c>
      <c r="F2118" s="7" t="inlineStr">
        <is>
          <t>Technology</t>
        </is>
      </c>
      <c r="G2118" s="7" t="inlineStr">
        <is>
          <t>Headphones</t>
        </is>
      </c>
      <c r="H2118" s="7" t="inlineStr">
        <is>
          <t>Consumer</t>
        </is>
      </c>
      <c r="I2118" s="7" t="n">
        <v>3</v>
      </c>
      <c r="J2118" s="10" t="n">
        <v>122.41</v>
      </c>
      <c r="K2118" s="11" t="n">
        <v>0</v>
      </c>
      <c r="L2118" s="10">
        <f>I2118*J2118*(1-K2118)</f>
        <v/>
      </c>
      <c r="M2118" s="10" t="n">
        <v>216</v>
      </c>
      <c r="N2118" s="10">
        <f>L2118-M2118</f>
        <v/>
      </c>
    </row>
    <row r="2119">
      <c r="A2119" s="7" t="inlineStr">
        <is>
          <t>ORD-04686</t>
        </is>
      </c>
      <c r="B2119" s="8" t="n">
        <v>45391</v>
      </c>
      <c r="C2119" s="9" t="n">
        <v>45383</v>
      </c>
      <c r="D2119" s="7" t="n">
        <v>2024</v>
      </c>
      <c r="E2119" s="7" t="inlineStr">
        <is>
          <t>East</t>
        </is>
      </c>
      <c r="F2119" s="7" t="inlineStr">
        <is>
          <t>Office Supplies</t>
        </is>
      </c>
      <c r="G2119" s="7" t="inlineStr">
        <is>
          <t>Printer Ink</t>
        </is>
      </c>
      <c r="H2119" s="7" t="inlineStr">
        <is>
          <t>Corporate</t>
        </is>
      </c>
      <c r="I2119" s="7" t="n">
        <v>6</v>
      </c>
      <c r="J2119" s="10" t="n">
        <v>57.46</v>
      </c>
      <c r="K2119" s="11" t="n">
        <v>0.05</v>
      </c>
      <c r="L2119" s="10">
        <f>I2119*J2119*(1-K2119)</f>
        <v/>
      </c>
      <c r="M2119" s="10" t="n">
        <v>216</v>
      </c>
      <c r="N2119" s="10">
        <f>L2119-M2119</f>
        <v/>
      </c>
    </row>
    <row r="2120">
      <c r="A2120" s="7" t="inlineStr">
        <is>
          <t>ORD-01727</t>
        </is>
      </c>
      <c r="B2120" s="8" t="n">
        <v>45391</v>
      </c>
      <c r="C2120" s="9" t="n">
        <v>45383</v>
      </c>
      <c r="D2120" s="7" t="n">
        <v>2024</v>
      </c>
      <c r="E2120" s="7" t="inlineStr">
        <is>
          <t>West</t>
        </is>
      </c>
      <c r="F2120" s="7" t="inlineStr">
        <is>
          <t>Office Supplies</t>
        </is>
      </c>
      <c r="G2120" s="7" t="inlineStr">
        <is>
          <t>Binder</t>
        </is>
      </c>
      <c r="H2120" s="7" t="inlineStr">
        <is>
          <t>Consumer</t>
        </is>
      </c>
      <c r="I2120" s="7" t="n">
        <v>10</v>
      </c>
      <c r="J2120" s="10" t="n">
        <v>7.91</v>
      </c>
      <c r="K2120" s="11" t="n">
        <v>0</v>
      </c>
      <c r="L2120" s="10">
        <f>I2120*J2120*(1-K2120)</f>
        <v/>
      </c>
      <c r="M2120" s="10" t="n">
        <v>32</v>
      </c>
      <c r="N2120" s="10">
        <f>L2120-M2120</f>
        <v/>
      </c>
    </row>
    <row r="2121">
      <c r="A2121" s="7" t="inlineStr">
        <is>
          <t>ORD-00656</t>
        </is>
      </c>
      <c r="B2121" s="8" t="n">
        <v>45391</v>
      </c>
      <c r="C2121" s="9" t="n">
        <v>45383</v>
      </c>
      <c r="D2121" s="7" t="n">
        <v>2024</v>
      </c>
      <c r="E2121" s="7" t="inlineStr">
        <is>
          <t>East</t>
        </is>
      </c>
      <c r="F2121" s="7" t="inlineStr">
        <is>
          <t>Office Supplies</t>
        </is>
      </c>
      <c r="G2121" s="7" t="inlineStr">
        <is>
          <t>Binder</t>
        </is>
      </c>
      <c r="H2121" s="7" t="inlineStr">
        <is>
          <t>Consumer</t>
        </is>
      </c>
      <c r="I2121" s="7" t="n">
        <v>13</v>
      </c>
      <c r="J2121" s="10" t="n">
        <v>7.73</v>
      </c>
      <c r="K2121" s="11" t="n">
        <v>0</v>
      </c>
      <c r="L2121" s="10">
        <f>I2121*J2121*(1-K2121)</f>
        <v/>
      </c>
      <c r="M2121" s="10" t="n">
        <v>41.6</v>
      </c>
      <c r="N2121" s="10">
        <f>L2121-M2121</f>
        <v/>
      </c>
    </row>
    <row r="2122">
      <c r="A2122" s="7" t="inlineStr">
        <is>
          <t>ORD-03687</t>
        </is>
      </c>
      <c r="B2122" s="8" t="n">
        <v>45391</v>
      </c>
      <c r="C2122" s="9" t="n">
        <v>45383</v>
      </c>
      <c r="D2122" s="7" t="n">
        <v>2024</v>
      </c>
      <c r="E2122" s="7" t="inlineStr">
        <is>
          <t>North</t>
        </is>
      </c>
      <c r="F2122" s="7" t="inlineStr">
        <is>
          <t>Office Supplies</t>
        </is>
      </c>
      <c r="G2122" s="7" t="inlineStr">
        <is>
          <t>Pens</t>
        </is>
      </c>
      <c r="H2122" s="7" t="inlineStr">
        <is>
          <t>Home Office</t>
        </is>
      </c>
      <c r="I2122" s="7" t="n">
        <v>12</v>
      </c>
      <c r="J2122" s="10" t="n">
        <v>11.71</v>
      </c>
      <c r="K2122" s="11" t="n">
        <v>0</v>
      </c>
      <c r="L2122" s="10">
        <f>I2122*J2122*(1-K2122)</f>
        <v/>
      </c>
      <c r="M2122" s="10" t="n">
        <v>64.8</v>
      </c>
      <c r="N2122" s="10">
        <f>L2122-M2122</f>
        <v/>
      </c>
    </row>
    <row r="2123">
      <c r="A2123" s="7" t="inlineStr">
        <is>
          <t>ORD-01499</t>
        </is>
      </c>
      <c r="B2123" s="8" t="n">
        <v>45391</v>
      </c>
      <c r="C2123" s="9" t="n">
        <v>45383</v>
      </c>
      <c r="D2123" s="7" t="n">
        <v>2024</v>
      </c>
      <c r="E2123" s="7" t="inlineStr">
        <is>
          <t>South</t>
        </is>
      </c>
      <c r="F2123" s="7" t="inlineStr">
        <is>
          <t>Technology</t>
        </is>
      </c>
      <c r="G2123" s="7" t="inlineStr">
        <is>
          <t>Keyboard</t>
        </is>
      </c>
      <c r="H2123" s="7" t="inlineStr">
        <is>
          <t>Consumer</t>
        </is>
      </c>
      <c r="I2123" s="7" t="n">
        <v>3</v>
      </c>
      <c r="J2123" s="10" t="n">
        <v>42.98</v>
      </c>
      <c r="K2123" s="11" t="n">
        <v>0</v>
      </c>
      <c r="L2123" s="10">
        <f>I2123*J2123*(1-K2123)</f>
        <v/>
      </c>
      <c r="M2123" s="10" t="n">
        <v>74.25</v>
      </c>
      <c r="N2123" s="10">
        <f>L2123-M2123</f>
        <v/>
      </c>
    </row>
    <row r="2124">
      <c r="A2124" s="7" t="inlineStr">
        <is>
          <t>ORD-01455</t>
        </is>
      </c>
      <c r="B2124" s="8" t="n">
        <v>45391</v>
      </c>
      <c r="C2124" s="9" t="n">
        <v>45383</v>
      </c>
      <c r="D2124" s="7" t="n">
        <v>2024</v>
      </c>
      <c r="E2124" s="7" t="inlineStr">
        <is>
          <t>North</t>
        </is>
      </c>
      <c r="F2124" s="7" t="inlineStr">
        <is>
          <t>Office Supplies</t>
        </is>
      </c>
      <c r="G2124" s="7" t="inlineStr">
        <is>
          <t>Paper</t>
        </is>
      </c>
      <c r="H2124" s="7" t="inlineStr">
        <is>
          <t>Consumer</t>
        </is>
      </c>
      <c r="I2124" s="7" t="n">
        <v>10</v>
      </c>
      <c r="J2124" s="10" t="n">
        <v>24.13</v>
      </c>
      <c r="K2124" s="11" t="n">
        <v>0</v>
      </c>
      <c r="L2124" s="10">
        <f>I2124*J2124*(1-K2124)</f>
        <v/>
      </c>
      <c r="M2124" s="10" t="n">
        <v>125</v>
      </c>
      <c r="N2124" s="10">
        <f>L2124-M2124</f>
        <v/>
      </c>
    </row>
    <row r="2125">
      <c r="A2125" s="7" t="inlineStr">
        <is>
          <t>ORD-03789</t>
        </is>
      </c>
      <c r="B2125" s="8" t="n">
        <v>45392</v>
      </c>
      <c r="C2125" s="9" t="n">
        <v>45383</v>
      </c>
      <c r="D2125" s="7" t="n">
        <v>2024</v>
      </c>
      <c r="E2125" s="7" t="inlineStr">
        <is>
          <t>West</t>
        </is>
      </c>
      <c r="F2125" s="7" t="inlineStr">
        <is>
          <t>Office Supplies</t>
        </is>
      </c>
      <c r="G2125" s="7" t="inlineStr">
        <is>
          <t>Pens</t>
        </is>
      </c>
      <c r="H2125" s="7" t="inlineStr">
        <is>
          <t>Consumer</t>
        </is>
      </c>
      <c r="I2125" s="7" t="n">
        <v>4</v>
      </c>
      <c r="J2125" s="10" t="n">
        <v>12.4</v>
      </c>
      <c r="K2125" s="11" t="n">
        <v>0.2</v>
      </c>
      <c r="L2125" s="10">
        <f>I2125*J2125*(1-K2125)</f>
        <v/>
      </c>
      <c r="M2125" s="10" t="n">
        <v>21.6</v>
      </c>
      <c r="N2125" s="10">
        <f>L2125-M2125</f>
        <v/>
      </c>
    </row>
    <row r="2126">
      <c r="A2126" s="7" t="inlineStr">
        <is>
          <t>ORD-02088</t>
        </is>
      </c>
      <c r="B2126" s="8" t="n">
        <v>45392</v>
      </c>
      <c r="C2126" s="9" t="n">
        <v>45383</v>
      </c>
      <c r="D2126" s="7" t="n">
        <v>2024</v>
      </c>
      <c r="E2126" s="7" t="inlineStr">
        <is>
          <t>West</t>
        </is>
      </c>
      <c r="F2126" s="7" t="inlineStr">
        <is>
          <t>Technology</t>
        </is>
      </c>
      <c r="G2126" s="7" t="inlineStr">
        <is>
          <t>Headphones</t>
        </is>
      </c>
      <c r="H2126" s="7" t="inlineStr">
        <is>
          <t>Consumer</t>
        </is>
      </c>
      <c r="I2126" s="7" t="n">
        <v>2</v>
      </c>
      <c r="J2126" s="10" t="n">
        <v>123.91</v>
      </c>
      <c r="K2126" s="11" t="n">
        <v>0</v>
      </c>
      <c r="L2126" s="10">
        <f>I2126*J2126*(1-K2126)</f>
        <v/>
      </c>
      <c r="M2126" s="10" t="n">
        <v>144</v>
      </c>
      <c r="N2126" s="10">
        <f>L2126-M2126</f>
        <v/>
      </c>
    </row>
    <row r="2127">
      <c r="A2127" s="7" t="inlineStr">
        <is>
          <t>ORD-05079</t>
        </is>
      </c>
      <c r="B2127" s="8" t="n">
        <v>45393</v>
      </c>
      <c r="C2127" s="9" t="n">
        <v>45383</v>
      </c>
      <c r="D2127" s="7" t="n">
        <v>2024</v>
      </c>
      <c r="E2127" s="7" t="inlineStr">
        <is>
          <t>West</t>
        </is>
      </c>
      <c r="F2127" s="7" t="inlineStr">
        <is>
          <t>Office Supplies</t>
        </is>
      </c>
      <c r="G2127" s="7" t="inlineStr">
        <is>
          <t>Paper</t>
        </is>
      </c>
      <c r="H2127" s="7" t="inlineStr">
        <is>
          <t>Home Office</t>
        </is>
      </c>
      <c r="I2127" s="7" t="n">
        <v>8</v>
      </c>
      <c r="J2127" s="10" t="n">
        <v>25.83</v>
      </c>
      <c r="K2127" s="11" t="n">
        <v>0.05</v>
      </c>
      <c r="L2127" s="10">
        <f>I2127*J2127*(1-K2127)</f>
        <v/>
      </c>
      <c r="M2127" s="10" t="n">
        <v>100</v>
      </c>
      <c r="N2127" s="10">
        <f>L2127-M2127</f>
        <v/>
      </c>
    </row>
    <row r="2128">
      <c r="A2128" s="7" t="inlineStr">
        <is>
          <t>ORD-01755</t>
        </is>
      </c>
      <c r="B2128" s="8" t="n">
        <v>45393</v>
      </c>
      <c r="C2128" s="9" t="n">
        <v>45383</v>
      </c>
      <c r="D2128" s="7" t="n">
        <v>2024</v>
      </c>
      <c r="E2128" s="7" t="inlineStr">
        <is>
          <t>East</t>
        </is>
      </c>
      <c r="F2128" s="7" t="inlineStr">
        <is>
          <t>Furniture</t>
        </is>
      </c>
      <c r="G2128" s="7" t="inlineStr">
        <is>
          <t>Sofa</t>
        </is>
      </c>
      <c r="H2128" s="7" t="inlineStr">
        <is>
          <t>Consumer</t>
        </is>
      </c>
      <c r="I2128" s="7" t="n">
        <v>2</v>
      </c>
      <c r="J2128" s="10" t="n">
        <v>728.39</v>
      </c>
      <c r="K2128" s="11" t="n">
        <v>0.3</v>
      </c>
      <c r="L2128" s="10">
        <f>I2128*J2128*(1-K2128)</f>
        <v/>
      </c>
      <c r="M2128" s="10" t="n">
        <v>1232</v>
      </c>
      <c r="N2128" s="10">
        <f>L2128-M2128</f>
        <v/>
      </c>
    </row>
    <row r="2129">
      <c r="A2129" s="7" t="inlineStr">
        <is>
          <t>ORD-03647</t>
        </is>
      </c>
      <c r="B2129" s="8" t="n">
        <v>45393</v>
      </c>
      <c r="C2129" s="9" t="n">
        <v>45383</v>
      </c>
      <c r="D2129" s="7" t="n">
        <v>2024</v>
      </c>
      <c r="E2129" s="7" t="inlineStr">
        <is>
          <t>East</t>
        </is>
      </c>
      <c r="F2129" s="7" t="inlineStr">
        <is>
          <t>Office Supplies</t>
        </is>
      </c>
      <c r="G2129" s="7" t="inlineStr">
        <is>
          <t>Pens</t>
        </is>
      </c>
      <c r="H2129" s="7" t="inlineStr">
        <is>
          <t>Corporate</t>
        </is>
      </c>
      <c r="I2129" s="7" t="n">
        <v>2</v>
      </c>
      <c r="J2129" s="10" t="n">
        <v>11.45</v>
      </c>
      <c r="K2129" s="11" t="n">
        <v>0.3</v>
      </c>
      <c r="L2129" s="10">
        <f>I2129*J2129*(1-K2129)</f>
        <v/>
      </c>
      <c r="M2129" s="10" t="n">
        <v>10.8</v>
      </c>
      <c r="N2129" s="10">
        <f>L2129-M2129</f>
        <v/>
      </c>
    </row>
    <row r="2130">
      <c r="A2130" s="7" t="inlineStr">
        <is>
          <t>ORD-05483</t>
        </is>
      </c>
      <c r="B2130" s="8" t="n">
        <v>45394</v>
      </c>
      <c r="C2130" s="9" t="n">
        <v>45383</v>
      </c>
      <c r="D2130" s="7" t="n">
        <v>2024</v>
      </c>
      <c r="E2130" s="7" t="inlineStr">
        <is>
          <t>West</t>
        </is>
      </c>
      <c r="F2130" s="7" t="inlineStr">
        <is>
          <t>Office Supplies</t>
        </is>
      </c>
      <c r="G2130" s="7" t="inlineStr">
        <is>
          <t>Stapler</t>
        </is>
      </c>
      <c r="H2130" s="7" t="inlineStr">
        <is>
          <t>Consumer</t>
        </is>
      </c>
      <c r="I2130" s="7" t="n">
        <v>8</v>
      </c>
      <c r="J2130" s="10" t="n">
        <v>14.41</v>
      </c>
      <c r="K2130" s="11" t="n">
        <v>0.2</v>
      </c>
      <c r="L2130" s="10">
        <f>I2130*J2130*(1-K2130)</f>
        <v/>
      </c>
      <c r="M2130" s="10" t="n">
        <v>60</v>
      </c>
      <c r="N2130" s="10">
        <f>L2130-M2130</f>
        <v/>
      </c>
    </row>
    <row r="2131">
      <c r="A2131" s="7" t="inlineStr">
        <is>
          <t>ORD-04304</t>
        </is>
      </c>
      <c r="B2131" s="8" t="n">
        <v>45394</v>
      </c>
      <c r="C2131" s="9" t="n">
        <v>45383</v>
      </c>
      <c r="D2131" s="7" t="n">
        <v>2024</v>
      </c>
      <c r="E2131" s="7" t="inlineStr">
        <is>
          <t>East</t>
        </is>
      </c>
      <c r="F2131" s="7" t="inlineStr">
        <is>
          <t>Office Supplies</t>
        </is>
      </c>
      <c r="G2131" s="7" t="inlineStr">
        <is>
          <t>Paper</t>
        </is>
      </c>
      <c r="H2131" s="7" t="inlineStr">
        <is>
          <t>Consumer</t>
        </is>
      </c>
      <c r="I2131" s="7" t="n">
        <v>5</v>
      </c>
      <c r="J2131" s="10" t="n">
        <v>24.26</v>
      </c>
      <c r="K2131" s="11" t="n">
        <v>0</v>
      </c>
      <c r="L2131" s="10">
        <f>I2131*J2131*(1-K2131)</f>
        <v/>
      </c>
      <c r="M2131" s="10" t="n">
        <v>62.5</v>
      </c>
      <c r="N2131" s="10">
        <f>L2131-M2131</f>
        <v/>
      </c>
    </row>
    <row r="2132">
      <c r="A2132" s="7" t="inlineStr">
        <is>
          <t>ORD-05819</t>
        </is>
      </c>
      <c r="B2132" s="8" t="n">
        <v>45394</v>
      </c>
      <c r="C2132" s="9" t="n">
        <v>45383</v>
      </c>
      <c r="D2132" s="7" t="n">
        <v>2024</v>
      </c>
      <c r="E2132" s="7" t="inlineStr">
        <is>
          <t>West</t>
        </is>
      </c>
      <c r="F2132" s="7" t="inlineStr">
        <is>
          <t>Office Supplies</t>
        </is>
      </c>
      <c r="G2132" s="7" t="inlineStr">
        <is>
          <t>Paper</t>
        </is>
      </c>
      <c r="H2132" s="7" t="inlineStr">
        <is>
          <t>Consumer</t>
        </is>
      </c>
      <c r="I2132" s="7" t="n">
        <v>11</v>
      </c>
      <c r="J2132" s="10" t="n">
        <v>26.21</v>
      </c>
      <c r="K2132" s="11" t="n">
        <v>0</v>
      </c>
      <c r="L2132" s="10">
        <f>I2132*J2132*(1-K2132)</f>
        <v/>
      </c>
      <c r="M2132" s="10" t="n">
        <v>137.5</v>
      </c>
      <c r="N2132" s="10">
        <f>L2132-M2132</f>
        <v/>
      </c>
    </row>
    <row r="2133">
      <c r="A2133" s="7" t="inlineStr">
        <is>
          <t>ORD-05553</t>
        </is>
      </c>
      <c r="B2133" s="8" t="n">
        <v>45394</v>
      </c>
      <c r="C2133" s="9" t="n">
        <v>45383</v>
      </c>
      <c r="D2133" s="7" t="n">
        <v>2024</v>
      </c>
      <c r="E2133" s="7" t="inlineStr">
        <is>
          <t>East</t>
        </is>
      </c>
      <c r="F2133" s="7" t="inlineStr">
        <is>
          <t>Technology</t>
        </is>
      </c>
      <c r="G2133" s="7" t="inlineStr">
        <is>
          <t>Monitor</t>
        </is>
      </c>
      <c r="H2133" s="7" t="inlineStr">
        <is>
          <t>Consumer</t>
        </is>
      </c>
      <c r="I2133" s="7" t="n">
        <v>3</v>
      </c>
      <c r="J2133" s="10" t="n">
        <v>249.21</v>
      </c>
      <c r="K2133" s="11" t="n">
        <v>0</v>
      </c>
      <c r="L2133" s="10">
        <f>I2133*J2133*(1-K2133)</f>
        <v/>
      </c>
      <c r="M2133" s="10" t="n">
        <v>540</v>
      </c>
      <c r="N2133" s="10">
        <f>L2133-M2133</f>
        <v/>
      </c>
    </row>
    <row r="2134">
      <c r="A2134" s="7" t="inlineStr">
        <is>
          <t>ORD-05769</t>
        </is>
      </c>
      <c r="B2134" s="8" t="n">
        <v>45395</v>
      </c>
      <c r="C2134" s="9" t="n">
        <v>45383</v>
      </c>
      <c r="D2134" s="7" t="n">
        <v>2024</v>
      </c>
      <c r="E2134" s="7" t="inlineStr">
        <is>
          <t>West</t>
        </is>
      </c>
      <c r="F2134" s="7" t="inlineStr">
        <is>
          <t>Furniture</t>
        </is>
      </c>
      <c r="G2134" s="7" t="inlineStr">
        <is>
          <t>Sofa</t>
        </is>
      </c>
      <c r="H2134" s="7" t="inlineStr">
        <is>
          <t>Consumer</t>
        </is>
      </c>
      <c r="I2134" s="7" t="n">
        <v>4</v>
      </c>
      <c r="J2134" s="10" t="n">
        <v>727.59</v>
      </c>
      <c r="K2134" s="11" t="n">
        <v>0.3</v>
      </c>
      <c r="L2134" s="10">
        <f>I2134*J2134*(1-K2134)</f>
        <v/>
      </c>
      <c r="M2134" s="10" t="n">
        <v>2464</v>
      </c>
      <c r="N2134" s="10">
        <f>L2134-M2134</f>
        <v/>
      </c>
    </row>
    <row r="2135">
      <c r="A2135" s="7" t="inlineStr">
        <is>
          <t>ORD-03336</t>
        </is>
      </c>
      <c r="B2135" s="8" t="n">
        <v>45395</v>
      </c>
      <c r="C2135" s="9" t="n">
        <v>45383</v>
      </c>
      <c r="D2135" s="7" t="n">
        <v>2024</v>
      </c>
      <c r="E2135" s="7" t="inlineStr">
        <is>
          <t>North</t>
        </is>
      </c>
      <c r="F2135" s="7" t="inlineStr">
        <is>
          <t>Office Supplies</t>
        </is>
      </c>
      <c r="G2135" s="7" t="inlineStr">
        <is>
          <t>Printer Ink</t>
        </is>
      </c>
      <c r="H2135" s="7" t="inlineStr">
        <is>
          <t>Consumer</t>
        </is>
      </c>
      <c r="I2135" s="7" t="n">
        <v>11</v>
      </c>
      <c r="J2135" s="10" t="n">
        <v>58.65</v>
      </c>
      <c r="K2135" s="11" t="n">
        <v>0.3</v>
      </c>
      <c r="L2135" s="10">
        <f>I2135*J2135*(1-K2135)</f>
        <v/>
      </c>
      <c r="M2135" s="10" t="n">
        <v>396</v>
      </c>
      <c r="N2135" s="10">
        <f>L2135-M2135</f>
        <v/>
      </c>
    </row>
    <row r="2136">
      <c r="A2136" s="7" t="inlineStr">
        <is>
          <t>ORD-02784</t>
        </is>
      </c>
      <c r="B2136" s="8" t="n">
        <v>45395</v>
      </c>
      <c r="C2136" s="9" t="n">
        <v>45383</v>
      </c>
      <c r="D2136" s="7" t="n">
        <v>2024</v>
      </c>
      <c r="E2136" s="7" t="inlineStr">
        <is>
          <t>West</t>
        </is>
      </c>
      <c r="F2136" s="7" t="inlineStr">
        <is>
          <t>Office Supplies</t>
        </is>
      </c>
      <c r="G2136" s="7" t="inlineStr">
        <is>
          <t>Paper</t>
        </is>
      </c>
      <c r="H2136" s="7" t="inlineStr">
        <is>
          <t>Home Office</t>
        </is>
      </c>
      <c r="I2136" s="7" t="n">
        <v>11</v>
      </c>
      <c r="J2136" s="10" t="n">
        <v>24.75</v>
      </c>
      <c r="K2136" s="11" t="n">
        <v>0</v>
      </c>
      <c r="L2136" s="10">
        <f>I2136*J2136*(1-K2136)</f>
        <v/>
      </c>
      <c r="M2136" s="10" t="n">
        <v>137.5</v>
      </c>
      <c r="N2136" s="10">
        <f>L2136-M2136</f>
        <v/>
      </c>
    </row>
    <row r="2137">
      <c r="A2137" s="7" t="inlineStr">
        <is>
          <t>ORD-03211</t>
        </is>
      </c>
      <c r="B2137" s="8" t="n">
        <v>45395</v>
      </c>
      <c r="C2137" s="9" t="n">
        <v>45383</v>
      </c>
      <c r="D2137" s="7" t="n">
        <v>2024</v>
      </c>
      <c r="E2137" s="7" t="inlineStr">
        <is>
          <t>North</t>
        </is>
      </c>
      <c r="F2137" s="7" t="inlineStr">
        <is>
          <t>Office Supplies</t>
        </is>
      </c>
      <c r="G2137" s="7" t="inlineStr">
        <is>
          <t>Binder</t>
        </is>
      </c>
      <c r="H2137" s="7" t="inlineStr">
        <is>
          <t>Corporate</t>
        </is>
      </c>
      <c r="I2137" s="7" t="n">
        <v>5</v>
      </c>
      <c r="J2137" s="10" t="n">
        <v>7.65</v>
      </c>
      <c r="K2137" s="11" t="n">
        <v>0.05</v>
      </c>
      <c r="L2137" s="10">
        <f>I2137*J2137*(1-K2137)</f>
        <v/>
      </c>
      <c r="M2137" s="10" t="n">
        <v>16</v>
      </c>
      <c r="N2137" s="10">
        <f>L2137-M2137</f>
        <v/>
      </c>
    </row>
    <row r="2138">
      <c r="A2138" s="7" t="inlineStr">
        <is>
          <t>ORD-02610</t>
        </is>
      </c>
      <c r="B2138" s="8" t="n">
        <v>45395</v>
      </c>
      <c r="C2138" s="9" t="n">
        <v>45383</v>
      </c>
      <c r="D2138" s="7" t="n">
        <v>2024</v>
      </c>
      <c r="E2138" s="7" t="inlineStr">
        <is>
          <t>West</t>
        </is>
      </c>
      <c r="F2138" s="7" t="inlineStr">
        <is>
          <t>Office Supplies</t>
        </is>
      </c>
      <c r="G2138" s="7" t="inlineStr">
        <is>
          <t>Stapler</t>
        </is>
      </c>
      <c r="H2138" s="7" t="inlineStr">
        <is>
          <t>Home Office</t>
        </is>
      </c>
      <c r="I2138" s="7" t="n">
        <v>3</v>
      </c>
      <c r="J2138" s="10" t="n">
        <v>15.3</v>
      </c>
      <c r="K2138" s="11" t="n">
        <v>0</v>
      </c>
      <c r="L2138" s="10">
        <f>I2138*J2138*(1-K2138)</f>
        <v/>
      </c>
      <c r="M2138" s="10" t="n">
        <v>22.5</v>
      </c>
      <c r="N2138" s="10">
        <f>L2138-M2138</f>
        <v/>
      </c>
    </row>
    <row r="2139">
      <c r="A2139" s="7" t="inlineStr">
        <is>
          <t>ORD-01703</t>
        </is>
      </c>
      <c r="B2139" s="8" t="n">
        <v>45396</v>
      </c>
      <c r="C2139" s="9" t="n">
        <v>45383</v>
      </c>
      <c r="D2139" s="7" t="n">
        <v>2024</v>
      </c>
      <c r="E2139" s="7" t="inlineStr">
        <is>
          <t>East</t>
        </is>
      </c>
      <c r="F2139" s="7" t="inlineStr">
        <is>
          <t>Office Supplies</t>
        </is>
      </c>
      <c r="G2139" s="7" t="inlineStr">
        <is>
          <t>Binder</t>
        </is>
      </c>
      <c r="H2139" s="7" t="inlineStr">
        <is>
          <t>Consumer</t>
        </is>
      </c>
      <c r="I2139" s="7" t="n">
        <v>11</v>
      </c>
      <c r="J2139" s="10" t="n">
        <v>7.63</v>
      </c>
      <c r="K2139" s="11" t="n">
        <v>0</v>
      </c>
      <c r="L2139" s="10">
        <f>I2139*J2139*(1-K2139)</f>
        <v/>
      </c>
      <c r="M2139" s="10" t="n">
        <v>35.2</v>
      </c>
      <c r="N2139" s="10">
        <f>L2139-M2139</f>
        <v/>
      </c>
    </row>
    <row r="2140">
      <c r="A2140" s="7" t="inlineStr">
        <is>
          <t>ORD-01927</t>
        </is>
      </c>
      <c r="B2140" s="8" t="n">
        <v>45396</v>
      </c>
      <c r="C2140" s="9" t="n">
        <v>45383</v>
      </c>
      <c r="D2140" s="7" t="n">
        <v>2024</v>
      </c>
      <c r="E2140" s="7" t="inlineStr">
        <is>
          <t>West</t>
        </is>
      </c>
      <c r="F2140" s="7" t="inlineStr">
        <is>
          <t>Office Supplies</t>
        </is>
      </c>
      <c r="G2140" s="7" t="inlineStr">
        <is>
          <t>Binder</t>
        </is>
      </c>
      <c r="H2140" s="7" t="inlineStr">
        <is>
          <t>Consumer</t>
        </is>
      </c>
      <c r="I2140" s="7" t="n">
        <v>8</v>
      </c>
      <c r="J2140" s="10" t="n">
        <v>8.289999999999999</v>
      </c>
      <c r="K2140" s="11" t="n">
        <v>0.05</v>
      </c>
      <c r="L2140" s="10">
        <f>I2140*J2140*(1-K2140)</f>
        <v/>
      </c>
      <c r="M2140" s="10" t="n">
        <v>25.6</v>
      </c>
      <c r="N2140" s="10">
        <f>L2140-M2140</f>
        <v/>
      </c>
    </row>
    <row r="2141">
      <c r="A2141" s="7" t="inlineStr">
        <is>
          <t>ORD-02175</t>
        </is>
      </c>
      <c r="B2141" s="8" t="n">
        <v>45396</v>
      </c>
      <c r="C2141" s="9" t="n">
        <v>45383</v>
      </c>
      <c r="D2141" s="7" t="n">
        <v>2024</v>
      </c>
      <c r="E2141" s="7" t="inlineStr">
        <is>
          <t>West</t>
        </is>
      </c>
      <c r="F2141" s="7" t="inlineStr">
        <is>
          <t>Office Supplies</t>
        </is>
      </c>
      <c r="G2141" s="7" t="inlineStr">
        <is>
          <t>Paper</t>
        </is>
      </c>
      <c r="H2141" s="7" t="inlineStr">
        <is>
          <t>Consumer</t>
        </is>
      </c>
      <c r="I2141" s="7" t="n">
        <v>10</v>
      </c>
      <c r="J2141" s="10" t="n">
        <v>25.75</v>
      </c>
      <c r="K2141" s="11" t="n">
        <v>0.2</v>
      </c>
      <c r="L2141" s="10">
        <f>I2141*J2141*(1-K2141)</f>
        <v/>
      </c>
      <c r="M2141" s="10" t="n">
        <v>125</v>
      </c>
      <c r="N2141" s="10">
        <f>L2141-M2141</f>
        <v/>
      </c>
    </row>
    <row r="2142">
      <c r="A2142" s="7" t="inlineStr">
        <is>
          <t>ORD-05448</t>
        </is>
      </c>
      <c r="B2142" s="8" t="n">
        <v>45396</v>
      </c>
      <c r="C2142" s="9" t="n">
        <v>45383</v>
      </c>
      <c r="D2142" s="7" t="n">
        <v>2024</v>
      </c>
      <c r="E2142" s="7" t="inlineStr">
        <is>
          <t>West</t>
        </is>
      </c>
      <c r="F2142" s="7" t="inlineStr">
        <is>
          <t>Furniture</t>
        </is>
      </c>
      <c r="G2142" s="7" t="inlineStr">
        <is>
          <t>Sofa</t>
        </is>
      </c>
      <c r="H2142" s="7" t="inlineStr">
        <is>
          <t>Consumer</t>
        </is>
      </c>
      <c r="I2142" s="7" t="n">
        <v>1</v>
      </c>
      <c r="J2142" s="10" t="n">
        <v>733.27</v>
      </c>
      <c r="K2142" s="11" t="n">
        <v>0</v>
      </c>
      <c r="L2142" s="10">
        <f>I2142*J2142*(1-K2142)</f>
        <v/>
      </c>
      <c r="M2142" s="10" t="n">
        <v>616</v>
      </c>
      <c r="N2142" s="10">
        <f>L2142-M2142</f>
        <v/>
      </c>
    </row>
    <row r="2143">
      <c r="A2143" s="7" t="inlineStr">
        <is>
          <t>ORD-02315</t>
        </is>
      </c>
      <c r="B2143" s="8" t="n">
        <v>45396</v>
      </c>
      <c r="C2143" s="9" t="n">
        <v>45383</v>
      </c>
      <c r="D2143" s="7" t="n">
        <v>2024</v>
      </c>
      <c r="E2143" s="7" t="inlineStr">
        <is>
          <t>West</t>
        </is>
      </c>
      <c r="F2143" s="7" t="inlineStr">
        <is>
          <t>Office Supplies</t>
        </is>
      </c>
      <c r="G2143" s="7" t="inlineStr">
        <is>
          <t>Stapler</t>
        </is>
      </c>
      <c r="H2143" s="7" t="inlineStr">
        <is>
          <t>Home Office</t>
        </is>
      </c>
      <c r="I2143" s="7" t="n">
        <v>12</v>
      </c>
      <c r="J2143" s="10" t="n">
        <v>15.02</v>
      </c>
      <c r="K2143" s="11" t="n">
        <v>0.3</v>
      </c>
      <c r="L2143" s="10">
        <f>I2143*J2143*(1-K2143)</f>
        <v/>
      </c>
      <c r="M2143" s="10" t="n">
        <v>90</v>
      </c>
      <c r="N2143" s="10">
        <f>L2143-M2143</f>
        <v/>
      </c>
    </row>
    <row r="2144">
      <c r="A2144" s="7" t="inlineStr">
        <is>
          <t>ORD-01141</t>
        </is>
      </c>
      <c r="B2144" s="8" t="n">
        <v>45397</v>
      </c>
      <c r="C2144" s="9" t="n">
        <v>45383</v>
      </c>
      <c r="D2144" s="7" t="n">
        <v>2024</v>
      </c>
      <c r="E2144" s="7" t="inlineStr">
        <is>
          <t>East</t>
        </is>
      </c>
      <c r="F2144" s="7" t="inlineStr">
        <is>
          <t>Office Supplies</t>
        </is>
      </c>
      <c r="G2144" s="7" t="inlineStr">
        <is>
          <t>Binder</t>
        </is>
      </c>
      <c r="H2144" s="7" t="inlineStr">
        <is>
          <t>Corporate</t>
        </is>
      </c>
      <c r="I2144" s="7" t="n">
        <v>10</v>
      </c>
      <c r="J2144" s="10" t="n">
        <v>7.79</v>
      </c>
      <c r="K2144" s="11" t="n">
        <v>0</v>
      </c>
      <c r="L2144" s="10">
        <f>I2144*J2144*(1-K2144)</f>
        <v/>
      </c>
      <c r="M2144" s="10" t="n">
        <v>32</v>
      </c>
      <c r="N2144" s="10">
        <f>L2144-M2144</f>
        <v/>
      </c>
    </row>
    <row r="2145">
      <c r="A2145" s="7" t="inlineStr">
        <is>
          <t>ORD-03291</t>
        </is>
      </c>
      <c r="B2145" s="8" t="n">
        <v>45397</v>
      </c>
      <c r="C2145" s="9" t="n">
        <v>45383</v>
      </c>
      <c r="D2145" s="7" t="n">
        <v>2024</v>
      </c>
      <c r="E2145" s="7" t="inlineStr">
        <is>
          <t>East</t>
        </is>
      </c>
      <c r="F2145" s="7" t="inlineStr">
        <is>
          <t>Office Supplies</t>
        </is>
      </c>
      <c r="G2145" s="7" t="inlineStr">
        <is>
          <t>Printer Ink</t>
        </is>
      </c>
      <c r="H2145" s="7" t="inlineStr">
        <is>
          <t>Corporate</t>
        </is>
      </c>
      <c r="I2145" s="7" t="n">
        <v>10</v>
      </c>
      <c r="J2145" s="10" t="n">
        <v>57.3</v>
      </c>
      <c r="K2145" s="11" t="n">
        <v>0</v>
      </c>
      <c r="L2145" s="10">
        <f>I2145*J2145*(1-K2145)</f>
        <v/>
      </c>
      <c r="M2145" s="10" t="n">
        <v>360</v>
      </c>
      <c r="N2145" s="10">
        <f>L2145-M2145</f>
        <v/>
      </c>
    </row>
    <row r="2146">
      <c r="A2146" s="7" t="inlineStr">
        <is>
          <t>ORD-02798</t>
        </is>
      </c>
      <c r="B2146" s="8" t="n">
        <v>45397</v>
      </c>
      <c r="C2146" s="9" t="n">
        <v>45383</v>
      </c>
      <c r="D2146" s="7" t="n">
        <v>2024</v>
      </c>
      <c r="E2146" s="7" t="inlineStr">
        <is>
          <t>South</t>
        </is>
      </c>
      <c r="F2146" s="7" t="inlineStr">
        <is>
          <t>Technology</t>
        </is>
      </c>
      <c r="G2146" s="7" t="inlineStr">
        <is>
          <t>Headphones</t>
        </is>
      </c>
      <c r="H2146" s="7" t="inlineStr">
        <is>
          <t>Consumer</t>
        </is>
      </c>
      <c r="I2146" s="7" t="n">
        <v>2</v>
      </c>
      <c r="J2146" s="10" t="n">
        <v>124.88</v>
      </c>
      <c r="K2146" s="11" t="n">
        <v>0.05</v>
      </c>
      <c r="L2146" s="10">
        <f>I2146*J2146*(1-K2146)</f>
        <v/>
      </c>
      <c r="M2146" s="10" t="n">
        <v>144</v>
      </c>
      <c r="N2146" s="10">
        <f>L2146-M2146</f>
        <v/>
      </c>
    </row>
    <row r="2147">
      <c r="A2147" s="7" t="inlineStr">
        <is>
          <t>ORD-04999</t>
        </is>
      </c>
      <c r="B2147" s="8" t="n">
        <v>45397</v>
      </c>
      <c r="C2147" s="9" t="n">
        <v>45383</v>
      </c>
      <c r="D2147" s="7" t="n">
        <v>2024</v>
      </c>
      <c r="E2147" s="7" t="inlineStr">
        <is>
          <t>East</t>
        </is>
      </c>
      <c r="F2147" s="7" t="inlineStr">
        <is>
          <t>Office Supplies</t>
        </is>
      </c>
      <c r="G2147" s="7" t="inlineStr">
        <is>
          <t>Paper</t>
        </is>
      </c>
      <c r="H2147" s="7" t="inlineStr">
        <is>
          <t>Consumer</t>
        </is>
      </c>
      <c r="I2147" s="7" t="n">
        <v>4</v>
      </c>
      <c r="J2147" s="10" t="n">
        <v>25.7</v>
      </c>
      <c r="K2147" s="11" t="n">
        <v>0</v>
      </c>
      <c r="L2147" s="10">
        <f>I2147*J2147*(1-K2147)</f>
        <v/>
      </c>
      <c r="M2147" s="10" t="n">
        <v>50</v>
      </c>
      <c r="N2147" s="10">
        <f>L2147-M2147</f>
        <v/>
      </c>
    </row>
    <row r="2148">
      <c r="A2148" s="7" t="inlineStr">
        <is>
          <t>ORD-03153</t>
        </is>
      </c>
      <c r="B2148" s="8" t="n">
        <v>45398</v>
      </c>
      <c r="C2148" s="9" t="n">
        <v>45383</v>
      </c>
      <c r="D2148" s="7" t="n">
        <v>2024</v>
      </c>
      <c r="E2148" s="7" t="inlineStr">
        <is>
          <t>East</t>
        </is>
      </c>
      <c r="F2148" s="7" t="inlineStr">
        <is>
          <t>Office Supplies</t>
        </is>
      </c>
      <c r="G2148" s="7" t="inlineStr">
        <is>
          <t>Printer Ink</t>
        </is>
      </c>
      <c r="H2148" s="7" t="inlineStr">
        <is>
          <t>Home Office</t>
        </is>
      </c>
      <c r="I2148" s="7" t="n">
        <v>9</v>
      </c>
      <c r="J2148" s="10" t="n">
        <v>60.32</v>
      </c>
      <c r="K2148" s="11" t="n">
        <v>0</v>
      </c>
      <c r="L2148" s="10">
        <f>I2148*J2148*(1-K2148)</f>
        <v/>
      </c>
      <c r="M2148" s="10" t="n">
        <v>324</v>
      </c>
      <c r="N2148" s="10">
        <f>L2148-M2148</f>
        <v/>
      </c>
    </row>
    <row r="2149">
      <c r="A2149" s="7" t="inlineStr">
        <is>
          <t>ORD-05420</t>
        </is>
      </c>
      <c r="B2149" s="8" t="n">
        <v>45398</v>
      </c>
      <c r="C2149" s="9" t="n">
        <v>45383</v>
      </c>
      <c r="D2149" s="7" t="n">
        <v>2024</v>
      </c>
      <c r="E2149" s="7" t="inlineStr">
        <is>
          <t>North</t>
        </is>
      </c>
      <c r="F2149" s="7" t="inlineStr">
        <is>
          <t>Office Supplies</t>
        </is>
      </c>
      <c r="G2149" s="7" t="inlineStr">
        <is>
          <t>Pens</t>
        </is>
      </c>
      <c r="H2149" s="7" t="inlineStr">
        <is>
          <t>Corporate</t>
        </is>
      </c>
      <c r="I2149" s="7" t="n">
        <v>12</v>
      </c>
      <c r="J2149" s="10" t="n">
        <v>11.47</v>
      </c>
      <c r="K2149" s="11" t="n">
        <v>0.2</v>
      </c>
      <c r="L2149" s="10">
        <f>I2149*J2149*(1-K2149)</f>
        <v/>
      </c>
      <c r="M2149" s="10" t="n">
        <v>64.8</v>
      </c>
      <c r="N2149" s="10">
        <f>L2149-M2149</f>
        <v/>
      </c>
    </row>
    <row r="2150">
      <c r="A2150" s="7" t="inlineStr">
        <is>
          <t>ORD-02776</t>
        </is>
      </c>
      <c r="B2150" s="8" t="n">
        <v>45399</v>
      </c>
      <c r="C2150" s="9" t="n">
        <v>45383</v>
      </c>
      <c r="D2150" s="7" t="n">
        <v>2024</v>
      </c>
      <c r="E2150" s="7" t="inlineStr">
        <is>
          <t>West</t>
        </is>
      </c>
      <c r="F2150" s="7" t="inlineStr">
        <is>
          <t>Office Supplies</t>
        </is>
      </c>
      <c r="G2150" s="7" t="inlineStr">
        <is>
          <t>Printer Ink</t>
        </is>
      </c>
      <c r="H2150" s="7" t="inlineStr">
        <is>
          <t>Consumer</t>
        </is>
      </c>
      <c r="I2150" s="7" t="n">
        <v>13</v>
      </c>
      <c r="J2150" s="10" t="n">
        <v>60.96</v>
      </c>
      <c r="K2150" s="11" t="n">
        <v>0.05</v>
      </c>
      <c r="L2150" s="10">
        <f>I2150*J2150*(1-K2150)</f>
        <v/>
      </c>
      <c r="M2150" s="10" t="n">
        <v>468</v>
      </c>
      <c r="N2150" s="10">
        <f>L2150-M2150</f>
        <v/>
      </c>
    </row>
    <row r="2151">
      <c r="A2151" s="7" t="inlineStr">
        <is>
          <t>ORD-03217</t>
        </is>
      </c>
      <c r="B2151" s="8" t="n">
        <v>45399</v>
      </c>
      <c r="C2151" s="9" t="n">
        <v>45383</v>
      </c>
      <c r="D2151" s="7" t="n">
        <v>2024</v>
      </c>
      <c r="E2151" s="7" t="inlineStr">
        <is>
          <t>North</t>
        </is>
      </c>
      <c r="F2151" s="7" t="inlineStr">
        <is>
          <t>Technology</t>
        </is>
      </c>
      <c r="G2151" s="7" t="inlineStr">
        <is>
          <t>Keyboard</t>
        </is>
      </c>
      <c r="H2151" s="7" t="inlineStr">
        <is>
          <t>Consumer</t>
        </is>
      </c>
      <c r="I2151" s="7" t="n">
        <v>2</v>
      </c>
      <c r="J2151" s="10" t="n">
        <v>45.49</v>
      </c>
      <c r="K2151" s="11" t="n">
        <v>0.05</v>
      </c>
      <c r="L2151" s="10">
        <f>I2151*J2151*(1-K2151)</f>
        <v/>
      </c>
      <c r="M2151" s="10" t="n">
        <v>49.5</v>
      </c>
      <c r="N2151" s="10">
        <f>L2151-M2151</f>
        <v/>
      </c>
    </row>
    <row r="2152">
      <c r="A2152" s="7" t="inlineStr">
        <is>
          <t>ORD-00022</t>
        </is>
      </c>
      <c r="B2152" s="8" t="n">
        <v>45399</v>
      </c>
      <c r="C2152" s="9" t="n">
        <v>45383</v>
      </c>
      <c r="D2152" s="7" t="n">
        <v>2024</v>
      </c>
      <c r="E2152" s="7" t="inlineStr">
        <is>
          <t>North</t>
        </is>
      </c>
      <c r="F2152" s="7" t="inlineStr">
        <is>
          <t>Office Supplies</t>
        </is>
      </c>
      <c r="G2152" s="7" t="inlineStr">
        <is>
          <t>Pens</t>
        </is>
      </c>
      <c r="H2152" s="7" t="inlineStr">
        <is>
          <t>Consumer</t>
        </is>
      </c>
      <c r="I2152" s="7" t="n">
        <v>15</v>
      </c>
      <c r="J2152" s="10" t="n">
        <v>11.46</v>
      </c>
      <c r="K2152" s="11" t="n">
        <v>0.3</v>
      </c>
      <c r="L2152" s="10">
        <f>I2152*J2152*(1-K2152)</f>
        <v/>
      </c>
      <c r="M2152" s="10" t="n">
        <v>81</v>
      </c>
      <c r="N2152" s="10">
        <f>L2152-M2152</f>
        <v/>
      </c>
    </row>
    <row r="2153">
      <c r="A2153" s="7" t="inlineStr">
        <is>
          <t>ORD-03239</t>
        </is>
      </c>
      <c r="B2153" s="8" t="n">
        <v>45400</v>
      </c>
      <c r="C2153" s="9" t="n">
        <v>45383</v>
      </c>
      <c r="D2153" s="7" t="n">
        <v>2024</v>
      </c>
      <c r="E2153" s="7" t="inlineStr">
        <is>
          <t>South</t>
        </is>
      </c>
      <c r="F2153" s="7" t="inlineStr">
        <is>
          <t>Furniture</t>
        </is>
      </c>
      <c r="G2153" s="7" t="inlineStr">
        <is>
          <t>Sofa</t>
        </is>
      </c>
      <c r="H2153" s="7" t="inlineStr">
        <is>
          <t>Corporate</t>
        </is>
      </c>
      <c r="I2153" s="7" t="n">
        <v>3</v>
      </c>
      <c r="J2153" s="10" t="n">
        <v>680.86</v>
      </c>
      <c r="K2153" s="11" t="n">
        <v>0.2</v>
      </c>
      <c r="L2153" s="10">
        <f>I2153*J2153*(1-K2153)</f>
        <v/>
      </c>
      <c r="M2153" s="10" t="n">
        <v>1848</v>
      </c>
      <c r="N2153" s="10">
        <f>L2153-M2153</f>
        <v/>
      </c>
    </row>
    <row r="2154">
      <c r="A2154" s="7" t="inlineStr">
        <is>
          <t>ORD-02221</t>
        </is>
      </c>
      <c r="B2154" s="8" t="n">
        <v>45400</v>
      </c>
      <c r="C2154" s="9" t="n">
        <v>45383</v>
      </c>
      <c r="D2154" s="7" t="n">
        <v>2024</v>
      </c>
      <c r="E2154" s="7" t="inlineStr">
        <is>
          <t>West</t>
        </is>
      </c>
      <c r="F2154" s="7" t="inlineStr">
        <is>
          <t>Technology</t>
        </is>
      </c>
      <c r="G2154" s="7" t="inlineStr">
        <is>
          <t>Laptop</t>
        </is>
      </c>
      <c r="H2154" s="7" t="inlineStr">
        <is>
          <t>Consumer</t>
        </is>
      </c>
      <c r="I2154" s="7" t="n">
        <v>3</v>
      </c>
      <c r="J2154" s="10" t="n">
        <v>910.04</v>
      </c>
      <c r="K2154" s="11" t="n">
        <v>0</v>
      </c>
      <c r="L2154" s="10">
        <f>I2154*J2154*(1-K2154)</f>
        <v/>
      </c>
      <c r="M2154" s="10" t="n">
        <v>2106</v>
      </c>
      <c r="N2154" s="10">
        <f>L2154-M2154</f>
        <v/>
      </c>
    </row>
    <row r="2155">
      <c r="A2155" s="7" t="inlineStr">
        <is>
          <t>ORD-04994</t>
        </is>
      </c>
      <c r="B2155" s="8" t="n">
        <v>45400</v>
      </c>
      <c r="C2155" s="9" t="n">
        <v>45383</v>
      </c>
      <c r="D2155" s="7" t="n">
        <v>2024</v>
      </c>
      <c r="E2155" s="7" t="inlineStr">
        <is>
          <t>West</t>
        </is>
      </c>
      <c r="F2155" s="7" t="inlineStr">
        <is>
          <t>Technology</t>
        </is>
      </c>
      <c r="G2155" s="7" t="inlineStr">
        <is>
          <t>Laptop</t>
        </is>
      </c>
      <c r="H2155" s="7" t="inlineStr">
        <is>
          <t>Corporate</t>
        </is>
      </c>
      <c r="I2155" s="7" t="n">
        <v>3</v>
      </c>
      <c r="J2155" s="10" t="n">
        <v>918.8099999999999</v>
      </c>
      <c r="K2155" s="11" t="n">
        <v>0.05</v>
      </c>
      <c r="L2155" s="10">
        <f>I2155*J2155*(1-K2155)</f>
        <v/>
      </c>
      <c r="M2155" s="10" t="n">
        <v>2106</v>
      </c>
      <c r="N2155" s="10">
        <f>L2155-M2155</f>
        <v/>
      </c>
    </row>
    <row r="2156">
      <c r="A2156" s="7" t="inlineStr">
        <is>
          <t>ORD-02087</t>
        </is>
      </c>
      <c r="B2156" s="8" t="n">
        <v>45400</v>
      </c>
      <c r="C2156" s="9" t="n">
        <v>45383</v>
      </c>
      <c r="D2156" s="7" t="n">
        <v>2024</v>
      </c>
      <c r="E2156" s="7" t="inlineStr">
        <is>
          <t>North</t>
        </is>
      </c>
      <c r="F2156" s="7" t="inlineStr">
        <is>
          <t>Office Supplies</t>
        </is>
      </c>
      <c r="G2156" s="7" t="inlineStr">
        <is>
          <t>Stapler</t>
        </is>
      </c>
      <c r="H2156" s="7" t="inlineStr">
        <is>
          <t>Consumer</t>
        </is>
      </c>
      <c r="I2156" s="7" t="n">
        <v>6</v>
      </c>
      <c r="J2156" s="10" t="n">
        <v>15.13</v>
      </c>
      <c r="K2156" s="11" t="n">
        <v>0.1</v>
      </c>
      <c r="L2156" s="10">
        <f>I2156*J2156*(1-K2156)</f>
        <v/>
      </c>
      <c r="M2156" s="10" t="n">
        <v>45</v>
      </c>
      <c r="N2156" s="10">
        <f>L2156-M2156</f>
        <v/>
      </c>
    </row>
    <row r="2157">
      <c r="A2157" s="7" t="inlineStr">
        <is>
          <t>ORD-02723</t>
        </is>
      </c>
      <c r="B2157" s="8" t="n">
        <v>45400</v>
      </c>
      <c r="C2157" s="9" t="n">
        <v>45383</v>
      </c>
      <c r="D2157" s="7" t="n">
        <v>2024</v>
      </c>
      <c r="E2157" s="7" t="inlineStr">
        <is>
          <t>South</t>
        </is>
      </c>
      <c r="F2157" s="7" t="inlineStr">
        <is>
          <t>Technology</t>
        </is>
      </c>
      <c r="G2157" s="7" t="inlineStr">
        <is>
          <t>Keyboard</t>
        </is>
      </c>
      <c r="H2157" s="7" t="inlineStr">
        <is>
          <t>Corporate</t>
        </is>
      </c>
      <c r="I2157" s="7" t="n">
        <v>3</v>
      </c>
      <c r="J2157" s="10" t="n">
        <v>44.11</v>
      </c>
      <c r="K2157" s="11" t="n">
        <v>0</v>
      </c>
      <c r="L2157" s="10">
        <f>I2157*J2157*(1-K2157)</f>
        <v/>
      </c>
      <c r="M2157" s="10" t="n">
        <v>74.25</v>
      </c>
      <c r="N2157" s="10">
        <f>L2157-M2157</f>
        <v/>
      </c>
    </row>
    <row r="2158">
      <c r="A2158" s="7" t="inlineStr">
        <is>
          <t>ORD-04282</t>
        </is>
      </c>
      <c r="B2158" s="8" t="n">
        <v>45400</v>
      </c>
      <c r="C2158" s="9" t="n">
        <v>45383</v>
      </c>
      <c r="D2158" s="7" t="n">
        <v>2024</v>
      </c>
      <c r="E2158" s="7" t="inlineStr">
        <is>
          <t>North</t>
        </is>
      </c>
      <c r="F2158" s="7" t="inlineStr">
        <is>
          <t>Office Supplies</t>
        </is>
      </c>
      <c r="G2158" s="7" t="inlineStr">
        <is>
          <t>Printer Ink</t>
        </is>
      </c>
      <c r="H2158" s="7" t="inlineStr">
        <is>
          <t>Home Office</t>
        </is>
      </c>
      <c r="I2158" s="7" t="n">
        <v>4</v>
      </c>
      <c r="J2158" s="10" t="n">
        <v>62.81</v>
      </c>
      <c r="K2158" s="11" t="n">
        <v>0.1</v>
      </c>
      <c r="L2158" s="10">
        <f>I2158*J2158*(1-K2158)</f>
        <v/>
      </c>
      <c r="M2158" s="10" t="n">
        <v>144</v>
      </c>
      <c r="N2158" s="10">
        <f>L2158-M2158</f>
        <v/>
      </c>
    </row>
    <row r="2159">
      <c r="A2159" s="7" t="inlineStr">
        <is>
          <t>ORD-04032</t>
        </is>
      </c>
      <c r="B2159" s="8" t="n">
        <v>45400</v>
      </c>
      <c r="C2159" s="9" t="n">
        <v>45383</v>
      </c>
      <c r="D2159" s="7" t="n">
        <v>2024</v>
      </c>
      <c r="E2159" s="7" t="inlineStr">
        <is>
          <t>South</t>
        </is>
      </c>
      <c r="F2159" s="7" t="inlineStr">
        <is>
          <t>Furniture</t>
        </is>
      </c>
      <c r="G2159" s="7" t="inlineStr">
        <is>
          <t>Desk</t>
        </is>
      </c>
      <c r="H2159" s="7" t="inlineStr">
        <is>
          <t>Home Office</t>
        </is>
      </c>
      <c r="I2159" s="7" t="n">
        <v>3</v>
      </c>
      <c r="J2159" s="10" t="n">
        <v>471.96</v>
      </c>
      <c r="K2159" s="11" t="n">
        <v>0.3</v>
      </c>
      <c r="L2159" s="10">
        <f>I2159*J2159*(1-K2159)</f>
        <v/>
      </c>
      <c r="M2159" s="10" t="n">
        <v>1147.5</v>
      </c>
      <c r="N2159" s="10">
        <f>L2159-M2159</f>
        <v/>
      </c>
    </row>
    <row r="2160">
      <c r="A2160" s="7" t="inlineStr">
        <is>
          <t>ORD-04545</t>
        </is>
      </c>
      <c r="B2160" s="8" t="n">
        <v>45400</v>
      </c>
      <c r="C2160" s="9" t="n">
        <v>45383</v>
      </c>
      <c r="D2160" s="7" t="n">
        <v>2024</v>
      </c>
      <c r="E2160" s="7" t="inlineStr">
        <is>
          <t>West</t>
        </is>
      </c>
      <c r="F2160" s="7" t="inlineStr">
        <is>
          <t>Furniture</t>
        </is>
      </c>
      <c r="G2160" s="7" t="inlineStr">
        <is>
          <t>Office Chair</t>
        </is>
      </c>
      <c r="H2160" s="7" t="inlineStr">
        <is>
          <t>Home Office</t>
        </is>
      </c>
      <c r="I2160" s="7" t="n">
        <v>4</v>
      </c>
      <c r="J2160" s="10" t="n">
        <v>219.58</v>
      </c>
      <c r="K2160" s="11" t="n">
        <v>0</v>
      </c>
      <c r="L2160" s="10">
        <f>I2160*J2160*(1-K2160)</f>
        <v/>
      </c>
      <c r="M2160" s="10" t="n">
        <v>721.6</v>
      </c>
      <c r="N2160" s="10">
        <f>L2160-M2160</f>
        <v/>
      </c>
    </row>
    <row r="2161">
      <c r="A2161" s="7" t="inlineStr">
        <is>
          <t>ORD-03356</t>
        </is>
      </c>
      <c r="B2161" s="8" t="n">
        <v>45401</v>
      </c>
      <c r="C2161" s="9" t="n">
        <v>45383</v>
      </c>
      <c r="D2161" s="7" t="n">
        <v>2024</v>
      </c>
      <c r="E2161" s="7" t="inlineStr">
        <is>
          <t>West</t>
        </is>
      </c>
      <c r="F2161" s="7" t="inlineStr">
        <is>
          <t>Technology</t>
        </is>
      </c>
      <c r="G2161" s="7" t="inlineStr">
        <is>
          <t>Laptop</t>
        </is>
      </c>
      <c r="H2161" s="7" t="inlineStr">
        <is>
          <t>Consumer</t>
        </is>
      </c>
      <c r="I2161" s="7" t="n">
        <v>3</v>
      </c>
      <c r="J2161" s="10" t="n">
        <v>893.13</v>
      </c>
      <c r="K2161" s="11" t="n">
        <v>0.05</v>
      </c>
      <c r="L2161" s="10">
        <f>I2161*J2161*(1-K2161)</f>
        <v/>
      </c>
      <c r="M2161" s="10" t="n">
        <v>2106</v>
      </c>
      <c r="N2161" s="10">
        <f>L2161-M2161</f>
        <v/>
      </c>
    </row>
    <row r="2162">
      <c r="A2162" s="7" t="inlineStr">
        <is>
          <t>ORD-04002</t>
        </is>
      </c>
      <c r="B2162" s="8" t="n">
        <v>45402</v>
      </c>
      <c r="C2162" s="9" t="n">
        <v>45383</v>
      </c>
      <c r="D2162" s="7" t="n">
        <v>2024</v>
      </c>
      <c r="E2162" s="7" t="inlineStr">
        <is>
          <t>South</t>
        </is>
      </c>
      <c r="F2162" s="7" t="inlineStr">
        <is>
          <t>Furniture</t>
        </is>
      </c>
      <c r="G2162" s="7" t="inlineStr">
        <is>
          <t>Desk</t>
        </is>
      </c>
      <c r="H2162" s="7" t="inlineStr">
        <is>
          <t>Consumer</t>
        </is>
      </c>
      <c r="I2162" s="7" t="n">
        <v>1</v>
      </c>
      <c r="J2162" s="10" t="n">
        <v>465.57</v>
      </c>
      <c r="K2162" s="11" t="n">
        <v>0.2</v>
      </c>
      <c r="L2162" s="10">
        <f>I2162*J2162*(1-K2162)</f>
        <v/>
      </c>
      <c r="M2162" s="10" t="n">
        <v>382.5</v>
      </c>
      <c r="N2162" s="10">
        <f>L2162-M2162</f>
        <v/>
      </c>
    </row>
    <row r="2163">
      <c r="A2163" s="7" t="inlineStr">
        <is>
          <t>ORD-01245</t>
        </is>
      </c>
      <c r="B2163" s="8" t="n">
        <v>45402</v>
      </c>
      <c r="C2163" s="9" t="n">
        <v>45383</v>
      </c>
      <c r="D2163" s="7" t="n">
        <v>2024</v>
      </c>
      <c r="E2163" s="7" t="inlineStr">
        <is>
          <t>East</t>
        </is>
      </c>
      <c r="F2163" s="7" t="inlineStr">
        <is>
          <t>Office Supplies</t>
        </is>
      </c>
      <c r="G2163" s="7" t="inlineStr">
        <is>
          <t>Binder</t>
        </is>
      </c>
      <c r="H2163" s="7" t="inlineStr">
        <is>
          <t>Consumer</t>
        </is>
      </c>
      <c r="I2163" s="7" t="n">
        <v>3</v>
      </c>
      <c r="J2163" s="10" t="n">
        <v>8.24</v>
      </c>
      <c r="K2163" s="11" t="n">
        <v>0</v>
      </c>
      <c r="L2163" s="10">
        <f>I2163*J2163*(1-K2163)</f>
        <v/>
      </c>
      <c r="M2163" s="10" t="n">
        <v>9.6</v>
      </c>
      <c r="N2163" s="10">
        <f>L2163-M2163</f>
        <v/>
      </c>
    </row>
    <row r="2164">
      <c r="A2164" s="7" t="inlineStr">
        <is>
          <t>ORD-05431</t>
        </is>
      </c>
      <c r="B2164" s="8" t="n">
        <v>45402</v>
      </c>
      <c r="C2164" s="9" t="n">
        <v>45383</v>
      </c>
      <c r="D2164" s="7" t="n">
        <v>2024</v>
      </c>
      <c r="E2164" s="7" t="inlineStr">
        <is>
          <t>West</t>
        </is>
      </c>
      <c r="F2164" s="7" t="inlineStr">
        <is>
          <t>Office Supplies</t>
        </is>
      </c>
      <c r="G2164" s="7" t="inlineStr">
        <is>
          <t>Pens</t>
        </is>
      </c>
      <c r="H2164" s="7" t="inlineStr">
        <is>
          <t>Consumer</t>
        </is>
      </c>
      <c r="I2164" s="7" t="n">
        <v>6</v>
      </c>
      <c r="J2164" s="10" t="n">
        <v>11.5</v>
      </c>
      <c r="K2164" s="11" t="n">
        <v>0.1</v>
      </c>
      <c r="L2164" s="10">
        <f>I2164*J2164*(1-K2164)</f>
        <v/>
      </c>
      <c r="M2164" s="10" t="n">
        <v>32.4</v>
      </c>
      <c r="N2164" s="10">
        <f>L2164-M2164</f>
        <v/>
      </c>
    </row>
    <row r="2165">
      <c r="A2165" s="7" t="inlineStr">
        <is>
          <t>ORD-04212</t>
        </is>
      </c>
      <c r="B2165" s="8" t="n">
        <v>45402</v>
      </c>
      <c r="C2165" s="9" t="n">
        <v>45383</v>
      </c>
      <c r="D2165" s="7" t="n">
        <v>2024</v>
      </c>
      <c r="E2165" s="7" t="inlineStr">
        <is>
          <t>East</t>
        </is>
      </c>
      <c r="F2165" s="7" t="inlineStr">
        <is>
          <t>Office Supplies</t>
        </is>
      </c>
      <c r="G2165" s="7" t="inlineStr">
        <is>
          <t>Pens</t>
        </is>
      </c>
      <c r="H2165" s="7" t="inlineStr">
        <is>
          <t>Corporate</t>
        </is>
      </c>
      <c r="I2165" s="7" t="n">
        <v>14</v>
      </c>
      <c r="J2165" s="10" t="n">
        <v>12.52</v>
      </c>
      <c r="K2165" s="11" t="n">
        <v>0.1</v>
      </c>
      <c r="L2165" s="10">
        <f>I2165*J2165*(1-K2165)</f>
        <v/>
      </c>
      <c r="M2165" s="10" t="n">
        <v>75.59999999999999</v>
      </c>
      <c r="N2165" s="10">
        <f>L2165-M2165</f>
        <v/>
      </c>
    </row>
    <row r="2166">
      <c r="A2166" s="7" t="inlineStr">
        <is>
          <t>ORD-04496</t>
        </is>
      </c>
      <c r="B2166" s="8" t="n">
        <v>45403</v>
      </c>
      <c r="C2166" s="9" t="n">
        <v>45383</v>
      </c>
      <c r="D2166" s="7" t="n">
        <v>2024</v>
      </c>
      <c r="E2166" s="7" t="inlineStr">
        <is>
          <t>North</t>
        </is>
      </c>
      <c r="F2166" s="7" t="inlineStr">
        <is>
          <t>Office Supplies</t>
        </is>
      </c>
      <c r="G2166" s="7" t="inlineStr">
        <is>
          <t>Pens</t>
        </is>
      </c>
      <c r="H2166" s="7" t="inlineStr">
        <is>
          <t>Consumer</t>
        </is>
      </c>
      <c r="I2166" s="7" t="n">
        <v>9</v>
      </c>
      <c r="J2166" s="10" t="n">
        <v>12.47</v>
      </c>
      <c r="K2166" s="11" t="n">
        <v>0.05</v>
      </c>
      <c r="L2166" s="10">
        <f>I2166*J2166*(1-K2166)</f>
        <v/>
      </c>
      <c r="M2166" s="10" t="n">
        <v>48.6</v>
      </c>
      <c r="N2166" s="10">
        <f>L2166-M2166</f>
        <v/>
      </c>
    </row>
    <row r="2167">
      <c r="A2167" s="7" t="inlineStr">
        <is>
          <t>ORD-05068</t>
        </is>
      </c>
      <c r="B2167" s="8" t="n">
        <v>45403</v>
      </c>
      <c r="C2167" s="9" t="n">
        <v>45383</v>
      </c>
      <c r="D2167" s="7" t="n">
        <v>2024</v>
      </c>
      <c r="E2167" s="7" t="inlineStr">
        <is>
          <t>East</t>
        </is>
      </c>
      <c r="F2167" s="7" t="inlineStr">
        <is>
          <t>Technology</t>
        </is>
      </c>
      <c r="G2167" s="7" t="inlineStr">
        <is>
          <t>Keyboard</t>
        </is>
      </c>
      <c r="H2167" s="7" t="inlineStr">
        <is>
          <t>Consumer</t>
        </is>
      </c>
      <c r="I2167" s="7" t="n">
        <v>2</v>
      </c>
      <c r="J2167" s="10" t="n">
        <v>45.76</v>
      </c>
      <c r="K2167" s="11" t="n">
        <v>0.05</v>
      </c>
      <c r="L2167" s="10">
        <f>I2167*J2167*(1-K2167)</f>
        <v/>
      </c>
      <c r="M2167" s="10" t="n">
        <v>49.5</v>
      </c>
      <c r="N2167" s="10">
        <f>L2167-M2167</f>
        <v/>
      </c>
    </row>
    <row r="2168">
      <c r="A2168" s="7" t="inlineStr">
        <is>
          <t>ORD-05335</t>
        </is>
      </c>
      <c r="B2168" s="8" t="n">
        <v>45403</v>
      </c>
      <c r="C2168" s="9" t="n">
        <v>45383</v>
      </c>
      <c r="D2168" s="7" t="n">
        <v>2024</v>
      </c>
      <c r="E2168" s="7" t="inlineStr">
        <is>
          <t>West</t>
        </is>
      </c>
      <c r="F2168" s="7" t="inlineStr">
        <is>
          <t>Furniture</t>
        </is>
      </c>
      <c r="G2168" s="7" t="inlineStr">
        <is>
          <t>Office Chair</t>
        </is>
      </c>
      <c r="H2168" s="7" t="inlineStr">
        <is>
          <t>Consumer</t>
        </is>
      </c>
      <c r="I2168" s="7" t="n">
        <v>1</v>
      </c>
      <c r="J2168" s="10" t="n">
        <v>230.77</v>
      </c>
      <c r="K2168" s="11" t="n">
        <v>0.2</v>
      </c>
      <c r="L2168" s="10">
        <f>I2168*J2168*(1-K2168)</f>
        <v/>
      </c>
      <c r="M2168" s="10" t="n">
        <v>180.4</v>
      </c>
      <c r="N2168" s="10">
        <f>L2168-M2168</f>
        <v/>
      </c>
    </row>
    <row r="2169">
      <c r="A2169" s="7" t="inlineStr">
        <is>
          <t>ORD-01527</t>
        </is>
      </c>
      <c r="B2169" s="8" t="n">
        <v>45403</v>
      </c>
      <c r="C2169" s="9" t="n">
        <v>45383</v>
      </c>
      <c r="D2169" s="7" t="n">
        <v>2024</v>
      </c>
      <c r="E2169" s="7" t="inlineStr">
        <is>
          <t>South</t>
        </is>
      </c>
      <c r="F2169" s="7" t="inlineStr">
        <is>
          <t>Technology</t>
        </is>
      </c>
      <c r="G2169" s="7" t="inlineStr">
        <is>
          <t>Headphones</t>
        </is>
      </c>
      <c r="H2169" s="7" t="inlineStr">
        <is>
          <t>Corporate</t>
        </is>
      </c>
      <c r="I2169" s="7" t="n">
        <v>2</v>
      </c>
      <c r="J2169" s="10" t="n">
        <v>124.64</v>
      </c>
      <c r="K2169" s="11" t="n">
        <v>0</v>
      </c>
      <c r="L2169" s="10">
        <f>I2169*J2169*(1-K2169)</f>
        <v/>
      </c>
      <c r="M2169" s="10" t="n">
        <v>144</v>
      </c>
      <c r="N2169" s="10">
        <f>L2169-M2169</f>
        <v/>
      </c>
    </row>
    <row r="2170">
      <c r="A2170" s="7" t="inlineStr">
        <is>
          <t>ORD-05767</t>
        </is>
      </c>
      <c r="B2170" s="8" t="n">
        <v>45404</v>
      </c>
      <c r="C2170" s="9" t="n">
        <v>45383</v>
      </c>
      <c r="D2170" s="7" t="n">
        <v>2024</v>
      </c>
      <c r="E2170" s="7" t="inlineStr">
        <is>
          <t>East</t>
        </is>
      </c>
      <c r="F2170" s="7" t="inlineStr">
        <is>
          <t>Furniture</t>
        </is>
      </c>
      <c r="G2170" s="7" t="inlineStr">
        <is>
          <t>Bookcase</t>
        </is>
      </c>
      <c r="H2170" s="7" t="inlineStr">
        <is>
          <t>Consumer</t>
        </is>
      </c>
      <c r="I2170" s="7" t="n">
        <v>3</v>
      </c>
      <c r="J2170" s="10" t="n">
        <v>176.58</v>
      </c>
      <c r="K2170" s="11" t="n">
        <v>0.05</v>
      </c>
      <c r="L2170" s="10">
        <f>I2170*J2170*(1-K2170)</f>
        <v/>
      </c>
      <c r="M2170" s="10" t="n">
        <v>432</v>
      </c>
      <c r="N2170" s="10">
        <f>L2170-M2170</f>
        <v/>
      </c>
    </row>
    <row r="2171">
      <c r="A2171" s="7" t="inlineStr">
        <is>
          <t>ORD-01281</t>
        </is>
      </c>
      <c r="B2171" s="8" t="n">
        <v>45404</v>
      </c>
      <c r="C2171" s="9" t="n">
        <v>45383</v>
      </c>
      <c r="D2171" s="7" t="n">
        <v>2024</v>
      </c>
      <c r="E2171" s="7" t="inlineStr">
        <is>
          <t>South</t>
        </is>
      </c>
      <c r="F2171" s="7" t="inlineStr">
        <is>
          <t>Office Supplies</t>
        </is>
      </c>
      <c r="G2171" s="7" t="inlineStr">
        <is>
          <t>Paper</t>
        </is>
      </c>
      <c r="H2171" s="7" t="inlineStr">
        <is>
          <t>Consumer</t>
        </is>
      </c>
      <c r="I2171" s="7" t="n">
        <v>12</v>
      </c>
      <c r="J2171" s="10" t="n">
        <v>26.02</v>
      </c>
      <c r="K2171" s="11" t="n">
        <v>0.05</v>
      </c>
      <c r="L2171" s="10">
        <f>I2171*J2171*(1-K2171)</f>
        <v/>
      </c>
      <c r="M2171" s="10" t="n">
        <v>150</v>
      </c>
      <c r="N2171" s="10">
        <f>L2171-M2171</f>
        <v/>
      </c>
    </row>
    <row r="2172">
      <c r="A2172" s="7" t="inlineStr">
        <is>
          <t>ORD-01924</t>
        </is>
      </c>
      <c r="B2172" s="8" t="n">
        <v>45405</v>
      </c>
      <c r="C2172" s="9" t="n">
        <v>45383</v>
      </c>
      <c r="D2172" s="7" t="n">
        <v>2024</v>
      </c>
      <c r="E2172" s="7" t="inlineStr">
        <is>
          <t>East</t>
        </is>
      </c>
      <c r="F2172" s="7" t="inlineStr">
        <is>
          <t>Office Supplies</t>
        </is>
      </c>
      <c r="G2172" s="7" t="inlineStr">
        <is>
          <t>Binder</t>
        </is>
      </c>
      <c r="H2172" s="7" t="inlineStr">
        <is>
          <t>Home Office</t>
        </is>
      </c>
      <c r="I2172" s="7" t="n">
        <v>7</v>
      </c>
      <c r="J2172" s="10" t="n">
        <v>7.88</v>
      </c>
      <c r="K2172" s="11" t="n">
        <v>0</v>
      </c>
      <c r="L2172" s="10">
        <f>I2172*J2172*(1-K2172)</f>
        <v/>
      </c>
      <c r="M2172" s="10" t="n">
        <v>22.4</v>
      </c>
      <c r="N2172" s="10">
        <f>L2172-M2172</f>
        <v/>
      </c>
    </row>
    <row r="2173">
      <c r="A2173" s="7" t="inlineStr">
        <is>
          <t>ORD-04395</t>
        </is>
      </c>
      <c r="B2173" s="8" t="n">
        <v>45405</v>
      </c>
      <c r="C2173" s="9" t="n">
        <v>45383</v>
      </c>
      <c r="D2173" s="7" t="n">
        <v>2024</v>
      </c>
      <c r="E2173" s="7" t="inlineStr">
        <is>
          <t>South</t>
        </is>
      </c>
      <c r="F2173" s="7" t="inlineStr">
        <is>
          <t>Office Supplies</t>
        </is>
      </c>
      <c r="G2173" s="7" t="inlineStr">
        <is>
          <t>Pens</t>
        </is>
      </c>
      <c r="H2173" s="7" t="inlineStr">
        <is>
          <t>Consumer</t>
        </is>
      </c>
      <c r="I2173" s="7" t="n">
        <v>10</v>
      </c>
      <c r="J2173" s="10" t="n">
        <v>11.75</v>
      </c>
      <c r="K2173" s="11" t="n">
        <v>0.2</v>
      </c>
      <c r="L2173" s="10">
        <f>I2173*J2173*(1-K2173)</f>
        <v/>
      </c>
      <c r="M2173" s="10" t="n">
        <v>54</v>
      </c>
      <c r="N2173" s="10">
        <f>L2173-M2173</f>
        <v/>
      </c>
    </row>
    <row r="2174">
      <c r="A2174" s="7" t="inlineStr">
        <is>
          <t>ORD-02393</t>
        </is>
      </c>
      <c r="B2174" s="8" t="n">
        <v>45405</v>
      </c>
      <c r="C2174" s="9" t="n">
        <v>45383</v>
      </c>
      <c r="D2174" s="7" t="n">
        <v>2024</v>
      </c>
      <c r="E2174" s="7" t="inlineStr">
        <is>
          <t>East</t>
        </is>
      </c>
      <c r="F2174" s="7" t="inlineStr">
        <is>
          <t>Technology</t>
        </is>
      </c>
      <c r="G2174" s="7" t="inlineStr">
        <is>
          <t>Monitor</t>
        </is>
      </c>
      <c r="H2174" s="7" t="inlineStr">
        <is>
          <t>Consumer</t>
        </is>
      </c>
      <c r="I2174" s="7" t="n">
        <v>2</v>
      </c>
      <c r="J2174" s="10" t="n">
        <v>258.74</v>
      </c>
      <c r="K2174" s="11" t="n">
        <v>0.3</v>
      </c>
      <c r="L2174" s="10">
        <f>I2174*J2174*(1-K2174)</f>
        <v/>
      </c>
      <c r="M2174" s="10" t="n">
        <v>360</v>
      </c>
      <c r="N2174" s="10">
        <f>L2174-M2174</f>
        <v/>
      </c>
    </row>
    <row r="2175">
      <c r="A2175" s="7" t="inlineStr">
        <is>
          <t>ORD-00499</t>
        </is>
      </c>
      <c r="B2175" s="8" t="n">
        <v>45406</v>
      </c>
      <c r="C2175" s="9" t="n">
        <v>45383</v>
      </c>
      <c r="D2175" s="7" t="n">
        <v>2024</v>
      </c>
      <c r="E2175" s="7" t="inlineStr">
        <is>
          <t>East</t>
        </is>
      </c>
      <c r="F2175" s="7" t="inlineStr">
        <is>
          <t>Office Supplies</t>
        </is>
      </c>
      <c r="G2175" s="7" t="inlineStr">
        <is>
          <t>Printer Ink</t>
        </is>
      </c>
      <c r="H2175" s="7" t="inlineStr">
        <is>
          <t>Consumer</t>
        </is>
      </c>
      <c r="I2175" s="7" t="n">
        <v>2</v>
      </c>
      <c r="J2175" s="10" t="n">
        <v>61.22</v>
      </c>
      <c r="K2175" s="11" t="n">
        <v>0.1</v>
      </c>
      <c r="L2175" s="10">
        <f>I2175*J2175*(1-K2175)</f>
        <v/>
      </c>
      <c r="M2175" s="10" t="n">
        <v>72</v>
      </c>
      <c r="N2175" s="10">
        <f>L2175-M2175</f>
        <v/>
      </c>
    </row>
    <row r="2176">
      <c r="A2176" s="7" t="inlineStr">
        <is>
          <t>ORD-02745</t>
        </is>
      </c>
      <c r="B2176" s="8" t="n">
        <v>45406</v>
      </c>
      <c r="C2176" s="9" t="n">
        <v>45383</v>
      </c>
      <c r="D2176" s="7" t="n">
        <v>2024</v>
      </c>
      <c r="E2176" s="7" t="inlineStr">
        <is>
          <t>East</t>
        </is>
      </c>
      <c r="F2176" s="7" t="inlineStr">
        <is>
          <t>Technology</t>
        </is>
      </c>
      <c r="G2176" s="7" t="inlineStr">
        <is>
          <t>Monitor</t>
        </is>
      </c>
      <c r="H2176" s="7" t="inlineStr">
        <is>
          <t>Home Office</t>
        </is>
      </c>
      <c r="I2176" s="7" t="n">
        <v>3</v>
      </c>
      <c r="J2176" s="10" t="n">
        <v>239.22</v>
      </c>
      <c r="K2176" s="11" t="n">
        <v>0</v>
      </c>
      <c r="L2176" s="10">
        <f>I2176*J2176*(1-K2176)</f>
        <v/>
      </c>
      <c r="M2176" s="10" t="n">
        <v>540</v>
      </c>
      <c r="N2176" s="10">
        <f>L2176-M2176</f>
        <v/>
      </c>
    </row>
    <row r="2177">
      <c r="A2177" s="7" t="inlineStr">
        <is>
          <t>ORD-03671</t>
        </is>
      </c>
      <c r="B2177" s="8" t="n">
        <v>45406</v>
      </c>
      <c r="C2177" s="9" t="n">
        <v>45383</v>
      </c>
      <c r="D2177" s="7" t="n">
        <v>2024</v>
      </c>
      <c r="E2177" s="7" t="inlineStr">
        <is>
          <t>West</t>
        </is>
      </c>
      <c r="F2177" s="7" t="inlineStr">
        <is>
          <t>Furniture</t>
        </is>
      </c>
      <c r="G2177" s="7" t="inlineStr">
        <is>
          <t>Desk</t>
        </is>
      </c>
      <c r="H2177" s="7" t="inlineStr">
        <is>
          <t>Home Office</t>
        </is>
      </c>
      <c r="I2177" s="7" t="n">
        <v>3</v>
      </c>
      <c r="J2177" s="10" t="n">
        <v>456.14</v>
      </c>
      <c r="K2177" s="11" t="n">
        <v>0.3</v>
      </c>
      <c r="L2177" s="10">
        <f>I2177*J2177*(1-K2177)</f>
        <v/>
      </c>
      <c r="M2177" s="10" t="n">
        <v>1147.5</v>
      </c>
      <c r="N2177" s="10">
        <f>L2177-M2177</f>
        <v/>
      </c>
    </row>
    <row r="2178">
      <c r="A2178" s="7" t="inlineStr">
        <is>
          <t>ORD-05654</t>
        </is>
      </c>
      <c r="B2178" s="8" t="n">
        <v>45406</v>
      </c>
      <c r="C2178" s="9" t="n">
        <v>45383</v>
      </c>
      <c r="D2178" s="7" t="n">
        <v>2024</v>
      </c>
      <c r="E2178" s="7" t="inlineStr">
        <is>
          <t>East</t>
        </is>
      </c>
      <c r="F2178" s="7" t="inlineStr">
        <is>
          <t>Office Supplies</t>
        </is>
      </c>
      <c r="G2178" s="7" t="inlineStr">
        <is>
          <t>Binder</t>
        </is>
      </c>
      <c r="H2178" s="7" t="inlineStr">
        <is>
          <t>Home Office</t>
        </is>
      </c>
      <c r="I2178" s="7" t="n">
        <v>13</v>
      </c>
      <c r="J2178" s="10" t="n">
        <v>8.369999999999999</v>
      </c>
      <c r="K2178" s="11" t="n">
        <v>0.05</v>
      </c>
      <c r="L2178" s="10">
        <f>I2178*J2178*(1-K2178)</f>
        <v/>
      </c>
      <c r="M2178" s="10" t="n">
        <v>41.6</v>
      </c>
      <c r="N2178" s="10">
        <f>L2178-M2178</f>
        <v/>
      </c>
    </row>
    <row r="2179">
      <c r="A2179" s="7" t="inlineStr">
        <is>
          <t>ORD-04959</t>
        </is>
      </c>
      <c r="B2179" s="8" t="n">
        <v>45407</v>
      </c>
      <c r="C2179" s="9" t="n">
        <v>45383</v>
      </c>
      <c r="D2179" s="7" t="n">
        <v>2024</v>
      </c>
      <c r="E2179" s="7" t="inlineStr">
        <is>
          <t>East</t>
        </is>
      </c>
      <c r="F2179" s="7" t="inlineStr">
        <is>
          <t>Furniture</t>
        </is>
      </c>
      <c r="G2179" s="7" t="inlineStr">
        <is>
          <t>Desk</t>
        </is>
      </c>
      <c r="H2179" s="7" t="inlineStr">
        <is>
          <t>Corporate</t>
        </is>
      </c>
      <c r="I2179" s="7" t="n">
        <v>4</v>
      </c>
      <c r="J2179" s="10" t="n">
        <v>448.33</v>
      </c>
      <c r="K2179" s="11" t="n">
        <v>0.05</v>
      </c>
      <c r="L2179" s="10">
        <f>I2179*J2179*(1-K2179)</f>
        <v/>
      </c>
      <c r="M2179" s="10" t="n">
        <v>1530</v>
      </c>
      <c r="N2179" s="10">
        <f>L2179-M2179</f>
        <v/>
      </c>
    </row>
    <row r="2180">
      <c r="A2180" s="7" t="inlineStr">
        <is>
          <t>ORD-02091</t>
        </is>
      </c>
      <c r="B2180" s="8" t="n">
        <v>45407</v>
      </c>
      <c r="C2180" s="9" t="n">
        <v>45383</v>
      </c>
      <c r="D2180" s="7" t="n">
        <v>2024</v>
      </c>
      <c r="E2180" s="7" t="inlineStr">
        <is>
          <t>East</t>
        </is>
      </c>
      <c r="F2180" s="7" t="inlineStr">
        <is>
          <t>Office Supplies</t>
        </is>
      </c>
      <c r="G2180" s="7" t="inlineStr">
        <is>
          <t>Pens</t>
        </is>
      </c>
      <c r="H2180" s="7" t="inlineStr">
        <is>
          <t>Consumer</t>
        </is>
      </c>
      <c r="I2180" s="7" t="n">
        <v>15</v>
      </c>
      <c r="J2180" s="10" t="n">
        <v>11.59</v>
      </c>
      <c r="K2180" s="11" t="n">
        <v>0.3</v>
      </c>
      <c r="L2180" s="10">
        <f>I2180*J2180*(1-K2180)</f>
        <v/>
      </c>
      <c r="M2180" s="10" t="n">
        <v>81</v>
      </c>
      <c r="N2180" s="10">
        <f>L2180-M2180</f>
        <v/>
      </c>
    </row>
    <row r="2181">
      <c r="A2181" s="7" t="inlineStr">
        <is>
          <t>ORD-01243</t>
        </is>
      </c>
      <c r="B2181" s="8" t="n">
        <v>45407</v>
      </c>
      <c r="C2181" s="9" t="n">
        <v>45383</v>
      </c>
      <c r="D2181" s="7" t="n">
        <v>2024</v>
      </c>
      <c r="E2181" s="7" t="inlineStr">
        <is>
          <t>South</t>
        </is>
      </c>
      <c r="F2181" s="7" t="inlineStr">
        <is>
          <t>Office Supplies</t>
        </is>
      </c>
      <c r="G2181" s="7" t="inlineStr">
        <is>
          <t>Binder</t>
        </is>
      </c>
      <c r="H2181" s="7" t="inlineStr">
        <is>
          <t>Home Office</t>
        </is>
      </c>
      <c r="I2181" s="7" t="n">
        <v>10</v>
      </c>
      <c r="J2181" s="10" t="n">
        <v>7.97</v>
      </c>
      <c r="K2181" s="11" t="n">
        <v>0</v>
      </c>
      <c r="L2181" s="10">
        <f>I2181*J2181*(1-K2181)</f>
        <v/>
      </c>
      <c r="M2181" s="10" t="n">
        <v>32</v>
      </c>
      <c r="N2181" s="10">
        <f>L2181-M2181</f>
        <v/>
      </c>
    </row>
    <row r="2182">
      <c r="A2182" s="7" t="inlineStr">
        <is>
          <t>ORD-01543</t>
        </is>
      </c>
      <c r="B2182" s="8" t="n">
        <v>45407</v>
      </c>
      <c r="C2182" s="9" t="n">
        <v>45383</v>
      </c>
      <c r="D2182" s="7" t="n">
        <v>2024</v>
      </c>
      <c r="E2182" s="7" t="inlineStr">
        <is>
          <t>South</t>
        </is>
      </c>
      <c r="F2182" s="7" t="inlineStr">
        <is>
          <t>Office Supplies</t>
        </is>
      </c>
      <c r="G2182" s="7" t="inlineStr">
        <is>
          <t>Pens</t>
        </is>
      </c>
      <c r="H2182" s="7" t="inlineStr">
        <is>
          <t>Consumer</t>
        </is>
      </c>
      <c r="I2182" s="7" t="n">
        <v>3</v>
      </c>
      <c r="J2182" s="10" t="n">
        <v>12.53</v>
      </c>
      <c r="K2182" s="11" t="n">
        <v>0.3</v>
      </c>
      <c r="L2182" s="10">
        <f>I2182*J2182*(1-K2182)</f>
        <v/>
      </c>
      <c r="M2182" s="10" t="n">
        <v>16.2</v>
      </c>
      <c r="N2182" s="10">
        <f>L2182-M2182</f>
        <v/>
      </c>
    </row>
    <row r="2183">
      <c r="A2183" s="7" t="inlineStr">
        <is>
          <t>ORD-00786</t>
        </is>
      </c>
      <c r="B2183" s="8" t="n">
        <v>45407</v>
      </c>
      <c r="C2183" s="9" t="n">
        <v>45383</v>
      </c>
      <c r="D2183" s="7" t="n">
        <v>2024</v>
      </c>
      <c r="E2183" s="7" t="inlineStr">
        <is>
          <t>East</t>
        </is>
      </c>
      <c r="F2183" s="7" t="inlineStr">
        <is>
          <t>Technology</t>
        </is>
      </c>
      <c r="G2183" s="7" t="inlineStr">
        <is>
          <t>Headphones</t>
        </is>
      </c>
      <c r="H2183" s="7" t="inlineStr">
        <is>
          <t>Consumer</t>
        </is>
      </c>
      <c r="I2183" s="7" t="n">
        <v>1</v>
      </c>
      <c r="J2183" s="10" t="n">
        <v>119.16</v>
      </c>
      <c r="K2183" s="11" t="n">
        <v>0.1</v>
      </c>
      <c r="L2183" s="10">
        <f>I2183*J2183*(1-K2183)</f>
        <v/>
      </c>
      <c r="M2183" s="10" t="n">
        <v>72</v>
      </c>
      <c r="N2183" s="10">
        <f>L2183-M2183</f>
        <v/>
      </c>
    </row>
    <row r="2184">
      <c r="A2184" s="7" t="inlineStr">
        <is>
          <t>ORD-01425</t>
        </is>
      </c>
      <c r="B2184" s="8" t="n">
        <v>45408</v>
      </c>
      <c r="C2184" s="9" t="n">
        <v>45383</v>
      </c>
      <c r="D2184" s="7" t="n">
        <v>2024</v>
      </c>
      <c r="E2184" s="7" t="inlineStr">
        <is>
          <t>South</t>
        </is>
      </c>
      <c r="F2184" s="7" t="inlineStr">
        <is>
          <t>Office Supplies</t>
        </is>
      </c>
      <c r="G2184" s="7" t="inlineStr">
        <is>
          <t>Paper</t>
        </is>
      </c>
      <c r="H2184" s="7" t="inlineStr">
        <is>
          <t>Consumer</t>
        </is>
      </c>
      <c r="I2184" s="7" t="n">
        <v>2</v>
      </c>
      <c r="J2184" s="10" t="n">
        <v>24.35</v>
      </c>
      <c r="K2184" s="11" t="n">
        <v>0.05</v>
      </c>
      <c r="L2184" s="10">
        <f>I2184*J2184*(1-K2184)</f>
        <v/>
      </c>
      <c r="M2184" s="10" t="n">
        <v>25</v>
      </c>
      <c r="N2184" s="10">
        <f>L2184-M2184</f>
        <v/>
      </c>
    </row>
    <row r="2185">
      <c r="A2185" s="7" t="inlineStr">
        <is>
          <t>ORD-05673</t>
        </is>
      </c>
      <c r="B2185" s="8" t="n">
        <v>45408</v>
      </c>
      <c r="C2185" s="9" t="n">
        <v>45383</v>
      </c>
      <c r="D2185" s="7" t="n">
        <v>2024</v>
      </c>
      <c r="E2185" s="7" t="inlineStr">
        <is>
          <t>East</t>
        </is>
      </c>
      <c r="F2185" s="7" t="inlineStr">
        <is>
          <t>Office Supplies</t>
        </is>
      </c>
      <c r="G2185" s="7" t="inlineStr">
        <is>
          <t>Binder</t>
        </is>
      </c>
      <c r="H2185" s="7" t="inlineStr">
        <is>
          <t>Consumer</t>
        </is>
      </c>
      <c r="I2185" s="7" t="n">
        <v>7</v>
      </c>
      <c r="J2185" s="10" t="n">
        <v>8.289999999999999</v>
      </c>
      <c r="K2185" s="11" t="n">
        <v>0</v>
      </c>
      <c r="L2185" s="10">
        <f>I2185*J2185*(1-K2185)</f>
        <v/>
      </c>
      <c r="M2185" s="10" t="n">
        <v>22.4</v>
      </c>
      <c r="N2185" s="10">
        <f>L2185-M2185</f>
        <v/>
      </c>
    </row>
    <row r="2186">
      <c r="A2186" s="7" t="inlineStr">
        <is>
          <t>ORD-00097</t>
        </is>
      </c>
      <c r="B2186" s="8" t="n">
        <v>45408</v>
      </c>
      <c r="C2186" s="9" t="n">
        <v>45383</v>
      </c>
      <c r="D2186" s="7" t="n">
        <v>2024</v>
      </c>
      <c r="E2186" s="7" t="inlineStr">
        <is>
          <t>West</t>
        </is>
      </c>
      <c r="F2186" s="7" t="inlineStr">
        <is>
          <t>Technology</t>
        </is>
      </c>
      <c r="G2186" s="7" t="inlineStr">
        <is>
          <t>Keyboard</t>
        </is>
      </c>
      <c r="H2186" s="7" t="inlineStr">
        <is>
          <t>Consumer</t>
        </is>
      </c>
      <c r="I2186" s="7" t="n">
        <v>1</v>
      </c>
      <c r="J2186" s="10" t="n">
        <v>44.34</v>
      </c>
      <c r="K2186" s="11" t="n">
        <v>0.05</v>
      </c>
      <c r="L2186" s="10">
        <f>I2186*J2186*(1-K2186)</f>
        <v/>
      </c>
      <c r="M2186" s="10" t="n">
        <v>24.75</v>
      </c>
      <c r="N2186" s="10">
        <f>L2186-M2186</f>
        <v/>
      </c>
    </row>
    <row r="2187">
      <c r="A2187" s="7" t="inlineStr">
        <is>
          <t>ORD-05506</t>
        </is>
      </c>
      <c r="B2187" s="8" t="n">
        <v>45409</v>
      </c>
      <c r="C2187" s="9" t="n">
        <v>45383</v>
      </c>
      <c r="D2187" s="7" t="n">
        <v>2024</v>
      </c>
      <c r="E2187" s="7" t="inlineStr">
        <is>
          <t>West</t>
        </is>
      </c>
      <c r="F2187" s="7" t="inlineStr">
        <is>
          <t>Office Supplies</t>
        </is>
      </c>
      <c r="G2187" s="7" t="inlineStr">
        <is>
          <t>Pens</t>
        </is>
      </c>
      <c r="H2187" s="7" t="inlineStr">
        <is>
          <t>Corporate</t>
        </is>
      </c>
      <c r="I2187" s="7" t="n">
        <v>10</v>
      </c>
      <c r="J2187" s="10" t="n">
        <v>12.31</v>
      </c>
      <c r="K2187" s="11" t="n">
        <v>0.2</v>
      </c>
      <c r="L2187" s="10">
        <f>I2187*J2187*(1-K2187)</f>
        <v/>
      </c>
      <c r="M2187" s="10" t="n">
        <v>54</v>
      </c>
      <c r="N2187" s="10">
        <f>L2187-M2187</f>
        <v/>
      </c>
    </row>
    <row r="2188">
      <c r="A2188" s="7" t="inlineStr">
        <is>
          <t>ORD-04880</t>
        </is>
      </c>
      <c r="B2188" s="8" t="n">
        <v>45410</v>
      </c>
      <c r="C2188" s="9" t="n">
        <v>45383</v>
      </c>
      <c r="D2188" s="7" t="n">
        <v>2024</v>
      </c>
      <c r="E2188" s="7" t="inlineStr">
        <is>
          <t>South</t>
        </is>
      </c>
      <c r="F2188" s="7" t="inlineStr">
        <is>
          <t>Office Supplies</t>
        </is>
      </c>
      <c r="G2188" s="7" t="inlineStr">
        <is>
          <t>Paper</t>
        </is>
      </c>
      <c r="H2188" s="7" t="inlineStr">
        <is>
          <t>Corporate</t>
        </is>
      </c>
      <c r="I2188" s="7" t="n">
        <v>2</v>
      </c>
      <c r="J2188" s="10" t="n">
        <v>24.34</v>
      </c>
      <c r="K2188" s="11" t="n">
        <v>0.1</v>
      </c>
      <c r="L2188" s="10">
        <f>I2188*J2188*(1-K2188)</f>
        <v/>
      </c>
      <c r="M2188" s="10" t="n">
        <v>25</v>
      </c>
      <c r="N2188" s="10">
        <f>L2188-M2188</f>
        <v/>
      </c>
    </row>
    <row r="2189">
      <c r="A2189" s="7" t="inlineStr">
        <is>
          <t>ORD-05359</t>
        </is>
      </c>
      <c r="B2189" s="8" t="n">
        <v>45410</v>
      </c>
      <c r="C2189" s="9" t="n">
        <v>45383</v>
      </c>
      <c r="D2189" s="7" t="n">
        <v>2024</v>
      </c>
      <c r="E2189" s="7" t="inlineStr">
        <is>
          <t>West</t>
        </is>
      </c>
      <c r="F2189" s="7" t="inlineStr">
        <is>
          <t>Office Supplies</t>
        </is>
      </c>
      <c r="G2189" s="7" t="inlineStr">
        <is>
          <t>Paper</t>
        </is>
      </c>
      <c r="H2189" s="7" t="inlineStr">
        <is>
          <t>Corporate</t>
        </is>
      </c>
      <c r="I2189" s="7" t="n">
        <v>7</v>
      </c>
      <c r="J2189" s="10" t="n">
        <v>23.92</v>
      </c>
      <c r="K2189" s="11" t="n">
        <v>0</v>
      </c>
      <c r="L2189" s="10">
        <f>I2189*J2189*(1-K2189)</f>
        <v/>
      </c>
      <c r="M2189" s="10" t="n">
        <v>87.5</v>
      </c>
      <c r="N2189" s="10">
        <f>L2189-M2189</f>
        <v/>
      </c>
    </row>
    <row r="2190">
      <c r="A2190" s="7" t="inlineStr">
        <is>
          <t>ORD-04937</t>
        </is>
      </c>
      <c r="B2190" s="8" t="n">
        <v>45410</v>
      </c>
      <c r="C2190" s="9" t="n">
        <v>45383</v>
      </c>
      <c r="D2190" s="7" t="n">
        <v>2024</v>
      </c>
      <c r="E2190" s="7" t="inlineStr">
        <is>
          <t>South</t>
        </is>
      </c>
      <c r="F2190" s="7" t="inlineStr">
        <is>
          <t>Furniture</t>
        </is>
      </c>
      <c r="G2190" s="7" t="inlineStr">
        <is>
          <t>Desk</t>
        </is>
      </c>
      <c r="H2190" s="7" t="inlineStr">
        <is>
          <t>Corporate</t>
        </is>
      </c>
      <c r="I2190" s="7" t="n">
        <v>2</v>
      </c>
      <c r="J2190" s="10" t="n">
        <v>456.08</v>
      </c>
      <c r="K2190" s="11" t="n">
        <v>0.3</v>
      </c>
      <c r="L2190" s="10">
        <f>I2190*J2190*(1-K2190)</f>
        <v/>
      </c>
      <c r="M2190" s="10" t="n">
        <v>765</v>
      </c>
      <c r="N2190" s="10">
        <f>L2190-M2190</f>
        <v/>
      </c>
    </row>
    <row r="2191">
      <c r="A2191" s="7" t="inlineStr">
        <is>
          <t>ORD-05562</t>
        </is>
      </c>
      <c r="B2191" s="8" t="n">
        <v>45410</v>
      </c>
      <c r="C2191" s="9" t="n">
        <v>45383</v>
      </c>
      <c r="D2191" s="7" t="n">
        <v>2024</v>
      </c>
      <c r="E2191" s="7" t="inlineStr">
        <is>
          <t>East</t>
        </is>
      </c>
      <c r="F2191" s="7" t="inlineStr">
        <is>
          <t>Office Supplies</t>
        </is>
      </c>
      <c r="G2191" s="7" t="inlineStr">
        <is>
          <t>Pens</t>
        </is>
      </c>
      <c r="H2191" s="7" t="inlineStr">
        <is>
          <t>Home Office</t>
        </is>
      </c>
      <c r="I2191" s="7" t="n">
        <v>7</v>
      </c>
      <c r="J2191" s="10" t="n">
        <v>12.36</v>
      </c>
      <c r="K2191" s="11" t="n">
        <v>0</v>
      </c>
      <c r="L2191" s="10">
        <f>I2191*J2191*(1-K2191)</f>
        <v/>
      </c>
      <c r="M2191" s="10" t="n">
        <v>37.8</v>
      </c>
      <c r="N2191" s="10">
        <f>L2191-M2191</f>
        <v/>
      </c>
    </row>
    <row r="2192">
      <c r="A2192" s="7" t="inlineStr">
        <is>
          <t>ORD-03178</t>
        </is>
      </c>
      <c r="B2192" s="8" t="n">
        <v>45411</v>
      </c>
      <c r="C2192" s="9" t="n">
        <v>45383</v>
      </c>
      <c r="D2192" s="7" t="n">
        <v>2024</v>
      </c>
      <c r="E2192" s="7" t="inlineStr">
        <is>
          <t>East</t>
        </is>
      </c>
      <c r="F2192" s="7" t="inlineStr">
        <is>
          <t>Office Supplies</t>
        </is>
      </c>
      <c r="G2192" s="7" t="inlineStr">
        <is>
          <t>Pens</t>
        </is>
      </c>
      <c r="H2192" s="7" t="inlineStr">
        <is>
          <t>Consumer</t>
        </is>
      </c>
      <c r="I2192" s="7" t="n">
        <v>9</v>
      </c>
      <c r="J2192" s="10" t="n">
        <v>12.28</v>
      </c>
      <c r="K2192" s="11" t="n">
        <v>0.05</v>
      </c>
      <c r="L2192" s="10">
        <f>I2192*J2192*(1-K2192)</f>
        <v/>
      </c>
      <c r="M2192" s="10" t="n">
        <v>48.6</v>
      </c>
      <c r="N2192" s="10">
        <f>L2192-M2192</f>
        <v/>
      </c>
    </row>
    <row r="2193">
      <c r="A2193" s="7" t="inlineStr">
        <is>
          <t>ORD-00373</t>
        </is>
      </c>
      <c r="B2193" s="8" t="n">
        <v>45411</v>
      </c>
      <c r="C2193" s="9" t="n">
        <v>45383</v>
      </c>
      <c r="D2193" s="7" t="n">
        <v>2024</v>
      </c>
      <c r="E2193" s="7" t="inlineStr">
        <is>
          <t>North</t>
        </is>
      </c>
      <c r="F2193" s="7" t="inlineStr">
        <is>
          <t>Office Supplies</t>
        </is>
      </c>
      <c r="G2193" s="7" t="inlineStr">
        <is>
          <t>Stapler</t>
        </is>
      </c>
      <c r="H2193" s="7" t="inlineStr">
        <is>
          <t>Consumer</t>
        </is>
      </c>
      <c r="I2193" s="7" t="n">
        <v>2</v>
      </c>
      <c r="J2193" s="10" t="n">
        <v>15.6</v>
      </c>
      <c r="K2193" s="11" t="n">
        <v>0.05</v>
      </c>
      <c r="L2193" s="10">
        <f>I2193*J2193*(1-K2193)</f>
        <v/>
      </c>
      <c r="M2193" s="10" t="n">
        <v>15</v>
      </c>
      <c r="N2193" s="10">
        <f>L2193-M2193</f>
        <v/>
      </c>
    </row>
    <row r="2194">
      <c r="A2194" s="7" t="inlineStr">
        <is>
          <t>ORD-05094</t>
        </is>
      </c>
      <c r="B2194" s="8" t="n">
        <v>45411</v>
      </c>
      <c r="C2194" s="9" t="n">
        <v>45383</v>
      </c>
      <c r="D2194" s="7" t="n">
        <v>2024</v>
      </c>
      <c r="E2194" s="7" t="inlineStr">
        <is>
          <t>East</t>
        </is>
      </c>
      <c r="F2194" s="7" t="inlineStr">
        <is>
          <t>Furniture</t>
        </is>
      </c>
      <c r="G2194" s="7" t="inlineStr">
        <is>
          <t>Bookcase</t>
        </is>
      </c>
      <c r="H2194" s="7" t="inlineStr">
        <is>
          <t>Consumer</t>
        </is>
      </c>
      <c r="I2194" s="7" t="n">
        <v>2</v>
      </c>
      <c r="J2194" s="10" t="n">
        <v>175.16</v>
      </c>
      <c r="K2194" s="11" t="n">
        <v>0.05</v>
      </c>
      <c r="L2194" s="10">
        <f>I2194*J2194*(1-K2194)</f>
        <v/>
      </c>
      <c r="M2194" s="10" t="n">
        <v>288</v>
      </c>
      <c r="N2194" s="10">
        <f>L2194-M2194</f>
        <v/>
      </c>
    </row>
    <row r="2195">
      <c r="A2195" s="7" t="inlineStr">
        <is>
          <t>ORD-04753</t>
        </is>
      </c>
      <c r="B2195" s="8" t="n">
        <v>45411</v>
      </c>
      <c r="C2195" s="9" t="n">
        <v>45383</v>
      </c>
      <c r="D2195" s="7" t="n">
        <v>2024</v>
      </c>
      <c r="E2195" s="7" t="inlineStr">
        <is>
          <t>South</t>
        </is>
      </c>
      <c r="F2195" s="7" t="inlineStr">
        <is>
          <t>Furniture</t>
        </is>
      </c>
      <c r="G2195" s="7" t="inlineStr">
        <is>
          <t>Office Chair</t>
        </is>
      </c>
      <c r="H2195" s="7" t="inlineStr">
        <is>
          <t>Consumer</t>
        </is>
      </c>
      <c r="I2195" s="7" t="n">
        <v>2</v>
      </c>
      <c r="J2195" s="10" t="n">
        <v>214.64</v>
      </c>
      <c r="K2195" s="11" t="n">
        <v>0.05</v>
      </c>
      <c r="L2195" s="10">
        <f>I2195*J2195*(1-K2195)</f>
        <v/>
      </c>
      <c r="M2195" s="10" t="n">
        <v>360.8</v>
      </c>
      <c r="N2195" s="10">
        <f>L2195-M2195</f>
        <v/>
      </c>
    </row>
    <row r="2196">
      <c r="A2196" s="7" t="inlineStr">
        <is>
          <t>ORD-04574</t>
        </is>
      </c>
      <c r="B2196" s="8" t="n">
        <v>45411</v>
      </c>
      <c r="C2196" s="9" t="n">
        <v>45383</v>
      </c>
      <c r="D2196" s="7" t="n">
        <v>2024</v>
      </c>
      <c r="E2196" s="7" t="inlineStr">
        <is>
          <t>East</t>
        </is>
      </c>
      <c r="F2196" s="7" t="inlineStr">
        <is>
          <t>Furniture</t>
        </is>
      </c>
      <c r="G2196" s="7" t="inlineStr">
        <is>
          <t>Desk</t>
        </is>
      </c>
      <c r="H2196" s="7" t="inlineStr">
        <is>
          <t>Consumer</t>
        </is>
      </c>
      <c r="I2196" s="7" t="n">
        <v>2</v>
      </c>
      <c r="J2196" s="10" t="n">
        <v>456.79</v>
      </c>
      <c r="K2196" s="11" t="n">
        <v>0.1</v>
      </c>
      <c r="L2196" s="10">
        <f>I2196*J2196*(1-K2196)</f>
        <v/>
      </c>
      <c r="M2196" s="10" t="n">
        <v>765</v>
      </c>
      <c r="N2196" s="10">
        <f>L2196-M2196</f>
        <v/>
      </c>
    </row>
    <row r="2197">
      <c r="A2197" s="7" t="inlineStr">
        <is>
          <t>ORD-03444</t>
        </is>
      </c>
      <c r="B2197" s="8" t="n">
        <v>45411</v>
      </c>
      <c r="C2197" s="9" t="n">
        <v>45383</v>
      </c>
      <c r="D2197" s="7" t="n">
        <v>2024</v>
      </c>
      <c r="E2197" s="7" t="inlineStr">
        <is>
          <t>West</t>
        </is>
      </c>
      <c r="F2197" s="7" t="inlineStr">
        <is>
          <t>Office Supplies</t>
        </is>
      </c>
      <c r="G2197" s="7" t="inlineStr">
        <is>
          <t>Pens</t>
        </is>
      </c>
      <c r="H2197" s="7" t="inlineStr">
        <is>
          <t>Consumer</t>
        </is>
      </c>
      <c r="I2197" s="7" t="n">
        <v>13</v>
      </c>
      <c r="J2197" s="10" t="n">
        <v>12.29</v>
      </c>
      <c r="K2197" s="11" t="n">
        <v>0.1</v>
      </c>
      <c r="L2197" s="10">
        <f>I2197*J2197*(1-K2197)</f>
        <v/>
      </c>
      <c r="M2197" s="10" t="n">
        <v>70.2</v>
      </c>
      <c r="N2197" s="10">
        <f>L2197-M2197</f>
        <v/>
      </c>
    </row>
    <row r="2198">
      <c r="A2198" s="7" t="inlineStr">
        <is>
          <t>ORD-02375</t>
        </is>
      </c>
      <c r="B2198" s="8" t="n">
        <v>45412</v>
      </c>
      <c r="C2198" s="9" t="n">
        <v>45383</v>
      </c>
      <c r="D2198" s="7" t="n">
        <v>2024</v>
      </c>
      <c r="E2198" s="7" t="inlineStr">
        <is>
          <t>South</t>
        </is>
      </c>
      <c r="F2198" s="7" t="inlineStr">
        <is>
          <t>Office Supplies</t>
        </is>
      </c>
      <c r="G2198" s="7" t="inlineStr">
        <is>
          <t>Binder</t>
        </is>
      </c>
      <c r="H2198" s="7" t="inlineStr">
        <is>
          <t>Consumer</t>
        </is>
      </c>
      <c r="I2198" s="7" t="n">
        <v>14</v>
      </c>
      <c r="J2198" s="10" t="n">
        <v>7.63</v>
      </c>
      <c r="K2198" s="11" t="n">
        <v>0</v>
      </c>
      <c r="L2198" s="10">
        <f>I2198*J2198*(1-K2198)</f>
        <v/>
      </c>
      <c r="M2198" s="10" t="n">
        <v>44.8</v>
      </c>
      <c r="N2198" s="10">
        <f>L2198-M2198</f>
        <v/>
      </c>
    </row>
    <row r="2199">
      <c r="A2199" s="7" t="inlineStr">
        <is>
          <t>ORD-00680</t>
        </is>
      </c>
      <c r="B2199" s="8" t="n">
        <v>45412</v>
      </c>
      <c r="C2199" s="9" t="n">
        <v>45383</v>
      </c>
      <c r="D2199" s="7" t="n">
        <v>2024</v>
      </c>
      <c r="E2199" s="7" t="inlineStr">
        <is>
          <t>East</t>
        </is>
      </c>
      <c r="F2199" s="7" t="inlineStr">
        <is>
          <t>Office Supplies</t>
        </is>
      </c>
      <c r="G2199" s="7" t="inlineStr">
        <is>
          <t>Binder</t>
        </is>
      </c>
      <c r="H2199" s="7" t="inlineStr">
        <is>
          <t>Corporate</t>
        </is>
      </c>
      <c r="I2199" s="7" t="n">
        <v>9</v>
      </c>
      <c r="J2199" s="10" t="n">
        <v>8.07</v>
      </c>
      <c r="K2199" s="11" t="n">
        <v>0</v>
      </c>
      <c r="L2199" s="10">
        <f>I2199*J2199*(1-K2199)</f>
        <v/>
      </c>
      <c r="M2199" s="10" t="n">
        <v>28.8</v>
      </c>
      <c r="N2199" s="10">
        <f>L2199-M2199</f>
        <v/>
      </c>
    </row>
    <row r="2200">
      <c r="A2200" s="7" t="inlineStr">
        <is>
          <t>ORD-00526</t>
        </is>
      </c>
      <c r="B2200" s="8" t="n">
        <v>45412</v>
      </c>
      <c r="C2200" s="9" t="n">
        <v>45383</v>
      </c>
      <c r="D2200" s="7" t="n">
        <v>2024</v>
      </c>
      <c r="E2200" s="7" t="inlineStr">
        <is>
          <t>North</t>
        </is>
      </c>
      <c r="F2200" s="7" t="inlineStr">
        <is>
          <t>Furniture</t>
        </is>
      </c>
      <c r="G2200" s="7" t="inlineStr">
        <is>
          <t>Bookcase</t>
        </is>
      </c>
      <c r="H2200" s="7" t="inlineStr">
        <is>
          <t>Consumer</t>
        </is>
      </c>
      <c r="I2200" s="7" t="n">
        <v>3</v>
      </c>
      <c r="J2200" s="10" t="n">
        <v>176.69</v>
      </c>
      <c r="K2200" s="11" t="n">
        <v>0.2</v>
      </c>
      <c r="L2200" s="10">
        <f>I2200*J2200*(1-K2200)</f>
        <v/>
      </c>
      <c r="M2200" s="10" t="n">
        <v>432</v>
      </c>
      <c r="N2200" s="10">
        <f>L2200-M2200</f>
        <v/>
      </c>
    </row>
    <row r="2201">
      <c r="A2201" s="7" t="inlineStr">
        <is>
          <t>ORD-02929</t>
        </is>
      </c>
      <c r="B2201" s="8" t="n">
        <v>45412</v>
      </c>
      <c r="C2201" s="9" t="n">
        <v>45383</v>
      </c>
      <c r="D2201" s="7" t="n">
        <v>2024</v>
      </c>
      <c r="E2201" s="7" t="inlineStr">
        <is>
          <t>East</t>
        </is>
      </c>
      <c r="F2201" s="7" t="inlineStr">
        <is>
          <t>Office Supplies</t>
        </is>
      </c>
      <c r="G2201" s="7" t="inlineStr">
        <is>
          <t>Paper</t>
        </is>
      </c>
      <c r="H2201" s="7" t="inlineStr">
        <is>
          <t>Consumer</t>
        </is>
      </c>
      <c r="I2201" s="7" t="n">
        <v>4</v>
      </c>
      <c r="J2201" s="10" t="n">
        <v>24.79</v>
      </c>
      <c r="K2201" s="11" t="n">
        <v>0.05</v>
      </c>
      <c r="L2201" s="10">
        <f>I2201*J2201*(1-K2201)</f>
        <v/>
      </c>
      <c r="M2201" s="10" t="n">
        <v>50</v>
      </c>
      <c r="N2201" s="10">
        <f>L2201-M2201</f>
        <v/>
      </c>
    </row>
    <row r="2202">
      <c r="A2202" s="7" t="inlineStr">
        <is>
          <t>ORD-03617</t>
        </is>
      </c>
      <c r="B2202" s="8" t="n">
        <v>45412</v>
      </c>
      <c r="C2202" s="9" t="n">
        <v>45383</v>
      </c>
      <c r="D2202" s="7" t="n">
        <v>2024</v>
      </c>
      <c r="E2202" s="7" t="inlineStr">
        <is>
          <t>West</t>
        </is>
      </c>
      <c r="F2202" s="7" t="inlineStr">
        <is>
          <t>Technology</t>
        </is>
      </c>
      <c r="G2202" s="7" t="inlineStr">
        <is>
          <t>Laptop</t>
        </is>
      </c>
      <c r="H2202" s="7" t="inlineStr">
        <is>
          <t>Home Office</t>
        </is>
      </c>
      <c r="I2202" s="7" t="n">
        <v>1</v>
      </c>
      <c r="J2202" s="10" t="n">
        <v>917.77</v>
      </c>
      <c r="K2202" s="11" t="n">
        <v>0.3</v>
      </c>
      <c r="L2202" s="10">
        <f>I2202*J2202*(1-K2202)</f>
        <v/>
      </c>
      <c r="M2202" s="10" t="n">
        <v>702</v>
      </c>
      <c r="N2202" s="10">
        <f>L2202-M2202</f>
        <v/>
      </c>
    </row>
    <row r="2203">
      <c r="A2203" s="7" t="inlineStr">
        <is>
          <t>ORD-05825</t>
        </is>
      </c>
      <c r="B2203" s="8" t="n">
        <v>45413</v>
      </c>
      <c r="C2203" s="9" t="n">
        <v>45413</v>
      </c>
      <c r="D2203" s="7" t="n">
        <v>2024</v>
      </c>
      <c r="E2203" s="7" t="inlineStr">
        <is>
          <t>South</t>
        </is>
      </c>
      <c r="F2203" s="7" t="inlineStr">
        <is>
          <t>Office Supplies</t>
        </is>
      </c>
      <c r="G2203" s="7" t="inlineStr">
        <is>
          <t>Printer Ink</t>
        </is>
      </c>
      <c r="H2203" s="7" t="inlineStr">
        <is>
          <t>Corporate</t>
        </is>
      </c>
      <c r="I2203" s="7" t="n">
        <v>11</v>
      </c>
      <c r="J2203" s="10" t="n">
        <v>59.34</v>
      </c>
      <c r="K2203" s="11" t="n">
        <v>0</v>
      </c>
      <c r="L2203" s="10">
        <f>I2203*J2203*(1-K2203)</f>
        <v/>
      </c>
      <c r="M2203" s="10" t="n">
        <v>396</v>
      </c>
      <c r="N2203" s="10">
        <f>L2203-M2203</f>
        <v/>
      </c>
    </row>
    <row r="2204">
      <c r="A2204" s="7" t="inlineStr">
        <is>
          <t>ORD-01028</t>
        </is>
      </c>
      <c r="B2204" s="8" t="n">
        <v>45413</v>
      </c>
      <c r="C2204" s="9" t="n">
        <v>45413</v>
      </c>
      <c r="D2204" s="7" t="n">
        <v>2024</v>
      </c>
      <c r="E2204" s="7" t="inlineStr">
        <is>
          <t>West</t>
        </is>
      </c>
      <c r="F2204" s="7" t="inlineStr">
        <is>
          <t>Technology</t>
        </is>
      </c>
      <c r="G2204" s="7" t="inlineStr">
        <is>
          <t>Headphones</t>
        </is>
      </c>
      <c r="H2204" s="7" t="inlineStr">
        <is>
          <t>Consumer</t>
        </is>
      </c>
      <c r="I2204" s="7" t="n">
        <v>3</v>
      </c>
      <c r="J2204" s="10" t="n">
        <v>119.21</v>
      </c>
      <c r="K2204" s="11" t="n">
        <v>0</v>
      </c>
      <c r="L2204" s="10">
        <f>I2204*J2204*(1-K2204)</f>
        <v/>
      </c>
      <c r="M2204" s="10" t="n">
        <v>216</v>
      </c>
      <c r="N2204" s="10">
        <f>L2204-M2204</f>
        <v/>
      </c>
    </row>
    <row r="2205">
      <c r="A2205" s="7" t="inlineStr">
        <is>
          <t>ORD-00315</t>
        </is>
      </c>
      <c r="B2205" s="8" t="n">
        <v>45413</v>
      </c>
      <c r="C2205" s="9" t="n">
        <v>45413</v>
      </c>
      <c r="D2205" s="7" t="n">
        <v>2024</v>
      </c>
      <c r="E2205" s="7" t="inlineStr">
        <is>
          <t>South</t>
        </is>
      </c>
      <c r="F2205" s="7" t="inlineStr">
        <is>
          <t>Technology</t>
        </is>
      </c>
      <c r="G2205" s="7" t="inlineStr">
        <is>
          <t>Laptop</t>
        </is>
      </c>
      <c r="H2205" s="7" t="inlineStr">
        <is>
          <t>Corporate</t>
        </is>
      </c>
      <c r="I2205" s="7" t="n">
        <v>3</v>
      </c>
      <c r="J2205" s="10" t="n">
        <v>929.05</v>
      </c>
      <c r="K2205" s="11" t="n">
        <v>0.3</v>
      </c>
      <c r="L2205" s="10">
        <f>I2205*J2205*(1-K2205)</f>
        <v/>
      </c>
      <c r="M2205" s="10" t="n">
        <v>2106</v>
      </c>
      <c r="N2205" s="10">
        <f>L2205-M2205</f>
        <v/>
      </c>
    </row>
    <row r="2206">
      <c r="A2206" s="7" t="inlineStr">
        <is>
          <t>ORD-05484</t>
        </is>
      </c>
      <c r="B2206" s="8" t="n">
        <v>45413</v>
      </c>
      <c r="C2206" s="9" t="n">
        <v>45413</v>
      </c>
      <c r="D2206" s="7" t="n">
        <v>2024</v>
      </c>
      <c r="E2206" s="7" t="inlineStr">
        <is>
          <t>South</t>
        </is>
      </c>
      <c r="F2206" s="7" t="inlineStr">
        <is>
          <t>Furniture</t>
        </is>
      </c>
      <c r="G2206" s="7" t="inlineStr">
        <is>
          <t>Office Chair</t>
        </is>
      </c>
      <c r="H2206" s="7" t="inlineStr">
        <is>
          <t>Corporate</t>
        </is>
      </c>
      <c r="I2206" s="7" t="n">
        <v>4</v>
      </c>
      <c r="J2206" s="10" t="n">
        <v>211.71</v>
      </c>
      <c r="K2206" s="11" t="n">
        <v>0.05</v>
      </c>
      <c r="L2206" s="10">
        <f>I2206*J2206*(1-K2206)</f>
        <v/>
      </c>
      <c r="M2206" s="10" t="n">
        <v>721.6</v>
      </c>
      <c r="N2206" s="10">
        <f>L2206-M2206</f>
        <v/>
      </c>
    </row>
    <row r="2207">
      <c r="A2207" s="7" t="inlineStr">
        <is>
          <t>ORD-05986</t>
        </is>
      </c>
      <c r="B2207" s="8" t="n">
        <v>45413</v>
      </c>
      <c r="C2207" s="9" t="n">
        <v>45413</v>
      </c>
      <c r="D2207" s="7" t="n">
        <v>2024</v>
      </c>
      <c r="E2207" s="7" t="inlineStr">
        <is>
          <t>West</t>
        </is>
      </c>
      <c r="F2207" s="7" t="inlineStr">
        <is>
          <t>Furniture</t>
        </is>
      </c>
      <c r="G2207" s="7" t="inlineStr">
        <is>
          <t>Desk</t>
        </is>
      </c>
      <c r="H2207" s="7" t="inlineStr">
        <is>
          <t>Consumer</t>
        </is>
      </c>
      <c r="I2207" s="7" t="n">
        <v>3</v>
      </c>
      <c r="J2207" s="10" t="n">
        <v>450.7</v>
      </c>
      <c r="K2207" s="11" t="n">
        <v>0.05</v>
      </c>
      <c r="L2207" s="10">
        <f>I2207*J2207*(1-K2207)</f>
        <v/>
      </c>
      <c r="M2207" s="10" t="n">
        <v>1147.5</v>
      </c>
      <c r="N2207" s="10">
        <f>L2207-M2207</f>
        <v/>
      </c>
    </row>
    <row r="2208">
      <c r="A2208" s="7" t="inlineStr">
        <is>
          <t>ORD-04540</t>
        </is>
      </c>
      <c r="B2208" s="8" t="n">
        <v>45413</v>
      </c>
      <c r="C2208" s="9" t="n">
        <v>45413</v>
      </c>
      <c r="D2208" s="7" t="n">
        <v>2024</v>
      </c>
      <c r="E2208" s="7" t="inlineStr">
        <is>
          <t>North</t>
        </is>
      </c>
      <c r="F2208" s="7" t="inlineStr">
        <is>
          <t>Office Supplies</t>
        </is>
      </c>
      <c r="G2208" s="7" t="inlineStr">
        <is>
          <t>Stapler</t>
        </is>
      </c>
      <c r="H2208" s="7" t="inlineStr">
        <is>
          <t>Consumer</t>
        </is>
      </c>
      <c r="I2208" s="7" t="n">
        <v>4</v>
      </c>
      <c r="J2208" s="10" t="n">
        <v>14.74</v>
      </c>
      <c r="K2208" s="11" t="n">
        <v>0</v>
      </c>
      <c r="L2208" s="10">
        <f>I2208*J2208*(1-K2208)</f>
        <v/>
      </c>
      <c r="M2208" s="10" t="n">
        <v>30</v>
      </c>
      <c r="N2208" s="10">
        <f>L2208-M2208</f>
        <v/>
      </c>
    </row>
    <row r="2209">
      <c r="A2209" s="7" t="inlineStr">
        <is>
          <t>ORD-05167</t>
        </is>
      </c>
      <c r="B2209" s="8" t="n">
        <v>45413</v>
      </c>
      <c r="C2209" s="9" t="n">
        <v>45413</v>
      </c>
      <c r="D2209" s="7" t="n">
        <v>2024</v>
      </c>
      <c r="E2209" s="7" t="inlineStr">
        <is>
          <t>West</t>
        </is>
      </c>
      <c r="F2209" s="7" t="inlineStr">
        <is>
          <t>Furniture</t>
        </is>
      </c>
      <c r="G2209" s="7" t="inlineStr">
        <is>
          <t>Desk</t>
        </is>
      </c>
      <c r="H2209" s="7" t="inlineStr">
        <is>
          <t>Consumer</t>
        </is>
      </c>
      <c r="I2209" s="7" t="n">
        <v>4</v>
      </c>
      <c r="J2209" s="10" t="n">
        <v>451.12</v>
      </c>
      <c r="K2209" s="11" t="n">
        <v>0.05</v>
      </c>
      <c r="L2209" s="10">
        <f>I2209*J2209*(1-K2209)</f>
        <v/>
      </c>
      <c r="M2209" s="10" t="n">
        <v>1530</v>
      </c>
      <c r="N2209" s="10">
        <f>L2209-M2209</f>
        <v/>
      </c>
    </row>
    <row r="2210">
      <c r="A2210" s="7" t="inlineStr">
        <is>
          <t>ORD-02369</t>
        </is>
      </c>
      <c r="B2210" s="8" t="n">
        <v>45414</v>
      </c>
      <c r="C2210" s="9" t="n">
        <v>45413</v>
      </c>
      <c r="D2210" s="7" t="n">
        <v>2024</v>
      </c>
      <c r="E2210" s="7" t="inlineStr">
        <is>
          <t>East</t>
        </is>
      </c>
      <c r="F2210" s="7" t="inlineStr">
        <is>
          <t>Office Supplies</t>
        </is>
      </c>
      <c r="G2210" s="7" t="inlineStr">
        <is>
          <t>Stapler</t>
        </is>
      </c>
      <c r="H2210" s="7" t="inlineStr">
        <is>
          <t>Home Office</t>
        </is>
      </c>
      <c r="I2210" s="7" t="n">
        <v>14</v>
      </c>
      <c r="J2210" s="10" t="n">
        <v>14.82</v>
      </c>
      <c r="K2210" s="11" t="n">
        <v>0.05</v>
      </c>
      <c r="L2210" s="10">
        <f>I2210*J2210*(1-K2210)</f>
        <v/>
      </c>
      <c r="M2210" s="10" t="n">
        <v>105</v>
      </c>
      <c r="N2210" s="10">
        <f>L2210-M2210</f>
        <v/>
      </c>
    </row>
    <row r="2211">
      <c r="A2211" s="7" t="inlineStr">
        <is>
          <t>ORD-03335</t>
        </is>
      </c>
      <c r="B2211" s="8" t="n">
        <v>45414</v>
      </c>
      <c r="C2211" s="9" t="n">
        <v>45413</v>
      </c>
      <c r="D2211" s="7" t="n">
        <v>2024</v>
      </c>
      <c r="E2211" s="7" t="inlineStr">
        <is>
          <t>South</t>
        </is>
      </c>
      <c r="F2211" s="7" t="inlineStr">
        <is>
          <t>Office Supplies</t>
        </is>
      </c>
      <c r="G2211" s="7" t="inlineStr">
        <is>
          <t>Printer Ink</t>
        </is>
      </c>
      <c r="H2211" s="7" t="inlineStr">
        <is>
          <t>Consumer</t>
        </is>
      </c>
      <c r="I2211" s="7" t="n">
        <v>3</v>
      </c>
      <c r="J2211" s="10" t="n">
        <v>62.09</v>
      </c>
      <c r="K2211" s="11" t="n">
        <v>0.05</v>
      </c>
      <c r="L2211" s="10">
        <f>I2211*J2211*(1-K2211)</f>
        <v/>
      </c>
      <c r="M2211" s="10" t="n">
        <v>108</v>
      </c>
      <c r="N2211" s="10">
        <f>L2211-M2211</f>
        <v/>
      </c>
    </row>
    <row r="2212">
      <c r="A2212" s="7" t="inlineStr">
        <is>
          <t>ORD-04049</t>
        </is>
      </c>
      <c r="B2212" s="8" t="n">
        <v>45414</v>
      </c>
      <c r="C2212" s="9" t="n">
        <v>45413</v>
      </c>
      <c r="D2212" s="7" t="n">
        <v>2024</v>
      </c>
      <c r="E2212" s="7" t="inlineStr">
        <is>
          <t>North</t>
        </is>
      </c>
      <c r="F2212" s="7" t="inlineStr">
        <is>
          <t>Office Supplies</t>
        </is>
      </c>
      <c r="G2212" s="7" t="inlineStr">
        <is>
          <t>Pens</t>
        </is>
      </c>
      <c r="H2212" s="7" t="inlineStr">
        <is>
          <t>Home Office</t>
        </is>
      </c>
      <c r="I2212" s="7" t="n">
        <v>15</v>
      </c>
      <c r="J2212" s="10" t="n">
        <v>11.47</v>
      </c>
      <c r="K2212" s="11" t="n">
        <v>0.2</v>
      </c>
      <c r="L2212" s="10">
        <f>I2212*J2212*(1-K2212)</f>
        <v/>
      </c>
      <c r="M2212" s="10" t="n">
        <v>81</v>
      </c>
      <c r="N2212" s="10">
        <f>L2212-M2212</f>
        <v/>
      </c>
    </row>
    <row r="2213">
      <c r="A2213" s="7" t="inlineStr">
        <is>
          <t>ORD-00569</t>
        </is>
      </c>
      <c r="B2213" s="8" t="n">
        <v>45414</v>
      </c>
      <c r="C2213" s="9" t="n">
        <v>45413</v>
      </c>
      <c r="D2213" s="7" t="n">
        <v>2024</v>
      </c>
      <c r="E2213" s="7" t="inlineStr">
        <is>
          <t>South</t>
        </is>
      </c>
      <c r="F2213" s="7" t="inlineStr">
        <is>
          <t>Office Supplies</t>
        </is>
      </c>
      <c r="G2213" s="7" t="inlineStr">
        <is>
          <t>Pens</t>
        </is>
      </c>
      <c r="H2213" s="7" t="inlineStr">
        <is>
          <t>Home Office</t>
        </is>
      </c>
      <c r="I2213" s="7" t="n">
        <v>3</v>
      </c>
      <c r="J2213" s="10" t="n">
        <v>11.64</v>
      </c>
      <c r="K2213" s="11" t="n">
        <v>0.05</v>
      </c>
      <c r="L2213" s="10">
        <f>I2213*J2213*(1-K2213)</f>
        <v/>
      </c>
      <c r="M2213" s="10" t="n">
        <v>16.2</v>
      </c>
      <c r="N2213" s="10">
        <f>L2213-M2213</f>
        <v/>
      </c>
    </row>
    <row r="2214">
      <c r="A2214" s="7" t="inlineStr">
        <is>
          <t>ORD-03853</t>
        </is>
      </c>
      <c r="B2214" s="8" t="n">
        <v>45414</v>
      </c>
      <c r="C2214" s="9" t="n">
        <v>45413</v>
      </c>
      <c r="D2214" s="7" t="n">
        <v>2024</v>
      </c>
      <c r="E2214" s="7" t="inlineStr">
        <is>
          <t>East</t>
        </is>
      </c>
      <c r="F2214" s="7" t="inlineStr">
        <is>
          <t>Technology</t>
        </is>
      </c>
      <c r="G2214" s="7" t="inlineStr">
        <is>
          <t>Monitor</t>
        </is>
      </c>
      <c r="H2214" s="7" t="inlineStr">
        <is>
          <t>Home Office</t>
        </is>
      </c>
      <c r="I2214" s="7" t="n">
        <v>2</v>
      </c>
      <c r="J2214" s="10" t="n">
        <v>256.81</v>
      </c>
      <c r="K2214" s="11" t="n">
        <v>0.2</v>
      </c>
      <c r="L2214" s="10">
        <f>I2214*J2214*(1-K2214)</f>
        <v/>
      </c>
      <c r="M2214" s="10" t="n">
        <v>360</v>
      </c>
      <c r="N2214" s="10">
        <f>L2214-M2214</f>
        <v/>
      </c>
    </row>
    <row r="2215">
      <c r="A2215" s="7" t="inlineStr">
        <is>
          <t>ORD-02523</t>
        </is>
      </c>
      <c r="B2215" s="8" t="n">
        <v>45415</v>
      </c>
      <c r="C2215" s="9" t="n">
        <v>45413</v>
      </c>
      <c r="D2215" s="7" t="n">
        <v>2024</v>
      </c>
      <c r="E2215" s="7" t="inlineStr">
        <is>
          <t>North</t>
        </is>
      </c>
      <c r="F2215" s="7" t="inlineStr">
        <is>
          <t>Office Supplies</t>
        </is>
      </c>
      <c r="G2215" s="7" t="inlineStr">
        <is>
          <t>Paper</t>
        </is>
      </c>
      <c r="H2215" s="7" t="inlineStr">
        <is>
          <t>Consumer</t>
        </is>
      </c>
      <c r="I2215" s="7" t="n">
        <v>4</v>
      </c>
      <c r="J2215" s="10" t="n">
        <v>26.09</v>
      </c>
      <c r="K2215" s="11" t="n">
        <v>0.2</v>
      </c>
      <c r="L2215" s="10">
        <f>I2215*J2215*(1-K2215)</f>
        <v/>
      </c>
      <c r="M2215" s="10" t="n">
        <v>50</v>
      </c>
      <c r="N2215" s="10">
        <f>L2215-M2215</f>
        <v/>
      </c>
    </row>
    <row r="2216">
      <c r="A2216" s="7" t="inlineStr">
        <is>
          <t>ORD-01178</t>
        </is>
      </c>
      <c r="B2216" s="8" t="n">
        <v>45415</v>
      </c>
      <c r="C2216" s="9" t="n">
        <v>45413</v>
      </c>
      <c r="D2216" s="7" t="n">
        <v>2024</v>
      </c>
      <c r="E2216" s="7" t="inlineStr">
        <is>
          <t>North</t>
        </is>
      </c>
      <c r="F2216" s="7" t="inlineStr">
        <is>
          <t>Technology</t>
        </is>
      </c>
      <c r="G2216" s="7" t="inlineStr">
        <is>
          <t>Monitor</t>
        </is>
      </c>
      <c r="H2216" s="7" t="inlineStr">
        <is>
          <t>Consumer</t>
        </is>
      </c>
      <c r="I2216" s="7" t="n">
        <v>1</v>
      </c>
      <c r="J2216" s="10" t="n">
        <v>243.13</v>
      </c>
      <c r="K2216" s="11" t="n">
        <v>0.1</v>
      </c>
      <c r="L2216" s="10">
        <f>I2216*J2216*(1-K2216)</f>
        <v/>
      </c>
      <c r="M2216" s="10" t="n">
        <v>180</v>
      </c>
      <c r="N2216" s="10">
        <f>L2216-M2216</f>
        <v/>
      </c>
    </row>
    <row r="2217">
      <c r="A2217" s="7" t="inlineStr">
        <is>
          <t>ORD-00314</t>
        </is>
      </c>
      <c r="B2217" s="8" t="n">
        <v>45415</v>
      </c>
      <c r="C2217" s="9" t="n">
        <v>45413</v>
      </c>
      <c r="D2217" s="7" t="n">
        <v>2024</v>
      </c>
      <c r="E2217" s="7" t="inlineStr">
        <is>
          <t>West</t>
        </is>
      </c>
      <c r="F2217" s="7" t="inlineStr">
        <is>
          <t>Technology</t>
        </is>
      </c>
      <c r="G2217" s="7" t="inlineStr">
        <is>
          <t>Headphones</t>
        </is>
      </c>
      <c r="H2217" s="7" t="inlineStr">
        <is>
          <t>Consumer</t>
        </is>
      </c>
      <c r="I2217" s="7" t="n">
        <v>3</v>
      </c>
      <c r="J2217" s="10" t="n">
        <v>117.93</v>
      </c>
      <c r="K2217" s="11" t="n">
        <v>0.3</v>
      </c>
      <c r="L2217" s="10">
        <f>I2217*J2217*(1-K2217)</f>
        <v/>
      </c>
      <c r="M2217" s="10" t="n">
        <v>216</v>
      </c>
      <c r="N2217" s="10">
        <f>L2217-M2217</f>
        <v/>
      </c>
    </row>
    <row r="2218">
      <c r="A2218" s="7" t="inlineStr">
        <is>
          <t>ORD-05265</t>
        </is>
      </c>
      <c r="B2218" s="8" t="n">
        <v>45416</v>
      </c>
      <c r="C2218" s="9" t="n">
        <v>45413</v>
      </c>
      <c r="D2218" s="7" t="n">
        <v>2024</v>
      </c>
      <c r="E2218" s="7" t="inlineStr">
        <is>
          <t>West</t>
        </is>
      </c>
      <c r="F2218" s="7" t="inlineStr">
        <is>
          <t>Technology</t>
        </is>
      </c>
      <c r="G2218" s="7" t="inlineStr">
        <is>
          <t>Keyboard</t>
        </is>
      </c>
      <c r="H2218" s="7" t="inlineStr">
        <is>
          <t>Corporate</t>
        </is>
      </c>
      <c r="I2218" s="7" t="n">
        <v>2</v>
      </c>
      <c r="J2218" s="10" t="n">
        <v>46.14</v>
      </c>
      <c r="K2218" s="11" t="n">
        <v>0</v>
      </c>
      <c r="L2218" s="10">
        <f>I2218*J2218*(1-K2218)</f>
        <v/>
      </c>
      <c r="M2218" s="10" t="n">
        <v>49.5</v>
      </c>
      <c r="N2218" s="10">
        <f>L2218-M2218</f>
        <v/>
      </c>
    </row>
    <row r="2219">
      <c r="A2219" s="7" t="inlineStr">
        <is>
          <t>ORD-02239</t>
        </is>
      </c>
      <c r="B2219" s="8" t="n">
        <v>45416</v>
      </c>
      <c r="C2219" s="9" t="n">
        <v>45413</v>
      </c>
      <c r="D2219" s="7" t="n">
        <v>2024</v>
      </c>
      <c r="E2219" s="7" t="inlineStr">
        <is>
          <t>South</t>
        </is>
      </c>
      <c r="F2219" s="7" t="inlineStr">
        <is>
          <t>Office Supplies</t>
        </is>
      </c>
      <c r="G2219" s="7" t="inlineStr">
        <is>
          <t>Printer Ink</t>
        </is>
      </c>
      <c r="H2219" s="7" t="inlineStr">
        <is>
          <t>Corporate</t>
        </is>
      </c>
      <c r="I2219" s="7" t="n">
        <v>15</v>
      </c>
      <c r="J2219" s="10" t="n">
        <v>62.85</v>
      </c>
      <c r="K2219" s="11" t="n">
        <v>0.05</v>
      </c>
      <c r="L2219" s="10">
        <f>I2219*J2219*(1-K2219)</f>
        <v/>
      </c>
      <c r="M2219" s="10" t="n">
        <v>540</v>
      </c>
      <c r="N2219" s="10">
        <f>L2219-M2219</f>
        <v/>
      </c>
    </row>
    <row r="2220">
      <c r="A2220" s="7" t="inlineStr">
        <is>
          <t>ORD-02243</t>
        </is>
      </c>
      <c r="B2220" s="8" t="n">
        <v>45416</v>
      </c>
      <c r="C2220" s="9" t="n">
        <v>45413</v>
      </c>
      <c r="D2220" s="7" t="n">
        <v>2024</v>
      </c>
      <c r="E2220" s="7" t="inlineStr">
        <is>
          <t>North</t>
        </is>
      </c>
      <c r="F2220" s="7" t="inlineStr">
        <is>
          <t>Technology</t>
        </is>
      </c>
      <c r="G2220" s="7" t="inlineStr">
        <is>
          <t>Smartphone</t>
        </is>
      </c>
      <c r="H2220" s="7" t="inlineStr">
        <is>
          <t>Home Office</t>
        </is>
      </c>
      <c r="I2220" s="7" t="n">
        <v>2</v>
      </c>
      <c r="J2220" s="10" t="n">
        <v>588.16</v>
      </c>
      <c r="K2220" s="11" t="n">
        <v>0</v>
      </c>
      <c r="L2220" s="10">
        <f>I2220*J2220*(1-K2220)</f>
        <v/>
      </c>
      <c r="M2220" s="10" t="n">
        <v>900</v>
      </c>
      <c r="N2220" s="10">
        <f>L2220-M2220</f>
        <v/>
      </c>
    </row>
    <row r="2221">
      <c r="A2221" s="7" t="inlineStr">
        <is>
          <t>ORD-05949</t>
        </is>
      </c>
      <c r="B2221" s="8" t="n">
        <v>45416</v>
      </c>
      <c r="C2221" s="9" t="n">
        <v>45413</v>
      </c>
      <c r="D2221" s="7" t="n">
        <v>2024</v>
      </c>
      <c r="E2221" s="7" t="inlineStr">
        <is>
          <t>East</t>
        </is>
      </c>
      <c r="F2221" s="7" t="inlineStr">
        <is>
          <t>Technology</t>
        </is>
      </c>
      <c r="G2221" s="7" t="inlineStr">
        <is>
          <t>Laptop</t>
        </is>
      </c>
      <c r="H2221" s="7" t="inlineStr">
        <is>
          <t>Consumer</t>
        </is>
      </c>
      <c r="I2221" s="7" t="n">
        <v>1</v>
      </c>
      <c r="J2221" s="10" t="n">
        <v>909.28</v>
      </c>
      <c r="K2221" s="11" t="n">
        <v>0.2</v>
      </c>
      <c r="L2221" s="10">
        <f>I2221*J2221*(1-K2221)</f>
        <v/>
      </c>
      <c r="M2221" s="10" t="n">
        <v>702</v>
      </c>
      <c r="N2221" s="10">
        <f>L2221-M2221</f>
        <v/>
      </c>
    </row>
    <row r="2222">
      <c r="A2222" s="7" t="inlineStr">
        <is>
          <t>ORD-01974</t>
        </is>
      </c>
      <c r="B2222" s="8" t="n">
        <v>45416</v>
      </c>
      <c r="C2222" s="9" t="n">
        <v>45413</v>
      </c>
      <c r="D2222" s="7" t="n">
        <v>2024</v>
      </c>
      <c r="E2222" s="7" t="inlineStr">
        <is>
          <t>West</t>
        </is>
      </c>
      <c r="F2222" s="7" t="inlineStr">
        <is>
          <t>Office Supplies</t>
        </is>
      </c>
      <c r="G2222" s="7" t="inlineStr">
        <is>
          <t>Pens</t>
        </is>
      </c>
      <c r="H2222" s="7" t="inlineStr">
        <is>
          <t>Consumer</t>
        </is>
      </c>
      <c r="I2222" s="7" t="n">
        <v>11</v>
      </c>
      <c r="J2222" s="10" t="n">
        <v>12.08</v>
      </c>
      <c r="K2222" s="11" t="n">
        <v>0</v>
      </c>
      <c r="L2222" s="10">
        <f>I2222*J2222*(1-K2222)</f>
        <v/>
      </c>
      <c r="M2222" s="10" t="n">
        <v>59.4</v>
      </c>
      <c r="N2222" s="10">
        <f>L2222-M2222</f>
        <v/>
      </c>
    </row>
    <row r="2223">
      <c r="A2223" s="7" t="inlineStr">
        <is>
          <t>ORD-02475</t>
        </is>
      </c>
      <c r="B2223" s="8" t="n">
        <v>45416</v>
      </c>
      <c r="C2223" s="9" t="n">
        <v>45413</v>
      </c>
      <c r="D2223" s="7" t="n">
        <v>2024</v>
      </c>
      <c r="E2223" s="7" t="inlineStr">
        <is>
          <t>West</t>
        </is>
      </c>
      <c r="F2223" s="7" t="inlineStr">
        <is>
          <t>Office Supplies</t>
        </is>
      </c>
      <c r="G2223" s="7" t="inlineStr">
        <is>
          <t>Pens</t>
        </is>
      </c>
      <c r="H2223" s="7" t="inlineStr">
        <is>
          <t>Consumer</t>
        </is>
      </c>
      <c r="I2223" s="7" t="n">
        <v>5</v>
      </c>
      <c r="J2223" s="10" t="n">
        <v>11.83</v>
      </c>
      <c r="K2223" s="11" t="n">
        <v>0.05</v>
      </c>
      <c r="L2223" s="10">
        <f>I2223*J2223*(1-K2223)</f>
        <v/>
      </c>
      <c r="M2223" s="10" t="n">
        <v>27</v>
      </c>
      <c r="N2223" s="10">
        <f>L2223-M2223</f>
        <v/>
      </c>
    </row>
    <row r="2224">
      <c r="A2224" s="7" t="inlineStr">
        <is>
          <t>ORD-04081</t>
        </is>
      </c>
      <c r="B2224" s="8" t="n">
        <v>45417</v>
      </c>
      <c r="C2224" s="9" t="n">
        <v>45413</v>
      </c>
      <c r="D2224" s="7" t="n">
        <v>2024</v>
      </c>
      <c r="E2224" s="7" t="inlineStr">
        <is>
          <t>East</t>
        </is>
      </c>
      <c r="F2224" s="7" t="inlineStr">
        <is>
          <t>Office Supplies</t>
        </is>
      </c>
      <c r="G2224" s="7" t="inlineStr">
        <is>
          <t>Binder</t>
        </is>
      </c>
      <c r="H2224" s="7" t="inlineStr">
        <is>
          <t>Consumer</t>
        </is>
      </c>
      <c r="I2224" s="7" t="n">
        <v>12</v>
      </c>
      <c r="J2224" s="10" t="n">
        <v>8.07</v>
      </c>
      <c r="K2224" s="11" t="n">
        <v>0.1</v>
      </c>
      <c r="L2224" s="10">
        <f>I2224*J2224*(1-K2224)</f>
        <v/>
      </c>
      <c r="M2224" s="10" t="n">
        <v>38.4</v>
      </c>
      <c r="N2224" s="10">
        <f>L2224-M2224</f>
        <v/>
      </c>
    </row>
    <row r="2225">
      <c r="A2225" s="7" t="inlineStr">
        <is>
          <t>ORD-01554</t>
        </is>
      </c>
      <c r="B2225" s="8" t="n">
        <v>45417</v>
      </c>
      <c r="C2225" s="9" t="n">
        <v>45413</v>
      </c>
      <c r="D2225" s="7" t="n">
        <v>2024</v>
      </c>
      <c r="E2225" s="7" t="inlineStr">
        <is>
          <t>West</t>
        </is>
      </c>
      <c r="F2225" s="7" t="inlineStr">
        <is>
          <t>Technology</t>
        </is>
      </c>
      <c r="G2225" s="7" t="inlineStr">
        <is>
          <t>Headphones</t>
        </is>
      </c>
      <c r="H2225" s="7" t="inlineStr">
        <is>
          <t>Home Office</t>
        </is>
      </c>
      <c r="I2225" s="7" t="n">
        <v>1</v>
      </c>
      <c r="J2225" s="10" t="n">
        <v>114.19</v>
      </c>
      <c r="K2225" s="11" t="n">
        <v>0.1</v>
      </c>
      <c r="L2225" s="10">
        <f>I2225*J2225*(1-K2225)</f>
        <v/>
      </c>
      <c r="M2225" s="10" t="n">
        <v>72</v>
      </c>
      <c r="N2225" s="10">
        <f>L2225-M2225</f>
        <v/>
      </c>
    </row>
    <row r="2226">
      <c r="A2226" s="7" t="inlineStr">
        <is>
          <t>ORD-02338</t>
        </is>
      </c>
      <c r="B2226" s="8" t="n">
        <v>45417</v>
      </c>
      <c r="C2226" s="9" t="n">
        <v>45413</v>
      </c>
      <c r="D2226" s="7" t="n">
        <v>2024</v>
      </c>
      <c r="E2226" s="7" t="inlineStr">
        <is>
          <t>West</t>
        </is>
      </c>
      <c r="F2226" s="7" t="inlineStr">
        <is>
          <t>Technology</t>
        </is>
      </c>
      <c r="G2226" s="7" t="inlineStr">
        <is>
          <t>Headphones</t>
        </is>
      </c>
      <c r="H2226" s="7" t="inlineStr">
        <is>
          <t>Home Office</t>
        </is>
      </c>
      <c r="I2226" s="7" t="n">
        <v>2</v>
      </c>
      <c r="J2226" s="10" t="n">
        <v>115.83</v>
      </c>
      <c r="K2226" s="11" t="n">
        <v>0</v>
      </c>
      <c r="L2226" s="10">
        <f>I2226*J2226*(1-K2226)</f>
        <v/>
      </c>
      <c r="M2226" s="10" t="n">
        <v>144</v>
      </c>
      <c r="N2226" s="10">
        <f>L2226-M2226</f>
        <v/>
      </c>
    </row>
    <row r="2227">
      <c r="A2227" s="7" t="inlineStr">
        <is>
          <t>ORD-05539</t>
        </is>
      </c>
      <c r="B2227" s="8" t="n">
        <v>45417</v>
      </c>
      <c r="C2227" s="9" t="n">
        <v>45413</v>
      </c>
      <c r="D2227" s="7" t="n">
        <v>2024</v>
      </c>
      <c r="E2227" s="7" t="inlineStr">
        <is>
          <t>South</t>
        </is>
      </c>
      <c r="F2227" s="7" t="inlineStr">
        <is>
          <t>Office Supplies</t>
        </is>
      </c>
      <c r="G2227" s="7" t="inlineStr">
        <is>
          <t>Printer Ink</t>
        </is>
      </c>
      <c r="H2227" s="7" t="inlineStr">
        <is>
          <t>Corporate</t>
        </is>
      </c>
      <c r="I2227" s="7" t="n">
        <v>11</v>
      </c>
      <c r="J2227" s="10" t="n">
        <v>60.9</v>
      </c>
      <c r="K2227" s="11" t="n">
        <v>0.2</v>
      </c>
      <c r="L2227" s="10">
        <f>I2227*J2227*(1-K2227)</f>
        <v/>
      </c>
      <c r="M2227" s="10" t="n">
        <v>396</v>
      </c>
      <c r="N2227" s="10">
        <f>L2227-M2227</f>
        <v/>
      </c>
    </row>
    <row r="2228">
      <c r="A2228" s="7" t="inlineStr">
        <is>
          <t>ORD-05680</t>
        </is>
      </c>
      <c r="B2228" s="8" t="n">
        <v>45418</v>
      </c>
      <c r="C2228" s="9" t="n">
        <v>45413</v>
      </c>
      <c r="D2228" s="7" t="n">
        <v>2024</v>
      </c>
      <c r="E2228" s="7" t="inlineStr">
        <is>
          <t>East</t>
        </is>
      </c>
      <c r="F2228" s="7" t="inlineStr">
        <is>
          <t>Technology</t>
        </is>
      </c>
      <c r="G2228" s="7" t="inlineStr">
        <is>
          <t>Headphones</t>
        </is>
      </c>
      <c r="H2228" s="7" t="inlineStr">
        <is>
          <t>Corporate</t>
        </is>
      </c>
      <c r="I2228" s="7" t="n">
        <v>2</v>
      </c>
      <c r="J2228" s="10" t="n">
        <v>120.62</v>
      </c>
      <c r="K2228" s="11" t="n">
        <v>0</v>
      </c>
      <c r="L2228" s="10">
        <f>I2228*J2228*(1-K2228)</f>
        <v/>
      </c>
      <c r="M2228" s="10" t="n">
        <v>144</v>
      </c>
      <c r="N2228" s="10">
        <f>L2228-M2228</f>
        <v/>
      </c>
    </row>
    <row r="2229">
      <c r="A2229" s="7" t="inlineStr">
        <is>
          <t>ORD-04967</t>
        </is>
      </c>
      <c r="B2229" s="8" t="n">
        <v>45418</v>
      </c>
      <c r="C2229" s="9" t="n">
        <v>45413</v>
      </c>
      <c r="D2229" s="7" t="n">
        <v>2024</v>
      </c>
      <c r="E2229" s="7" t="inlineStr">
        <is>
          <t>East</t>
        </is>
      </c>
      <c r="F2229" s="7" t="inlineStr">
        <is>
          <t>Office Supplies</t>
        </is>
      </c>
      <c r="G2229" s="7" t="inlineStr">
        <is>
          <t>Paper</t>
        </is>
      </c>
      <c r="H2229" s="7" t="inlineStr">
        <is>
          <t>Consumer</t>
        </is>
      </c>
      <c r="I2229" s="7" t="n">
        <v>10</v>
      </c>
      <c r="J2229" s="10" t="n">
        <v>26.02</v>
      </c>
      <c r="K2229" s="11" t="n">
        <v>0.1</v>
      </c>
      <c r="L2229" s="10">
        <f>I2229*J2229*(1-K2229)</f>
        <v/>
      </c>
      <c r="M2229" s="10" t="n">
        <v>125</v>
      </c>
      <c r="N2229" s="10">
        <f>L2229-M2229</f>
        <v/>
      </c>
    </row>
    <row r="2230">
      <c r="A2230" s="7" t="inlineStr">
        <is>
          <t>ORD-03871</t>
        </is>
      </c>
      <c r="B2230" s="8" t="n">
        <v>45418</v>
      </c>
      <c r="C2230" s="9" t="n">
        <v>45413</v>
      </c>
      <c r="D2230" s="7" t="n">
        <v>2024</v>
      </c>
      <c r="E2230" s="7" t="inlineStr">
        <is>
          <t>West</t>
        </is>
      </c>
      <c r="F2230" s="7" t="inlineStr">
        <is>
          <t>Office Supplies</t>
        </is>
      </c>
      <c r="G2230" s="7" t="inlineStr">
        <is>
          <t>Pens</t>
        </is>
      </c>
      <c r="H2230" s="7" t="inlineStr">
        <is>
          <t>Consumer</t>
        </is>
      </c>
      <c r="I2230" s="7" t="n">
        <v>3</v>
      </c>
      <c r="J2230" s="10" t="n">
        <v>11.51</v>
      </c>
      <c r="K2230" s="11" t="n">
        <v>0</v>
      </c>
      <c r="L2230" s="10">
        <f>I2230*J2230*(1-K2230)</f>
        <v/>
      </c>
      <c r="M2230" s="10" t="n">
        <v>16.2</v>
      </c>
      <c r="N2230" s="10">
        <f>L2230-M2230</f>
        <v/>
      </c>
    </row>
    <row r="2231">
      <c r="A2231" s="7" t="inlineStr">
        <is>
          <t>ORD-01348</t>
        </is>
      </c>
      <c r="B2231" s="8" t="n">
        <v>45418</v>
      </c>
      <c r="C2231" s="9" t="n">
        <v>45413</v>
      </c>
      <c r="D2231" s="7" t="n">
        <v>2024</v>
      </c>
      <c r="E2231" s="7" t="inlineStr">
        <is>
          <t>East</t>
        </is>
      </c>
      <c r="F2231" s="7" t="inlineStr">
        <is>
          <t>Technology</t>
        </is>
      </c>
      <c r="G2231" s="7" t="inlineStr">
        <is>
          <t>Laptop</t>
        </is>
      </c>
      <c r="H2231" s="7" t="inlineStr">
        <is>
          <t>Corporate</t>
        </is>
      </c>
      <c r="I2231" s="7" t="n">
        <v>3</v>
      </c>
      <c r="J2231" s="10" t="n">
        <v>925.85</v>
      </c>
      <c r="K2231" s="11" t="n">
        <v>0</v>
      </c>
      <c r="L2231" s="10">
        <f>I2231*J2231*(1-K2231)</f>
        <v/>
      </c>
      <c r="M2231" s="10" t="n">
        <v>2106</v>
      </c>
      <c r="N2231" s="10">
        <f>L2231-M2231</f>
        <v/>
      </c>
    </row>
    <row r="2232">
      <c r="A2232" s="7" t="inlineStr">
        <is>
          <t>ORD-01503</t>
        </is>
      </c>
      <c r="B2232" s="8" t="n">
        <v>45419</v>
      </c>
      <c r="C2232" s="9" t="n">
        <v>45413</v>
      </c>
      <c r="D2232" s="7" t="n">
        <v>2024</v>
      </c>
      <c r="E2232" s="7" t="inlineStr">
        <is>
          <t>West</t>
        </is>
      </c>
      <c r="F2232" s="7" t="inlineStr">
        <is>
          <t>Office Supplies</t>
        </is>
      </c>
      <c r="G2232" s="7" t="inlineStr">
        <is>
          <t>Paper</t>
        </is>
      </c>
      <c r="H2232" s="7" t="inlineStr">
        <is>
          <t>Corporate</t>
        </is>
      </c>
      <c r="I2232" s="7" t="n">
        <v>12</v>
      </c>
      <c r="J2232" s="10" t="n">
        <v>24.08</v>
      </c>
      <c r="K2232" s="11" t="n">
        <v>0.1</v>
      </c>
      <c r="L2232" s="10">
        <f>I2232*J2232*(1-K2232)</f>
        <v/>
      </c>
      <c r="M2232" s="10" t="n">
        <v>150</v>
      </c>
      <c r="N2232" s="10">
        <f>L2232-M2232</f>
        <v/>
      </c>
    </row>
    <row r="2233">
      <c r="A2233" s="7" t="inlineStr">
        <is>
          <t>ORD-00932</t>
        </is>
      </c>
      <c r="B2233" s="8" t="n">
        <v>45419</v>
      </c>
      <c r="C2233" s="9" t="n">
        <v>45413</v>
      </c>
      <c r="D2233" s="7" t="n">
        <v>2024</v>
      </c>
      <c r="E2233" s="7" t="inlineStr">
        <is>
          <t>South</t>
        </is>
      </c>
      <c r="F2233" s="7" t="inlineStr">
        <is>
          <t>Office Supplies</t>
        </is>
      </c>
      <c r="G2233" s="7" t="inlineStr">
        <is>
          <t>Paper</t>
        </is>
      </c>
      <c r="H2233" s="7" t="inlineStr">
        <is>
          <t>Corporate</t>
        </is>
      </c>
      <c r="I2233" s="7" t="n">
        <v>9</v>
      </c>
      <c r="J2233" s="10" t="n">
        <v>24.89</v>
      </c>
      <c r="K2233" s="11" t="n">
        <v>0</v>
      </c>
      <c r="L2233" s="10">
        <f>I2233*J2233*(1-K2233)</f>
        <v/>
      </c>
      <c r="M2233" s="10" t="n">
        <v>112.5</v>
      </c>
      <c r="N2233" s="10">
        <f>L2233-M2233</f>
        <v/>
      </c>
    </row>
    <row r="2234">
      <c r="A2234" s="7" t="inlineStr">
        <is>
          <t>ORD-00166</t>
        </is>
      </c>
      <c r="B2234" s="8" t="n">
        <v>45419</v>
      </c>
      <c r="C2234" s="9" t="n">
        <v>45413</v>
      </c>
      <c r="D2234" s="7" t="n">
        <v>2024</v>
      </c>
      <c r="E2234" s="7" t="inlineStr">
        <is>
          <t>South</t>
        </is>
      </c>
      <c r="F2234" s="7" t="inlineStr">
        <is>
          <t>Technology</t>
        </is>
      </c>
      <c r="G2234" s="7" t="inlineStr">
        <is>
          <t>Laptop</t>
        </is>
      </c>
      <c r="H2234" s="7" t="inlineStr">
        <is>
          <t>Consumer</t>
        </is>
      </c>
      <c r="I2234" s="7" t="n">
        <v>2</v>
      </c>
      <c r="J2234" s="10" t="n">
        <v>871.5700000000001</v>
      </c>
      <c r="K2234" s="11" t="n">
        <v>0</v>
      </c>
      <c r="L2234" s="10">
        <f>I2234*J2234*(1-K2234)</f>
        <v/>
      </c>
      <c r="M2234" s="10" t="n">
        <v>1404</v>
      </c>
      <c r="N2234" s="10">
        <f>L2234-M2234</f>
        <v/>
      </c>
    </row>
    <row r="2235">
      <c r="A2235" s="7" t="inlineStr">
        <is>
          <t>ORD-01627</t>
        </is>
      </c>
      <c r="B2235" s="8" t="n">
        <v>45419</v>
      </c>
      <c r="C2235" s="9" t="n">
        <v>45413</v>
      </c>
      <c r="D2235" s="7" t="n">
        <v>2024</v>
      </c>
      <c r="E2235" s="7" t="inlineStr">
        <is>
          <t>North</t>
        </is>
      </c>
      <c r="F2235" s="7" t="inlineStr">
        <is>
          <t>Office Supplies</t>
        </is>
      </c>
      <c r="G2235" s="7" t="inlineStr">
        <is>
          <t>Binder</t>
        </is>
      </c>
      <c r="H2235" s="7" t="inlineStr">
        <is>
          <t>Corporate</t>
        </is>
      </c>
      <c r="I2235" s="7" t="n">
        <v>10</v>
      </c>
      <c r="J2235" s="10" t="n">
        <v>8.279999999999999</v>
      </c>
      <c r="K2235" s="11" t="n">
        <v>0</v>
      </c>
      <c r="L2235" s="10">
        <f>I2235*J2235*(1-K2235)</f>
        <v/>
      </c>
      <c r="M2235" s="10" t="n">
        <v>32</v>
      </c>
      <c r="N2235" s="10">
        <f>L2235-M2235</f>
        <v/>
      </c>
    </row>
    <row r="2236">
      <c r="A2236" s="7" t="inlineStr">
        <is>
          <t>ORD-04411</t>
        </is>
      </c>
      <c r="B2236" s="8" t="n">
        <v>45419</v>
      </c>
      <c r="C2236" s="9" t="n">
        <v>45413</v>
      </c>
      <c r="D2236" s="7" t="n">
        <v>2024</v>
      </c>
      <c r="E2236" s="7" t="inlineStr">
        <is>
          <t>East</t>
        </is>
      </c>
      <c r="F2236" s="7" t="inlineStr">
        <is>
          <t>Office Supplies</t>
        </is>
      </c>
      <c r="G2236" s="7" t="inlineStr">
        <is>
          <t>Paper</t>
        </is>
      </c>
      <c r="H2236" s="7" t="inlineStr">
        <is>
          <t>Consumer</t>
        </is>
      </c>
      <c r="I2236" s="7" t="n">
        <v>11</v>
      </c>
      <c r="J2236" s="10" t="n">
        <v>25.66</v>
      </c>
      <c r="K2236" s="11" t="n">
        <v>0.05</v>
      </c>
      <c r="L2236" s="10">
        <f>I2236*J2236*(1-K2236)</f>
        <v/>
      </c>
      <c r="M2236" s="10" t="n">
        <v>137.5</v>
      </c>
      <c r="N2236" s="10">
        <f>L2236-M2236</f>
        <v/>
      </c>
    </row>
    <row r="2237">
      <c r="A2237" s="7" t="inlineStr">
        <is>
          <t>ORD-00011</t>
        </is>
      </c>
      <c r="B2237" s="8" t="n">
        <v>45419</v>
      </c>
      <c r="C2237" s="9" t="n">
        <v>45413</v>
      </c>
      <c r="D2237" s="7" t="n">
        <v>2024</v>
      </c>
      <c r="E2237" s="7" t="inlineStr">
        <is>
          <t>South</t>
        </is>
      </c>
      <c r="F2237" s="7" t="inlineStr">
        <is>
          <t>Office Supplies</t>
        </is>
      </c>
      <c r="G2237" s="7" t="inlineStr">
        <is>
          <t>Pens</t>
        </is>
      </c>
      <c r="H2237" s="7" t="inlineStr">
        <is>
          <t>Home Office</t>
        </is>
      </c>
      <c r="I2237" s="7" t="n">
        <v>14</v>
      </c>
      <c r="J2237" s="10" t="n">
        <v>12.45</v>
      </c>
      <c r="K2237" s="11" t="n">
        <v>0.1</v>
      </c>
      <c r="L2237" s="10">
        <f>I2237*J2237*(1-K2237)</f>
        <v/>
      </c>
      <c r="M2237" s="10" t="n">
        <v>75.59999999999999</v>
      </c>
      <c r="N2237" s="10">
        <f>L2237-M2237</f>
        <v/>
      </c>
    </row>
    <row r="2238">
      <c r="A2238" s="7" t="inlineStr">
        <is>
          <t>ORD-00522</t>
        </is>
      </c>
      <c r="B2238" s="8" t="n">
        <v>45420</v>
      </c>
      <c r="C2238" s="9" t="n">
        <v>45413</v>
      </c>
      <c r="D2238" s="7" t="n">
        <v>2024</v>
      </c>
      <c r="E2238" s="7" t="inlineStr">
        <is>
          <t>East</t>
        </is>
      </c>
      <c r="F2238" s="7" t="inlineStr">
        <is>
          <t>Technology</t>
        </is>
      </c>
      <c r="G2238" s="7" t="inlineStr">
        <is>
          <t>Smartphone</t>
        </is>
      </c>
      <c r="H2238" s="7" t="inlineStr">
        <is>
          <t>Corporate</t>
        </is>
      </c>
      <c r="I2238" s="7" t="n">
        <v>3</v>
      </c>
      <c r="J2238" s="10" t="n">
        <v>583.5700000000001</v>
      </c>
      <c r="K2238" s="11" t="n">
        <v>0</v>
      </c>
      <c r="L2238" s="10">
        <f>I2238*J2238*(1-K2238)</f>
        <v/>
      </c>
      <c r="M2238" s="10" t="n">
        <v>1350</v>
      </c>
      <c r="N2238" s="10">
        <f>L2238-M2238</f>
        <v/>
      </c>
    </row>
    <row r="2239">
      <c r="A2239" s="7" t="inlineStr">
        <is>
          <t>ORD-04434</t>
        </is>
      </c>
      <c r="B2239" s="8" t="n">
        <v>45420</v>
      </c>
      <c r="C2239" s="9" t="n">
        <v>45413</v>
      </c>
      <c r="D2239" s="7" t="n">
        <v>2024</v>
      </c>
      <c r="E2239" s="7" t="inlineStr">
        <is>
          <t>East</t>
        </is>
      </c>
      <c r="F2239" s="7" t="inlineStr">
        <is>
          <t>Office Supplies</t>
        </is>
      </c>
      <c r="G2239" s="7" t="inlineStr">
        <is>
          <t>Binder</t>
        </is>
      </c>
      <c r="H2239" s="7" t="inlineStr">
        <is>
          <t>Home Office</t>
        </is>
      </c>
      <c r="I2239" s="7" t="n">
        <v>7</v>
      </c>
      <c r="J2239" s="10" t="n">
        <v>7.7</v>
      </c>
      <c r="K2239" s="11" t="n">
        <v>0</v>
      </c>
      <c r="L2239" s="10">
        <f>I2239*J2239*(1-K2239)</f>
        <v/>
      </c>
      <c r="M2239" s="10" t="n">
        <v>22.4</v>
      </c>
      <c r="N2239" s="10">
        <f>L2239-M2239</f>
        <v/>
      </c>
    </row>
    <row r="2240">
      <c r="A2240" s="7" t="inlineStr">
        <is>
          <t>ORD-03985</t>
        </is>
      </c>
      <c r="B2240" s="8" t="n">
        <v>45420</v>
      </c>
      <c r="C2240" s="9" t="n">
        <v>45413</v>
      </c>
      <c r="D2240" s="7" t="n">
        <v>2024</v>
      </c>
      <c r="E2240" s="7" t="inlineStr">
        <is>
          <t>South</t>
        </is>
      </c>
      <c r="F2240" s="7" t="inlineStr">
        <is>
          <t>Technology</t>
        </is>
      </c>
      <c r="G2240" s="7" t="inlineStr">
        <is>
          <t>Smartphone</t>
        </is>
      </c>
      <c r="H2240" s="7" t="inlineStr">
        <is>
          <t>Consumer</t>
        </is>
      </c>
      <c r="I2240" s="7" t="n">
        <v>3</v>
      </c>
      <c r="J2240" s="10" t="n">
        <v>596.21</v>
      </c>
      <c r="K2240" s="11" t="n">
        <v>0.2</v>
      </c>
      <c r="L2240" s="10">
        <f>I2240*J2240*(1-K2240)</f>
        <v/>
      </c>
      <c r="M2240" s="10" t="n">
        <v>1350</v>
      </c>
      <c r="N2240" s="10">
        <f>L2240-M2240</f>
        <v/>
      </c>
    </row>
    <row r="2241">
      <c r="A2241" s="7" t="inlineStr">
        <is>
          <t>ORD-02839</t>
        </is>
      </c>
      <c r="B2241" s="8" t="n">
        <v>45420</v>
      </c>
      <c r="C2241" s="9" t="n">
        <v>45413</v>
      </c>
      <c r="D2241" s="7" t="n">
        <v>2024</v>
      </c>
      <c r="E2241" s="7" t="inlineStr">
        <is>
          <t>West</t>
        </is>
      </c>
      <c r="F2241" s="7" t="inlineStr">
        <is>
          <t>Office Supplies</t>
        </is>
      </c>
      <c r="G2241" s="7" t="inlineStr">
        <is>
          <t>Printer Ink</t>
        </is>
      </c>
      <c r="H2241" s="7" t="inlineStr">
        <is>
          <t>Corporate</t>
        </is>
      </c>
      <c r="I2241" s="7" t="n">
        <v>2</v>
      </c>
      <c r="J2241" s="10" t="n">
        <v>62.66</v>
      </c>
      <c r="K2241" s="11" t="n">
        <v>0.2</v>
      </c>
      <c r="L2241" s="10">
        <f>I2241*J2241*(1-K2241)</f>
        <v/>
      </c>
      <c r="M2241" s="10" t="n">
        <v>72</v>
      </c>
      <c r="N2241" s="10">
        <f>L2241-M2241</f>
        <v/>
      </c>
    </row>
    <row r="2242">
      <c r="A2242" s="7" t="inlineStr">
        <is>
          <t>ORD-00634</t>
        </is>
      </c>
      <c r="B2242" s="8" t="n">
        <v>45421</v>
      </c>
      <c r="C2242" s="9" t="n">
        <v>45413</v>
      </c>
      <c r="D2242" s="7" t="n">
        <v>2024</v>
      </c>
      <c r="E2242" s="7" t="inlineStr">
        <is>
          <t>East</t>
        </is>
      </c>
      <c r="F2242" s="7" t="inlineStr">
        <is>
          <t>Technology</t>
        </is>
      </c>
      <c r="G2242" s="7" t="inlineStr">
        <is>
          <t>Laptop</t>
        </is>
      </c>
      <c r="H2242" s="7" t="inlineStr">
        <is>
          <t>Consumer</t>
        </is>
      </c>
      <c r="I2242" s="7" t="n">
        <v>3</v>
      </c>
      <c r="J2242" s="10" t="n">
        <v>892.21</v>
      </c>
      <c r="K2242" s="11" t="n">
        <v>0.3</v>
      </c>
      <c r="L2242" s="10">
        <f>I2242*J2242*(1-K2242)</f>
        <v/>
      </c>
      <c r="M2242" s="10" t="n">
        <v>2106</v>
      </c>
      <c r="N2242" s="10">
        <f>L2242-M2242</f>
        <v/>
      </c>
    </row>
    <row r="2243">
      <c r="A2243" s="7" t="inlineStr">
        <is>
          <t>ORD-01327</t>
        </is>
      </c>
      <c r="B2243" s="8" t="n">
        <v>45421</v>
      </c>
      <c r="C2243" s="9" t="n">
        <v>45413</v>
      </c>
      <c r="D2243" s="7" t="n">
        <v>2024</v>
      </c>
      <c r="E2243" s="7" t="inlineStr">
        <is>
          <t>North</t>
        </is>
      </c>
      <c r="F2243" s="7" t="inlineStr">
        <is>
          <t>Office Supplies</t>
        </is>
      </c>
      <c r="G2243" s="7" t="inlineStr">
        <is>
          <t>Printer Ink</t>
        </is>
      </c>
      <c r="H2243" s="7" t="inlineStr">
        <is>
          <t>Home Office</t>
        </is>
      </c>
      <c r="I2243" s="7" t="n">
        <v>10</v>
      </c>
      <c r="J2243" s="10" t="n">
        <v>61.92</v>
      </c>
      <c r="K2243" s="11" t="n">
        <v>0.3</v>
      </c>
      <c r="L2243" s="10">
        <f>I2243*J2243*(1-K2243)</f>
        <v/>
      </c>
      <c r="M2243" s="10" t="n">
        <v>360</v>
      </c>
      <c r="N2243" s="10">
        <f>L2243-M2243</f>
        <v/>
      </c>
    </row>
    <row r="2244">
      <c r="A2244" s="7" t="inlineStr">
        <is>
          <t>ORD-05682</t>
        </is>
      </c>
      <c r="B2244" s="8" t="n">
        <v>45421</v>
      </c>
      <c r="C2244" s="9" t="n">
        <v>45413</v>
      </c>
      <c r="D2244" s="7" t="n">
        <v>2024</v>
      </c>
      <c r="E2244" s="7" t="inlineStr">
        <is>
          <t>East</t>
        </is>
      </c>
      <c r="F2244" s="7" t="inlineStr">
        <is>
          <t>Technology</t>
        </is>
      </c>
      <c r="G2244" s="7" t="inlineStr">
        <is>
          <t>Laptop</t>
        </is>
      </c>
      <c r="H2244" s="7" t="inlineStr">
        <is>
          <t>Consumer</t>
        </is>
      </c>
      <c r="I2244" s="7" t="n">
        <v>1</v>
      </c>
      <c r="J2244" s="10" t="n">
        <v>920.51</v>
      </c>
      <c r="K2244" s="11" t="n">
        <v>0.3</v>
      </c>
      <c r="L2244" s="10">
        <f>I2244*J2244*(1-K2244)</f>
        <v/>
      </c>
      <c r="M2244" s="10" t="n">
        <v>702</v>
      </c>
      <c r="N2244" s="10">
        <f>L2244-M2244</f>
        <v/>
      </c>
    </row>
    <row r="2245">
      <c r="A2245" s="7" t="inlineStr">
        <is>
          <t>ORD-02020</t>
        </is>
      </c>
      <c r="B2245" s="8" t="n">
        <v>45422</v>
      </c>
      <c r="C2245" s="9" t="n">
        <v>45413</v>
      </c>
      <c r="D2245" s="7" t="n">
        <v>2024</v>
      </c>
      <c r="E2245" s="7" t="inlineStr">
        <is>
          <t>South</t>
        </is>
      </c>
      <c r="F2245" s="7" t="inlineStr">
        <is>
          <t>Office Supplies</t>
        </is>
      </c>
      <c r="G2245" s="7" t="inlineStr">
        <is>
          <t>Binder</t>
        </is>
      </c>
      <c r="H2245" s="7" t="inlineStr">
        <is>
          <t>Home Office</t>
        </is>
      </c>
      <c r="I2245" s="7" t="n">
        <v>10</v>
      </c>
      <c r="J2245" s="10" t="n">
        <v>8.300000000000001</v>
      </c>
      <c r="K2245" s="11" t="n">
        <v>0.05</v>
      </c>
      <c r="L2245" s="10">
        <f>I2245*J2245*(1-K2245)</f>
        <v/>
      </c>
      <c r="M2245" s="10" t="n">
        <v>32</v>
      </c>
      <c r="N2245" s="10">
        <f>L2245-M2245</f>
        <v/>
      </c>
    </row>
    <row r="2246">
      <c r="A2246" s="7" t="inlineStr">
        <is>
          <t>ORD-04704</t>
        </is>
      </c>
      <c r="B2246" s="8" t="n">
        <v>45422</v>
      </c>
      <c r="C2246" s="9" t="n">
        <v>45413</v>
      </c>
      <c r="D2246" s="7" t="n">
        <v>2024</v>
      </c>
      <c r="E2246" s="7" t="inlineStr">
        <is>
          <t>South</t>
        </is>
      </c>
      <c r="F2246" s="7" t="inlineStr">
        <is>
          <t>Office Supplies</t>
        </is>
      </c>
      <c r="G2246" s="7" t="inlineStr">
        <is>
          <t>Binder</t>
        </is>
      </c>
      <c r="H2246" s="7" t="inlineStr">
        <is>
          <t>Corporate</t>
        </is>
      </c>
      <c r="I2246" s="7" t="n">
        <v>6</v>
      </c>
      <c r="J2246" s="10" t="n">
        <v>8.27</v>
      </c>
      <c r="K2246" s="11" t="n">
        <v>0</v>
      </c>
      <c r="L2246" s="10">
        <f>I2246*J2246*(1-K2246)</f>
        <v/>
      </c>
      <c r="M2246" s="10" t="n">
        <v>19.2</v>
      </c>
      <c r="N2246" s="10">
        <f>L2246-M2246</f>
        <v/>
      </c>
    </row>
    <row r="2247">
      <c r="A2247" s="7" t="inlineStr">
        <is>
          <t>ORD-03065</t>
        </is>
      </c>
      <c r="B2247" s="8" t="n">
        <v>45422</v>
      </c>
      <c r="C2247" s="9" t="n">
        <v>45413</v>
      </c>
      <c r="D2247" s="7" t="n">
        <v>2024</v>
      </c>
      <c r="E2247" s="7" t="inlineStr">
        <is>
          <t>West</t>
        </is>
      </c>
      <c r="F2247" s="7" t="inlineStr">
        <is>
          <t>Furniture</t>
        </is>
      </c>
      <c r="G2247" s="7" t="inlineStr">
        <is>
          <t>Bookcase</t>
        </is>
      </c>
      <c r="H2247" s="7" t="inlineStr">
        <is>
          <t>Corporate</t>
        </is>
      </c>
      <c r="I2247" s="7" t="n">
        <v>2</v>
      </c>
      <c r="J2247" s="10" t="n">
        <v>175.45</v>
      </c>
      <c r="K2247" s="11" t="n">
        <v>0.2</v>
      </c>
      <c r="L2247" s="10">
        <f>I2247*J2247*(1-K2247)</f>
        <v/>
      </c>
      <c r="M2247" s="10" t="n">
        <v>288</v>
      </c>
      <c r="N2247" s="10">
        <f>L2247-M2247</f>
        <v/>
      </c>
    </row>
    <row r="2248">
      <c r="A2248" s="7" t="inlineStr">
        <is>
          <t>ORD-00249</t>
        </is>
      </c>
      <c r="B2248" s="8" t="n">
        <v>45422</v>
      </c>
      <c r="C2248" s="9" t="n">
        <v>45413</v>
      </c>
      <c r="D2248" s="7" t="n">
        <v>2024</v>
      </c>
      <c r="E2248" s="7" t="inlineStr">
        <is>
          <t>South</t>
        </is>
      </c>
      <c r="F2248" s="7" t="inlineStr">
        <is>
          <t>Office Supplies</t>
        </is>
      </c>
      <c r="G2248" s="7" t="inlineStr">
        <is>
          <t>Printer Ink</t>
        </is>
      </c>
      <c r="H2248" s="7" t="inlineStr">
        <is>
          <t>Corporate</t>
        </is>
      </c>
      <c r="I2248" s="7" t="n">
        <v>4</v>
      </c>
      <c r="J2248" s="10" t="n">
        <v>57.7</v>
      </c>
      <c r="K2248" s="11" t="n">
        <v>0</v>
      </c>
      <c r="L2248" s="10">
        <f>I2248*J2248*(1-K2248)</f>
        <v/>
      </c>
      <c r="M2248" s="10" t="n">
        <v>144</v>
      </c>
      <c r="N2248" s="10">
        <f>L2248-M2248</f>
        <v/>
      </c>
    </row>
    <row r="2249">
      <c r="A2249" s="7" t="inlineStr">
        <is>
          <t>ORD-02479</t>
        </is>
      </c>
      <c r="B2249" s="8" t="n">
        <v>45422</v>
      </c>
      <c r="C2249" s="9" t="n">
        <v>45413</v>
      </c>
      <c r="D2249" s="7" t="n">
        <v>2024</v>
      </c>
      <c r="E2249" s="7" t="inlineStr">
        <is>
          <t>West</t>
        </is>
      </c>
      <c r="F2249" s="7" t="inlineStr">
        <is>
          <t>Office Supplies</t>
        </is>
      </c>
      <c r="G2249" s="7" t="inlineStr">
        <is>
          <t>Paper</t>
        </is>
      </c>
      <c r="H2249" s="7" t="inlineStr">
        <is>
          <t>Consumer</t>
        </is>
      </c>
      <c r="I2249" s="7" t="n">
        <v>12</v>
      </c>
      <c r="J2249" s="10" t="n">
        <v>25.36</v>
      </c>
      <c r="K2249" s="11" t="n">
        <v>0</v>
      </c>
      <c r="L2249" s="10">
        <f>I2249*J2249*(1-K2249)</f>
        <v/>
      </c>
      <c r="M2249" s="10" t="n">
        <v>150</v>
      </c>
      <c r="N2249" s="10">
        <f>L2249-M2249</f>
        <v/>
      </c>
    </row>
    <row r="2250">
      <c r="A2250" s="7" t="inlineStr">
        <is>
          <t>ORD-00187</t>
        </is>
      </c>
      <c r="B2250" s="8" t="n">
        <v>45422</v>
      </c>
      <c r="C2250" s="9" t="n">
        <v>45413</v>
      </c>
      <c r="D2250" s="7" t="n">
        <v>2024</v>
      </c>
      <c r="E2250" s="7" t="inlineStr">
        <is>
          <t>South</t>
        </is>
      </c>
      <c r="F2250" s="7" t="inlineStr">
        <is>
          <t>Furniture</t>
        </is>
      </c>
      <c r="G2250" s="7" t="inlineStr">
        <is>
          <t>Desk</t>
        </is>
      </c>
      <c r="H2250" s="7" t="inlineStr">
        <is>
          <t>Consumer</t>
        </is>
      </c>
      <c r="I2250" s="7" t="n">
        <v>3</v>
      </c>
      <c r="J2250" s="10" t="n">
        <v>431.2</v>
      </c>
      <c r="K2250" s="11" t="n">
        <v>0.3</v>
      </c>
      <c r="L2250" s="10">
        <f>I2250*J2250*(1-K2250)</f>
        <v/>
      </c>
      <c r="M2250" s="10" t="n">
        <v>1147.5</v>
      </c>
      <c r="N2250" s="10">
        <f>L2250-M2250</f>
        <v/>
      </c>
    </row>
    <row r="2251">
      <c r="A2251" s="7" t="inlineStr">
        <is>
          <t>ORD-00288</t>
        </is>
      </c>
      <c r="B2251" s="8" t="n">
        <v>45422</v>
      </c>
      <c r="C2251" s="9" t="n">
        <v>45413</v>
      </c>
      <c r="D2251" s="7" t="n">
        <v>2024</v>
      </c>
      <c r="E2251" s="7" t="inlineStr">
        <is>
          <t>North</t>
        </is>
      </c>
      <c r="F2251" s="7" t="inlineStr">
        <is>
          <t>Office Supplies</t>
        </is>
      </c>
      <c r="G2251" s="7" t="inlineStr">
        <is>
          <t>Pens</t>
        </is>
      </c>
      <c r="H2251" s="7" t="inlineStr">
        <is>
          <t>Corporate</t>
        </is>
      </c>
      <c r="I2251" s="7" t="n">
        <v>5</v>
      </c>
      <c r="J2251" s="10" t="n">
        <v>12.33</v>
      </c>
      <c r="K2251" s="11" t="n">
        <v>0.05</v>
      </c>
      <c r="L2251" s="10">
        <f>I2251*J2251*(1-K2251)</f>
        <v/>
      </c>
      <c r="M2251" s="10" t="n">
        <v>27</v>
      </c>
      <c r="N2251" s="10">
        <f>L2251-M2251</f>
        <v/>
      </c>
    </row>
    <row r="2252">
      <c r="A2252" s="7" t="inlineStr">
        <is>
          <t>ORD-01340</t>
        </is>
      </c>
      <c r="B2252" s="8" t="n">
        <v>45423</v>
      </c>
      <c r="C2252" s="9" t="n">
        <v>45413</v>
      </c>
      <c r="D2252" s="7" t="n">
        <v>2024</v>
      </c>
      <c r="E2252" s="7" t="inlineStr">
        <is>
          <t>North</t>
        </is>
      </c>
      <c r="F2252" s="7" t="inlineStr">
        <is>
          <t>Office Supplies</t>
        </is>
      </c>
      <c r="G2252" s="7" t="inlineStr">
        <is>
          <t>Pens</t>
        </is>
      </c>
      <c r="H2252" s="7" t="inlineStr">
        <is>
          <t>Consumer</t>
        </is>
      </c>
      <c r="I2252" s="7" t="n">
        <v>3</v>
      </c>
      <c r="J2252" s="10" t="n">
        <v>11.56</v>
      </c>
      <c r="K2252" s="11" t="n">
        <v>0.05</v>
      </c>
      <c r="L2252" s="10">
        <f>I2252*J2252*(1-K2252)</f>
        <v/>
      </c>
      <c r="M2252" s="10" t="n">
        <v>16.2</v>
      </c>
      <c r="N2252" s="10">
        <f>L2252-M2252</f>
        <v/>
      </c>
    </row>
    <row r="2253">
      <c r="A2253" s="7" t="inlineStr">
        <is>
          <t>ORD-03905</t>
        </is>
      </c>
      <c r="B2253" s="8" t="n">
        <v>45423</v>
      </c>
      <c r="C2253" s="9" t="n">
        <v>45413</v>
      </c>
      <c r="D2253" s="7" t="n">
        <v>2024</v>
      </c>
      <c r="E2253" s="7" t="inlineStr">
        <is>
          <t>East</t>
        </is>
      </c>
      <c r="F2253" s="7" t="inlineStr">
        <is>
          <t>Technology</t>
        </is>
      </c>
      <c r="G2253" s="7" t="inlineStr">
        <is>
          <t>Keyboard</t>
        </is>
      </c>
      <c r="H2253" s="7" t="inlineStr">
        <is>
          <t>Home Office</t>
        </is>
      </c>
      <c r="I2253" s="7" t="n">
        <v>2</v>
      </c>
      <c r="J2253" s="10" t="n">
        <v>42.99</v>
      </c>
      <c r="K2253" s="11" t="n">
        <v>0.05</v>
      </c>
      <c r="L2253" s="10">
        <f>I2253*J2253*(1-K2253)</f>
        <v/>
      </c>
      <c r="M2253" s="10" t="n">
        <v>49.5</v>
      </c>
      <c r="N2253" s="10">
        <f>L2253-M2253</f>
        <v/>
      </c>
    </row>
    <row r="2254">
      <c r="A2254" s="7" t="inlineStr">
        <is>
          <t>ORD-05644</t>
        </is>
      </c>
      <c r="B2254" s="8" t="n">
        <v>45424</v>
      </c>
      <c r="C2254" s="9" t="n">
        <v>45413</v>
      </c>
      <c r="D2254" s="7" t="n">
        <v>2024</v>
      </c>
      <c r="E2254" s="7" t="inlineStr">
        <is>
          <t>South</t>
        </is>
      </c>
      <c r="F2254" s="7" t="inlineStr">
        <is>
          <t>Technology</t>
        </is>
      </c>
      <c r="G2254" s="7" t="inlineStr">
        <is>
          <t>Laptop</t>
        </is>
      </c>
      <c r="H2254" s="7" t="inlineStr">
        <is>
          <t>Home Office</t>
        </is>
      </c>
      <c r="I2254" s="7" t="n">
        <v>2</v>
      </c>
      <c r="J2254" s="10" t="n">
        <v>930.5599999999999</v>
      </c>
      <c r="K2254" s="11" t="n">
        <v>0</v>
      </c>
      <c r="L2254" s="10">
        <f>I2254*J2254*(1-K2254)</f>
        <v/>
      </c>
      <c r="M2254" s="10" t="n">
        <v>1404</v>
      </c>
      <c r="N2254" s="10">
        <f>L2254-M2254</f>
        <v/>
      </c>
    </row>
    <row r="2255">
      <c r="A2255" s="7" t="inlineStr">
        <is>
          <t>ORD-02546</t>
        </is>
      </c>
      <c r="B2255" s="8" t="n">
        <v>45424</v>
      </c>
      <c r="C2255" s="9" t="n">
        <v>45413</v>
      </c>
      <c r="D2255" s="7" t="n">
        <v>2024</v>
      </c>
      <c r="E2255" s="7" t="inlineStr">
        <is>
          <t>East</t>
        </is>
      </c>
      <c r="F2255" s="7" t="inlineStr">
        <is>
          <t>Office Supplies</t>
        </is>
      </c>
      <c r="G2255" s="7" t="inlineStr">
        <is>
          <t>Paper</t>
        </is>
      </c>
      <c r="H2255" s="7" t="inlineStr">
        <is>
          <t>Corporate</t>
        </is>
      </c>
      <c r="I2255" s="7" t="n">
        <v>12</v>
      </c>
      <c r="J2255" s="10" t="n">
        <v>24.86</v>
      </c>
      <c r="K2255" s="11" t="n">
        <v>0.1</v>
      </c>
      <c r="L2255" s="10">
        <f>I2255*J2255*(1-K2255)</f>
        <v/>
      </c>
      <c r="M2255" s="10" t="n">
        <v>150</v>
      </c>
      <c r="N2255" s="10">
        <f>L2255-M2255</f>
        <v/>
      </c>
    </row>
    <row r="2256">
      <c r="A2256" s="7" t="inlineStr">
        <is>
          <t>ORD-04408</t>
        </is>
      </c>
      <c r="B2256" s="8" t="n">
        <v>45424</v>
      </c>
      <c r="C2256" s="9" t="n">
        <v>45413</v>
      </c>
      <c r="D2256" s="7" t="n">
        <v>2024</v>
      </c>
      <c r="E2256" s="7" t="inlineStr">
        <is>
          <t>South</t>
        </is>
      </c>
      <c r="F2256" s="7" t="inlineStr">
        <is>
          <t>Office Supplies</t>
        </is>
      </c>
      <c r="G2256" s="7" t="inlineStr">
        <is>
          <t>Binder</t>
        </is>
      </c>
      <c r="H2256" s="7" t="inlineStr">
        <is>
          <t>Consumer</t>
        </is>
      </c>
      <c r="I2256" s="7" t="n">
        <v>3</v>
      </c>
      <c r="J2256" s="10" t="n">
        <v>8.210000000000001</v>
      </c>
      <c r="K2256" s="11" t="n">
        <v>0</v>
      </c>
      <c r="L2256" s="10">
        <f>I2256*J2256*(1-K2256)</f>
        <v/>
      </c>
      <c r="M2256" s="10" t="n">
        <v>9.6</v>
      </c>
      <c r="N2256" s="10">
        <f>L2256-M2256</f>
        <v/>
      </c>
    </row>
    <row r="2257">
      <c r="A2257" s="7" t="inlineStr">
        <is>
          <t>ORD-05217</t>
        </is>
      </c>
      <c r="B2257" s="8" t="n">
        <v>45424</v>
      </c>
      <c r="C2257" s="9" t="n">
        <v>45413</v>
      </c>
      <c r="D2257" s="7" t="n">
        <v>2024</v>
      </c>
      <c r="E2257" s="7" t="inlineStr">
        <is>
          <t>North</t>
        </is>
      </c>
      <c r="F2257" s="7" t="inlineStr">
        <is>
          <t>Furniture</t>
        </is>
      </c>
      <c r="G2257" s="7" t="inlineStr">
        <is>
          <t>Office Chair</t>
        </is>
      </c>
      <c r="H2257" s="7" t="inlineStr">
        <is>
          <t>Consumer</t>
        </is>
      </c>
      <c r="I2257" s="7" t="n">
        <v>3</v>
      </c>
      <c r="J2257" s="10" t="n">
        <v>219.25</v>
      </c>
      <c r="K2257" s="11" t="n">
        <v>0.2</v>
      </c>
      <c r="L2257" s="10">
        <f>I2257*J2257*(1-K2257)</f>
        <v/>
      </c>
      <c r="M2257" s="10" t="n">
        <v>541.2</v>
      </c>
      <c r="N2257" s="10">
        <f>L2257-M2257</f>
        <v/>
      </c>
    </row>
    <row r="2258">
      <c r="A2258" s="7" t="inlineStr">
        <is>
          <t>ORD-01362</t>
        </is>
      </c>
      <c r="B2258" s="8" t="n">
        <v>45425</v>
      </c>
      <c r="C2258" s="9" t="n">
        <v>45413</v>
      </c>
      <c r="D2258" s="7" t="n">
        <v>2024</v>
      </c>
      <c r="E2258" s="7" t="inlineStr">
        <is>
          <t>South</t>
        </is>
      </c>
      <c r="F2258" s="7" t="inlineStr">
        <is>
          <t>Office Supplies</t>
        </is>
      </c>
      <c r="G2258" s="7" t="inlineStr">
        <is>
          <t>Stapler</t>
        </is>
      </c>
      <c r="H2258" s="7" t="inlineStr">
        <is>
          <t>Consumer</t>
        </is>
      </c>
      <c r="I2258" s="7" t="n">
        <v>10</v>
      </c>
      <c r="J2258" s="10" t="n">
        <v>14.63</v>
      </c>
      <c r="K2258" s="11" t="n">
        <v>0.05</v>
      </c>
      <c r="L2258" s="10">
        <f>I2258*J2258*(1-K2258)</f>
        <v/>
      </c>
      <c r="M2258" s="10" t="n">
        <v>75</v>
      </c>
      <c r="N2258" s="10">
        <f>L2258-M2258</f>
        <v/>
      </c>
    </row>
    <row r="2259">
      <c r="A2259" s="7" t="inlineStr">
        <is>
          <t>ORD-03140</t>
        </is>
      </c>
      <c r="B2259" s="8" t="n">
        <v>45425</v>
      </c>
      <c r="C2259" s="9" t="n">
        <v>45413</v>
      </c>
      <c r="D2259" s="7" t="n">
        <v>2024</v>
      </c>
      <c r="E2259" s="7" t="inlineStr">
        <is>
          <t>West</t>
        </is>
      </c>
      <c r="F2259" s="7" t="inlineStr">
        <is>
          <t>Office Supplies</t>
        </is>
      </c>
      <c r="G2259" s="7" t="inlineStr">
        <is>
          <t>Stapler</t>
        </is>
      </c>
      <c r="H2259" s="7" t="inlineStr">
        <is>
          <t>Consumer</t>
        </is>
      </c>
      <c r="I2259" s="7" t="n">
        <v>5</v>
      </c>
      <c r="J2259" s="10" t="n">
        <v>14.4</v>
      </c>
      <c r="K2259" s="11" t="n">
        <v>0.1</v>
      </c>
      <c r="L2259" s="10">
        <f>I2259*J2259*(1-K2259)</f>
        <v/>
      </c>
      <c r="M2259" s="10" t="n">
        <v>37.5</v>
      </c>
      <c r="N2259" s="10">
        <f>L2259-M2259</f>
        <v/>
      </c>
    </row>
    <row r="2260">
      <c r="A2260" s="7" t="inlineStr">
        <is>
          <t>ORD-00385</t>
        </is>
      </c>
      <c r="B2260" s="8" t="n">
        <v>45425</v>
      </c>
      <c r="C2260" s="9" t="n">
        <v>45413</v>
      </c>
      <c r="D2260" s="7" t="n">
        <v>2024</v>
      </c>
      <c r="E2260" s="7" t="inlineStr">
        <is>
          <t>West</t>
        </is>
      </c>
      <c r="F2260" s="7" t="inlineStr">
        <is>
          <t>Office Supplies</t>
        </is>
      </c>
      <c r="G2260" s="7" t="inlineStr">
        <is>
          <t>Binder</t>
        </is>
      </c>
      <c r="H2260" s="7" t="inlineStr">
        <is>
          <t>Corporate</t>
        </is>
      </c>
      <c r="I2260" s="7" t="n">
        <v>9</v>
      </c>
      <c r="J2260" s="10" t="n">
        <v>8.07</v>
      </c>
      <c r="K2260" s="11" t="n">
        <v>0.2</v>
      </c>
      <c r="L2260" s="10">
        <f>I2260*J2260*(1-K2260)</f>
        <v/>
      </c>
      <c r="M2260" s="10" t="n">
        <v>28.8</v>
      </c>
      <c r="N2260" s="10">
        <f>L2260-M2260</f>
        <v/>
      </c>
    </row>
    <row r="2261">
      <c r="A2261" s="7" t="inlineStr">
        <is>
          <t>ORD-02332</t>
        </is>
      </c>
      <c r="B2261" s="8" t="n">
        <v>45425</v>
      </c>
      <c r="C2261" s="9" t="n">
        <v>45413</v>
      </c>
      <c r="D2261" s="7" t="n">
        <v>2024</v>
      </c>
      <c r="E2261" s="7" t="inlineStr">
        <is>
          <t>South</t>
        </is>
      </c>
      <c r="F2261" s="7" t="inlineStr">
        <is>
          <t>Technology</t>
        </is>
      </c>
      <c r="G2261" s="7" t="inlineStr">
        <is>
          <t>Keyboard</t>
        </is>
      </c>
      <c r="H2261" s="7" t="inlineStr">
        <is>
          <t>Corporate</t>
        </is>
      </c>
      <c r="I2261" s="7" t="n">
        <v>2</v>
      </c>
      <c r="J2261" s="10" t="n">
        <v>46.69</v>
      </c>
      <c r="K2261" s="11" t="n">
        <v>0.1</v>
      </c>
      <c r="L2261" s="10">
        <f>I2261*J2261*(1-K2261)</f>
        <v/>
      </c>
      <c r="M2261" s="10" t="n">
        <v>49.5</v>
      </c>
      <c r="N2261" s="10">
        <f>L2261-M2261</f>
        <v/>
      </c>
    </row>
    <row r="2262">
      <c r="A2262" s="7" t="inlineStr">
        <is>
          <t>ORD-02850</t>
        </is>
      </c>
      <c r="B2262" s="8" t="n">
        <v>45425</v>
      </c>
      <c r="C2262" s="9" t="n">
        <v>45413</v>
      </c>
      <c r="D2262" s="7" t="n">
        <v>2024</v>
      </c>
      <c r="E2262" s="7" t="inlineStr">
        <is>
          <t>North</t>
        </is>
      </c>
      <c r="F2262" s="7" t="inlineStr">
        <is>
          <t>Furniture</t>
        </is>
      </c>
      <c r="G2262" s="7" t="inlineStr">
        <is>
          <t>Office Chair</t>
        </is>
      </c>
      <c r="H2262" s="7" t="inlineStr">
        <is>
          <t>Consumer</t>
        </is>
      </c>
      <c r="I2262" s="7" t="n">
        <v>1</v>
      </c>
      <c r="J2262" s="10" t="n">
        <v>229.24</v>
      </c>
      <c r="K2262" s="11" t="n">
        <v>0.05</v>
      </c>
      <c r="L2262" s="10">
        <f>I2262*J2262*(1-K2262)</f>
        <v/>
      </c>
      <c r="M2262" s="10" t="n">
        <v>180.4</v>
      </c>
      <c r="N2262" s="10">
        <f>L2262-M2262</f>
        <v/>
      </c>
    </row>
    <row r="2263">
      <c r="A2263" s="7" t="inlineStr">
        <is>
          <t>ORD-05996</t>
        </is>
      </c>
      <c r="B2263" s="8" t="n">
        <v>45425</v>
      </c>
      <c r="C2263" s="9" t="n">
        <v>45413</v>
      </c>
      <c r="D2263" s="7" t="n">
        <v>2024</v>
      </c>
      <c r="E2263" s="7" t="inlineStr">
        <is>
          <t>South</t>
        </is>
      </c>
      <c r="F2263" s="7" t="inlineStr">
        <is>
          <t>Technology</t>
        </is>
      </c>
      <c r="G2263" s="7" t="inlineStr">
        <is>
          <t>Monitor</t>
        </is>
      </c>
      <c r="H2263" s="7" t="inlineStr">
        <is>
          <t>Consumer</t>
        </is>
      </c>
      <c r="I2263" s="7" t="n">
        <v>3</v>
      </c>
      <c r="J2263" s="10" t="n">
        <v>253.35</v>
      </c>
      <c r="K2263" s="11" t="n">
        <v>0.05</v>
      </c>
      <c r="L2263" s="10">
        <f>I2263*J2263*(1-K2263)</f>
        <v/>
      </c>
      <c r="M2263" s="10" t="n">
        <v>540</v>
      </c>
      <c r="N2263" s="10">
        <f>L2263-M2263</f>
        <v/>
      </c>
    </row>
    <row r="2264">
      <c r="A2264" s="7" t="inlineStr">
        <is>
          <t>ORD-00874</t>
        </is>
      </c>
      <c r="B2264" s="8" t="n">
        <v>45426</v>
      </c>
      <c r="C2264" s="9" t="n">
        <v>45413</v>
      </c>
      <c r="D2264" s="7" t="n">
        <v>2024</v>
      </c>
      <c r="E2264" s="7" t="inlineStr">
        <is>
          <t>East</t>
        </is>
      </c>
      <c r="F2264" s="7" t="inlineStr">
        <is>
          <t>Office Supplies</t>
        </is>
      </c>
      <c r="G2264" s="7" t="inlineStr">
        <is>
          <t>Paper</t>
        </is>
      </c>
      <c r="H2264" s="7" t="inlineStr">
        <is>
          <t>Corporate</t>
        </is>
      </c>
      <c r="I2264" s="7" t="n">
        <v>8</v>
      </c>
      <c r="J2264" s="10" t="n">
        <v>23.99</v>
      </c>
      <c r="K2264" s="11" t="n">
        <v>0.05</v>
      </c>
      <c r="L2264" s="10">
        <f>I2264*J2264*(1-K2264)</f>
        <v/>
      </c>
      <c r="M2264" s="10" t="n">
        <v>100</v>
      </c>
      <c r="N2264" s="10">
        <f>L2264-M2264</f>
        <v/>
      </c>
    </row>
    <row r="2265">
      <c r="A2265" s="7" t="inlineStr">
        <is>
          <t>ORD-02538</t>
        </is>
      </c>
      <c r="B2265" s="8" t="n">
        <v>45426</v>
      </c>
      <c r="C2265" s="9" t="n">
        <v>45413</v>
      </c>
      <c r="D2265" s="7" t="n">
        <v>2024</v>
      </c>
      <c r="E2265" s="7" t="inlineStr">
        <is>
          <t>North</t>
        </is>
      </c>
      <c r="F2265" s="7" t="inlineStr">
        <is>
          <t>Office Supplies</t>
        </is>
      </c>
      <c r="G2265" s="7" t="inlineStr">
        <is>
          <t>Paper</t>
        </is>
      </c>
      <c r="H2265" s="7" t="inlineStr">
        <is>
          <t>Home Office</t>
        </is>
      </c>
      <c r="I2265" s="7" t="n">
        <v>12</v>
      </c>
      <c r="J2265" s="10" t="n">
        <v>24.78</v>
      </c>
      <c r="K2265" s="11" t="n">
        <v>0</v>
      </c>
      <c r="L2265" s="10">
        <f>I2265*J2265*(1-K2265)</f>
        <v/>
      </c>
      <c r="M2265" s="10" t="n">
        <v>150</v>
      </c>
      <c r="N2265" s="10">
        <f>L2265-M2265</f>
        <v/>
      </c>
    </row>
    <row r="2266">
      <c r="A2266" s="7" t="inlineStr">
        <is>
          <t>ORD-00886</t>
        </is>
      </c>
      <c r="B2266" s="8" t="n">
        <v>45426</v>
      </c>
      <c r="C2266" s="9" t="n">
        <v>45413</v>
      </c>
      <c r="D2266" s="7" t="n">
        <v>2024</v>
      </c>
      <c r="E2266" s="7" t="inlineStr">
        <is>
          <t>North</t>
        </is>
      </c>
      <c r="F2266" s="7" t="inlineStr">
        <is>
          <t>Office Supplies</t>
        </is>
      </c>
      <c r="G2266" s="7" t="inlineStr">
        <is>
          <t>Binder</t>
        </is>
      </c>
      <c r="H2266" s="7" t="inlineStr">
        <is>
          <t>Home Office</t>
        </is>
      </c>
      <c r="I2266" s="7" t="n">
        <v>4</v>
      </c>
      <c r="J2266" s="10" t="n">
        <v>8.369999999999999</v>
      </c>
      <c r="K2266" s="11" t="n">
        <v>0.05</v>
      </c>
      <c r="L2266" s="10">
        <f>I2266*J2266*(1-K2266)</f>
        <v/>
      </c>
      <c r="M2266" s="10" t="n">
        <v>12.8</v>
      </c>
      <c r="N2266" s="10">
        <f>L2266-M2266</f>
        <v/>
      </c>
    </row>
    <row r="2267">
      <c r="A2267" s="7" t="inlineStr">
        <is>
          <t>ORD-05841</t>
        </is>
      </c>
      <c r="B2267" s="8" t="n">
        <v>45426</v>
      </c>
      <c r="C2267" s="9" t="n">
        <v>45413</v>
      </c>
      <c r="D2267" s="7" t="n">
        <v>2024</v>
      </c>
      <c r="E2267" s="7" t="inlineStr">
        <is>
          <t>North</t>
        </is>
      </c>
      <c r="F2267" s="7" t="inlineStr">
        <is>
          <t>Office Supplies</t>
        </is>
      </c>
      <c r="G2267" s="7" t="inlineStr">
        <is>
          <t>Pens</t>
        </is>
      </c>
      <c r="H2267" s="7" t="inlineStr">
        <is>
          <t>Consumer</t>
        </is>
      </c>
      <c r="I2267" s="7" t="n">
        <v>7</v>
      </c>
      <c r="J2267" s="10" t="n">
        <v>11.65</v>
      </c>
      <c r="K2267" s="11" t="n">
        <v>0.1</v>
      </c>
      <c r="L2267" s="10">
        <f>I2267*J2267*(1-K2267)</f>
        <v/>
      </c>
      <c r="M2267" s="10" t="n">
        <v>37.8</v>
      </c>
      <c r="N2267" s="10">
        <f>L2267-M2267</f>
        <v/>
      </c>
    </row>
    <row r="2268">
      <c r="A2268" s="7" t="inlineStr">
        <is>
          <t>ORD-02028</t>
        </is>
      </c>
      <c r="B2268" s="8" t="n">
        <v>45427</v>
      </c>
      <c r="C2268" s="9" t="n">
        <v>45413</v>
      </c>
      <c r="D2268" s="7" t="n">
        <v>2024</v>
      </c>
      <c r="E2268" s="7" t="inlineStr">
        <is>
          <t>South</t>
        </is>
      </c>
      <c r="F2268" s="7" t="inlineStr">
        <is>
          <t>Technology</t>
        </is>
      </c>
      <c r="G2268" s="7" t="inlineStr">
        <is>
          <t>Headphones</t>
        </is>
      </c>
      <c r="H2268" s="7" t="inlineStr">
        <is>
          <t>Corporate</t>
        </is>
      </c>
      <c r="I2268" s="7" t="n">
        <v>1</v>
      </c>
      <c r="J2268" s="10" t="n">
        <v>125.81</v>
      </c>
      <c r="K2268" s="11" t="n">
        <v>0.05</v>
      </c>
      <c r="L2268" s="10">
        <f>I2268*J2268*(1-K2268)</f>
        <v/>
      </c>
      <c r="M2268" s="10" t="n">
        <v>72</v>
      </c>
      <c r="N2268" s="10">
        <f>L2268-M2268</f>
        <v/>
      </c>
    </row>
    <row r="2269">
      <c r="A2269" s="7" t="inlineStr">
        <is>
          <t>ORD-05988</t>
        </is>
      </c>
      <c r="B2269" s="8" t="n">
        <v>45427</v>
      </c>
      <c r="C2269" s="9" t="n">
        <v>45413</v>
      </c>
      <c r="D2269" s="7" t="n">
        <v>2024</v>
      </c>
      <c r="E2269" s="7" t="inlineStr">
        <is>
          <t>West</t>
        </is>
      </c>
      <c r="F2269" s="7" t="inlineStr">
        <is>
          <t>Technology</t>
        </is>
      </c>
      <c r="G2269" s="7" t="inlineStr">
        <is>
          <t>Keyboard</t>
        </is>
      </c>
      <c r="H2269" s="7" t="inlineStr">
        <is>
          <t>Consumer</t>
        </is>
      </c>
      <c r="I2269" s="7" t="n">
        <v>3</v>
      </c>
      <c r="J2269" s="10" t="n">
        <v>47.07</v>
      </c>
      <c r="K2269" s="11" t="n">
        <v>0.05</v>
      </c>
      <c r="L2269" s="10">
        <f>I2269*J2269*(1-K2269)</f>
        <v/>
      </c>
      <c r="M2269" s="10" t="n">
        <v>74.25</v>
      </c>
      <c r="N2269" s="10">
        <f>L2269-M2269</f>
        <v/>
      </c>
    </row>
    <row r="2270">
      <c r="A2270" s="7" t="inlineStr">
        <is>
          <t>ORD-01982</t>
        </is>
      </c>
      <c r="B2270" s="8" t="n">
        <v>45427</v>
      </c>
      <c r="C2270" s="9" t="n">
        <v>45413</v>
      </c>
      <c r="D2270" s="7" t="n">
        <v>2024</v>
      </c>
      <c r="E2270" s="7" t="inlineStr">
        <is>
          <t>North</t>
        </is>
      </c>
      <c r="F2270" s="7" t="inlineStr">
        <is>
          <t>Office Supplies</t>
        </is>
      </c>
      <c r="G2270" s="7" t="inlineStr">
        <is>
          <t>Paper</t>
        </is>
      </c>
      <c r="H2270" s="7" t="inlineStr">
        <is>
          <t>Consumer</t>
        </is>
      </c>
      <c r="I2270" s="7" t="n">
        <v>15</v>
      </c>
      <c r="J2270" s="10" t="n">
        <v>25.78</v>
      </c>
      <c r="K2270" s="11" t="n">
        <v>0.1</v>
      </c>
      <c r="L2270" s="10">
        <f>I2270*J2270*(1-K2270)</f>
        <v/>
      </c>
      <c r="M2270" s="10" t="n">
        <v>187.5</v>
      </c>
      <c r="N2270" s="10">
        <f>L2270-M2270</f>
        <v/>
      </c>
    </row>
    <row r="2271">
      <c r="A2271" s="7" t="inlineStr">
        <is>
          <t>ORD-01614</t>
        </is>
      </c>
      <c r="B2271" s="8" t="n">
        <v>45427</v>
      </c>
      <c r="C2271" s="9" t="n">
        <v>45413</v>
      </c>
      <c r="D2271" s="7" t="n">
        <v>2024</v>
      </c>
      <c r="E2271" s="7" t="inlineStr">
        <is>
          <t>East</t>
        </is>
      </c>
      <c r="F2271" s="7" t="inlineStr">
        <is>
          <t>Furniture</t>
        </is>
      </c>
      <c r="G2271" s="7" t="inlineStr">
        <is>
          <t>Desk</t>
        </is>
      </c>
      <c r="H2271" s="7" t="inlineStr">
        <is>
          <t>Corporate</t>
        </is>
      </c>
      <c r="I2271" s="7" t="n">
        <v>3</v>
      </c>
      <c r="J2271" s="10" t="n">
        <v>435.45</v>
      </c>
      <c r="K2271" s="11" t="n">
        <v>0.05</v>
      </c>
      <c r="L2271" s="10">
        <f>I2271*J2271*(1-K2271)</f>
        <v/>
      </c>
      <c r="M2271" s="10" t="n">
        <v>1147.5</v>
      </c>
      <c r="N2271" s="10">
        <f>L2271-M2271</f>
        <v/>
      </c>
    </row>
    <row r="2272">
      <c r="A2272" s="7" t="inlineStr">
        <is>
          <t>ORD-05284</t>
        </is>
      </c>
      <c r="B2272" s="8" t="n">
        <v>45427</v>
      </c>
      <c r="C2272" s="9" t="n">
        <v>45413</v>
      </c>
      <c r="D2272" s="7" t="n">
        <v>2024</v>
      </c>
      <c r="E2272" s="7" t="inlineStr">
        <is>
          <t>West</t>
        </is>
      </c>
      <c r="F2272" s="7" t="inlineStr">
        <is>
          <t>Office Supplies</t>
        </is>
      </c>
      <c r="G2272" s="7" t="inlineStr">
        <is>
          <t>Pens</t>
        </is>
      </c>
      <c r="H2272" s="7" t="inlineStr">
        <is>
          <t>Consumer</t>
        </is>
      </c>
      <c r="I2272" s="7" t="n">
        <v>12</v>
      </c>
      <c r="J2272" s="10" t="n">
        <v>11.48</v>
      </c>
      <c r="K2272" s="11" t="n">
        <v>0</v>
      </c>
      <c r="L2272" s="10">
        <f>I2272*J2272*(1-K2272)</f>
        <v/>
      </c>
      <c r="M2272" s="10" t="n">
        <v>64.8</v>
      </c>
      <c r="N2272" s="10">
        <f>L2272-M2272</f>
        <v/>
      </c>
    </row>
    <row r="2273">
      <c r="A2273" s="7" t="inlineStr">
        <is>
          <t>ORD-03030</t>
        </is>
      </c>
      <c r="B2273" s="8" t="n">
        <v>45427</v>
      </c>
      <c r="C2273" s="9" t="n">
        <v>45413</v>
      </c>
      <c r="D2273" s="7" t="n">
        <v>2024</v>
      </c>
      <c r="E2273" s="7" t="inlineStr">
        <is>
          <t>West</t>
        </is>
      </c>
      <c r="F2273" s="7" t="inlineStr">
        <is>
          <t>Office Supplies</t>
        </is>
      </c>
      <c r="G2273" s="7" t="inlineStr">
        <is>
          <t>Pens</t>
        </is>
      </c>
      <c r="H2273" s="7" t="inlineStr">
        <is>
          <t>Corporate</t>
        </is>
      </c>
      <c r="I2273" s="7" t="n">
        <v>4</v>
      </c>
      <c r="J2273" s="10" t="n">
        <v>11.81</v>
      </c>
      <c r="K2273" s="11" t="n">
        <v>0.2</v>
      </c>
      <c r="L2273" s="10">
        <f>I2273*J2273*(1-K2273)</f>
        <v/>
      </c>
      <c r="M2273" s="10" t="n">
        <v>21.6</v>
      </c>
      <c r="N2273" s="10">
        <f>L2273-M2273</f>
        <v/>
      </c>
    </row>
    <row r="2274">
      <c r="A2274" s="7" t="inlineStr">
        <is>
          <t>ORD-01460</t>
        </is>
      </c>
      <c r="B2274" s="8" t="n">
        <v>45427</v>
      </c>
      <c r="C2274" s="9" t="n">
        <v>45413</v>
      </c>
      <c r="D2274" s="7" t="n">
        <v>2024</v>
      </c>
      <c r="E2274" s="7" t="inlineStr">
        <is>
          <t>South</t>
        </is>
      </c>
      <c r="F2274" s="7" t="inlineStr">
        <is>
          <t>Furniture</t>
        </is>
      </c>
      <c r="G2274" s="7" t="inlineStr">
        <is>
          <t>Office Chair</t>
        </is>
      </c>
      <c r="H2274" s="7" t="inlineStr">
        <is>
          <t>Consumer</t>
        </is>
      </c>
      <c r="I2274" s="7" t="n">
        <v>2</v>
      </c>
      <c r="J2274" s="10" t="n">
        <v>223.71</v>
      </c>
      <c r="K2274" s="11" t="n">
        <v>0.05</v>
      </c>
      <c r="L2274" s="10">
        <f>I2274*J2274*(1-K2274)</f>
        <v/>
      </c>
      <c r="M2274" s="10" t="n">
        <v>360.8</v>
      </c>
      <c r="N2274" s="10">
        <f>L2274-M2274</f>
        <v/>
      </c>
    </row>
    <row r="2275">
      <c r="A2275" s="7" t="inlineStr">
        <is>
          <t>ORD-00859</t>
        </is>
      </c>
      <c r="B2275" s="8" t="n">
        <v>45428</v>
      </c>
      <c r="C2275" s="9" t="n">
        <v>45413</v>
      </c>
      <c r="D2275" s="7" t="n">
        <v>2024</v>
      </c>
      <c r="E2275" s="7" t="inlineStr">
        <is>
          <t>West</t>
        </is>
      </c>
      <c r="F2275" s="7" t="inlineStr">
        <is>
          <t>Technology</t>
        </is>
      </c>
      <c r="G2275" s="7" t="inlineStr">
        <is>
          <t>Keyboard</t>
        </is>
      </c>
      <c r="H2275" s="7" t="inlineStr">
        <is>
          <t>Corporate</t>
        </is>
      </c>
      <c r="I2275" s="7" t="n">
        <v>1</v>
      </c>
      <c r="J2275" s="10" t="n">
        <v>43.78</v>
      </c>
      <c r="K2275" s="11" t="n">
        <v>0</v>
      </c>
      <c r="L2275" s="10">
        <f>I2275*J2275*(1-K2275)</f>
        <v/>
      </c>
      <c r="M2275" s="10" t="n">
        <v>24.75</v>
      </c>
      <c r="N2275" s="10">
        <f>L2275-M2275</f>
        <v/>
      </c>
    </row>
    <row r="2276">
      <c r="A2276" s="7" t="inlineStr">
        <is>
          <t>ORD-01296</t>
        </is>
      </c>
      <c r="B2276" s="8" t="n">
        <v>45428</v>
      </c>
      <c r="C2276" s="9" t="n">
        <v>45413</v>
      </c>
      <c r="D2276" s="7" t="n">
        <v>2024</v>
      </c>
      <c r="E2276" s="7" t="inlineStr">
        <is>
          <t>North</t>
        </is>
      </c>
      <c r="F2276" s="7" t="inlineStr">
        <is>
          <t>Furniture</t>
        </is>
      </c>
      <c r="G2276" s="7" t="inlineStr">
        <is>
          <t>Office Chair</t>
        </is>
      </c>
      <c r="H2276" s="7" t="inlineStr">
        <is>
          <t>Consumer</t>
        </is>
      </c>
      <c r="I2276" s="7" t="n">
        <v>3</v>
      </c>
      <c r="J2276" s="10" t="n">
        <v>212.7</v>
      </c>
      <c r="K2276" s="11" t="n">
        <v>0.3</v>
      </c>
      <c r="L2276" s="10">
        <f>I2276*J2276*(1-K2276)</f>
        <v/>
      </c>
      <c r="M2276" s="10" t="n">
        <v>541.2</v>
      </c>
      <c r="N2276" s="10">
        <f>L2276-M2276</f>
        <v/>
      </c>
    </row>
    <row r="2277">
      <c r="A2277" s="7" t="inlineStr">
        <is>
          <t>ORD-04426</t>
        </is>
      </c>
      <c r="B2277" s="8" t="n">
        <v>45428</v>
      </c>
      <c r="C2277" s="9" t="n">
        <v>45413</v>
      </c>
      <c r="D2277" s="7" t="n">
        <v>2024</v>
      </c>
      <c r="E2277" s="7" t="inlineStr">
        <is>
          <t>East</t>
        </is>
      </c>
      <c r="F2277" s="7" t="inlineStr">
        <is>
          <t>Office Supplies</t>
        </is>
      </c>
      <c r="G2277" s="7" t="inlineStr">
        <is>
          <t>Pens</t>
        </is>
      </c>
      <c r="H2277" s="7" t="inlineStr">
        <is>
          <t>Consumer</t>
        </is>
      </c>
      <c r="I2277" s="7" t="n">
        <v>12</v>
      </c>
      <c r="J2277" s="10" t="n">
        <v>11.45</v>
      </c>
      <c r="K2277" s="11" t="n">
        <v>0</v>
      </c>
      <c r="L2277" s="10">
        <f>I2277*J2277*(1-K2277)</f>
        <v/>
      </c>
      <c r="M2277" s="10" t="n">
        <v>64.8</v>
      </c>
      <c r="N2277" s="10">
        <f>L2277-M2277</f>
        <v/>
      </c>
    </row>
    <row r="2278">
      <c r="A2278" s="7" t="inlineStr">
        <is>
          <t>ORD-02125</t>
        </is>
      </c>
      <c r="B2278" s="8" t="n">
        <v>45428</v>
      </c>
      <c r="C2278" s="9" t="n">
        <v>45413</v>
      </c>
      <c r="D2278" s="7" t="n">
        <v>2024</v>
      </c>
      <c r="E2278" s="7" t="inlineStr">
        <is>
          <t>North</t>
        </is>
      </c>
      <c r="F2278" s="7" t="inlineStr">
        <is>
          <t>Office Supplies</t>
        </is>
      </c>
      <c r="G2278" s="7" t="inlineStr">
        <is>
          <t>Pens</t>
        </is>
      </c>
      <c r="H2278" s="7" t="inlineStr">
        <is>
          <t>Corporate</t>
        </is>
      </c>
      <c r="I2278" s="7" t="n">
        <v>11</v>
      </c>
      <c r="J2278" s="10" t="n">
        <v>11.7</v>
      </c>
      <c r="K2278" s="11" t="n">
        <v>0</v>
      </c>
      <c r="L2278" s="10">
        <f>I2278*J2278*(1-K2278)</f>
        <v/>
      </c>
      <c r="M2278" s="10" t="n">
        <v>59.4</v>
      </c>
      <c r="N2278" s="10">
        <f>L2278-M2278</f>
        <v/>
      </c>
    </row>
    <row r="2279">
      <c r="A2279" s="7" t="inlineStr">
        <is>
          <t>ORD-04039</t>
        </is>
      </c>
      <c r="B2279" s="8" t="n">
        <v>45428</v>
      </c>
      <c r="C2279" s="9" t="n">
        <v>45413</v>
      </c>
      <c r="D2279" s="7" t="n">
        <v>2024</v>
      </c>
      <c r="E2279" s="7" t="inlineStr">
        <is>
          <t>East</t>
        </is>
      </c>
      <c r="F2279" s="7" t="inlineStr">
        <is>
          <t>Office Supplies</t>
        </is>
      </c>
      <c r="G2279" s="7" t="inlineStr">
        <is>
          <t>Paper</t>
        </is>
      </c>
      <c r="H2279" s="7" t="inlineStr">
        <is>
          <t>Corporate</t>
        </is>
      </c>
      <c r="I2279" s="7" t="n">
        <v>8</v>
      </c>
      <c r="J2279" s="10" t="n">
        <v>25.67</v>
      </c>
      <c r="K2279" s="11" t="n">
        <v>0</v>
      </c>
      <c r="L2279" s="10">
        <f>I2279*J2279*(1-K2279)</f>
        <v/>
      </c>
      <c r="M2279" s="10" t="n">
        <v>100</v>
      </c>
      <c r="N2279" s="10">
        <f>L2279-M2279</f>
        <v/>
      </c>
    </row>
    <row r="2280">
      <c r="A2280" s="7" t="inlineStr">
        <is>
          <t>ORD-02905</t>
        </is>
      </c>
      <c r="B2280" s="8" t="n">
        <v>45428</v>
      </c>
      <c r="C2280" s="9" t="n">
        <v>45413</v>
      </c>
      <c r="D2280" s="7" t="n">
        <v>2024</v>
      </c>
      <c r="E2280" s="7" t="inlineStr">
        <is>
          <t>North</t>
        </is>
      </c>
      <c r="F2280" s="7" t="inlineStr">
        <is>
          <t>Technology</t>
        </is>
      </c>
      <c r="G2280" s="7" t="inlineStr">
        <is>
          <t>Keyboard</t>
        </is>
      </c>
      <c r="H2280" s="7" t="inlineStr">
        <is>
          <t>Consumer</t>
        </is>
      </c>
      <c r="I2280" s="7" t="n">
        <v>2</v>
      </c>
      <c r="J2280" s="10" t="n">
        <v>45.91</v>
      </c>
      <c r="K2280" s="11" t="n">
        <v>0.05</v>
      </c>
      <c r="L2280" s="10">
        <f>I2280*J2280*(1-K2280)</f>
        <v/>
      </c>
      <c r="M2280" s="10" t="n">
        <v>49.5</v>
      </c>
      <c r="N2280" s="10">
        <f>L2280-M2280</f>
        <v/>
      </c>
    </row>
    <row r="2281">
      <c r="A2281" s="7" t="inlineStr">
        <is>
          <t>ORD-02253</t>
        </is>
      </c>
      <c r="B2281" s="8" t="n">
        <v>45428</v>
      </c>
      <c r="C2281" s="9" t="n">
        <v>45413</v>
      </c>
      <c r="D2281" s="7" t="n">
        <v>2024</v>
      </c>
      <c r="E2281" s="7" t="inlineStr">
        <is>
          <t>South</t>
        </is>
      </c>
      <c r="F2281" s="7" t="inlineStr">
        <is>
          <t>Furniture</t>
        </is>
      </c>
      <c r="G2281" s="7" t="inlineStr">
        <is>
          <t>Office Chair</t>
        </is>
      </c>
      <c r="H2281" s="7" t="inlineStr">
        <is>
          <t>Corporate</t>
        </is>
      </c>
      <c r="I2281" s="7" t="n">
        <v>1</v>
      </c>
      <c r="J2281" s="10" t="n">
        <v>223.85</v>
      </c>
      <c r="K2281" s="11" t="n">
        <v>0.2</v>
      </c>
      <c r="L2281" s="10">
        <f>I2281*J2281*(1-K2281)</f>
        <v/>
      </c>
      <c r="M2281" s="10" t="n">
        <v>180.4</v>
      </c>
      <c r="N2281" s="10">
        <f>L2281-M2281</f>
        <v/>
      </c>
    </row>
    <row r="2282">
      <c r="A2282" s="7" t="inlineStr">
        <is>
          <t>ORD-02851</t>
        </is>
      </c>
      <c r="B2282" s="8" t="n">
        <v>45429</v>
      </c>
      <c r="C2282" s="9" t="n">
        <v>45413</v>
      </c>
      <c r="D2282" s="7" t="n">
        <v>2024</v>
      </c>
      <c r="E2282" s="7" t="inlineStr">
        <is>
          <t>East</t>
        </is>
      </c>
      <c r="F2282" s="7" t="inlineStr">
        <is>
          <t>Furniture</t>
        </is>
      </c>
      <c r="G2282" s="7" t="inlineStr">
        <is>
          <t>Bookcase</t>
        </is>
      </c>
      <c r="H2282" s="7" t="inlineStr">
        <is>
          <t>Corporate</t>
        </is>
      </c>
      <c r="I2282" s="7" t="n">
        <v>2</v>
      </c>
      <c r="J2282" s="10" t="n">
        <v>182.39</v>
      </c>
      <c r="K2282" s="11" t="n">
        <v>0</v>
      </c>
      <c r="L2282" s="10">
        <f>I2282*J2282*(1-K2282)</f>
        <v/>
      </c>
      <c r="M2282" s="10" t="n">
        <v>288</v>
      </c>
      <c r="N2282" s="10">
        <f>L2282-M2282</f>
        <v/>
      </c>
    </row>
    <row r="2283">
      <c r="A2283" s="7" t="inlineStr">
        <is>
          <t>ORD-03041</t>
        </is>
      </c>
      <c r="B2283" s="8" t="n">
        <v>45429</v>
      </c>
      <c r="C2283" s="9" t="n">
        <v>45413</v>
      </c>
      <c r="D2283" s="7" t="n">
        <v>2024</v>
      </c>
      <c r="E2283" s="7" t="inlineStr">
        <is>
          <t>West</t>
        </is>
      </c>
      <c r="F2283" s="7" t="inlineStr">
        <is>
          <t>Office Supplies</t>
        </is>
      </c>
      <c r="G2283" s="7" t="inlineStr">
        <is>
          <t>Paper</t>
        </is>
      </c>
      <c r="H2283" s="7" t="inlineStr">
        <is>
          <t>Consumer</t>
        </is>
      </c>
      <c r="I2283" s="7" t="n">
        <v>8</v>
      </c>
      <c r="J2283" s="10" t="n">
        <v>25.53</v>
      </c>
      <c r="K2283" s="11" t="n">
        <v>0.1</v>
      </c>
      <c r="L2283" s="10">
        <f>I2283*J2283*(1-K2283)</f>
        <v/>
      </c>
      <c r="M2283" s="10" t="n">
        <v>100</v>
      </c>
      <c r="N2283" s="10">
        <f>L2283-M2283</f>
        <v/>
      </c>
    </row>
    <row r="2284">
      <c r="A2284" s="7" t="inlineStr">
        <is>
          <t>ORD-03669</t>
        </is>
      </c>
      <c r="B2284" s="8" t="n">
        <v>45429</v>
      </c>
      <c r="C2284" s="9" t="n">
        <v>45413</v>
      </c>
      <c r="D2284" s="7" t="n">
        <v>2024</v>
      </c>
      <c r="E2284" s="7" t="inlineStr">
        <is>
          <t>North</t>
        </is>
      </c>
      <c r="F2284" s="7" t="inlineStr">
        <is>
          <t>Technology</t>
        </is>
      </c>
      <c r="G2284" s="7" t="inlineStr">
        <is>
          <t>Headphones</t>
        </is>
      </c>
      <c r="H2284" s="7" t="inlineStr">
        <is>
          <t>Consumer</t>
        </is>
      </c>
      <c r="I2284" s="7" t="n">
        <v>1</v>
      </c>
      <c r="J2284" s="10" t="n">
        <v>122.88</v>
      </c>
      <c r="K2284" s="11" t="n">
        <v>0</v>
      </c>
      <c r="L2284" s="10">
        <f>I2284*J2284*(1-K2284)</f>
        <v/>
      </c>
      <c r="M2284" s="10" t="n">
        <v>72</v>
      </c>
      <c r="N2284" s="10">
        <f>L2284-M2284</f>
        <v/>
      </c>
    </row>
    <row r="2285">
      <c r="A2285" s="7" t="inlineStr">
        <is>
          <t>ORD-00317</t>
        </is>
      </c>
      <c r="B2285" s="8" t="n">
        <v>45429</v>
      </c>
      <c r="C2285" s="9" t="n">
        <v>45413</v>
      </c>
      <c r="D2285" s="7" t="n">
        <v>2024</v>
      </c>
      <c r="E2285" s="7" t="inlineStr">
        <is>
          <t>East</t>
        </is>
      </c>
      <c r="F2285" s="7" t="inlineStr">
        <is>
          <t>Technology</t>
        </is>
      </c>
      <c r="G2285" s="7" t="inlineStr">
        <is>
          <t>Laptop</t>
        </is>
      </c>
      <c r="H2285" s="7" t="inlineStr">
        <is>
          <t>Home Office</t>
        </is>
      </c>
      <c r="I2285" s="7" t="n">
        <v>3</v>
      </c>
      <c r="J2285" s="10" t="n">
        <v>943.1</v>
      </c>
      <c r="K2285" s="11" t="n">
        <v>0.05</v>
      </c>
      <c r="L2285" s="10">
        <f>I2285*J2285*(1-K2285)</f>
        <v/>
      </c>
      <c r="M2285" s="10" t="n">
        <v>2106</v>
      </c>
      <c r="N2285" s="10">
        <f>L2285-M2285</f>
        <v/>
      </c>
    </row>
    <row r="2286">
      <c r="A2286" s="7" t="inlineStr">
        <is>
          <t>ORD-00094</t>
        </is>
      </c>
      <c r="B2286" s="8" t="n">
        <v>45430</v>
      </c>
      <c r="C2286" s="9" t="n">
        <v>45413</v>
      </c>
      <c r="D2286" s="7" t="n">
        <v>2024</v>
      </c>
      <c r="E2286" s="7" t="inlineStr">
        <is>
          <t>South</t>
        </is>
      </c>
      <c r="F2286" s="7" t="inlineStr">
        <is>
          <t>Furniture</t>
        </is>
      </c>
      <c r="G2286" s="7" t="inlineStr">
        <is>
          <t>Bookcase</t>
        </is>
      </c>
      <c r="H2286" s="7" t="inlineStr">
        <is>
          <t>Consumer</t>
        </is>
      </c>
      <c r="I2286" s="7" t="n">
        <v>4</v>
      </c>
      <c r="J2286" s="10" t="n">
        <v>186.92</v>
      </c>
      <c r="K2286" s="11" t="n">
        <v>0.05</v>
      </c>
      <c r="L2286" s="10">
        <f>I2286*J2286*(1-K2286)</f>
        <v/>
      </c>
      <c r="M2286" s="10" t="n">
        <v>576</v>
      </c>
      <c r="N2286" s="10">
        <f>L2286-M2286</f>
        <v/>
      </c>
    </row>
    <row r="2287">
      <c r="A2287" s="7" t="inlineStr">
        <is>
          <t>ORD-03524</t>
        </is>
      </c>
      <c r="B2287" s="8" t="n">
        <v>45430</v>
      </c>
      <c r="C2287" s="9" t="n">
        <v>45413</v>
      </c>
      <c r="D2287" s="7" t="n">
        <v>2024</v>
      </c>
      <c r="E2287" s="7" t="inlineStr">
        <is>
          <t>East</t>
        </is>
      </c>
      <c r="F2287" s="7" t="inlineStr">
        <is>
          <t>Office Supplies</t>
        </is>
      </c>
      <c r="G2287" s="7" t="inlineStr">
        <is>
          <t>Stapler</t>
        </is>
      </c>
      <c r="H2287" s="7" t="inlineStr">
        <is>
          <t>Consumer</t>
        </is>
      </c>
      <c r="I2287" s="7" t="n">
        <v>2</v>
      </c>
      <c r="J2287" s="10" t="n">
        <v>15.07</v>
      </c>
      <c r="K2287" s="11" t="n">
        <v>0.3</v>
      </c>
      <c r="L2287" s="10">
        <f>I2287*J2287*(1-K2287)</f>
        <v/>
      </c>
      <c r="M2287" s="10" t="n">
        <v>15</v>
      </c>
      <c r="N2287" s="10">
        <f>L2287-M2287</f>
        <v/>
      </c>
    </row>
    <row r="2288">
      <c r="A2288" s="7" t="inlineStr">
        <is>
          <t>ORD-01272</t>
        </is>
      </c>
      <c r="B2288" s="8" t="n">
        <v>45430</v>
      </c>
      <c r="C2288" s="9" t="n">
        <v>45413</v>
      </c>
      <c r="D2288" s="7" t="n">
        <v>2024</v>
      </c>
      <c r="E2288" s="7" t="inlineStr">
        <is>
          <t>North</t>
        </is>
      </c>
      <c r="F2288" s="7" t="inlineStr">
        <is>
          <t>Technology</t>
        </is>
      </c>
      <c r="G2288" s="7" t="inlineStr">
        <is>
          <t>Smartphone</t>
        </is>
      </c>
      <c r="H2288" s="7" t="inlineStr">
        <is>
          <t>Corporate</t>
        </is>
      </c>
      <c r="I2288" s="7" t="n">
        <v>1</v>
      </c>
      <c r="J2288" s="10" t="n">
        <v>616.55</v>
      </c>
      <c r="K2288" s="11" t="n">
        <v>0.1</v>
      </c>
      <c r="L2288" s="10">
        <f>I2288*J2288*(1-K2288)</f>
        <v/>
      </c>
      <c r="M2288" s="10" t="n">
        <v>450</v>
      </c>
      <c r="N2288" s="10">
        <f>L2288-M2288</f>
        <v/>
      </c>
    </row>
    <row r="2289">
      <c r="A2289" s="7" t="inlineStr">
        <is>
          <t>ORD-02692</t>
        </is>
      </c>
      <c r="B2289" s="8" t="n">
        <v>45431</v>
      </c>
      <c r="C2289" s="9" t="n">
        <v>45413</v>
      </c>
      <c r="D2289" s="7" t="n">
        <v>2024</v>
      </c>
      <c r="E2289" s="7" t="inlineStr">
        <is>
          <t>East</t>
        </is>
      </c>
      <c r="F2289" s="7" t="inlineStr">
        <is>
          <t>Technology</t>
        </is>
      </c>
      <c r="G2289" s="7" t="inlineStr">
        <is>
          <t>Headphones</t>
        </is>
      </c>
      <c r="H2289" s="7" t="inlineStr">
        <is>
          <t>Consumer</t>
        </is>
      </c>
      <c r="I2289" s="7" t="n">
        <v>1</v>
      </c>
      <c r="J2289" s="10" t="n">
        <v>121.09</v>
      </c>
      <c r="K2289" s="11" t="n">
        <v>0</v>
      </c>
      <c r="L2289" s="10">
        <f>I2289*J2289*(1-K2289)</f>
        <v/>
      </c>
      <c r="M2289" s="10" t="n">
        <v>72</v>
      </c>
      <c r="N2289" s="10">
        <f>L2289-M2289</f>
        <v/>
      </c>
    </row>
    <row r="2290">
      <c r="A2290" s="7" t="inlineStr">
        <is>
          <t>ORD-05275</t>
        </is>
      </c>
      <c r="B2290" s="8" t="n">
        <v>45431</v>
      </c>
      <c r="C2290" s="9" t="n">
        <v>45413</v>
      </c>
      <c r="D2290" s="7" t="n">
        <v>2024</v>
      </c>
      <c r="E2290" s="7" t="inlineStr">
        <is>
          <t>West</t>
        </is>
      </c>
      <c r="F2290" s="7" t="inlineStr">
        <is>
          <t>Office Supplies</t>
        </is>
      </c>
      <c r="G2290" s="7" t="inlineStr">
        <is>
          <t>Paper</t>
        </is>
      </c>
      <c r="H2290" s="7" t="inlineStr">
        <is>
          <t>Consumer</t>
        </is>
      </c>
      <c r="I2290" s="7" t="n">
        <v>10</v>
      </c>
      <c r="J2290" s="10" t="n">
        <v>26.14</v>
      </c>
      <c r="K2290" s="11" t="n">
        <v>0.1</v>
      </c>
      <c r="L2290" s="10">
        <f>I2290*J2290*(1-K2290)</f>
        <v/>
      </c>
      <c r="M2290" s="10" t="n">
        <v>125</v>
      </c>
      <c r="N2290" s="10">
        <f>L2290-M2290</f>
        <v/>
      </c>
    </row>
    <row r="2291">
      <c r="A2291" s="7" t="inlineStr">
        <is>
          <t>ORD-04447</t>
        </is>
      </c>
      <c r="B2291" s="8" t="n">
        <v>45431</v>
      </c>
      <c r="C2291" s="9" t="n">
        <v>45413</v>
      </c>
      <c r="D2291" s="7" t="n">
        <v>2024</v>
      </c>
      <c r="E2291" s="7" t="inlineStr">
        <is>
          <t>North</t>
        </is>
      </c>
      <c r="F2291" s="7" t="inlineStr">
        <is>
          <t>Furniture</t>
        </is>
      </c>
      <c r="G2291" s="7" t="inlineStr">
        <is>
          <t>Office Chair</t>
        </is>
      </c>
      <c r="H2291" s="7" t="inlineStr">
        <is>
          <t>Consumer</t>
        </is>
      </c>
      <c r="I2291" s="7" t="n">
        <v>2</v>
      </c>
      <c r="J2291" s="10" t="n">
        <v>219.74</v>
      </c>
      <c r="K2291" s="11" t="n">
        <v>0.2</v>
      </c>
      <c r="L2291" s="10">
        <f>I2291*J2291*(1-K2291)</f>
        <v/>
      </c>
      <c r="M2291" s="10" t="n">
        <v>360.8</v>
      </c>
      <c r="N2291" s="10">
        <f>L2291-M2291</f>
        <v/>
      </c>
    </row>
    <row r="2292">
      <c r="A2292" s="7" t="inlineStr">
        <is>
          <t>ORD-03690</t>
        </is>
      </c>
      <c r="B2292" s="8" t="n">
        <v>45431</v>
      </c>
      <c r="C2292" s="9" t="n">
        <v>45413</v>
      </c>
      <c r="D2292" s="7" t="n">
        <v>2024</v>
      </c>
      <c r="E2292" s="7" t="inlineStr">
        <is>
          <t>West</t>
        </is>
      </c>
      <c r="F2292" s="7" t="inlineStr">
        <is>
          <t>Office Supplies</t>
        </is>
      </c>
      <c r="G2292" s="7" t="inlineStr">
        <is>
          <t>Paper</t>
        </is>
      </c>
      <c r="H2292" s="7" t="inlineStr">
        <is>
          <t>Home Office</t>
        </is>
      </c>
      <c r="I2292" s="7" t="n">
        <v>14</v>
      </c>
      <c r="J2292" s="10" t="n">
        <v>24</v>
      </c>
      <c r="K2292" s="11" t="n">
        <v>0.3</v>
      </c>
      <c r="L2292" s="10">
        <f>I2292*J2292*(1-K2292)</f>
        <v/>
      </c>
      <c r="M2292" s="10" t="n">
        <v>175</v>
      </c>
      <c r="N2292" s="10">
        <f>L2292-M2292</f>
        <v/>
      </c>
    </row>
    <row r="2293">
      <c r="A2293" s="7" t="inlineStr">
        <is>
          <t>ORD-01712</t>
        </is>
      </c>
      <c r="B2293" s="8" t="n">
        <v>45432</v>
      </c>
      <c r="C2293" s="9" t="n">
        <v>45413</v>
      </c>
      <c r="D2293" s="7" t="n">
        <v>2024</v>
      </c>
      <c r="E2293" s="7" t="inlineStr">
        <is>
          <t>South</t>
        </is>
      </c>
      <c r="F2293" s="7" t="inlineStr">
        <is>
          <t>Technology</t>
        </is>
      </c>
      <c r="G2293" s="7" t="inlineStr">
        <is>
          <t>Laptop</t>
        </is>
      </c>
      <c r="H2293" s="7" t="inlineStr">
        <is>
          <t>Corporate</t>
        </is>
      </c>
      <c r="I2293" s="7" t="n">
        <v>3</v>
      </c>
      <c r="J2293" s="10" t="n">
        <v>940.17</v>
      </c>
      <c r="K2293" s="11" t="n">
        <v>0</v>
      </c>
      <c r="L2293" s="10">
        <f>I2293*J2293*(1-K2293)</f>
        <v/>
      </c>
      <c r="M2293" s="10" t="n">
        <v>2106</v>
      </c>
      <c r="N2293" s="10">
        <f>L2293-M2293</f>
        <v/>
      </c>
    </row>
    <row r="2294">
      <c r="A2294" s="7" t="inlineStr">
        <is>
          <t>ORD-05752</t>
        </is>
      </c>
      <c r="B2294" s="8" t="n">
        <v>45432</v>
      </c>
      <c r="C2294" s="9" t="n">
        <v>45413</v>
      </c>
      <c r="D2294" s="7" t="n">
        <v>2024</v>
      </c>
      <c r="E2294" s="7" t="inlineStr">
        <is>
          <t>West</t>
        </is>
      </c>
      <c r="F2294" s="7" t="inlineStr">
        <is>
          <t>Technology</t>
        </is>
      </c>
      <c r="G2294" s="7" t="inlineStr">
        <is>
          <t>Headphones</t>
        </is>
      </c>
      <c r="H2294" s="7" t="inlineStr">
        <is>
          <t>Consumer</t>
        </is>
      </c>
      <c r="I2294" s="7" t="n">
        <v>3</v>
      </c>
      <c r="J2294" s="10" t="n">
        <v>124.17</v>
      </c>
      <c r="K2294" s="11" t="n">
        <v>0.2</v>
      </c>
      <c r="L2294" s="10">
        <f>I2294*J2294*(1-K2294)</f>
        <v/>
      </c>
      <c r="M2294" s="10" t="n">
        <v>216</v>
      </c>
      <c r="N2294" s="10">
        <f>L2294-M2294</f>
        <v/>
      </c>
    </row>
    <row r="2295">
      <c r="A2295" s="7" t="inlineStr">
        <is>
          <t>ORD-04144</t>
        </is>
      </c>
      <c r="B2295" s="8" t="n">
        <v>45433</v>
      </c>
      <c r="C2295" s="9" t="n">
        <v>45413</v>
      </c>
      <c r="D2295" s="7" t="n">
        <v>2024</v>
      </c>
      <c r="E2295" s="7" t="inlineStr">
        <is>
          <t>West</t>
        </is>
      </c>
      <c r="F2295" s="7" t="inlineStr">
        <is>
          <t>Technology</t>
        </is>
      </c>
      <c r="G2295" s="7" t="inlineStr">
        <is>
          <t>Keyboard</t>
        </is>
      </c>
      <c r="H2295" s="7" t="inlineStr">
        <is>
          <t>Home Office</t>
        </is>
      </c>
      <c r="I2295" s="7" t="n">
        <v>2</v>
      </c>
      <c r="J2295" s="10" t="n">
        <v>44.88</v>
      </c>
      <c r="K2295" s="11" t="n">
        <v>0</v>
      </c>
      <c r="L2295" s="10">
        <f>I2295*J2295*(1-K2295)</f>
        <v/>
      </c>
      <c r="M2295" s="10" t="n">
        <v>49.5</v>
      </c>
      <c r="N2295" s="10">
        <f>L2295-M2295</f>
        <v/>
      </c>
    </row>
    <row r="2296">
      <c r="A2296" s="7" t="inlineStr">
        <is>
          <t>ORD-02486</t>
        </is>
      </c>
      <c r="B2296" s="8" t="n">
        <v>45433</v>
      </c>
      <c r="C2296" s="9" t="n">
        <v>45413</v>
      </c>
      <c r="D2296" s="7" t="n">
        <v>2024</v>
      </c>
      <c r="E2296" s="7" t="inlineStr">
        <is>
          <t>North</t>
        </is>
      </c>
      <c r="F2296" s="7" t="inlineStr">
        <is>
          <t>Office Supplies</t>
        </is>
      </c>
      <c r="G2296" s="7" t="inlineStr">
        <is>
          <t>Stapler</t>
        </is>
      </c>
      <c r="H2296" s="7" t="inlineStr">
        <is>
          <t>Corporate</t>
        </is>
      </c>
      <c r="I2296" s="7" t="n">
        <v>4</v>
      </c>
      <c r="J2296" s="10" t="n">
        <v>14.5</v>
      </c>
      <c r="K2296" s="11" t="n">
        <v>0.1</v>
      </c>
      <c r="L2296" s="10">
        <f>I2296*J2296*(1-K2296)</f>
        <v/>
      </c>
      <c r="M2296" s="10" t="n">
        <v>30</v>
      </c>
      <c r="N2296" s="10">
        <f>L2296-M2296</f>
        <v/>
      </c>
    </row>
    <row r="2297">
      <c r="A2297" s="7" t="inlineStr">
        <is>
          <t>ORD-00379</t>
        </is>
      </c>
      <c r="B2297" s="8" t="n">
        <v>45433</v>
      </c>
      <c r="C2297" s="9" t="n">
        <v>45413</v>
      </c>
      <c r="D2297" s="7" t="n">
        <v>2024</v>
      </c>
      <c r="E2297" s="7" t="inlineStr">
        <is>
          <t>West</t>
        </is>
      </c>
      <c r="F2297" s="7" t="inlineStr">
        <is>
          <t>Office Supplies</t>
        </is>
      </c>
      <c r="G2297" s="7" t="inlineStr">
        <is>
          <t>Printer Ink</t>
        </is>
      </c>
      <c r="H2297" s="7" t="inlineStr">
        <is>
          <t>Corporate</t>
        </is>
      </c>
      <c r="I2297" s="7" t="n">
        <v>15</v>
      </c>
      <c r="J2297" s="10" t="n">
        <v>57.91</v>
      </c>
      <c r="K2297" s="11" t="n">
        <v>0.2</v>
      </c>
      <c r="L2297" s="10">
        <f>I2297*J2297*(1-K2297)</f>
        <v/>
      </c>
      <c r="M2297" s="10" t="n">
        <v>540</v>
      </c>
      <c r="N2297" s="10">
        <f>L2297-M2297</f>
        <v/>
      </c>
    </row>
    <row r="2298">
      <c r="A2298" s="7" t="inlineStr">
        <is>
          <t>ORD-05403</t>
        </is>
      </c>
      <c r="B2298" s="8" t="n">
        <v>45434</v>
      </c>
      <c r="C2298" s="9" t="n">
        <v>45413</v>
      </c>
      <c r="D2298" s="7" t="n">
        <v>2024</v>
      </c>
      <c r="E2298" s="7" t="inlineStr">
        <is>
          <t>West</t>
        </is>
      </c>
      <c r="F2298" s="7" t="inlineStr">
        <is>
          <t>Technology</t>
        </is>
      </c>
      <c r="G2298" s="7" t="inlineStr">
        <is>
          <t>Laptop</t>
        </is>
      </c>
      <c r="H2298" s="7" t="inlineStr">
        <is>
          <t>Consumer</t>
        </is>
      </c>
      <c r="I2298" s="7" t="n">
        <v>3</v>
      </c>
      <c r="J2298" s="10" t="n">
        <v>874.6900000000001</v>
      </c>
      <c r="K2298" s="11" t="n">
        <v>0.3</v>
      </c>
      <c r="L2298" s="10">
        <f>I2298*J2298*(1-K2298)</f>
        <v/>
      </c>
      <c r="M2298" s="10" t="n">
        <v>2106</v>
      </c>
      <c r="N2298" s="10">
        <f>L2298-M2298</f>
        <v/>
      </c>
    </row>
    <row r="2299">
      <c r="A2299" s="7" t="inlineStr">
        <is>
          <t>ORD-04237</t>
        </is>
      </c>
      <c r="B2299" s="8" t="n">
        <v>45434</v>
      </c>
      <c r="C2299" s="9" t="n">
        <v>45413</v>
      </c>
      <c r="D2299" s="7" t="n">
        <v>2024</v>
      </c>
      <c r="E2299" s="7" t="inlineStr">
        <is>
          <t>North</t>
        </is>
      </c>
      <c r="F2299" s="7" t="inlineStr">
        <is>
          <t>Office Supplies</t>
        </is>
      </c>
      <c r="G2299" s="7" t="inlineStr">
        <is>
          <t>Binder</t>
        </is>
      </c>
      <c r="H2299" s="7" t="inlineStr">
        <is>
          <t>Home Office</t>
        </is>
      </c>
      <c r="I2299" s="7" t="n">
        <v>6</v>
      </c>
      <c r="J2299" s="10" t="n">
        <v>7.76</v>
      </c>
      <c r="K2299" s="11" t="n">
        <v>0.05</v>
      </c>
      <c r="L2299" s="10">
        <f>I2299*J2299*(1-K2299)</f>
        <v/>
      </c>
      <c r="M2299" s="10" t="n">
        <v>19.2</v>
      </c>
      <c r="N2299" s="10">
        <f>L2299-M2299</f>
        <v/>
      </c>
    </row>
    <row r="2300">
      <c r="A2300" s="7" t="inlineStr">
        <is>
          <t>ORD-02901</t>
        </is>
      </c>
      <c r="B2300" s="8" t="n">
        <v>45434</v>
      </c>
      <c r="C2300" s="9" t="n">
        <v>45413</v>
      </c>
      <c r="D2300" s="7" t="n">
        <v>2024</v>
      </c>
      <c r="E2300" s="7" t="inlineStr">
        <is>
          <t>West</t>
        </is>
      </c>
      <c r="F2300" s="7" t="inlineStr">
        <is>
          <t>Office Supplies</t>
        </is>
      </c>
      <c r="G2300" s="7" t="inlineStr">
        <is>
          <t>Paper</t>
        </is>
      </c>
      <c r="H2300" s="7" t="inlineStr">
        <is>
          <t>Home Office</t>
        </is>
      </c>
      <c r="I2300" s="7" t="n">
        <v>10</v>
      </c>
      <c r="J2300" s="10" t="n">
        <v>24.24</v>
      </c>
      <c r="K2300" s="11" t="n">
        <v>0.05</v>
      </c>
      <c r="L2300" s="10">
        <f>I2300*J2300*(1-K2300)</f>
        <v/>
      </c>
      <c r="M2300" s="10" t="n">
        <v>125</v>
      </c>
      <c r="N2300" s="10">
        <f>L2300-M2300</f>
        <v/>
      </c>
    </row>
    <row r="2301">
      <c r="A2301" s="7" t="inlineStr">
        <is>
          <t>ORD-00734</t>
        </is>
      </c>
      <c r="B2301" s="8" t="n">
        <v>45434</v>
      </c>
      <c r="C2301" s="9" t="n">
        <v>45413</v>
      </c>
      <c r="D2301" s="7" t="n">
        <v>2024</v>
      </c>
      <c r="E2301" s="7" t="inlineStr">
        <is>
          <t>South</t>
        </is>
      </c>
      <c r="F2301" s="7" t="inlineStr">
        <is>
          <t>Office Supplies</t>
        </is>
      </c>
      <c r="G2301" s="7" t="inlineStr">
        <is>
          <t>Printer Ink</t>
        </is>
      </c>
      <c r="H2301" s="7" t="inlineStr">
        <is>
          <t>Home Office</t>
        </is>
      </c>
      <c r="I2301" s="7" t="n">
        <v>4</v>
      </c>
      <c r="J2301" s="10" t="n">
        <v>59.42</v>
      </c>
      <c r="K2301" s="11" t="n">
        <v>0.05</v>
      </c>
      <c r="L2301" s="10">
        <f>I2301*J2301*(1-K2301)</f>
        <v/>
      </c>
      <c r="M2301" s="10" t="n">
        <v>144</v>
      </c>
      <c r="N2301" s="10">
        <f>L2301-M2301</f>
        <v/>
      </c>
    </row>
    <row r="2302">
      <c r="A2302" s="7" t="inlineStr">
        <is>
          <t>ORD-01214</t>
        </is>
      </c>
      <c r="B2302" s="8" t="n">
        <v>45435</v>
      </c>
      <c r="C2302" s="9" t="n">
        <v>45413</v>
      </c>
      <c r="D2302" s="7" t="n">
        <v>2024</v>
      </c>
      <c r="E2302" s="7" t="inlineStr">
        <is>
          <t>South</t>
        </is>
      </c>
      <c r="F2302" s="7" t="inlineStr">
        <is>
          <t>Office Supplies</t>
        </is>
      </c>
      <c r="G2302" s="7" t="inlineStr">
        <is>
          <t>Paper</t>
        </is>
      </c>
      <c r="H2302" s="7" t="inlineStr">
        <is>
          <t>Consumer</t>
        </is>
      </c>
      <c r="I2302" s="7" t="n">
        <v>13</v>
      </c>
      <c r="J2302" s="10" t="n">
        <v>24.93</v>
      </c>
      <c r="K2302" s="11" t="n">
        <v>0.05</v>
      </c>
      <c r="L2302" s="10">
        <f>I2302*J2302*(1-K2302)</f>
        <v/>
      </c>
      <c r="M2302" s="10" t="n">
        <v>162.5</v>
      </c>
      <c r="N2302" s="10">
        <f>L2302-M2302</f>
        <v/>
      </c>
    </row>
    <row r="2303">
      <c r="A2303" s="7" t="inlineStr">
        <is>
          <t>ORD-05182</t>
        </is>
      </c>
      <c r="B2303" s="8" t="n">
        <v>45435</v>
      </c>
      <c r="C2303" s="9" t="n">
        <v>45413</v>
      </c>
      <c r="D2303" s="7" t="n">
        <v>2024</v>
      </c>
      <c r="E2303" s="7" t="inlineStr">
        <is>
          <t>West</t>
        </is>
      </c>
      <c r="F2303" s="7" t="inlineStr">
        <is>
          <t>Technology</t>
        </is>
      </c>
      <c r="G2303" s="7" t="inlineStr">
        <is>
          <t>Keyboard</t>
        </is>
      </c>
      <c r="H2303" s="7" t="inlineStr">
        <is>
          <t>Consumer</t>
        </is>
      </c>
      <c r="I2303" s="7" t="n">
        <v>2</v>
      </c>
      <c r="J2303" s="10" t="n">
        <v>46.95</v>
      </c>
      <c r="K2303" s="11" t="n">
        <v>0</v>
      </c>
      <c r="L2303" s="10">
        <f>I2303*J2303*(1-K2303)</f>
        <v/>
      </c>
      <c r="M2303" s="10" t="n">
        <v>49.5</v>
      </c>
      <c r="N2303" s="10">
        <f>L2303-M2303</f>
        <v/>
      </c>
    </row>
    <row r="2304">
      <c r="A2304" s="7" t="inlineStr">
        <is>
          <t>ORD-02126</t>
        </is>
      </c>
      <c r="B2304" s="8" t="n">
        <v>45435</v>
      </c>
      <c r="C2304" s="9" t="n">
        <v>45413</v>
      </c>
      <c r="D2304" s="7" t="n">
        <v>2024</v>
      </c>
      <c r="E2304" s="7" t="inlineStr">
        <is>
          <t>East</t>
        </is>
      </c>
      <c r="F2304" s="7" t="inlineStr">
        <is>
          <t>Office Supplies</t>
        </is>
      </c>
      <c r="G2304" s="7" t="inlineStr">
        <is>
          <t>Stapler</t>
        </is>
      </c>
      <c r="H2304" s="7" t="inlineStr">
        <is>
          <t>Home Office</t>
        </is>
      </c>
      <c r="I2304" s="7" t="n">
        <v>2</v>
      </c>
      <c r="J2304" s="10" t="n">
        <v>15.14</v>
      </c>
      <c r="K2304" s="11" t="n">
        <v>0</v>
      </c>
      <c r="L2304" s="10">
        <f>I2304*J2304*(1-K2304)</f>
        <v/>
      </c>
      <c r="M2304" s="10" t="n">
        <v>15</v>
      </c>
      <c r="N2304" s="10">
        <f>L2304-M2304</f>
        <v/>
      </c>
    </row>
    <row r="2305">
      <c r="A2305" s="7" t="inlineStr">
        <is>
          <t>ORD-04124</t>
        </is>
      </c>
      <c r="B2305" s="8" t="n">
        <v>45435</v>
      </c>
      <c r="C2305" s="9" t="n">
        <v>45413</v>
      </c>
      <c r="D2305" s="7" t="n">
        <v>2024</v>
      </c>
      <c r="E2305" s="7" t="inlineStr">
        <is>
          <t>West</t>
        </is>
      </c>
      <c r="F2305" s="7" t="inlineStr">
        <is>
          <t>Technology</t>
        </is>
      </c>
      <c r="G2305" s="7" t="inlineStr">
        <is>
          <t>Smartphone</t>
        </is>
      </c>
      <c r="H2305" s="7" t="inlineStr">
        <is>
          <t>Consumer</t>
        </is>
      </c>
      <c r="I2305" s="7" t="n">
        <v>2</v>
      </c>
      <c r="J2305" s="10" t="n">
        <v>613.45</v>
      </c>
      <c r="K2305" s="11" t="n">
        <v>0</v>
      </c>
      <c r="L2305" s="10">
        <f>I2305*J2305*(1-K2305)</f>
        <v/>
      </c>
      <c r="M2305" s="10" t="n">
        <v>900</v>
      </c>
      <c r="N2305" s="10">
        <f>L2305-M2305</f>
        <v/>
      </c>
    </row>
    <row r="2306">
      <c r="A2306" s="7" t="inlineStr">
        <is>
          <t>ORD-05421</t>
        </is>
      </c>
      <c r="B2306" s="8" t="n">
        <v>45435</v>
      </c>
      <c r="C2306" s="9" t="n">
        <v>45413</v>
      </c>
      <c r="D2306" s="7" t="n">
        <v>2024</v>
      </c>
      <c r="E2306" s="7" t="inlineStr">
        <is>
          <t>South</t>
        </is>
      </c>
      <c r="F2306" s="7" t="inlineStr">
        <is>
          <t>Technology</t>
        </is>
      </c>
      <c r="G2306" s="7" t="inlineStr">
        <is>
          <t>Smartphone</t>
        </is>
      </c>
      <c r="H2306" s="7" t="inlineStr">
        <is>
          <t>Corporate</t>
        </is>
      </c>
      <c r="I2306" s="7" t="n">
        <v>2</v>
      </c>
      <c r="J2306" s="10" t="n">
        <v>595.1900000000001</v>
      </c>
      <c r="K2306" s="11" t="n">
        <v>0.05</v>
      </c>
      <c r="L2306" s="10">
        <f>I2306*J2306*(1-K2306)</f>
        <v/>
      </c>
      <c r="M2306" s="10" t="n">
        <v>900</v>
      </c>
      <c r="N2306" s="10">
        <f>L2306-M2306</f>
        <v/>
      </c>
    </row>
    <row r="2307">
      <c r="A2307" s="7" t="inlineStr">
        <is>
          <t>ORD-00307</t>
        </is>
      </c>
      <c r="B2307" s="8" t="n">
        <v>45435</v>
      </c>
      <c r="C2307" s="9" t="n">
        <v>45413</v>
      </c>
      <c r="D2307" s="7" t="n">
        <v>2024</v>
      </c>
      <c r="E2307" s="7" t="inlineStr">
        <is>
          <t>South</t>
        </is>
      </c>
      <c r="F2307" s="7" t="inlineStr">
        <is>
          <t>Office Supplies</t>
        </is>
      </c>
      <c r="G2307" s="7" t="inlineStr">
        <is>
          <t>Binder</t>
        </is>
      </c>
      <c r="H2307" s="7" t="inlineStr">
        <is>
          <t>Consumer</t>
        </is>
      </c>
      <c r="I2307" s="7" t="n">
        <v>6</v>
      </c>
      <c r="J2307" s="10" t="n">
        <v>7.68</v>
      </c>
      <c r="K2307" s="11" t="n">
        <v>0.1</v>
      </c>
      <c r="L2307" s="10">
        <f>I2307*J2307*(1-K2307)</f>
        <v/>
      </c>
      <c r="M2307" s="10" t="n">
        <v>19.2</v>
      </c>
      <c r="N2307" s="10">
        <f>L2307-M2307</f>
        <v/>
      </c>
    </row>
    <row r="2308">
      <c r="A2308" s="7" t="inlineStr">
        <is>
          <t>ORD-05582</t>
        </is>
      </c>
      <c r="B2308" s="8" t="n">
        <v>45435</v>
      </c>
      <c r="C2308" s="9" t="n">
        <v>45413</v>
      </c>
      <c r="D2308" s="7" t="n">
        <v>2024</v>
      </c>
      <c r="E2308" s="7" t="inlineStr">
        <is>
          <t>South</t>
        </is>
      </c>
      <c r="F2308" s="7" t="inlineStr">
        <is>
          <t>Technology</t>
        </is>
      </c>
      <c r="G2308" s="7" t="inlineStr">
        <is>
          <t>Keyboard</t>
        </is>
      </c>
      <c r="H2308" s="7" t="inlineStr">
        <is>
          <t>Home Office</t>
        </is>
      </c>
      <c r="I2308" s="7" t="n">
        <v>2</v>
      </c>
      <c r="J2308" s="10" t="n">
        <v>42.76</v>
      </c>
      <c r="K2308" s="11" t="n">
        <v>0.1</v>
      </c>
      <c r="L2308" s="10">
        <f>I2308*J2308*(1-K2308)</f>
        <v/>
      </c>
      <c r="M2308" s="10" t="n">
        <v>49.5</v>
      </c>
      <c r="N2308" s="10">
        <f>L2308-M2308</f>
        <v/>
      </c>
    </row>
    <row r="2309">
      <c r="A2309" s="7" t="inlineStr">
        <is>
          <t>ORD-02313</t>
        </is>
      </c>
      <c r="B2309" s="8" t="n">
        <v>45435</v>
      </c>
      <c r="C2309" s="9" t="n">
        <v>45413</v>
      </c>
      <c r="D2309" s="7" t="n">
        <v>2024</v>
      </c>
      <c r="E2309" s="7" t="inlineStr">
        <is>
          <t>West</t>
        </is>
      </c>
      <c r="F2309" s="7" t="inlineStr">
        <is>
          <t>Office Supplies</t>
        </is>
      </c>
      <c r="G2309" s="7" t="inlineStr">
        <is>
          <t>Paper</t>
        </is>
      </c>
      <c r="H2309" s="7" t="inlineStr">
        <is>
          <t>Home Office</t>
        </is>
      </c>
      <c r="I2309" s="7" t="n">
        <v>2</v>
      </c>
      <c r="J2309" s="10" t="n">
        <v>24.27</v>
      </c>
      <c r="K2309" s="11" t="n">
        <v>0</v>
      </c>
      <c r="L2309" s="10">
        <f>I2309*J2309*(1-K2309)</f>
        <v/>
      </c>
      <c r="M2309" s="10" t="n">
        <v>25</v>
      </c>
      <c r="N2309" s="10">
        <f>L2309-M2309</f>
        <v/>
      </c>
    </row>
    <row r="2310">
      <c r="A2310" s="7" t="inlineStr">
        <is>
          <t>ORD-05971</t>
        </is>
      </c>
      <c r="B2310" s="8" t="n">
        <v>45436</v>
      </c>
      <c r="C2310" s="9" t="n">
        <v>45413</v>
      </c>
      <c r="D2310" s="7" t="n">
        <v>2024</v>
      </c>
      <c r="E2310" s="7" t="inlineStr">
        <is>
          <t>South</t>
        </is>
      </c>
      <c r="F2310" s="7" t="inlineStr">
        <is>
          <t>Office Supplies</t>
        </is>
      </c>
      <c r="G2310" s="7" t="inlineStr">
        <is>
          <t>Stapler</t>
        </is>
      </c>
      <c r="H2310" s="7" t="inlineStr">
        <is>
          <t>Home Office</t>
        </is>
      </c>
      <c r="I2310" s="7" t="n">
        <v>4</v>
      </c>
      <c r="J2310" s="10" t="n">
        <v>15.4</v>
      </c>
      <c r="K2310" s="11" t="n">
        <v>0.3</v>
      </c>
      <c r="L2310" s="10">
        <f>I2310*J2310*(1-K2310)</f>
        <v/>
      </c>
      <c r="M2310" s="10" t="n">
        <v>30</v>
      </c>
      <c r="N2310" s="10">
        <f>L2310-M2310</f>
        <v/>
      </c>
    </row>
    <row r="2311">
      <c r="A2311" s="7" t="inlineStr">
        <is>
          <t>ORD-02245</t>
        </is>
      </c>
      <c r="B2311" s="8" t="n">
        <v>45436</v>
      </c>
      <c r="C2311" s="9" t="n">
        <v>45413</v>
      </c>
      <c r="D2311" s="7" t="n">
        <v>2024</v>
      </c>
      <c r="E2311" s="7" t="inlineStr">
        <is>
          <t>North</t>
        </is>
      </c>
      <c r="F2311" s="7" t="inlineStr">
        <is>
          <t>Office Supplies</t>
        </is>
      </c>
      <c r="G2311" s="7" t="inlineStr">
        <is>
          <t>Pens</t>
        </is>
      </c>
      <c r="H2311" s="7" t="inlineStr">
        <is>
          <t>Consumer</t>
        </is>
      </c>
      <c r="I2311" s="7" t="n">
        <v>15</v>
      </c>
      <c r="J2311" s="10" t="n">
        <v>12</v>
      </c>
      <c r="K2311" s="11" t="n">
        <v>0.2</v>
      </c>
      <c r="L2311" s="10">
        <f>I2311*J2311*(1-K2311)</f>
        <v/>
      </c>
      <c r="M2311" s="10" t="n">
        <v>81</v>
      </c>
      <c r="N2311" s="10">
        <f>L2311-M2311</f>
        <v/>
      </c>
    </row>
    <row r="2312">
      <c r="A2312" s="7" t="inlineStr">
        <is>
          <t>ORD-02790</t>
        </is>
      </c>
      <c r="B2312" s="8" t="n">
        <v>45436</v>
      </c>
      <c r="C2312" s="9" t="n">
        <v>45413</v>
      </c>
      <c r="D2312" s="7" t="n">
        <v>2024</v>
      </c>
      <c r="E2312" s="7" t="inlineStr">
        <is>
          <t>South</t>
        </is>
      </c>
      <c r="F2312" s="7" t="inlineStr">
        <is>
          <t>Furniture</t>
        </is>
      </c>
      <c r="G2312" s="7" t="inlineStr">
        <is>
          <t>Bookcase</t>
        </is>
      </c>
      <c r="H2312" s="7" t="inlineStr">
        <is>
          <t>Corporate</t>
        </is>
      </c>
      <c r="I2312" s="7" t="n">
        <v>2</v>
      </c>
      <c r="J2312" s="10" t="n">
        <v>174.5</v>
      </c>
      <c r="K2312" s="11" t="n">
        <v>0.1</v>
      </c>
      <c r="L2312" s="10">
        <f>I2312*J2312*(1-K2312)</f>
        <v/>
      </c>
      <c r="M2312" s="10" t="n">
        <v>288</v>
      </c>
      <c r="N2312" s="10">
        <f>L2312-M2312</f>
        <v/>
      </c>
    </row>
    <row r="2313">
      <c r="A2313" s="7" t="inlineStr">
        <is>
          <t>ORD-03576</t>
        </is>
      </c>
      <c r="B2313" s="8" t="n">
        <v>45437</v>
      </c>
      <c r="C2313" s="9" t="n">
        <v>45413</v>
      </c>
      <c r="D2313" s="7" t="n">
        <v>2024</v>
      </c>
      <c r="E2313" s="7" t="inlineStr">
        <is>
          <t>East</t>
        </is>
      </c>
      <c r="F2313" s="7" t="inlineStr">
        <is>
          <t>Furniture</t>
        </is>
      </c>
      <c r="G2313" s="7" t="inlineStr">
        <is>
          <t>Office Chair</t>
        </is>
      </c>
      <c r="H2313" s="7" t="inlineStr">
        <is>
          <t>Consumer</t>
        </is>
      </c>
      <c r="I2313" s="7" t="n">
        <v>1</v>
      </c>
      <c r="J2313" s="10" t="n">
        <v>217.28</v>
      </c>
      <c r="K2313" s="11" t="n">
        <v>0.2</v>
      </c>
      <c r="L2313" s="10">
        <f>I2313*J2313*(1-K2313)</f>
        <v/>
      </c>
      <c r="M2313" s="10" t="n">
        <v>180.4</v>
      </c>
      <c r="N2313" s="10">
        <f>L2313-M2313</f>
        <v/>
      </c>
    </row>
    <row r="2314">
      <c r="A2314" s="7" t="inlineStr">
        <is>
          <t>ORD-01424</t>
        </is>
      </c>
      <c r="B2314" s="8" t="n">
        <v>45437</v>
      </c>
      <c r="C2314" s="9" t="n">
        <v>45413</v>
      </c>
      <c r="D2314" s="7" t="n">
        <v>2024</v>
      </c>
      <c r="E2314" s="7" t="inlineStr">
        <is>
          <t>East</t>
        </is>
      </c>
      <c r="F2314" s="7" t="inlineStr">
        <is>
          <t>Office Supplies</t>
        </is>
      </c>
      <c r="G2314" s="7" t="inlineStr">
        <is>
          <t>Stapler</t>
        </is>
      </c>
      <c r="H2314" s="7" t="inlineStr">
        <is>
          <t>Corporate</t>
        </is>
      </c>
      <c r="I2314" s="7" t="n">
        <v>15</v>
      </c>
      <c r="J2314" s="10" t="n">
        <v>15.48</v>
      </c>
      <c r="K2314" s="11" t="n">
        <v>0.05</v>
      </c>
      <c r="L2314" s="10">
        <f>I2314*J2314*(1-K2314)</f>
        <v/>
      </c>
      <c r="M2314" s="10" t="n">
        <v>112.5</v>
      </c>
      <c r="N2314" s="10">
        <f>L2314-M2314</f>
        <v/>
      </c>
    </row>
    <row r="2315">
      <c r="A2315" s="7" t="inlineStr">
        <is>
          <t>ORD-03914</t>
        </is>
      </c>
      <c r="B2315" s="8" t="n">
        <v>45437</v>
      </c>
      <c r="C2315" s="9" t="n">
        <v>45413</v>
      </c>
      <c r="D2315" s="7" t="n">
        <v>2024</v>
      </c>
      <c r="E2315" s="7" t="inlineStr">
        <is>
          <t>West</t>
        </is>
      </c>
      <c r="F2315" s="7" t="inlineStr">
        <is>
          <t>Office Supplies</t>
        </is>
      </c>
      <c r="G2315" s="7" t="inlineStr">
        <is>
          <t>Printer Ink</t>
        </is>
      </c>
      <c r="H2315" s="7" t="inlineStr">
        <is>
          <t>Corporate</t>
        </is>
      </c>
      <c r="I2315" s="7" t="n">
        <v>11</v>
      </c>
      <c r="J2315" s="10" t="n">
        <v>59.67</v>
      </c>
      <c r="K2315" s="11" t="n">
        <v>0</v>
      </c>
      <c r="L2315" s="10">
        <f>I2315*J2315*(1-K2315)</f>
        <v/>
      </c>
      <c r="M2315" s="10" t="n">
        <v>396</v>
      </c>
      <c r="N2315" s="10">
        <f>L2315-M2315</f>
        <v/>
      </c>
    </row>
    <row r="2316">
      <c r="A2316" s="7" t="inlineStr">
        <is>
          <t>ORD-00047</t>
        </is>
      </c>
      <c r="B2316" s="8" t="n">
        <v>45438</v>
      </c>
      <c r="C2316" s="9" t="n">
        <v>45413</v>
      </c>
      <c r="D2316" s="7" t="n">
        <v>2024</v>
      </c>
      <c r="E2316" s="7" t="inlineStr">
        <is>
          <t>East</t>
        </is>
      </c>
      <c r="F2316" s="7" t="inlineStr">
        <is>
          <t>Technology</t>
        </is>
      </c>
      <c r="G2316" s="7" t="inlineStr">
        <is>
          <t>Smartphone</t>
        </is>
      </c>
      <c r="H2316" s="7" t="inlineStr">
        <is>
          <t>Corporate</t>
        </is>
      </c>
      <c r="I2316" s="7" t="n">
        <v>2</v>
      </c>
      <c r="J2316" s="10" t="n">
        <v>571.03</v>
      </c>
      <c r="K2316" s="11" t="n">
        <v>0</v>
      </c>
      <c r="L2316" s="10">
        <f>I2316*J2316*(1-K2316)</f>
        <v/>
      </c>
      <c r="M2316" s="10" t="n">
        <v>900</v>
      </c>
      <c r="N2316" s="10">
        <f>L2316-M2316</f>
        <v/>
      </c>
    </row>
    <row r="2317">
      <c r="A2317" s="7" t="inlineStr">
        <is>
          <t>ORD-02703</t>
        </is>
      </c>
      <c r="B2317" s="8" t="n">
        <v>45438</v>
      </c>
      <c r="C2317" s="9" t="n">
        <v>45413</v>
      </c>
      <c r="D2317" s="7" t="n">
        <v>2024</v>
      </c>
      <c r="E2317" s="7" t="inlineStr">
        <is>
          <t>West</t>
        </is>
      </c>
      <c r="F2317" s="7" t="inlineStr">
        <is>
          <t>Office Supplies</t>
        </is>
      </c>
      <c r="G2317" s="7" t="inlineStr">
        <is>
          <t>Paper</t>
        </is>
      </c>
      <c r="H2317" s="7" t="inlineStr">
        <is>
          <t>Corporate</t>
        </is>
      </c>
      <c r="I2317" s="7" t="n">
        <v>13</v>
      </c>
      <c r="J2317" s="10" t="n">
        <v>24.69</v>
      </c>
      <c r="K2317" s="11" t="n">
        <v>0</v>
      </c>
      <c r="L2317" s="10">
        <f>I2317*J2317*(1-K2317)</f>
        <v/>
      </c>
      <c r="M2317" s="10" t="n">
        <v>162.5</v>
      </c>
      <c r="N2317" s="10">
        <f>L2317-M2317</f>
        <v/>
      </c>
    </row>
    <row r="2318">
      <c r="A2318" s="7" t="inlineStr">
        <is>
          <t>ORD-04879</t>
        </is>
      </c>
      <c r="B2318" s="8" t="n">
        <v>45438</v>
      </c>
      <c r="C2318" s="9" t="n">
        <v>45413</v>
      </c>
      <c r="D2318" s="7" t="n">
        <v>2024</v>
      </c>
      <c r="E2318" s="7" t="inlineStr">
        <is>
          <t>East</t>
        </is>
      </c>
      <c r="F2318" s="7" t="inlineStr">
        <is>
          <t>Office Supplies</t>
        </is>
      </c>
      <c r="G2318" s="7" t="inlineStr">
        <is>
          <t>Stapler</t>
        </is>
      </c>
      <c r="H2318" s="7" t="inlineStr">
        <is>
          <t>Consumer</t>
        </is>
      </c>
      <c r="I2318" s="7" t="n">
        <v>9</v>
      </c>
      <c r="J2318" s="10" t="n">
        <v>15.36</v>
      </c>
      <c r="K2318" s="11" t="n">
        <v>0.1</v>
      </c>
      <c r="L2318" s="10">
        <f>I2318*J2318*(1-K2318)</f>
        <v/>
      </c>
      <c r="M2318" s="10" t="n">
        <v>67.5</v>
      </c>
      <c r="N2318" s="10">
        <f>L2318-M2318</f>
        <v/>
      </c>
    </row>
    <row r="2319">
      <c r="A2319" s="7" t="inlineStr">
        <is>
          <t>ORD-04913</t>
        </is>
      </c>
      <c r="B2319" s="8" t="n">
        <v>45438</v>
      </c>
      <c r="C2319" s="9" t="n">
        <v>45413</v>
      </c>
      <c r="D2319" s="7" t="n">
        <v>2024</v>
      </c>
      <c r="E2319" s="7" t="inlineStr">
        <is>
          <t>South</t>
        </is>
      </c>
      <c r="F2319" s="7" t="inlineStr">
        <is>
          <t>Technology</t>
        </is>
      </c>
      <c r="G2319" s="7" t="inlineStr">
        <is>
          <t>Monitor</t>
        </is>
      </c>
      <c r="H2319" s="7" t="inlineStr">
        <is>
          <t>Consumer</t>
        </is>
      </c>
      <c r="I2319" s="7" t="n">
        <v>2</v>
      </c>
      <c r="J2319" s="10" t="n">
        <v>238.87</v>
      </c>
      <c r="K2319" s="11" t="n">
        <v>0.2</v>
      </c>
      <c r="L2319" s="10">
        <f>I2319*J2319*(1-K2319)</f>
        <v/>
      </c>
      <c r="M2319" s="10" t="n">
        <v>360</v>
      </c>
      <c r="N2319" s="10">
        <f>L2319-M2319</f>
        <v/>
      </c>
    </row>
    <row r="2320">
      <c r="A2320" s="7" t="inlineStr">
        <is>
          <t>ORD-05392</t>
        </is>
      </c>
      <c r="B2320" s="8" t="n">
        <v>45438</v>
      </c>
      <c r="C2320" s="9" t="n">
        <v>45413</v>
      </c>
      <c r="D2320" s="7" t="n">
        <v>2024</v>
      </c>
      <c r="E2320" s="7" t="inlineStr">
        <is>
          <t>East</t>
        </is>
      </c>
      <c r="F2320" s="7" t="inlineStr">
        <is>
          <t>Technology</t>
        </is>
      </c>
      <c r="G2320" s="7" t="inlineStr">
        <is>
          <t>Monitor</t>
        </is>
      </c>
      <c r="H2320" s="7" t="inlineStr">
        <is>
          <t>Consumer</t>
        </is>
      </c>
      <c r="I2320" s="7" t="n">
        <v>3</v>
      </c>
      <c r="J2320" s="10" t="n">
        <v>247.07</v>
      </c>
      <c r="K2320" s="11" t="n">
        <v>0.05</v>
      </c>
      <c r="L2320" s="10">
        <f>I2320*J2320*(1-K2320)</f>
        <v/>
      </c>
      <c r="M2320" s="10" t="n">
        <v>540</v>
      </c>
      <c r="N2320" s="10">
        <f>L2320-M2320</f>
        <v/>
      </c>
    </row>
    <row r="2321">
      <c r="A2321" s="7" t="inlineStr">
        <is>
          <t>ORD-00533</t>
        </is>
      </c>
      <c r="B2321" s="8" t="n">
        <v>45438</v>
      </c>
      <c r="C2321" s="9" t="n">
        <v>45413</v>
      </c>
      <c r="D2321" s="7" t="n">
        <v>2024</v>
      </c>
      <c r="E2321" s="7" t="inlineStr">
        <is>
          <t>South</t>
        </is>
      </c>
      <c r="F2321" s="7" t="inlineStr">
        <is>
          <t>Technology</t>
        </is>
      </c>
      <c r="G2321" s="7" t="inlineStr">
        <is>
          <t>Smartphone</t>
        </is>
      </c>
      <c r="H2321" s="7" t="inlineStr">
        <is>
          <t>Consumer</t>
        </is>
      </c>
      <c r="I2321" s="7" t="n">
        <v>2</v>
      </c>
      <c r="J2321" s="10" t="n">
        <v>572.23</v>
      </c>
      <c r="K2321" s="11" t="n">
        <v>0.2</v>
      </c>
      <c r="L2321" s="10">
        <f>I2321*J2321*(1-K2321)</f>
        <v/>
      </c>
      <c r="M2321" s="10" t="n">
        <v>900</v>
      </c>
      <c r="N2321" s="10">
        <f>L2321-M2321</f>
        <v/>
      </c>
    </row>
    <row r="2322">
      <c r="A2322" s="7" t="inlineStr">
        <is>
          <t>ORD-02249</t>
        </is>
      </c>
      <c r="B2322" s="8" t="n">
        <v>45439</v>
      </c>
      <c r="C2322" s="9" t="n">
        <v>45413</v>
      </c>
      <c r="D2322" s="7" t="n">
        <v>2024</v>
      </c>
      <c r="E2322" s="7" t="inlineStr">
        <is>
          <t>East</t>
        </is>
      </c>
      <c r="F2322" s="7" t="inlineStr">
        <is>
          <t>Technology</t>
        </is>
      </c>
      <c r="G2322" s="7" t="inlineStr">
        <is>
          <t>Smartphone</t>
        </is>
      </c>
      <c r="H2322" s="7" t="inlineStr">
        <is>
          <t>Consumer</t>
        </is>
      </c>
      <c r="I2322" s="7" t="n">
        <v>2</v>
      </c>
      <c r="J2322" s="10" t="n">
        <v>577.42</v>
      </c>
      <c r="K2322" s="11" t="n">
        <v>0.1</v>
      </c>
      <c r="L2322" s="10">
        <f>I2322*J2322*(1-K2322)</f>
        <v/>
      </c>
      <c r="M2322" s="10" t="n">
        <v>900</v>
      </c>
      <c r="N2322" s="10">
        <f>L2322-M2322</f>
        <v/>
      </c>
    </row>
    <row r="2323">
      <c r="A2323" s="7" t="inlineStr">
        <is>
          <t>ORD-03196</t>
        </is>
      </c>
      <c r="B2323" s="8" t="n">
        <v>45439</v>
      </c>
      <c r="C2323" s="9" t="n">
        <v>45413</v>
      </c>
      <c r="D2323" s="7" t="n">
        <v>2024</v>
      </c>
      <c r="E2323" s="7" t="inlineStr">
        <is>
          <t>West</t>
        </is>
      </c>
      <c r="F2323" s="7" t="inlineStr">
        <is>
          <t>Office Supplies</t>
        </is>
      </c>
      <c r="G2323" s="7" t="inlineStr">
        <is>
          <t>Paper</t>
        </is>
      </c>
      <c r="H2323" s="7" t="inlineStr">
        <is>
          <t>Corporate</t>
        </is>
      </c>
      <c r="I2323" s="7" t="n">
        <v>14</v>
      </c>
      <c r="J2323" s="10" t="n">
        <v>24.41</v>
      </c>
      <c r="K2323" s="11" t="n">
        <v>0.3</v>
      </c>
      <c r="L2323" s="10">
        <f>I2323*J2323*(1-K2323)</f>
        <v/>
      </c>
      <c r="M2323" s="10" t="n">
        <v>175</v>
      </c>
      <c r="N2323" s="10">
        <f>L2323-M2323</f>
        <v/>
      </c>
    </row>
    <row r="2324">
      <c r="A2324" s="7" t="inlineStr">
        <is>
          <t>ORD-01300</t>
        </is>
      </c>
      <c r="B2324" s="8" t="n">
        <v>45440</v>
      </c>
      <c r="C2324" s="9" t="n">
        <v>45413</v>
      </c>
      <c r="D2324" s="7" t="n">
        <v>2024</v>
      </c>
      <c r="E2324" s="7" t="inlineStr">
        <is>
          <t>South</t>
        </is>
      </c>
      <c r="F2324" s="7" t="inlineStr">
        <is>
          <t>Office Supplies</t>
        </is>
      </c>
      <c r="G2324" s="7" t="inlineStr">
        <is>
          <t>Printer Ink</t>
        </is>
      </c>
      <c r="H2324" s="7" t="inlineStr">
        <is>
          <t>Corporate</t>
        </is>
      </c>
      <c r="I2324" s="7" t="n">
        <v>15</v>
      </c>
      <c r="J2324" s="10" t="n">
        <v>57.03</v>
      </c>
      <c r="K2324" s="11" t="n">
        <v>0.05</v>
      </c>
      <c r="L2324" s="10">
        <f>I2324*J2324*(1-K2324)</f>
        <v/>
      </c>
      <c r="M2324" s="10" t="n">
        <v>540</v>
      </c>
      <c r="N2324" s="10">
        <f>L2324-M2324</f>
        <v/>
      </c>
    </row>
    <row r="2325">
      <c r="A2325" s="7" t="inlineStr">
        <is>
          <t>ORD-03648</t>
        </is>
      </c>
      <c r="B2325" s="8" t="n">
        <v>45440</v>
      </c>
      <c r="C2325" s="9" t="n">
        <v>45413</v>
      </c>
      <c r="D2325" s="7" t="n">
        <v>2024</v>
      </c>
      <c r="E2325" s="7" t="inlineStr">
        <is>
          <t>East</t>
        </is>
      </c>
      <c r="F2325" s="7" t="inlineStr">
        <is>
          <t>Technology</t>
        </is>
      </c>
      <c r="G2325" s="7" t="inlineStr">
        <is>
          <t>Laptop</t>
        </is>
      </c>
      <c r="H2325" s="7" t="inlineStr">
        <is>
          <t>Corporate</t>
        </is>
      </c>
      <c r="I2325" s="7" t="n">
        <v>3</v>
      </c>
      <c r="J2325" s="10" t="n">
        <v>878.96</v>
      </c>
      <c r="K2325" s="11" t="n">
        <v>0.05</v>
      </c>
      <c r="L2325" s="10">
        <f>I2325*J2325*(1-K2325)</f>
        <v/>
      </c>
      <c r="M2325" s="10" t="n">
        <v>2106</v>
      </c>
      <c r="N2325" s="10">
        <f>L2325-M2325</f>
        <v/>
      </c>
    </row>
    <row r="2326">
      <c r="A2326" s="7" t="inlineStr">
        <is>
          <t>ORD-04141</t>
        </is>
      </c>
      <c r="B2326" s="8" t="n">
        <v>45441</v>
      </c>
      <c r="C2326" s="9" t="n">
        <v>45413</v>
      </c>
      <c r="D2326" s="7" t="n">
        <v>2024</v>
      </c>
      <c r="E2326" s="7" t="inlineStr">
        <is>
          <t>West</t>
        </is>
      </c>
      <c r="F2326" s="7" t="inlineStr">
        <is>
          <t>Office Supplies</t>
        </is>
      </c>
      <c r="G2326" s="7" t="inlineStr">
        <is>
          <t>Paper</t>
        </is>
      </c>
      <c r="H2326" s="7" t="inlineStr">
        <is>
          <t>Corporate</t>
        </is>
      </c>
      <c r="I2326" s="7" t="n">
        <v>5</v>
      </c>
      <c r="J2326" s="10" t="n">
        <v>23.94</v>
      </c>
      <c r="K2326" s="11" t="n">
        <v>0</v>
      </c>
      <c r="L2326" s="10">
        <f>I2326*J2326*(1-K2326)</f>
        <v/>
      </c>
      <c r="M2326" s="10" t="n">
        <v>62.5</v>
      </c>
      <c r="N2326" s="10">
        <f>L2326-M2326</f>
        <v/>
      </c>
    </row>
    <row r="2327">
      <c r="A2327" s="7" t="inlineStr">
        <is>
          <t>ORD-01108</t>
        </is>
      </c>
      <c r="B2327" s="8" t="n">
        <v>45441</v>
      </c>
      <c r="C2327" s="9" t="n">
        <v>45413</v>
      </c>
      <c r="D2327" s="7" t="n">
        <v>2024</v>
      </c>
      <c r="E2327" s="7" t="inlineStr">
        <is>
          <t>East</t>
        </is>
      </c>
      <c r="F2327" s="7" t="inlineStr">
        <is>
          <t>Office Supplies</t>
        </is>
      </c>
      <c r="G2327" s="7" t="inlineStr">
        <is>
          <t>Paper</t>
        </is>
      </c>
      <c r="H2327" s="7" t="inlineStr">
        <is>
          <t>Consumer</t>
        </is>
      </c>
      <c r="I2327" s="7" t="n">
        <v>4</v>
      </c>
      <c r="J2327" s="10" t="n">
        <v>24.02</v>
      </c>
      <c r="K2327" s="11" t="n">
        <v>0</v>
      </c>
      <c r="L2327" s="10">
        <f>I2327*J2327*(1-K2327)</f>
        <v/>
      </c>
      <c r="M2327" s="10" t="n">
        <v>50</v>
      </c>
      <c r="N2327" s="10">
        <f>L2327-M2327</f>
        <v/>
      </c>
    </row>
    <row r="2328">
      <c r="A2328" s="7" t="inlineStr">
        <is>
          <t>ORD-03098</t>
        </is>
      </c>
      <c r="B2328" s="8" t="n">
        <v>45441</v>
      </c>
      <c r="C2328" s="9" t="n">
        <v>45413</v>
      </c>
      <c r="D2328" s="7" t="n">
        <v>2024</v>
      </c>
      <c r="E2328" s="7" t="inlineStr">
        <is>
          <t>East</t>
        </is>
      </c>
      <c r="F2328" s="7" t="inlineStr">
        <is>
          <t>Office Supplies</t>
        </is>
      </c>
      <c r="G2328" s="7" t="inlineStr">
        <is>
          <t>Paper</t>
        </is>
      </c>
      <c r="H2328" s="7" t="inlineStr">
        <is>
          <t>Corporate</t>
        </is>
      </c>
      <c r="I2328" s="7" t="n">
        <v>3</v>
      </c>
      <c r="J2328" s="10" t="n">
        <v>25.04</v>
      </c>
      <c r="K2328" s="11" t="n">
        <v>0</v>
      </c>
      <c r="L2328" s="10">
        <f>I2328*J2328*(1-K2328)</f>
        <v/>
      </c>
      <c r="M2328" s="10" t="n">
        <v>37.5</v>
      </c>
      <c r="N2328" s="10">
        <f>L2328-M2328</f>
        <v/>
      </c>
    </row>
    <row r="2329">
      <c r="A2329" s="7" t="inlineStr">
        <is>
          <t>ORD-03587</t>
        </is>
      </c>
      <c r="B2329" s="8" t="n">
        <v>45441</v>
      </c>
      <c r="C2329" s="9" t="n">
        <v>45413</v>
      </c>
      <c r="D2329" s="7" t="n">
        <v>2024</v>
      </c>
      <c r="E2329" s="7" t="inlineStr">
        <is>
          <t>East</t>
        </is>
      </c>
      <c r="F2329" s="7" t="inlineStr">
        <is>
          <t>Office Supplies</t>
        </is>
      </c>
      <c r="G2329" s="7" t="inlineStr">
        <is>
          <t>Paper</t>
        </is>
      </c>
      <c r="H2329" s="7" t="inlineStr">
        <is>
          <t>Consumer</t>
        </is>
      </c>
      <c r="I2329" s="7" t="n">
        <v>5</v>
      </c>
      <c r="J2329" s="10" t="n">
        <v>23.9</v>
      </c>
      <c r="K2329" s="11" t="n">
        <v>0.05</v>
      </c>
      <c r="L2329" s="10">
        <f>I2329*J2329*(1-K2329)</f>
        <v/>
      </c>
      <c r="M2329" s="10" t="n">
        <v>62.5</v>
      </c>
      <c r="N2329" s="10">
        <f>L2329-M2329</f>
        <v/>
      </c>
    </row>
    <row r="2330">
      <c r="A2330" s="7" t="inlineStr">
        <is>
          <t>ORD-03816</t>
        </is>
      </c>
      <c r="B2330" s="8" t="n">
        <v>45441</v>
      </c>
      <c r="C2330" s="9" t="n">
        <v>45413</v>
      </c>
      <c r="D2330" s="7" t="n">
        <v>2024</v>
      </c>
      <c r="E2330" s="7" t="inlineStr">
        <is>
          <t>West</t>
        </is>
      </c>
      <c r="F2330" s="7" t="inlineStr">
        <is>
          <t>Office Supplies</t>
        </is>
      </c>
      <c r="G2330" s="7" t="inlineStr">
        <is>
          <t>Printer Ink</t>
        </is>
      </c>
      <c r="H2330" s="7" t="inlineStr">
        <is>
          <t>Corporate</t>
        </is>
      </c>
      <c r="I2330" s="7" t="n">
        <v>4</v>
      </c>
      <c r="J2330" s="10" t="n">
        <v>58.67</v>
      </c>
      <c r="K2330" s="11" t="n">
        <v>0.2</v>
      </c>
      <c r="L2330" s="10">
        <f>I2330*J2330*(1-K2330)</f>
        <v/>
      </c>
      <c r="M2330" s="10" t="n">
        <v>144</v>
      </c>
      <c r="N2330" s="10">
        <f>L2330-M2330</f>
        <v/>
      </c>
    </row>
    <row r="2331">
      <c r="A2331" s="7" t="inlineStr">
        <is>
          <t>ORD-02075</t>
        </is>
      </c>
      <c r="B2331" s="8" t="n">
        <v>45441</v>
      </c>
      <c r="C2331" s="9" t="n">
        <v>45413</v>
      </c>
      <c r="D2331" s="7" t="n">
        <v>2024</v>
      </c>
      <c r="E2331" s="7" t="inlineStr">
        <is>
          <t>North</t>
        </is>
      </c>
      <c r="F2331" s="7" t="inlineStr">
        <is>
          <t>Technology</t>
        </is>
      </c>
      <c r="G2331" s="7" t="inlineStr">
        <is>
          <t>Monitor</t>
        </is>
      </c>
      <c r="H2331" s="7" t="inlineStr">
        <is>
          <t>Consumer</t>
        </is>
      </c>
      <c r="I2331" s="7" t="n">
        <v>2</v>
      </c>
      <c r="J2331" s="10" t="n">
        <v>255.46</v>
      </c>
      <c r="K2331" s="11" t="n">
        <v>0.2</v>
      </c>
      <c r="L2331" s="10">
        <f>I2331*J2331*(1-K2331)</f>
        <v/>
      </c>
      <c r="M2331" s="10" t="n">
        <v>360</v>
      </c>
      <c r="N2331" s="10">
        <f>L2331-M2331</f>
        <v/>
      </c>
    </row>
    <row r="2332">
      <c r="A2332" s="7" t="inlineStr">
        <is>
          <t>ORD-03854</t>
        </is>
      </c>
      <c r="B2332" s="8" t="n">
        <v>45442</v>
      </c>
      <c r="C2332" s="9" t="n">
        <v>45413</v>
      </c>
      <c r="D2332" s="7" t="n">
        <v>2024</v>
      </c>
      <c r="E2332" s="7" t="inlineStr">
        <is>
          <t>West</t>
        </is>
      </c>
      <c r="F2332" s="7" t="inlineStr">
        <is>
          <t>Furniture</t>
        </is>
      </c>
      <c r="G2332" s="7" t="inlineStr">
        <is>
          <t>Sofa</t>
        </is>
      </c>
      <c r="H2332" s="7" t="inlineStr">
        <is>
          <t>Consumer</t>
        </is>
      </c>
      <c r="I2332" s="7" t="n">
        <v>3</v>
      </c>
      <c r="J2332" s="10" t="n">
        <v>688.47</v>
      </c>
      <c r="K2332" s="11" t="n">
        <v>0.1</v>
      </c>
      <c r="L2332" s="10">
        <f>I2332*J2332*(1-K2332)</f>
        <v/>
      </c>
      <c r="M2332" s="10" t="n">
        <v>1848</v>
      </c>
      <c r="N2332" s="10">
        <f>L2332-M2332</f>
        <v/>
      </c>
    </row>
    <row r="2333">
      <c r="A2333" s="7" t="inlineStr">
        <is>
          <t>ORD-01546</t>
        </is>
      </c>
      <c r="B2333" s="8" t="n">
        <v>45443</v>
      </c>
      <c r="C2333" s="9" t="n">
        <v>45413</v>
      </c>
      <c r="D2333" s="7" t="n">
        <v>2024</v>
      </c>
      <c r="E2333" s="7" t="inlineStr">
        <is>
          <t>West</t>
        </is>
      </c>
      <c r="F2333" s="7" t="inlineStr">
        <is>
          <t>Office Supplies</t>
        </is>
      </c>
      <c r="G2333" s="7" t="inlineStr">
        <is>
          <t>Printer Ink</t>
        </is>
      </c>
      <c r="H2333" s="7" t="inlineStr">
        <is>
          <t>Home Office</t>
        </is>
      </c>
      <c r="I2333" s="7" t="n">
        <v>2</v>
      </c>
      <c r="J2333" s="10" t="n">
        <v>61.78</v>
      </c>
      <c r="K2333" s="11" t="n">
        <v>0.1</v>
      </c>
      <c r="L2333" s="10">
        <f>I2333*J2333*(1-K2333)</f>
        <v/>
      </c>
      <c r="M2333" s="10" t="n">
        <v>72</v>
      </c>
      <c r="N2333" s="10">
        <f>L2333-M2333</f>
        <v/>
      </c>
    </row>
    <row r="2334">
      <c r="A2334" s="7" t="inlineStr">
        <is>
          <t>ORD-01426</t>
        </is>
      </c>
      <c r="B2334" s="8" t="n">
        <v>45443</v>
      </c>
      <c r="C2334" s="9" t="n">
        <v>45413</v>
      </c>
      <c r="D2334" s="7" t="n">
        <v>2024</v>
      </c>
      <c r="E2334" s="7" t="inlineStr">
        <is>
          <t>West</t>
        </is>
      </c>
      <c r="F2334" s="7" t="inlineStr">
        <is>
          <t>Technology</t>
        </is>
      </c>
      <c r="G2334" s="7" t="inlineStr">
        <is>
          <t>Smartphone</t>
        </is>
      </c>
      <c r="H2334" s="7" t="inlineStr">
        <is>
          <t>Consumer</t>
        </is>
      </c>
      <c r="I2334" s="7" t="n">
        <v>2</v>
      </c>
      <c r="J2334" s="10" t="n">
        <v>608.1</v>
      </c>
      <c r="K2334" s="11" t="n">
        <v>0</v>
      </c>
      <c r="L2334" s="10">
        <f>I2334*J2334*(1-K2334)</f>
        <v/>
      </c>
      <c r="M2334" s="10" t="n">
        <v>900</v>
      </c>
      <c r="N2334" s="10">
        <f>L2334-M2334</f>
        <v/>
      </c>
    </row>
    <row r="2335">
      <c r="A2335" s="7" t="inlineStr">
        <is>
          <t>ORD-01287</t>
        </is>
      </c>
      <c r="B2335" s="8" t="n">
        <v>45443</v>
      </c>
      <c r="C2335" s="9" t="n">
        <v>45413</v>
      </c>
      <c r="D2335" s="7" t="n">
        <v>2024</v>
      </c>
      <c r="E2335" s="7" t="inlineStr">
        <is>
          <t>South</t>
        </is>
      </c>
      <c r="F2335" s="7" t="inlineStr">
        <is>
          <t>Office Supplies</t>
        </is>
      </c>
      <c r="G2335" s="7" t="inlineStr">
        <is>
          <t>Binder</t>
        </is>
      </c>
      <c r="H2335" s="7" t="inlineStr">
        <is>
          <t>Home Office</t>
        </is>
      </c>
      <c r="I2335" s="7" t="n">
        <v>13</v>
      </c>
      <c r="J2335" s="10" t="n">
        <v>8.19</v>
      </c>
      <c r="K2335" s="11" t="n">
        <v>0.2</v>
      </c>
      <c r="L2335" s="10">
        <f>I2335*J2335*(1-K2335)</f>
        <v/>
      </c>
      <c r="M2335" s="10" t="n">
        <v>41.6</v>
      </c>
      <c r="N2335" s="10">
        <f>L2335-M2335</f>
        <v/>
      </c>
    </row>
    <row r="2336">
      <c r="A2336" s="7" t="inlineStr">
        <is>
          <t>ORD-03499</t>
        </is>
      </c>
      <c r="B2336" s="8" t="n">
        <v>45443</v>
      </c>
      <c r="C2336" s="9" t="n">
        <v>45413</v>
      </c>
      <c r="D2336" s="7" t="n">
        <v>2024</v>
      </c>
      <c r="E2336" s="7" t="inlineStr">
        <is>
          <t>North</t>
        </is>
      </c>
      <c r="F2336" s="7" t="inlineStr">
        <is>
          <t>Office Supplies</t>
        </is>
      </c>
      <c r="G2336" s="7" t="inlineStr">
        <is>
          <t>Pens</t>
        </is>
      </c>
      <c r="H2336" s="7" t="inlineStr">
        <is>
          <t>Consumer</t>
        </is>
      </c>
      <c r="I2336" s="7" t="n">
        <v>4</v>
      </c>
      <c r="J2336" s="10" t="n">
        <v>11.97</v>
      </c>
      <c r="K2336" s="11" t="n">
        <v>0.1</v>
      </c>
      <c r="L2336" s="10">
        <f>I2336*J2336*(1-K2336)</f>
        <v/>
      </c>
      <c r="M2336" s="10" t="n">
        <v>21.6</v>
      </c>
      <c r="N2336" s="10">
        <f>L2336-M2336</f>
        <v/>
      </c>
    </row>
    <row r="2337">
      <c r="A2337" s="7" t="inlineStr">
        <is>
          <t>ORD-05641</t>
        </is>
      </c>
      <c r="B2337" s="8" t="n">
        <v>45443</v>
      </c>
      <c r="C2337" s="9" t="n">
        <v>45413</v>
      </c>
      <c r="D2337" s="7" t="n">
        <v>2024</v>
      </c>
      <c r="E2337" s="7" t="inlineStr">
        <is>
          <t>South</t>
        </is>
      </c>
      <c r="F2337" s="7" t="inlineStr">
        <is>
          <t>Technology</t>
        </is>
      </c>
      <c r="G2337" s="7" t="inlineStr">
        <is>
          <t>Laptop</t>
        </is>
      </c>
      <c r="H2337" s="7" t="inlineStr">
        <is>
          <t>Corporate</t>
        </is>
      </c>
      <c r="I2337" s="7" t="n">
        <v>3</v>
      </c>
      <c r="J2337" s="10" t="n">
        <v>899.67</v>
      </c>
      <c r="K2337" s="11" t="n">
        <v>0</v>
      </c>
      <c r="L2337" s="10">
        <f>I2337*J2337*(1-K2337)</f>
        <v/>
      </c>
      <c r="M2337" s="10" t="n">
        <v>2106</v>
      </c>
      <c r="N2337" s="10">
        <f>L2337-M2337</f>
        <v/>
      </c>
    </row>
    <row r="2338">
      <c r="A2338" s="7" t="inlineStr">
        <is>
          <t>ORD-02081</t>
        </is>
      </c>
      <c r="B2338" s="8" t="n">
        <v>45443</v>
      </c>
      <c r="C2338" s="9" t="n">
        <v>45413</v>
      </c>
      <c r="D2338" s="7" t="n">
        <v>2024</v>
      </c>
      <c r="E2338" s="7" t="inlineStr">
        <is>
          <t>West</t>
        </is>
      </c>
      <c r="F2338" s="7" t="inlineStr">
        <is>
          <t>Office Supplies</t>
        </is>
      </c>
      <c r="G2338" s="7" t="inlineStr">
        <is>
          <t>Binder</t>
        </is>
      </c>
      <c r="H2338" s="7" t="inlineStr">
        <is>
          <t>Consumer</t>
        </is>
      </c>
      <c r="I2338" s="7" t="n">
        <v>5</v>
      </c>
      <c r="J2338" s="10" t="n">
        <v>8.210000000000001</v>
      </c>
      <c r="K2338" s="11" t="n">
        <v>0.05</v>
      </c>
      <c r="L2338" s="10">
        <f>I2338*J2338*(1-K2338)</f>
        <v/>
      </c>
      <c r="M2338" s="10" t="n">
        <v>16</v>
      </c>
      <c r="N2338" s="10">
        <f>L2338-M2338</f>
        <v/>
      </c>
    </row>
    <row r="2339">
      <c r="A2339" s="7" t="inlineStr">
        <is>
          <t>ORD-01006</t>
        </is>
      </c>
      <c r="B2339" s="8" t="n">
        <v>45444</v>
      </c>
      <c r="C2339" s="9" t="n">
        <v>45444</v>
      </c>
      <c r="D2339" s="7" t="n">
        <v>2024</v>
      </c>
      <c r="E2339" s="7" t="inlineStr">
        <is>
          <t>East</t>
        </is>
      </c>
      <c r="F2339" s="7" t="inlineStr">
        <is>
          <t>Office Supplies</t>
        </is>
      </c>
      <c r="G2339" s="7" t="inlineStr">
        <is>
          <t>Pens</t>
        </is>
      </c>
      <c r="H2339" s="7" t="inlineStr">
        <is>
          <t>Corporate</t>
        </is>
      </c>
      <c r="I2339" s="7" t="n">
        <v>13</v>
      </c>
      <c r="J2339" s="10" t="n">
        <v>12.2</v>
      </c>
      <c r="K2339" s="11" t="n">
        <v>0.2</v>
      </c>
      <c r="L2339" s="10">
        <f>I2339*J2339*(1-K2339)</f>
        <v/>
      </c>
      <c r="M2339" s="10" t="n">
        <v>70.2</v>
      </c>
      <c r="N2339" s="10">
        <f>L2339-M2339</f>
        <v/>
      </c>
    </row>
    <row r="2340">
      <c r="A2340" s="7" t="inlineStr">
        <is>
          <t>ORD-04036</t>
        </is>
      </c>
      <c r="B2340" s="8" t="n">
        <v>45444</v>
      </c>
      <c r="C2340" s="9" t="n">
        <v>45444</v>
      </c>
      <c r="D2340" s="7" t="n">
        <v>2024</v>
      </c>
      <c r="E2340" s="7" t="inlineStr">
        <is>
          <t>North</t>
        </is>
      </c>
      <c r="F2340" s="7" t="inlineStr">
        <is>
          <t>Office Supplies</t>
        </is>
      </c>
      <c r="G2340" s="7" t="inlineStr">
        <is>
          <t>Paper</t>
        </is>
      </c>
      <c r="H2340" s="7" t="inlineStr">
        <is>
          <t>Home Office</t>
        </is>
      </c>
      <c r="I2340" s="7" t="n">
        <v>6</v>
      </c>
      <c r="J2340" s="10" t="n">
        <v>23.77</v>
      </c>
      <c r="K2340" s="11" t="n">
        <v>0</v>
      </c>
      <c r="L2340" s="10">
        <f>I2340*J2340*(1-K2340)</f>
        <v/>
      </c>
      <c r="M2340" s="10" t="n">
        <v>75</v>
      </c>
      <c r="N2340" s="10">
        <f>L2340-M2340</f>
        <v/>
      </c>
    </row>
    <row r="2341">
      <c r="A2341" s="7" t="inlineStr">
        <is>
          <t>ORD-01311</t>
        </is>
      </c>
      <c r="B2341" s="8" t="n">
        <v>45444</v>
      </c>
      <c r="C2341" s="9" t="n">
        <v>45444</v>
      </c>
      <c r="D2341" s="7" t="n">
        <v>2024</v>
      </c>
      <c r="E2341" s="7" t="inlineStr">
        <is>
          <t>East</t>
        </is>
      </c>
      <c r="F2341" s="7" t="inlineStr">
        <is>
          <t>Technology</t>
        </is>
      </c>
      <c r="G2341" s="7" t="inlineStr">
        <is>
          <t>Smartphone</t>
        </is>
      </c>
      <c r="H2341" s="7" t="inlineStr">
        <is>
          <t>Corporate</t>
        </is>
      </c>
      <c r="I2341" s="7" t="n">
        <v>1</v>
      </c>
      <c r="J2341" s="10" t="n">
        <v>601.25</v>
      </c>
      <c r="K2341" s="11" t="n">
        <v>0</v>
      </c>
      <c r="L2341" s="10">
        <f>I2341*J2341*(1-K2341)</f>
        <v/>
      </c>
      <c r="M2341" s="10" t="n">
        <v>450</v>
      </c>
      <c r="N2341" s="10">
        <f>L2341-M2341</f>
        <v/>
      </c>
    </row>
    <row r="2342">
      <c r="A2342" s="7" t="inlineStr">
        <is>
          <t>ORD-03350</t>
        </is>
      </c>
      <c r="B2342" s="8" t="n">
        <v>45444</v>
      </c>
      <c r="C2342" s="9" t="n">
        <v>45444</v>
      </c>
      <c r="D2342" s="7" t="n">
        <v>2024</v>
      </c>
      <c r="E2342" s="7" t="inlineStr">
        <is>
          <t>West</t>
        </is>
      </c>
      <c r="F2342" s="7" t="inlineStr">
        <is>
          <t>Technology</t>
        </is>
      </c>
      <c r="G2342" s="7" t="inlineStr">
        <is>
          <t>Keyboard</t>
        </is>
      </c>
      <c r="H2342" s="7" t="inlineStr">
        <is>
          <t>Consumer</t>
        </is>
      </c>
      <c r="I2342" s="7" t="n">
        <v>1</v>
      </c>
      <c r="J2342" s="10" t="n">
        <v>46.25</v>
      </c>
      <c r="K2342" s="11" t="n">
        <v>0</v>
      </c>
      <c r="L2342" s="10">
        <f>I2342*J2342*(1-K2342)</f>
        <v/>
      </c>
      <c r="M2342" s="10" t="n">
        <v>24.75</v>
      </c>
      <c r="N2342" s="10">
        <f>L2342-M2342</f>
        <v/>
      </c>
    </row>
    <row r="2343">
      <c r="A2343" s="7" t="inlineStr">
        <is>
          <t>ORD-04071</t>
        </is>
      </c>
      <c r="B2343" s="8" t="n">
        <v>45444</v>
      </c>
      <c r="C2343" s="9" t="n">
        <v>45444</v>
      </c>
      <c r="D2343" s="7" t="n">
        <v>2024</v>
      </c>
      <c r="E2343" s="7" t="inlineStr">
        <is>
          <t>East</t>
        </is>
      </c>
      <c r="F2343" s="7" t="inlineStr">
        <is>
          <t>Furniture</t>
        </is>
      </c>
      <c r="G2343" s="7" t="inlineStr">
        <is>
          <t>Sofa</t>
        </is>
      </c>
      <c r="H2343" s="7" t="inlineStr">
        <is>
          <t>Consumer</t>
        </is>
      </c>
      <c r="I2343" s="7" t="n">
        <v>1</v>
      </c>
      <c r="J2343" s="10" t="n">
        <v>713.47</v>
      </c>
      <c r="K2343" s="11" t="n">
        <v>0.3</v>
      </c>
      <c r="L2343" s="10">
        <f>I2343*J2343*(1-K2343)</f>
        <v/>
      </c>
      <c r="M2343" s="10" t="n">
        <v>616</v>
      </c>
      <c r="N2343" s="10">
        <f>L2343-M2343</f>
        <v/>
      </c>
    </row>
    <row r="2344">
      <c r="A2344" s="7" t="inlineStr">
        <is>
          <t>ORD-01192</t>
        </is>
      </c>
      <c r="B2344" s="8" t="n">
        <v>45444</v>
      </c>
      <c r="C2344" s="9" t="n">
        <v>45444</v>
      </c>
      <c r="D2344" s="7" t="n">
        <v>2024</v>
      </c>
      <c r="E2344" s="7" t="inlineStr">
        <is>
          <t>West</t>
        </is>
      </c>
      <c r="F2344" s="7" t="inlineStr">
        <is>
          <t>Office Supplies</t>
        </is>
      </c>
      <c r="G2344" s="7" t="inlineStr">
        <is>
          <t>Paper</t>
        </is>
      </c>
      <c r="H2344" s="7" t="inlineStr">
        <is>
          <t>Home Office</t>
        </is>
      </c>
      <c r="I2344" s="7" t="n">
        <v>11</v>
      </c>
      <c r="J2344" s="10" t="n">
        <v>25.79</v>
      </c>
      <c r="K2344" s="11" t="n">
        <v>0.05</v>
      </c>
      <c r="L2344" s="10">
        <f>I2344*J2344*(1-K2344)</f>
        <v/>
      </c>
      <c r="M2344" s="10" t="n">
        <v>137.5</v>
      </c>
      <c r="N2344" s="10">
        <f>L2344-M2344</f>
        <v/>
      </c>
    </row>
    <row r="2345">
      <c r="A2345" s="7" t="inlineStr">
        <is>
          <t>ORD-00547</t>
        </is>
      </c>
      <c r="B2345" s="8" t="n">
        <v>45444</v>
      </c>
      <c r="C2345" s="9" t="n">
        <v>45444</v>
      </c>
      <c r="D2345" s="7" t="n">
        <v>2024</v>
      </c>
      <c r="E2345" s="7" t="inlineStr">
        <is>
          <t>West</t>
        </is>
      </c>
      <c r="F2345" s="7" t="inlineStr">
        <is>
          <t>Technology</t>
        </is>
      </c>
      <c r="G2345" s="7" t="inlineStr">
        <is>
          <t>Monitor</t>
        </is>
      </c>
      <c r="H2345" s="7" t="inlineStr">
        <is>
          <t>Home Office</t>
        </is>
      </c>
      <c r="I2345" s="7" t="n">
        <v>2</v>
      </c>
      <c r="J2345" s="10" t="n">
        <v>251.07</v>
      </c>
      <c r="K2345" s="11" t="n">
        <v>0</v>
      </c>
      <c r="L2345" s="10">
        <f>I2345*J2345*(1-K2345)</f>
        <v/>
      </c>
      <c r="M2345" s="10" t="n">
        <v>360</v>
      </c>
      <c r="N2345" s="10">
        <f>L2345-M2345</f>
        <v/>
      </c>
    </row>
    <row r="2346">
      <c r="A2346" s="7" t="inlineStr">
        <is>
          <t>ORD-00676</t>
        </is>
      </c>
      <c r="B2346" s="8" t="n">
        <v>45444</v>
      </c>
      <c r="C2346" s="9" t="n">
        <v>45444</v>
      </c>
      <c r="D2346" s="7" t="n">
        <v>2024</v>
      </c>
      <c r="E2346" s="7" t="inlineStr">
        <is>
          <t>West</t>
        </is>
      </c>
      <c r="F2346" s="7" t="inlineStr">
        <is>
          <t>Technology</t>
        </is>
      </c>
      <c r="G2346" s="7" t="inlineStr">
        <is>
          <t>Laptop</t>
        </is>
      </c>
      <c r="H2346" s="7" t="inlineStr">
        <is>
          <t>Consumer</t>
        </is>
      </c>
      <c r="I2346" s="7" t="n">
        <v>2</v>
      </c>
      <c r="J2346" s="10" t="n">
        <v>899.58</v>
      </c>
      <c r="K2346" s="11" t="n">
        <v>0</v>
      </c>
      <c r="L2346" s="10">
        <f>I2346*J2346*(1-K2346)</f>
        <v/>
      </c>
      <c r="M2346" s="10" t="n">
        <v>1404</v>
      </c>
      <c r="N2346" s="10">
        <f>L2346-M2346</f>
        <v/>
      </c>
    </row>
    <row r="2347">
      <c r="A2347" s="7" t="inlineStr">
        <is>
          <t>ORD-02163</t>
        </is>
      </c>
      <c r="B2347" s="8" t="n">
        <v>45444</v>
      </c>
      <c r="C2347" s="9" t="n">
        <v>45444</v>
      </c>
      <c r="D2347" s="7" t="n">
        <v>2024</v>
      </c>
      <c r="E2347" s="7" t="inlineStr">
        <is>
          <t>West</t>
        </is>
      </c>
      <c r="F2347" s="7" t="inlineStr">
        <is>
          <t>Furniture</t>
        </is>
      </c>
      <c r="G2347" s="7" t="inlineStr">
        <is>
          <t>Sofa</t>
        </is>
      </c>
      <c r="H2347" s="7" t="inlineStr">
        <is>
          <t>Home Office</t>
        </is>
      </c>
      <c r="I2347" s="7" t="n">
        <v>4</v>
      </c>
      <c r="J2347" s="10" t="n">
        <v>708.47</v>
      </c>
      <c r="K2347" s="11" t="n">
        <v>0.2</v>
      </c>
      <c r="L2347" s="10">
        <f>I2347*J2347*(1-K2347)</f>
        <v/>
      </c>
      <c r="M2347" s="10" t="n">
        <v>2464</v>
      </c>
      <c r="N2347" s="10">
        <f>L2347-M2347</f>
        <v/>
      </c>
    </row>
    <row r="2348">
      <c r="A2348" s="7" t="inlineStr">
        <is>
          <t>ORD-00276</t>
        </is>
      </c>
      <c r="B2348" s="8" t="n">
        <v>45445</v>
      </c>
      <c r="C2348" s="9" t="n">
        <v>45444</v>
      </c>
      <c r="D2348" s="7" t="n">
        <v>2024</v>
      </c>
      <c r="E2348" s="7" t="inlineStr">
        <is>
          <t>South</t>
        </is>
      </c>
      <c r="F2348" s="7" t="inlineStr">
        <is>
          <t>Furniture</t>
        </is>
      </c>
      <c r="G2348" s="7" t="inlineStr">
        <is>
          <t>Office Chair</t>
        </is>
      </c>
      <c r="H2348" s="7" t="inlineStr">
        <is>
          <t>Consumer</t>
        </is>
      </c>
      <c r="I2348" s="7" t="n">
        <v>4</v>
      </c>
      <c r="J2348" s="10" t="n">
        <v>224.53</v>
      </c>
      <c r="K2348" s="11" t="n">
        <v>0.05</v>
      </c>
      <c r="L2348" s="10">
        <f>I2348*J2348*(1-K2348)</f>
        <v/>
      </c>
      <c r="M2348" s="10" t="n">
        <v>721.6</v>
      </c>
      <c r="N2348" s="10">
        <f>L2348-M2348</f>
        <v/>
      </c>
    </row>
    <row r="2349">
      <c r="A2349" s="7" t="inlineStr">
        <is>
          <t>ORD-03021</t>
        </is>
      </c>
      <c r="B2349" s="8" t="n">
        <v>45445</v>
      </c>
      <c r="C2349" s="9" t="n">
        <v>45444</v>
      </c>
      <c r="D2349" s="7" t="n">
        <v>2024</v>
      </c>
      <c r="E2349" s="7" t="inlineStr">
        <is>
          <t>West</t>
        </is>
      </c>
      <c r="F2349" s="7" t="inlineStr">
        <is>
          <t>Office Supplies</t>
        </is>
      </c>
      <c r="G2349" s="7" t="inlineStr">
        <is>
          <t>Binder</t>
        </is>
      </c>
      <c r="H2349" s="7" t="inlineStr">
        <is>
          <t>Home Office</t>
        </is>
      </c>
      <c r="I2349" s="7" t="n">
        <v>15</v>
      </c>
      <c r="J2349" s="10" t="n">
        <v>7.86</v>
      </c>
      <c r="K2349" s="11" t="n">
        <v>0.1</v>
      </c>
      <c r="L2349" s="10">
        <f>I2349*J2349*(1-K2349)</f>
        <v/>
      </c>
      <c r="M2349" s="10" t="n">
        <v>48</v>
      </c>
      <c r="N2349" s="10">
        <f>L2349-M2349</f>
        <v/>
      </c>
    </row>
    <row r="2350">
      <c r="A2350" s="7" t="inlineStr">
        <is>
          <t>ORD-02729</t>
        </is>
      </c>
      <c r="B2350" s="8" t="n">
        <v>45445</v>
      </c>
      <c r="C2350" s="9" t="n">
        <v>45444</v>
      </c>
      <c r="D2350" s="7" t="n">
        <v>2024</v>
      </c>
      <c r="E2350" s="7" t="inlineStr">
        <is>
          <t>West</t>
        </is>
      </c>
      <c r="F2350" s="7" t="inlineStr">
        <is>
          <t>Office Supplies</t>
        </is>
      </c>
      <c r="G2350" s="7" t="inlineStr">
        <is>
          <t>Stapler</t>
        </is>
      </c>
      <c r="H2350" s="7" t="inlineStr">
        <is>
          <t>Home Office</t>
        </is>
      </c>
      <c r="I2350" s="7" t="n">
        <v>12</v>
      </c>
      <c r="J2350" s="10" t="n">
        <v>15.42</v>
      </c>
      <c r="K2350" s="11" t="n">
        <v>0.1</v>
      </c>
      <c r="L2350" s="10">
        <f>I2350*J2350*(1-K2350)</f>
        <v/>
      </c>
      <c r="M2350" s="10" t="n">
        <v>90</v>
      </c>
      <c r="N2350" s="10">
        <f>L2350-M2350</f>
        <v/>
      </c>
    </row>
    <row r="2351">
      <c r="A2351" s="7" t="inlineStr">
        <is>
          <t>ORD-02699</t>
        </is>
      </c>
      <c r="B2351" s="8" t="n">
        <v>45445</v>
      </c>
      <c r="C2351" s="9" t="n">
        <v>45444</v>
      </c>
      <c r="D2351" s="7" t="n">
        <v>2024</v>
      </c>
      <c r="E2351" s="7" t="inlineStr">
        <is>
          <t>West</t>
        </is>
      </c>
      <c r="F2351" s="7" t="inlineStr">
        <is>
          <t>Office Supplies</t>
        </is>
      </c>
      <c r="G2351" s="7" t="inlineStr">
        <is>
          <t>Stapler</t>
        </is>
      </c>
      <c r="H2351" s="7" t="inlineStr">
        <is>
          <t>Consumer</t>
        </is>
      </c>
      <c r="I2351" s="7" t="n">
        <v>12</v>
      </c>
      <c r="J2351" s="10" t="n">
        <v>15.44</v>
      </c>
      <c r="K2351" s="11" t="n">
        <v>0.05</v>
      </c>
      <c r="L2351" s="10">
        <f>I2351*J2351*(1-K2351)</f>
        <v/>
      </c>
      <c r="M2351" s="10" t="n">
        <v>90</v>
      </c>
      <c r="N2351" s="10">
        <f>L2351-M2351</f>
        <v/>
      </c>
    </row>
    <row r="2352">
      <c r="A2352" s="7" t="inlineStr">
        <is>
          <t>ORD-04889</t>
        </is>
      </c>
      <c r="B2352" s="8" t="n">
        <v>45445</v>
      </c>
      <c r="C2352" s="9" t="n">
        <v>45444</v>
      </c>
      <c r="D2352" s="7" t="n">
        <v>2024</v>
      </c>
      <c r="E2352" s="7" t="inlineStr">
        <is>
          <t>East</t>
        </is>
      </c>
      <c r="F2352" s="7" t="inlineStr">
        <is>
          <t>Office Supplies</t>
        </is>
      </c>
      <c r="G2352" s="7" t="inlineStr">
        <is>
          <t>Pens</t>
        </is>
      </c>
      <c r="H2352" s="7" t="inlineStr">
        <is>
          <t>Consumer</t>
        </is>
      </c>
      <c r="I2352" s="7" t="n">
        <v>7</v>
      </c>
      <c r="J2352" s="10" t="n">
        <v>12.57</v>
      </c>
      <c r="K2352" s="11" t="n">
        <v>0.1</v>
      </c>
      <c r="L2352" s="10">
        <f>I2352*J2352*(1-K2352)</f>
        <v/>
      </c>
      <c r="M2352" s="10" t="n">
        <v>37.8</v>
      </c>
      <c r="N2352" s="10">
        <f>L2352-M2352</f>
        <v/>
      </c>
    </row>
    <row r="2353">
      <c r="A2353" s="7" t="inlineStr">
        <is>
          <t>ORD-05938</t>
        </is>
      </c>
      <c r="B2353" s="8" t="n">
        <v>45445</v>
      </c>
      <c r="C2353" s="9" t="n">
        <v>45444</v>
      </c>
      <c r="D2353" s="7" t="n">
        <v>2024</v>
      </c>
      <c r="E2353" s="7" t="inlineStr">
        <is>
          <t>North</t>
        </is>
      </c>
      <c r="F2353" s="7" t="inlineStr">
        <is>
          <t>Furniture</t>
        </is>
      </c>
      <c r="G2353" s="7" t="inlineStr">
        <is>
          <t>Office Chair</t>
        </is>
      </c>
      <c r="H2353" s="7" t="inlineStr">
        <is>
          <t>Corporate</t>
        </is>
      </c>
      <c r="I2353" s="7" t="n">
        <v>1</v>
      </c>
      <c r="J2353" s="10" t="n">
        <v>216.25</v>
      </c>
      <c r="K2353" s="11" t="n">
        <v>0.1</v>
      </c>
      <c r="L2353" s="10">
        <f>I2353*J2353*(1-K2353)</f>
        <v/>
      </c>
      <c r="M2353" s="10" t="n">
        <v>180.4</v>
      </c>
      <c r="N2353" s="10">
        <f>L2353-M2353</f>
        <v/>
      </c>
    </row>
    <row r="2354">
      <c r="A2354" s="7" t="inlineStr">
        <is>
          <t>ORD-00887</t>
        </is>
      </c>
      <c r="B2354" s="8" t="n">
        <v>45446</v>
      </c>
      <c r="C2354" s="9" t="n">
        <v>45444</v>
      </c>
      <c r="D2354" s="7" t="n">
        <v>2024</v>
      </c>
      <c r="E2354" s="7" t="inlineStr">
        <is>
          <t>East</t>
        </is>
      </c>
      <c r="F2354" s="7" t="inlineStr">
        <is>
          <t>Office Supplies</t>
        </is>
      </c>
      <c r="G2354" s="7" t="inlineStr">
        <is>
          <t>Paper</t>
        </is>
      </c>
      <c r="H2354" s="7" t="inlineStr">
        <is>
          <t>Consumer</t>
        </is>
      </c>
      <c r="I2354" s="7" t="n">
        <v>4</v>
      </c>
      <c r="J2354" s="10" t="n">
        <v>25.91</v>
      </c>
      <c r="K2354" s="11" t="n">
        <v>0.05</v>
      </c>
      <c r="L2354" s="10">
        <f>I2354*J2354*(1-K2354)</f>
        <v/>
      </c>
      <c r="M2354" s="10" t="n">
        <v>50</v>
      </c>
      <c r="N2354" s="10">
        <f>L2354-M2354</f>
        <v/>
      </c>
    </row>
    <row r="2355">
      <c r="A2355" s="7" t="inlineStr">
        <is>
          <t>ORD-02663</t>
        </is>
      </c>
      <c r="B2355" s="8" t="n">
        <v>45446</v>
      </c>
      <c r="C2355" s="9" t="n">
        <v>45444</v>
      </c>
      <c r="D2355" s="7" t="n">
        <v>2024</v>
      </c>
      <c r="E2355" s="7" t="inlineStr">
        <is>
          <t>North</t>
        </is>
      </c>
      <c r="F2355" s="7" t="inlineStr">
        <is>
          <t>Office Supplies</t>
        </is>
      </c>
      <c r="G2355" s="7" t="inlineStr">
        <is>
          <t>Paper</t>
        </is>
      </c>
      <c r="H2355" s="7" t="inlineStr">
        <is>
          <t>Corporate</t>
        </is>
      </c>
      <c r="I2355" s="7" t="n">
        <v>8</v>
      </c>
      <c r="J2355" s="10" t="n">
        <v>25.62</v>
      </c>
      <c r="K2355" s="11" t="n">
        <v>0</v>
      </c>
      <c r="L2355" s="10">
        <f>I2355*J2355*(1-K2355)</f>
        <v/>
      </c>
      <c r="M2355" s="10" t="n">
        <v>100</v>
      </c>
      <c r="N2355" s="10">
        <f>L2355-M2355</f>
        <v/>
      </c>
    </row>
    <row r="2356">
      <c r="A2356" s="7" t="inlineStr">
        <is>
          <t>ORD-00739</t>
        </is>
      </c>
      <c r="B2356" s="8" t="n">
        <v>45446</v>
      </c>
      <c r="C2356" s="9" t="n">
        <v>45444</v>
      </c>
      <c r="D2356" s="7" t="n">
        <v>2024</v>
      </c>
      <c r="E2356" s="7" t="inlineStr">
        <is>
          <t>South</t>
        </is>
      </c>
      <c r="F2356" s="7" t="inlineStr">
        <is>
          <t>Furniture</t>
        </is>
      </c>
      <c r="G2356" s="7" t="inlineStr">
        <is>
          <t>Office Chair</t>
        </is>
      </c>
      <c r="H2356" s="7" t="inlineStr">
        <is>
          <t>Consumer</t>
        </is>
      </c>
      <c r="I2356" s="7" t="n">
        <v>2</v>
      </c>
      <c r="J2356" s="10" t="n">
        <v>226.13</v>
      </c>
      <c r="K2356" s="11" t="n">
        <v>0.3</v>
      </c>
      <c r="L2356" s="10">
        <f>I2356*J2356*(1-K2356)</f>
        <v/>
      </c>
      <c r="M2356" s="10" t="n">
        <v>360.8</v>
      </c>
      <c r="N2356" s="10">
        <f>L2356-M2356</f>
        <v/>
      </c>
    </row>
    <row r="2357">
      <c r="A2357" s="7" t="inlineStr">
        <is>
          <t>ORD-04845</t>
        </is>
      </c>
      <c r="B2357" s="8" t="n">
        <v>45446</v>
      </c>
      <c r="C2357" s="9" t="n">
        <v>45444</v>
      </c>
      <c r="D2357" s="7" t="n">
        <v>2024</v>
      </c>
      <c r="E2357" s="7" t="inlineStr">
        <is>
          <t>West</t>
        </is>
      </c>
      <c r="F2357" s="7" t="inlineStr">
        <is>
          <t>Office Supplies</t>
        </is>
      </c>
      <c r="G2357" s="7" t="inlineStr">
        <is>
          <t>Binder</t>
        </is>
      </c>
      <c r="H2357" s="7" t="inlineStr">
        <is>
          <t>Home Office</t>
        </is>
      </c>
      <c r="I2357" s="7" t="n">
        <v>5</v>
      </c>
      <c r="J2357" s="10" t="n">
        <v>7.82</v>
      </c>
      <c r="K2357" s="11" t="n">
        <v>0</v>
      </c>
      <c r="L2357" s="10">
        <f>I2357*J2357*(1-K2357)</f>
        <v/>
      </c>
      <c r="M2357" s="10" t="n">
        <v>16</v>
      </c>
      <c r="N2357" s="10">
        <f>L2357-M2357</f>
        <v/>
      </c>
    </row>
    <row r="2358">
      <c r="A2358" s="7" t="inlineStr">
        <is>
          <t>ORD-02026</t>
        </is>
      </c>
      <c r="B2358" s="8" t="n">
        <v>45446</v>
      </c>
      <c r="C2358" s="9" t="n">
        <v>45444</v>
      </c>
      <c r="D2358" s="7" t="n">
        <v>2024</v>
      </c>
      <c r="E2358" s="7" t="inlineStr">
        <is>
          <t>East</t>
        </is>
      </c>
      <c r="F2358" s="7" t="inlineStr">
        <is>
          <t>Furniture</t>
        </is>
      </c>
      <c r="G2358" s="7" t="inlineStr">
        <is>
          <t>Office Chair</t>
        </is>
      </c>
      <c r="H2358" s="7" t="inlineStr">
        <is>
          <t>Consumer</t>
        </is>
      </c>
      <c r="I2358" s="7" t="n">
        <v>4</v>
      </c>
      <c r="J2358" s="10" t="n">
        <v>226.86</v>
      </c>
      <c r="K2358" s="11" t="n">
        <v>0.1</v>
      </c>
      <c r="L2358" s="10">
        <f>I2358*J2358*(1-K2358)</f>
        <v/>
      </c>
      <c r="M2358" s="10" t="n">
        <v>721.6</v>
      </c>
      <c r="N2358" s="10">
        <f>L2358-M2358</f>
        <v/>
      </c>
    </row>
    <row r="2359">
      <c r="A2359" s="7" t="inlineStr">
        <is>
          <t>ORD-02657</t>
        </is>
      </c>
      <c r="B2359" s="8" t="n">
        <v>45446</v>
      </c>
      <c r="C2359" s="9" t="n">
        <v>45444</v>
      </c>
      <c r="D2359" s="7" t="n">
        <v>2024</v>
      </c>
      <c r="E2359" s="7" t="inlineStr">
        <is>
          <t>West</t>
        </is>
      </c>
      <c r="F2359" s="7" t="inlineStr">
        <is>
          <t>Office Supplies</t>
        </is>
      </c>
      <c r="G2359" s="7" t="inlineStr">
        <is>
          <t>Pens</t>
        </is>
      </c>
      <c r="H2359" s="7" t="inlineStr">
        <is>
          <t>Home Office</t>
        </is>
      </c>
      <c r="I2359" s="7" t="n">
        <v>15</v>
      </c>
      <c r="J2359" s="10" t="n">
        <v>11.6</v>
      </c>
      <c r="K2359" s="11" t="n">
        <v>0.1</v>
      </c>
      <c r="L2359" s="10">
        <f>I2359*J2359*(1-K2359)</f>
        <v/>
      </c>
      <c r="M2359" s="10" t="n">
        <v>81</v>
      </c>
      <c r="N2359" s="10">
        <f>L2359-M2359</f>
        <v/>
      </c>
    </row>
    <row r="2360">
      <c r="A2360" s="7" t="inlineStr">
        <is>
          <t>ORD-01171</t>
        </is>
      </c>
      <c r="B2360" s="8" t="n">
        <v>45446</v>
      </c>
      <c r="C2360" s="9" t="n">
        <v>45444</v>
      </c>
      <c r="D2360" s="7" t="n">
        <v>2024</v>
      </c>
      <c r="E2360" s="7" t="inlineStr">
        <is>
          <t>East</t>
        </is>
      </c>
      <c r="F2360" s="7" t="inlineStr">
        <is>
          <t>Office Supplies</t>
        </is>
      </c>
      <c r="G2360" s="7" t="inlineStr">
        <is>
          <t>Pens</t>
        </is>
      </c>
      <c r="H2360" s="7" t="inlineStr">
        <is>
          <t>Home Office</t>
        </is>
      </c>
      <c r="I2360" s="7" t="n">
        <v>7</v>
      </c>
      <c r="J2360" s="10" t="n">
        <v>11.98</v>
      </c>
      <c r="K2360" s="11" t="n">
        <v>0</v>
      </c>
      <c r="L2360" s="10">
        <f>I2360*J2360*(1-K2360)</f>
        <v/>
      </c>
      <c r="M2360" s="10" t="n">
        <v>37.8</v>
      </c>
      <c r="N2360" s="10">
        <f>L2360-M2360</f>
        <v/>
      </c>
    </row>
    <row r="2361">
      <c r="A2361" s="7" t="inlineStr">
        <is>
          <t>ORD-00877</t>
        </is>
      </c>
      <c r="B2361" s="8" t="n">
        <v>45446</v>
      </c>
      <c r="C2361" s="9" t="n">
        <v>45444</v>
      </c>
      <c r="D2361" s="7" t="n">
        <v>2024</v>
      </c>
      <c r="E2361" s="7" t="inlineStr">
        <is>
          <t>West</t>
        </is>
      </c>
      <c r="F2361" s="7" t="inlineStr">
        <is>
          <t>Technology</t>
        </is>
      </c>
      <c r="G2361" s="7" t="inlineStr">
        <is>
          <t>Laptop</t>
        </is>
      </c>
      <c r="H2361" s="7" t="inlineStr">
        <is>
          <t>Corporate</t>
        </is>
      </c>
      <c r="I2361" s="7" t="n">
        <v>1</v>
      </c>
      <c r="J2361" s="10" t="n">
        <v>886.87</v>
      </c>
      <c r="K2361" s="11" t="n">
        <v>0</v>
      </c>
      <c r="L2361" s="10">
        <f>I2361*J2361*(1-K2361)</f>
        <v/>
      </c>
      <c r="M2361" s="10" t="n">
        <v>702</v>
      </c>
      <c r="N2361" s="10">
        <f>L2361-M2361</f>
        <v/>
      </c>
    </row>
    <row r="2362">
      <c r="A2362" s="7" t="inlineStr">
        <is>
          <t>ORD-01625</t>
        </is>
      </c>
      <c r="B2362" s="8" t="n">
        <v>45447</v>
      </c>
      <c r="C2362" s="9" t="n">
        <v>45444</v>
      </c>
      <c r="D2362" s="7" t="n">
        <v>2024</v>
      </c>
      <c r="E2362" s="7" t="inlineStr">
        <is>
          <t>East</t>
        </is>
      </c>
      <c r="F2362" s="7" t="inlineStr">
        <is>
          <t>Technology</t>
        </is>
      </c>
      <c r="G2362" s="7" t="inlineStr">
        <is>
          <t>Laptop</t>
        </is>
      </c>
      <c r="H2362" s="7" t="inlineStr">
        <is>
          <t>Consumer</t>
        </is>
      </c>
      <c r="I2362" s="7" t="n">
        <v>1</v>
      </c>
      <c r="J2362" s="10" t="n">
        <v>890.28</v>
      </c>
      <c r="K2362" s="11" t="n">
        <v>0.05</v>
      </c>
      <c r="L2362" s="10">
        <f>I2362*J2362*(1-K2362)</f>
        <v/>
      </c>
      <c r="M2362" s="10" t="n">
        <v>702</v>
      </c>
      <c r="N2362" s="10">
        <f>L2362-M2362</f>
        <v/>
      </c>
    </row>
    <row r="2363">
      <c r="A2363" s="7" t="inlineStr">
        <is>
          <t>ORD-01690</t>
        </is>
      </c>
      <c r="B2363" s="8" t="n">
        <v>45447</v>
      </c>
      <c r="C2363" s="9" t="n">
        <v>45444</v>
      </c>
      <c r="D2363" s="7" t="n">
        <v>2024</v>
      </c>
      <c r="E2363" s="7" t="inlineStr">
        <is>
          <t>East</t>
        </is>
      </c>
      <c r="F2363" s="7" t="inlineStr">
        <is>
          <t>Office Supplies</t>
        </is>
      </c>
      <c r="G2363" s="7" t="inlineStr">
        <is>
          <t>Paper</t>
        </is>
      </c>
      <c r="H2363" s="7" t="inlineStr">
        <is>
          <t>Consumer</t>
        </is>
      </c>
      <c r="I2363" s="7" t="n">
        <v>12</v>
      </c>
      <c r="J2363" s="10" t="n">
        <v>25.36</v>
      </c>
      <c r="K2363" s="11" t="n">
        <v>0.1</v>
      </c>
      <c r="L2363" s="10">
        <f>I2363*J2363*(1-K2363)</f>
        <v/>
      </c>
      <c r="M2363" s="10" t="n">
        <v>150</v>
      </c>
      <c r="N2363" s="10">
        <f>L2363-M2363</f>
        <v/>
      </c>
    </row>
    <row r="2364">
      <c r="A2364" s="7" t="inlineStr">
        <is>
          <t>ORD-04059</t>
        </is>
      </c>
      <c r="B2364" s="8" t="n">
        <v>45447</v>
      </c>
      <c r="C2364" s="9" t="n">
        <v>45444</v>
      </c>
      <c r="D2364" s="7" t="n">
        <v>2024</v>
      </c>
      <c r="E2364" s="7" t="inlineStr">
        <is>
          <t>South</t>
        </is>
      </c>
      <c r="F2364" s="7" t="inlineStr">
        <is>
          <t>Office Supplies</t>
        </is>
      </c>
      <c r="G2364" s="7" t="inlineStr">
        <is>
          <t>Binder</t>
        </is>
      </c>
      <c r="H2364" s="7" t="inlineStr">
        <is>
          <t>Corporate</t>
        </is>
      </c>
      <c r="I2364" s="7" t="n">
        <v>7</v>
      </c>
      <c r="J2364" s="10" t="n">
        <v>8.01</v>
      </c>
      <c r="K2364" s="11" t="n">
        <v>0</v>
      </c>
      <c r="L2364" s="10">
        <f>I2364*J2364*(1-K2364)</f>
        <v/>
      </c>
      <c r="M2364" s="10" t="n">
        <v>22.4</v>
      </c>
      <c r="N2364" s="10">
        <f>L2364-M2364</f>
        <v/>
      </c>
    </row>
    <row r="2365">
      <c r="A2365" s="7" t="inlineStr">
        <is>
          <t>ORD-00847</t>
        </is>
      </c>
      <c r="B2365" s="8" t="n">
        <v>45447</v>
      </c>
      <c r="C2365" s="9" t="n">
        <v>45444</v>
      </c>
      <c r="D2365" s="7" t="n">
        <v>2024</v>
      </c>
      <c r="E2365" s="7" t="inlineStr">
        <is>
          <t>West</t>
        </is>
      </c>
      <c r="F2365" s="7" t="inlineStr">
        <is>
          <t>Office Supplies</t>
        </is>
      </c>
      <c r="G2365" s="7" t="inlineStr">
        <is>
          <t>Printer Ink</t>
        </is>
      </c>
      <c r="H2365" s="7" t="inlineStr">
        <is>
          <t>Consumer</t>
        </is>
      </c>
      <c r="I2365" s="7" t="n">
        <v>8</v>
      </c>
      <c r="J2365" s="10" t="n">
        <v>59.02</v>
      </c>
      <c r="K2365" s="11" t="n">
        <v>0.05</v>
      </c>
      <c r="L2365" s="10">
        <f>I2365*J2365*(1-K2365)</f>
        <v/>
      </c>
      <c r="M2365" s="10" t="n">
        <v>288</v>
      </c>
      <c r="N2365" s="10">
        <f>L2365-M2365</f>
        <v/>
      </c>
    </row>
    <row r="2366">
      <c r="A2366" s="7" t="inlineStr">
        <is>
          <t>ORD-05800</t>
        </is>
      </c>
      <c r="B2366" s="8" t="n">
        <v>45448</v>
      </c>
      <c r="C2366" s="9" t="n">
        <v>45444</v>
      </c>
      <c r="D2366" s="7" t="n">
        <v>2024</v>
      </c>
      <c r="E2366" s="7" t="inlineStr">
        <is>
          <t>West</t>
        </is>
      </c>
      <c r="F2366" s="7" t="inlineStr">
        <is>
          <t>Furniture</t>
        </is>
      </c>
      <c r="G2366" s="7" t="inlineStr">
        <is>
          <t>Office Chair</t>
        </is>
      </c>
      <c r="H2366" s="7" t="inlineStr">
        <is>
          <t>Corporate</t>
        </is>
      </c>
      <c r="I2366" s="7" t="n">
        <v>4</v>
      </c>
      <c r="J2366" s="10" t="n">
        <v>213.63</v>
      </c>
      <c r="K2366" s="11" t="n">
        <v>0.1</v>
      </c>
      <c r="L2366" s="10">
        <f>I2366*J2366*(1-K2366)</f>
        <v/>
      </c>
      <c r="M2366" s="10" t="n">
        <v>721.6</v>
      </c>
      <c r="N2366" s="10">
        <f>L2366-M2366</f>
        <v/>
      </c>
    </row>
    <row r="2367">
      <c r="A2367" s="7" t="inlineStr">
        <is>
          <t>ORD-02566</t>
        </is>
      </c>
      <c r="B2367" s="8" t="n">
        <v>45448</v>
      </c>
      <c r="C2367" s="9" t="n">
        <v>45444</v>
      </c>
      <c r="D2367" s="7" t="n">
        <v>2024</v>
      </c>
      <c r="E2367" s="7" t="inlineStr">
        <is>
          <t>East</t>
        </is>
      </c>
      <c r="F2367" s="7" t="inlineStr">
        <is>
          <t>Technology</t>
        </is>
      </c>
      <c r="G2367" s="7" t="inlineStr">
        <is>
          <t>Monitor</t>
        </is>
      </c>
      <c r="H2367" s="7" t="inlineStr">
        <is>
          <t>Corporate</t>
        </is>
      </c>
      <c r="I2367" s="7" t="n">
        <v>1</v>
      </c>
      <c r="J2367" s="10" t="n">
        <v>242.83</v>
      </c>
      <c r="K2367" s="11" t="n">
        <v>0.3</v>
      </c>
      <c r="L2367" s="10">
        <f>I2367*J2367*(1-K2367)</f>
        <v/>
      </c>
      <c r="M2367" s="10" t="n">
        <v>180</v>
      </c>
      <c r="N2367" s="10">
        <f>L2367-M2367</f>
        <v/>
      </c>
    </row>
    <row r="2368">
      <c r="A2368" s="7" t="inlineStr">
        <is>
          <t>ORD-04164</t>
        </is>
      </c>
      <c r="B2368" s="8" t="n">
        <v>45448</v>
      </c>
      <c r="C2368" s="9" t="n">
        <v>45444</v>
      </c>
      <c r="D2368" s="7" t="n">
        <v>2024</v>
      </c>
      <c r="E2368" s="7" t="inlineStr">
        <is>
          <t>East</t>
        </is>
      </c>
      <c r="F2368" s="7" t="inlineStr">
        <is>
          <t>Office Supplies</t>
        </is>
      </c>
      <c r="G2368" s="7" t="inlineStr">
        <is>
          <t>Binder</t>
        </is>
      </c>
      <c r="H2368" s="7" t="inlineStr">
        <is>
          <t>Consumer</t>
        </is>
      </c>
      <c r="I2368" s="7" t="n">
        <v>11</v>
      </c>
      <c r="J2368" s="10" t="n">
        <v>8.18</v>
      </c>
      <c r="K2368" s="11" t="n">
        <v>0</v>
      </c>
      <c r="L2368" s="10">
        <f>I2368*J2368*(1-K2368)</f>
        <v/>
      </c>
      <c r="M2368" s="10" t="n">
        <v>35.2</v>
      </c>
      <c r="N2368" s="10">
        <f>L2368-M2368</f>
        <v/>
      </c>
    </row>
    <row r="2369">
      <c r="A2369" s="7" t="inlineStr">
        <is>
          <t>ORD-05316</t>
        </is>
      </c>
      <c r="B2369" s="8" t="n">
        <v>45448</v>
      </c>
      <c r="C2369" s="9" t="n">
        <v>45444</v>
      </c>
      <c r="D2369" s="7" t="n">
        <v>2024</v>
      </c>
      <c r="E2369" s="7" t="inlineStr">
        <is>
          <t>West</t>
        </is>
      </c>
      <c r="F2369" s="7" t="inlineStr">
        <is>
          <t>Office Supplies</t>
        </is>
      </c>
      <c r="G2369" s="7" t="inlineStr">
        <is>
          <t>Paper</t>
        </is>
      </c>
      <c r="H2369" s="7" t="inlineStr">
        <is>
          <t>Home Office</t>
        </is>
      </c>
      <c r="I2369" s="7" t="n">
        <v>15</v>
      </c>
      <c r="J2369" s="10" t="n">
        <v>25.12</v>
      </c>
      <c r="K2369" s="11" t="n">
        <v>0.1</v>
      </c>
      <c r="L2369" s="10">
        <f>I2369*J2369*(1-K2369)</f>
        <v/>
      </c>
      <c r="M2369" s="10" t="n">
        <v>187.5</v>
      </c>
      <c r="N2369" s="10">
        <f>L2369-M2369</f>
        <v/>
      </c>
    </row>
    <row r="2370">
      <c r="A2370" s="7" t="inlineStr">
        <is>
          <t>ORD-00833</t>
        </is>
      </c>
      <c r="B2370" s="8" t="n">
        <v>45448</v>
      </c>
      <c r="C2370" s="9" t="n">
        <v>45444</v>
      </c>
      <c r="D2370" s="7" t="n">
        <v>2024</v>
      </c>
      <c r="E2370" s="7" t="inlineStr">
        <is>
          <t>West</t>
        </is>
      </c>
      <c r="F2370" s="7" t="inlineStr">
        <is>
          <t>Office Supplies</t>
        </is>
      </c>
      <c r="G2370" s="7" t="inlineStr">
        <is>
          <t>Pens</t>
        </is>
      </c>
      <c r="H2370" s="7" t="inlineStr">
        <is>
          <t>Consumer</t>
        </is>
      </c>
      <c r="I2370" s="7" t="n">
        <v>3</v>
      </c>
      <c r="J2370" s="10" t="n">
        <v>11.7</v>
      </c>
      <c r="K2370" s="11" t="n">
        <v>0.2</v>
      </c>
      <c r="L2370" s="10">
        <f>I2370*J2370*(1-K2370)</f>
        <v/>
      </c>
      <c r="M2370" s="10" t="n">
        <v>16.2</v>
      </c>
      <c r="N2370" s="10">
        <f>L2370-M2370</f>
        <v/>
      </c>
    </row>
    <row r="2371">
      <c r="A2371" s="7" t="inlineStr">
        <is>
          <t>ORD-03960</t>
        </is>
      </c>
      <c r="B2371" s="8" t="n">
        <v>45448</v>
      </c>
      <c r="C2371" s="9" t="n">
        <v>45444</v>
      </c>
      <c r="D2371" s="7" t="n">
        <v>2024</v>
      </c>
      <c r="E2371" s="7" t="inlineStr">
        <is>
          <t>East</t>
        </is>
      </c>
      <c r="F2371" s="7" t="inlineStr">
        <is>
          <t>Office Supplies</t>
        </is>
      </c>
      <c r="G2371" s="7" t="inlineStr">
        <is>
          <t>Binder</t>
        </is>
      </c>
      <c r="H2371" s="7" t="inlineStr">
        <is>
          <t>Consumer</t>
        </is>
      </c>
      <c r="I2371" s="7" t="n">
        <v>14</v>
      </c>
      <c r="J2371" s="10" t="n">
        <v>7.91</v>
      </c>
      <c r="K2371" s="11" t="n">
        <v>0.1</v>
      </c>
      <c r="L2371" s="10">
        <f>I2371*J2371*(1-K2371)</f>
        <v/>
      </c>
      <c r="M2371" s="10" t="n">
        <v>44.8</v>
      </c>
      <c r="N2371" s="10">
        <f>L2371-M2371</f>
        <v/>
      </c>
    </row>
    <row r="2372">
      <c r="A2372" s="7" t="inlineStr">
        <is>
          <t>ORD-03915</t>
        </is>
      </c>
      <c r="B2372" s="8" t="n">
        <v>45448</v>
      </c>
      <c r="C2372" s="9" t="n">
        <v>45444</v>
      </c>
      <c r="D2372" s="7" t="n">
        <v>2024</v>
      </c>
      <c r="E2372" s="7" t="inlineStr">
        <is>
          <t>East</t>
        </is>
      </c>
      <c r="F2372" s="7" t="inlineStr">
        <is>
          <t>Technology</t>
        </is>
      </c>
      <c r="G2372" s="7" t="inlineStr">
        <is>
          <t>Monitor</t>
        </is>
      </c>
      <c r="H2372" s="7" t="inlineStr">
        <is>
          <t>Home Office</t>
        </is>
      </c>
      <c r="I2372" s="7" t="n">
        <v>2</v>
      </c>
      <c r="J2372" s="10" t="n">
        <v>258.69</v>
      </c>
      <c r="K2372" s="11" t="n">
        <v>0.3</v>
      </c>
      <c r="L2372" s="10">
        <f>I2372*J2372*(1-K2372)</f>
        <v/>
      </c>
      <c r="M2372" s="10" t="n">
        <v>360</v>
      </c>
      <c r="N2372" s="10">
        <f>L2372-M2372</f>
        <v/>
      </c>
    </row>
    <row r="2373">
      <c r="A2373" s="7" t="inlineStr">
        <is>
          <t>ORD-01730</t>
        </is>
      </c>
      <c r="B2373" s="8" t="n">
        <v>45448</v>
      </c>
      <c r="C2373" s="9" t="n">
        <v>45444</v>
      </c>
      <c r="D2373" s="7" t="n">
        <v>2024</v>
      </c>
      <c r="E2373" s="7" t="inlineStr">
        <is>
          <t>West</t>
        </is>
      </c>
      <c r="F2373" s="7" t="inlineStr">
        <is>
          <t>Office Supplies</t>
        </is>
      </c>
      <c r="G2373" s="7" t="inlineStr">
        <is>
          <t>Pens</t>
        </is>
      </c>
      <c r="H2373" s="7" t="inlineStr">
        <is>
          <t>Home Office</t>
        </is>
      </c>
      <c r="I2373" s="7" t="n">
        <v>7</v>
      </c>
      <c r="J2373" s="10" t="n">
        <v>11.66</v>
      </c>
      <c r="K2373" s="11" t="n">
        <v>0.05</v>
      </c>
      <c r="L2373" s="10">
        <f>I2373*J2373*(1-K2373)</f>
        <v/>
      </c>
      <c r="M2373" s="10" t="n">
        <v>37.8</v>
      </c>
      <c r="N2373" s="10">
        <f>L2373-M2373</f>
        <v/>
      </c>
    </row>
    <row r="2374">
      <c r="A2374" s="7" t="inlineStr">
        <is>
          <t>ORD-02662</t>
        </is>
      </c>
      <c r="B2374" s="8" t="n">
        <v>45448</v>
      </c>
      <c r="C2374" s="9" t="n">
        <v>45444</v>
      </c>
      <c r="D2374" s="7" t="n">
        <v>2024</v>
      </c>
      <c r="E2374" s="7" t="inlineStr">
        <is>
          <t>West</t>
        </is>
      </c>
      <c r="F2374" s="7" t="inlineStr">
        <is>
          <t>Furniture</t>
        </is>
      </c>
      <c r="G2374" s="7" t="inlineStr">
        <is>
          <t>Office Chair</t>
        </is>
      </c>
      <c r="H2374" s="7" t="inlineStr">
        <is>
          <t>Consumer</t>
        </is>
      </c>
      <c r="I2374" s="7" t="n">
        <v>4</v>
      </c>
      <c r="J2374" s="10" t="n">
        <v>228.58</v>
      </c>
      <c r="K2374" s="11" t="n">
        <v>0.1</v>
      </c>
      <c r="L2374" s="10">
        <f>I2374*J2374*(1-K2374)</f>
        <v/>
      </c>
      <c r="M2374" s="10" t="n">
        <v>721.6</v>
      </c>
      <c r="N2374" s="10">
        <f>L2374-M2374</f>
        <v/>
      </c>
    </row>
    <row r="2375">
      <c r="A2375" s="7" t="inlineStr">
        <is>
          <t>ORD-00660</t>
        </is>
      </c>
      <c r="B2375" s="8" t="n">
        <v>45449</v>
      </c>
      <c r="C2375" s="9" t="n">
        <v>45444</v>
      </c>
      <c r="D2375" s="7" t="n">
        <v>2024</v>
      </c>
      <c r="E2375" s="7" t="inlineStr">
        <is>
          <t>East</t>
        </is>
      </c>
      <c r="F2375" s="7" t="inlineStr">
        <is>
          <t>Office Supplies</t>
        </is>
      </c>
      <c r="G2375" s="7" t="inlineStr">
        <is>
          <t>Paper</t>
        </is>
      </c>
      <c r="H2375" s="7" t="inlineStr">
        <is>
          <t>Consumer</t>
        </is>
      </c>
      <c r="I2375" s="7" t="n">
        <v>10</v>
      </c>
      <c r="J2375" s="10" t="n">
        <v>24.8</v>
      </c>
      <c r="K2375" s="11" t="n">
        <v>0.1</v>
      </c>
      <c r="L2375" s="10">
        <f>I2375*J2375*(1-K2375)</f>
        <v/>
      </c>
      <c r="M2375" s="10" t="n">
        <v>125</v>
      </c>
      <c r="N2375" s="10">
        <f>L2375-M2375</f>
        <v/>
      </c>
    </row>
    <row r="2376">
      <c r="A2376" s="7" t="inlineStr">
        <is>
          <t>ORD-01400</t>
        </is>
      </c>
      <c r="B2376" s="8" t="n">
        <v>45449</v>
      </c>
      <c r="C2376" s="9" t="n">
        <v>45444</v>
      </c>
      <c r="D2376" s="7" t="n">
        <v>2024</v>
      </c>
      <c r="E2376" s="7" t="inlineStr">
        <is>
          <t>South</t>
        </is>
      </c>
      <c r="F2376" s="7" t="inlineStr">
        <is>
          <t>Furniture</t>
        </is>
      </c>
      <c r="G2376" s="7" t="inlineStr">
        <is>
          <t>Sofa</t>
        </is>
      </c>
      <c r="H2376" s="7" t="inlineStr">
        <is>
          <t>Consumer</t>
        </is>
      </c>
      <c r="I2376" s="7" t="n">
        <v>3</v>
      </c>
      <c r="J2376" s="10" t="n">
        <v>704.4400000000001</v>
      </c>
      <c r="K2376" s="11" t="n">
        <v>0.2</v>
      </c>
      <c r="L2376" s="10">
        <f>I2376*J2376*(1-K2376)</f>
        <v/>
      </c>
      <c r="M2376" s="10" t="n">
        <v>1848</v>
      </c>
      <c r="N2376" s="10">
        <f>L2376-M2376</f>
        <v/>
      </c>
    </row>
    <row r="2377">
      <c r="A2377" s="7" t="inlineStr">
        <is>
          <t>ORD-04772</t>
        </is>
      </c>
      <c r="B2377" s="8" t="n">
        <v>45449</v>
      </c>
      <c r="C2377" s="9" t="n">
        <v>45444</v>
      </c>
      <c r="D2377" s="7" t="n">
        <v>2024</v>
      </c>
      <c r="E2377" s="7" t="inlineStr">
        <is>
          <t>West</t>
        </is>
      </c>
      <c r="F2377" s="7" t="inlineStr">
        <is>
          <t>Technology</t>
        </is>
      </c>
      <c r="G2377" s="7" t="inlineStr">
        <is>
          <t>Smartphone</t>
        </is>
      </c>
      <c r="H2377" s="7" t="inlineStr">
        <is>
          <t>Home Office</t>
        </is>
      </c>
      <c r="I2377" s="7" t="n">
        <v>3</v>
      </c>
      <c r="J2377" s="10" t="n">
        <v>592.13</v>
      </c>
      <c r="K2377" s="11" t="n">
        <v>0</v>
      </c>
      <c r="L2377" s="10">
        <f>I2377*J2377*(1-K2377)</f>
        <v/>
      </c>
      <c r="M2377" s="10" t="n">
        <v>1350</v>
      </c>
      <c r="N2377" s="10">
        <f>L2377-M2377</f>
        <v/>
      </c>
    </row>
    <row r="2378">
      <c r="A2378" s="7" t="inlineStr">
        <is>
          <t>ORD-04600</t>
        </is>
      </c>
      <c r="B2378" s="8" t="n">
        <v>45449</v>
      </c>
      <c r="C2378" s="9" t="n">
        <v>45444</v>
      </c>
      <c r="D2378" s="7" t="n">
        <v>2024</v>
      </c>
      <c r="E2378" s="7" t="inlineStr">
        <is>
          <t>North</t>
        </is>
      </c>
      <c r="F2378" s="7" t="inlineStr">
        <is>
          <t>Office Supplies</t>
        </is>
      </c>
      <c r="G2378" s="7" t="inlineStr">
        <is>
          <t>Binder</t>
        </is>
      </c>
      <c r="H2378" s="7" t="inlineStr">
        <is>
          <t>Corporate</t>
        </is>
      </c>
      <c r="I2378" s="7" t="n">
        <v>2</v>
      </c>
      <c r="J2378" s="10" t="n">
        <v>7.8</v>
      </c>
      <c r="K2378" s="11" t="n">
        <v>0.3</v>
      </c>
      <c r="L2378" s="10">
        <f>I2378*J2378*(1-K2378)</f>
        <v/>
      </c>
      <c r="M2378" s="10" t="n">
        <v>6.4</v>
      </c>
      <c r="N2378" s="10">
        <f>L2378-M2378</f>
        <v/>
      </c>
    </row>
    <row r="2379">
      <c r="A2379" s="7" t="inlineStr">
        <is>
          <t>ORD-04320</t>
        </is>
      </c>
      <c r="B2379" s="8" t="n">
        <v>45449</v>
      </c>
      <c r="C2379" s="9" t="n">
        <v>45444</v>
      </c>
      <c r="D2379" s="7" t="n">
        <v>2024</v>
      </c>
      <c r="E2379" s="7" t="inlineStr">
        <is>
          <t>East</t>
        </is>
      </c>
      <c r="F2379" s="7" t="inlineStr">
        <is>
          <t>Office Supplies</t>
        </is>
      </c>
      <c r="G2379" s="7" t="inlineStr">
        <is>
          <t>Binder</t>
        </is>
      </c>
      <c r="H2379" s="7" t="inlineStr">
        <is>
          <t>Consumer</t>
        </is>
      </c>
      <c r="I2379" s="7" t="n">
        <v>4</v>
      </c>
      <c r="J2379" s="10" t="n">
        <v>8.33</v>
      </c>
      <c r="K2379" s="11" t="n">
        <v>0</v>
      </c>
      <c r="L2379" s="10">
        <f>I2379*J2379*(1-K2379)</f>
        <v/>
      </c>
      <c r="M2379" s="10" t="n">
        <v>12.8</v>
      </c>
      <c r="N2379" s="10">
        <f>L2379-M2379</f>
        <v/>
      </c>
    </row>
    <row r="2380">
      <c r="A2380" s="7" t="inlineStr">
        <is>
          <t>ORD-01273</t>
        </is>
      </c>
      <c r="B2380" s="8" t="n">
        <v>45450</v>
      </c>
      <c r="C2380" s="9" t="n">
        <v>45444</v>
      </c>
      <c r="D2380" s="7" t="n">
        <v>2024</v>
      </c>
      <c r="E2380" s="7" t="inlineStr">
        <is>
          <t>West</t>
        </is>
      </c>
      <c r="F2380" s="7" t="inlineStr">
        <is>
          <t>Office Supplies</t>
        </is>
      </c>
      <c r="G2380" s="7" t="inlineStr">
        <is>
          <t>Pens</t>
        </is>
      </c>
      <c r="H2380" s="7" t="inlineStr">
        <is>
          <t>Home Office</t>
        </is>
      </c>
      <c r="I2380" s="7" t="n">
        <v>4</v>
      </c>
      <c r="J2380" s="10" t="n">
        <v>12.59</v>
      </c>
      <c r="K2380" s="11" t="n">
        <v>0</v>
      </c>
      <c r="L2380" s="10">
        <f>I2380*J2380*(1-K2380)</f>
        <v/>
      </c>
      <c r="M2380" s="10" t="n">
        <v>21.6</v>
      </c>
      <c r="N2380" s="10">
        <f>L2380-M2380</f>
        <v/>
      </c>
    </row>
    <row r="2381">
      <c r="A2381" s="7" t="inlineStr">
        <is>
          <t>ORD-00220</t>
        </is>
      </c>
      <c r="B2381" s="8" t="n">
        <v>45450</v>
      </c>
      <c r="C2381" s="9" t="n">
        <v>45444</v>
      </c>
      <c r="D2381" s="7" t="n">
        <v>2024</v>
      </c>
      <c r="E2381" s="7" t="inlineStr">
        <is>
          <t>East</t>
        </is>
      </c>
      <c r="F2381" s="7" t="inlineStr">
        <is>
          <t>Technology</t>
        </is>
      </c>
      <c r="G2381" s="7" t="inlineStr">
        <is>
          <t>Keyboard</t>
        </is>
      </c>
      <c r="H2381" s="7" t="inlineStr">
        <is>
          <t>Corporate</t>
        </is>
      </c>
      <c r="I2381" s="7" t="n">
        <v>1</v>
      </c>
      <c r="J2381" s="10" t="n">
        <v>46.37</v>
      </c>
      <c r="K2381" s="11" t="n">
        <v>0.05</v>
      </c>
      <c r="L2381" s="10">
        <f>I2381*J2381*(1-K2381)</f>
        <v/>
      </c>
      <c r="M2381" s="10" t="n">
        <v>24.75</v>
      </c>
      <c r="N2381" s="10">
        <f>L2381-M2381</f>
        <v/>
      </c>
    </row>
    <row r="2382">
      <c r="A2382" s="7" t="inlineStr">
        <is>
          <t>ORD-04506</t>
        </is>
      </c>
      <c r="B2382" s="8" t="n">
        <v>45450</v>
      </c>
      <c r="C2382" s="9" t="n">
        <v>45444</v>
      </c>
      <c r="D2382" s="7" t="n">
        <v>2024</v>
      </c>
      <c r="E2382" s="7" t="inlineStr">
        <is>
          <t>South</t>
        </is>
      </c>
      <c r="F2382" s="7" t="inlineStr">
        <is>
          <t>Office Supplies</t>
        </is>
      </c>
      <c r="G2382" s="7" t="inlineStr">
        <is>
          <t>Pens</t>
        </is>
      </c>
      <c r="H2382" s="7" t="inlineStr">
        <is>
          <t>Corporate</t>
        </is>
      </c>
      <c r="I2382" s="7" t="n">
        <v>5</v>
      </c>
      <c r="J2382" s="10" t="n">
        <v>12.6</v>
      </c>
      <c r="K2382" s="11" t="n">
        <v>0.2</v>
      </c>
      <c r="L2382" s="10">
        <f>I2382*J2382*(1-K2382)</f>
        <v/>
      </c>
      <c r="M2382" s="10" t="n">
        <v>27</v>
      </c>
      <c r="N2382" s="10">
        <f>L2382-M2382</f>
        <v/>
      </c>
    </row>
    <row r="2383">
      <c r="A2383" s="7" t="inlineStr">
        <is>
          <t>ORD-05044</t>
        </is>
      </c>
      <c r="B2383" s="8" t="n">
        <v>45450</v>
      </c>
      <c r="C2383" s="9" t="n">
        <v>45444</v>
      </c>
      <c r="D2383" s="7" t="n">
        <v>2024</v>
      </c>
      <c r="E2383" s="7" t="inlineStr">
        <is>
          <t>West</t>
        </is>
      </c>
      <c r="F2383" s="7" t="inlineStr">
        <is>
          <t>Office Supplies</t>
        </is>
      </c>
      <c r="G2383" s="7" t="inlineStr">
        <is>
          <t>Pens</t>
        </is>
      </c>
      <c r="H2383" s="7" t="inlineStr">
        <is>
          <t>Consumer</t>
        </is>
      </c>
      <c r="I2383" s="7" t="n">
        <v>12</v>
      </c>
      <c r="J2383" s="10" t="n">
        <v>12.59</v>
      </c>
      <c r="K2383" s="11" t="n">
        <v>0.3</v>
      </c>
      <c r="L2383" s="10">
        <f>I2383*J2383*(1-K2383)</f>
        <v/>
      </c>
      <c r="M2383" s="10" t="n">
        <v>64.8</v>
      </c>
      <c r="N2383" s="10">
        <f>L2383-M2383</f>
        <v/>
      </c>
    </row>
    <row r="2384">
      <c r="A2384" s="7" t="inlineStr">
        <is>
          <t>ORD-01187</t>
        </is>
      </c>
      <c r="B2384" s="8" t="n">
        <v>45451</v>
      </c>
      <c r="C2384" s="9" t="n">
        <v>45444</v>
      </c>
      <c r="D2384" s="7" t="n">
        <v>2024</v>
      </c>
      <c r="E2384" s="7" t="inlineStr">
        <is>
          <t>West</t>
        </is>
      </c>
      <c r="F2384" s="7" t="inlineStr">
        <is>
          <t>Office Supplies</t>
        </is>
      </c>
      <c r="G2384" s="7" t="inlineStr">
        <is>
          <t>Stapler</t>
        </is>
      </c>
      <c r="H2384" s="7" t="inlineStr">
        <is>
          <t>Consumer</t>
        </is>
      </c>
      <c r="I2384" s="7" t="n">
        <v>11</v>
      </c>
      <c r="J2384" s="10" t="n">
        <v>14.91</v>
      </c>
      <c r="K2384" s="11" t="n">
        <v>0.05</v>
      </c>
      <c r="L2384" s="10">
        <f>I2384*J2384*(1-K2384)</f>
        <v/>
      </c>
      <c r="M2384" s="10" t="n">
        <v>82.5</v>
      </c>
      <c r="N2384" s="10">
        <f>L2384-M2384</f>
        <v/>
      </c>
    </row>
    <row r="2385">
      <c r="A2385" s="7" t="inlineStr">
        <is>
          <t>ORD-00584</t>
        </is>
      </c>
      <c r="B2385" s="8" t="n">
        <v>45451</v>
      </c>
      <c r="C2385" s="9" t="n">
        <v>45444</v>
      </c>
      <c r="D2385" s="7" t="n">
        <v>2024</v>
      </c>
      <c r="E2385" s="7" t="inlineStr">
        <is>
          <t>West</t>
        </is>
      </c>
      <c r="F2385" s="7" t="inlineStr">
        <is>
          <t>Office Supplies</t>
        </is>
      </c>
      <c r="G2385" s="7" t="inlineStr">
        <is>
          <t>Stapler</t>
        </is>
      </c>
      <c r="H2385" s="7" t="inlineStr">
        <is>
          <t>Corporate</t>
        </is>
      </c>
      <c r="I2385" s="7" t="n">
        <v>3</v>
      </c>
      <c r="J2385" s="10" t="n">
        <v>14.45</v>
      </c>
      <c r="K2385" s="11" t="n">
        <v>0</v>
      </c>
      <c r="L2385" s="10">
        <f>I2385*J2385*(1-K2385)</f>
        <v/>
      </c>
      <c r="M2385" s="10" t="n">
        <v>22.5</v>
      </c>
      <c r="N2385" s="10">
        <f>L2385-M2385</f>
        <v/>
      </c>
    </row>
    <row r="2386">
      <c r="A2386" s="7" t="inlineStr">
        <is>
          <t>ORD-02673</t>
        </is>
      </c>
      <c r="B2386" s="8" t="n">
        <v>45451</v>
      </c>
      <c r="C2386" s="9" t="n">
        <v>45444</v>
      </c>
      <c r="D2386" s="7" t="n">
        <v>2024</v>
      </c>
      <c r="E2386" s="7" t="inlineStr">
        <is>
          <t>North</t>
        </is>
      </c>
      <c r="F2386" s="7" t="inlineStr">
        <is>
          <t>Office Supplies</t>
        </is>
      </c>
      <c r="G2386" s="7" t="inlineStr">
        <is>
          <t>Stapler</t>
        </is>
      </c>
      <c r="H2386" s="7" t="inlineStr">
        <is>
          <t>Corporate</t>
        </is>
      </c>
      <c r="I2386" s="7" t="n">
        <v>3</v>
      </c>
      <c r="J2386" s="10" t="n">
        <v>15</v>
      </c>
      <c r="K2386" s="11" t="n">
        <v>0.2</v>
      </c>
      <c r="L2386" s="10">
        <f>I2386*J2386*(1-K2386)</f>
        <v/>
      </c>
      <c r="M2386" s="10" t="n">
        <v>22.5</v>
      </c>
      <c r="N2386" s="10">
        <f>L2386-M2386</f>
        <v/>
      </c>
    </row>
    <row r="2387">
      <c r="A2387" s="7" t="inlineStr">
        <is>
          <t>ORD-04695</t>
        </is>
      </c>
      <c r="B2387" s="8" t="n">
        <v>45452</v>
      </c>
      <c r="C2387" s="9" t="n">
        <v>45444</v>
      </c>
      <c r="D2387" s="7" t="n">
        <v>2024</v>
      </c>
      <c r="E2387" s="7" t="inlineStr">
        <is>
          <t>South</t>
        </is>
      </c>
      <c r="F2387" s="7" t="inlineStr">
        <is>
          <t>Office Supplies</t>
        </is>
      </c>
      <c r="G2387" s="7" t="inlineStr">
        <is>
          <t>Pens</t>
        </is>
      </c>
      <c r="H2387" s="7" t="inlineStr">
        <is>
          <t>Home Office</t>
        </is>
      </c>
      <c r="I2387" s="7" t="n">
        <v>10</v>
      </c>
      <c r="J2387" s="10" t="n">
        <v>12.39</v>
      </c>
      <c r="K2387" s="11" t="n">
        <v>0.3</v>
      </c>
      <c r="L2387" s="10">
        <f>I2387*J2387*(1-K2387)</f>
        <v/>
      </c>
      <c r="M2387" s="10" t="n">
        <v>54</v>
      </c>
      <c r="N2387" s="10">
        <f>L2387-M2387</f>
        <v/>
      </c>
    </row>
    <row r="2388">
      <c r="A2388" s="7" t="inlineStr">
        <is>
          <t>ORD-01067</t>
        </is>
      </c>
      <c r="B2388" s="8" t="n">
        <v>45452</v>
      </c>
      <c r="C2388" s="9" t="n">
        <v>45444</v>
      </c>
      <c r="D2388" s="7" t="n">
        <v>2024</v>
      </c>
      <c r="E2388" s="7" t="inlineStr">
        <is>
          <t>South</t>
        </is>
      </c>
      <c r="F2388" s="7" t="inlineStr">
        <is>
          <t>Office Supplies</t>
        </is>
      </c>
      <c r="G2388" s="7" t="inlineStr">
        <is>
          <t>Paper</t>
        </is>
      </c>
      <c r="H2388" s="7" t="inlineStr">
        <is>
          <t>Corporate</t>
        </is>
      </c>
      <c r="I2388" s="7" t="n">
        <v>14</v>
      </c>
      <c r="J2388" s="10" t="n">
        <v>24.74</v>
      </c>
      <c r="K2388" s="11" t="n">
        <v>0.05</v>
      </c>
      <c r="L2388" s="10">
        <f>I2388*J2388*(1-K2388)</f>
        <v/>
      </c>
      <c r="M2388" s="10" t="n">
        <v>175</v>
      </c>
      <c r="N2388" s="10">
        <f>L2388-M2388</f>
        <v/>
      </c>
    </row>
    <row r="2389">
      <c r="A2389" s="7" t="inlineStr">
        <is>
          <t>ORD-01659</t>
        </is>
      </c>
      <c r="B2389" s="8" t="n">
        <v>45452</v>
      </c>
      <c r="C2389" s="9" t="n">
        <v>45444</v>
      </c>
      <c r="D2389" s="7" t="n">
        <v>2024</v>
      </c>
      <c r="E2389" s="7" t="inlineStr">
        <is>
          <t>West</t>
        </is>
      </c>
      <c r="F2389" s="7" t="inlineStr">
        <is>
          <t>Furniture</t>
        </is>
      </c>
      <c r="G2389" s="7" t="inlineStr">
        <is>
          <t>Desk</t>
        </is>
      </c>
      <c r="H2389" s="7" t="inlineStr">
        <is>
          <t>Corporate</t>
        </is>
      </c>
      <c r="I2389" s="7" t="n">
        <v>1</v>
      </c>
      <c r="J2389" s="10" t="n">
        <v>431.72</v>
      </c>
      <c r="K2389" s="11" t="n">
        <v>0.3</v>
      </c>
      <c r="L2389" s="10">
        <f>I2389*J2389*(1-K2389)</f>
        <v/>
      </c>
      <c r="M2389" s="10" t="n">
        <v>382.5</v>
      </c>
      <c r="N2389" s="10">
        <f>L2389-M2389</f>
        <v/>
      </c>
    </row>
    <row r="2390">
      <c r="A2390" s="7" t="inlineStr">
        <is>
          <t>ORD-00978</t>
        </is>
      </c>
      <c r="B2390" s="8" t="n">
        <v>45453</v>
      </c>
      <c r="C2390" s="9" t="n">
        <v>45444</v>
      </c>
      <c r="D2390" s="7" t="n">
        <v>2024</v>
      </c>
      <c r="E2390" s="7" t="inlineStr">
        <is>
          <t>West</t>
        </is>
      </c>
      <c r="F2390" s="7" t="inlineStr">
        <is>
          <t>Office Supplies</t>
        </is>
      </c>
      <c r="G2390" s="7" t="inlineStr">
        <is>
          <t>Printer Ink</t>
        </is>
      </c>
      <c r="H2390" s="7" t="inlineStr">
        <is>
          <t>Consumer</t>
        </is>
      </c>
      <c r="I2390" s="7" t="n">
        <v>15</v>
      </c>
      <c r="J2390" s="10" t="n">
        <v>60.8</v>
      </c>
      <c r="K2390" s="11" t="n">
        <v>0.1</v>
      </c>
      <c r="L2390" s="10">
        <f>I2390*J2390*(1-K2390)</f>
        <v/>
      </c>
      <c r="M2390" s="10" t="n">
        <v>540</v>
      </c>
      <c r="N2390" s="10">
        <f>L2390-M2390</f>
        <v/>
      </c>
    </row>
    <row r="2391">
      <c r="A2391" s="7" t="inlineStr">
        <is>
          <t>ORD-03898</t>
        </is>
      </c>
      <c r="B2391" s="8" t="n">
        <v>45453</v>
      </c>
      <c r="C2391" s="9" t="n">
        <v>45444</v>
      </c>
      <c r="D2391" s="7" t="n">
        <v>2024</v>
      </c>
      <c r="E2391" s="7" t="inlineStr">
        <is>
          <t>South</t>
        </is>
      </c>
      <c r="F2391" s="7" t="inlineStr">
        <is>
          <t>Office Supplies</t>
        </is>
      </c>
      <c r="G2391" s="7" t="inlineStr">
        <is>
          <t>Printer Ink</t>
        </is>
      </c>
      <c r="H2391" s="7" t="inlineStr">
        <is>
          <t>Consumer</t>
        </is>
      </c>
      <c r="I2391" s="7" t="n">
        <v>4</v>
      </c>
      <c r="J2391" s="10" t="n">
        <v>60.76</v>
      </c>
      <c r="K2391" s="11" t="n">
        <v>0</v>
      </c>
      <c r="L2391" s="10">
        <f>I2391*J2391*(1-K2391)</f>
        <v/>
      </c>
      <c r="M2391" s="10" t="n">
        <v>144</v>
      </c>
      <c r="N2391" s="10">
        <f>L2391-M2391</f>
        <v/>
      </c>
    </row>
    <row r="2392">
      <c r="A2392" s="7" t="inlineStr">
        <is>
          <t>ORD-01070</t>
        </is>
      </c>
      <c r="B2392" s="8" t="n">
        <v>45453</v>
      </c>
      <c r="C2392" s="9" t="n">
        <v>45444</v>
      </c>
      <c r="D2392" s="7" t="n">
        <v>2024</v>
      </c>
      <c r="E2392" s="7" t="inlineStr">
        <is>
          <t>South</t>
        </is>
      </c>
      <c r="F2392" s="7" t="inlineStr">
        <is>
          <t>Office Supplies</t>
        </is>
      </c>
      <c r="G2392" s="7" t="inlineStr">
        <is>
          <t>Paper</t>
        </is>
      </c>
      <c r="H2392" s="7" t="inlineStr">
        <is>
          <t>Corporate</t>
        </is>
      </c>
      <c r="I2392" s="7" t="n">
        <v>10</v>
      </c>
      <c r="J2392" s="10" t="n">
        <v>25.82</v>
      </c>
      <c r="K2392" s="11" t="n">
        <v>0.3</v>
      </c>
      <c r="L2392" s="10">
        <f>I2392*J2392*(1-K2392)</f>
        <v/>
      </c>
      <c r="M2392" s="10" t="n">
        <v>125</v>
      </c>
      <c r="N2392" s="10">
        <f>L2392-M2392</f>
        <v/>
      </c>
    </row>
    <row r="2393">
      <c r="A2393" s="7" t="inlineStr">
        <is>
          <t>ORD-04697</t>
        </is>
      </c>
      <c r="B2393" s="8" t="n">
        <v>45453</v>
      </c>
      <c r="C2393" s="9" t="n">
        <v>45444</v>
      </c>
      <c r="D2393" s="7" t="n">
        <v>2024</v>
      </c>
      <c r="E2393" s="7" t="inlineStr">
        <is>
          <t>East</t>
        </is>
      </c>
      <c r="F2393" s="7" t="inlineStr">
        <is>
          <t>Office Supplies</t>
        </is>
      </c>
      <c r="G2393" s="7" t="inlineStr">
        <is>
          <t>Paper</t>
        </is>
      </c>
      <c r="H2393" s="7" t="inlineStr">
        <is>
          <t>Consumer</t>
        </is>
      </c>
      <c r="I2393" s="7" t="n">
        <v>12</v>
      </c>
      <c r="J2393" s="10" t="n">
        <v>24.91</v>
      </c>
      <c r="K2393" s="11" t="n">
        <v>0</v>
      </c>
      <c r="L2393" s="10">
        <f>I2393*J2393*(1-K2393)</f>
        <v/>
      </c>
      <c r="M2393" s="10" t="n">
        <v>150</v>
      </c>
      <c r="N2393" s="10">
        <f>L2393-M2393</f>
        <v/>
      </c>
    </row>
    <row r="2394">
      <c r="A2394" s="7" t="inlineStr">
        <is>
          <t>ORD-05508</t>
        </is>
      </c>
      <c r="B2394" s="8" t="n">
        <v>45453</v>
      </c>
      <c r="C2394" s="9" t="n">
        <v>45444</v>
      </c>
      <c r="D2394" s="7" t="n">
        <v>2024</v>
      </c>
      <c r="E2394" s="7" t="inlineStr">
        <is>
          <t>West</t>
        </is>
      </c>
      <c r="F2394" s="7" t="inlineStr">
        <is>
          <t>Furniture</t>
        </is>
      </c>
      <c r="G2394" s="7" t="inlineStr">
        <is>
          <t>Office Chair</t>
        </is>
      </c>
      <c r="H2394" s="7" t="inlineStr">
        <is>
          <t>Consumer</t>
        </is>
      </c>
      <c r="I2394" s="7" t="n">
        <v>2</v>
      </c>
      <c r="J2394" s="10" t="n">
        <v>215.88</v>
      </c>
      <c r="K2394" s="11" t="n">
        <v>0.2</v>
      </c>
      <c r="L2394" s="10">
        <f>I2394*J2394*(1-K2394)</f>
        <v/>
      </c>
      <c r="M2394" s="10" t="n">
        <v>360.8</v>
      </c>
      <c r="N2394" s="10">
        <f>L2394-M2394</f>
        <v/>
      </c>
    </row>
    <row r="2395">
      <c r="A2395" s="7" t="inlineStr">
        <is>
          <t>ORD-01583</t>
        </is>
      </c>
      <c r="B2395" s="8" t="n">
        <v>45454</v>
      </c>
      <c r="C2395" s="9" t="n">
        <v>45444</v>
      </c>
      <c r="D2395" s="7" t="n">
        <v>2024</v>
      </c>
      <c r="E2395" s="7" t="inlineStr">
        <is>
          <t>West</t>
        </is>
      </c>
      <c r="F2395" s="7" t="inlineStr">
        <is>
          <t>Technology</t>
        </is>
      </c>
      <c r="G2395" s="7" t="inlineStr">
        <is>
          <t>Headphones</t>
        </is>
      </c>
      <c r="H2395" s="7" t="inlineStr">
        <is>
          <t>Corporate</t>
        </is>
      </c>
      <c r="I2395" s="7" t="n">
        <v>3</v>
      </c>
      <c r="J2395" s="10" t="n">
        <v>117.38</v>
      </c>
      <c r="K2395" s="11" t="n">
        <v>0</v>
      </c>
      <c r="L2395" s="10">
        <f>I2395*J2395*(1-K2395)</f>
        <v/>
      </c>
      <c r="M2395" s="10" t="n">
        <v>216</v>
      </c>
      <c r="N2395" s="10">
        <f>L2395-M2395</f>
        <v/>
      </c>
    </row>
    <row r="2396">
      <c r="A2396" s="7" t="inlineStr">
        <is>
          <t>ORD-03583</t>
        </is>
      </c>
      <c r="B2396" s="8" t="n">
        <v>45454</v>
      </c>
      <c r="C2396" s="9" t="n">
        <v>45444</v>
      </c>
      <c r="D2396" s="7" t="n">
        <v>2024</v>
      </c>
      <c r="E2396" s="7" t="inlineStr">
        <is>
          <t>West</t>
        </is>
      </c>
      <c r="F2396" s="7" t="inlineStr">
        <is>
          <t>Office Supplies</t>
        </is>
      </c>
      <c r="G2396" s="7" t="inlineStr">
        <is>
          <t>Stapler</t>
        </is>
      </c>
      <c r="H2396" s="7" t="inlineStr">
        <is>
          <t>Corporate</t>
        </is>
      </c>
      <c r="I2396" s="7" t="n">
        <v>14</v>
      </c>
      <c r="J2396" s="10" t="n">
        <v>14.94</v>
      </c>
      <c r="K2396" s="11" t="n">
        <v>0</v>
      </c>
      <c r="L2396" s="10">
        <f>I2396*J2396*(1-K2396)</f>
        <v/>
      </c>
      <c r="M2396" s="10" t="n">
        <v>105</v>
      </c>
      <c r="N2396" s="10">
        <f>L2396-M2396</f>
        <v/>
      </c>
    </row>
    <row r="2397">
      <c r="A2397" s="7" t="inlineStr">
        <is>
          <t>ORD-02878</t>
        </is>
      </c>
      <c r="B2397" s="8" t="n">
        <v>45454</v>
      </c>
      <c r="C2397" s="9" t="n">
        <v>45444</v>
      </c>
      <c r="D2397" s="7" t="n">
        <v>2024</v>
      </c>
      <c r="E2397" s="7" t="inlineStr">
        <is>
          <t>South</t>
        </is>
      </c>
      <c r="F2397" s="7" t="inlineStr">
        <is>
          <t>Office Supplies</t>
        </is>
      </c>
      <c r="G2397" s="7" t="inlineStr">
        <is>
          <t>Printer Ink</t>
        </is>
      </c>
      <c r="H2397" s="7" t="inlineStr">
        <is>
          <t>Consumer</t>
        </is>
      </c>
      <c r="I2397" s="7" t="n">
        <v>3</v>
      </c>
      <c r="J2397" s="10" t="n">
        <v>59.69</v>
      </c>
      <c r="K2397" s="11" t="n">
        <v>0.2</v>
      </c>
      <c r="L2397" s="10">
        <f>I2397*J2397*(1-K2397)</f>
        <v/>
      </c>
      <c r="M2397" s="10" t="n">
        <v>108</v>
      </c>
      <c r="N2397" s="10">
        <f>L2397-M2397</f>
        <v/>
      </c>
    </row>
    <row r="2398">
      <c r="A2398" s="7" t="inlineStr">
        <is>
          <t>ORD-00651</t>
        </is>
      </c>
      <c r="B2398" s="8" t="n">
        <v>45454</v>
      </c>
      <c r="C2398" s="9" t="n">
        <v>45444</v>
      </c>
      <c r="D2398" s="7" t="n">
        <v>2024</v>
      </c>
      <c r="E2398" s="7" t="inlineStr">
        <is>
          <t>South</t>
        </is>
      </c>
      <c r="F2398" s="7" t="inlineStr">
        <is>
          <t>Office Supplies</t>
        </is>
      </c>
      <c r="G2398" s="7" t="inlineStr">
        <is>
          <t>Binder</t>
        </is>
      </c>
      <c r="H2398" s="7" t="inlineStr">
        <is>
          <t>Consumer</t>
        </is>
      </c>
      <c r="I2398" s="7" t="n">
        <v>5</v>
      </c>
      <c r="J2398" s="10" t="n">
        <v>8.01</v>
      </c>
      <c r="K2398" s="11" t="n">
        <v>0.05</v>
      </c>
      <c r="L2398" s="10">
        <f>I2398*J2398*(1-K2398)</f>
        <v/>
      </c>
      <c r="M2398" s="10" t="n">
        <v>16</v>
      </c>
      <c r="N2398" s="10">
        <f>L2398-M2398</f>
        <v/>
      </c>
    </row>
    <row r="2399">
      <c r="A2399" s="7" t="inlineStr">
        <is>
          <t>ORD-01262</t>
        </is>
      </c>
      <c r="B2399" s="8" t="n">
        <v>45454</v>
      </c>
      <c r="C2399" s="9" t="n">
        <v>45444</v>
      </c>
      <c r="D2399" s="7" t="n">
        <v>2024</v>
      </c>
      <c r="E2399" s="7" t="inlineStr">
        <is>
          <t>North</t>
        </is>
      </c>
      <c r="F2399" s="7" t="inlineStr">
        <is>
          <t>Office Supplies</t>
        </is>
      </c>
      <c r="G2399" s="7" t="inlineStr">
        <is>
          <t>Paper</t>
        </is>
      </c>
      <c r="H2399" s="7" t="inlineStr">
        <is>
          <t>Consumer</t>
        </is>
      </c>
      <c r="I2399" s="7" t="n">
        <v>11</v>
      </c>
      <c r="J2399" s="10" t="n">
        <v>26.21</v>
      </c>
      <c r="K2399" s="11" t="n">
        <v>0.3</v>
      </c>
      <c r="L2399" s="10">
        <f>I2399*J2399*(1-K2399)</f>
        <v/>
      </c>
      <c r="M2399" s="10" t="n">
        <v>137.5</v>
      </c>
      <c r="N2399" s="10">
        <f>L2399-M2399</f>
        <v/>
      </c>
    </row>
    <row r="2400">
      <c r="A2400" s="7" t="inlineStr">
        <is>
          <t>ORD-02492</t>
        </is>
      </c>
      <c r="B2400" s="8" t="n">
        <v>45455</v>
      </c>
      <c r="C2400" s="9" t="n">
        <v>45444</v>
      </c>
      <c r="D2400" s="7" t="n">
        <v>2024</v>
      </c>
      <c r="E2400" s="7" t="inlineStr">
        <is>
          <t>North</t>
        </is>
      </c>
      <c r="F2400" s="7" t="inlineStr">
        <is>
          <t>Office Supplies</t>
        </is>
      </c>
      <c r="G2400" s="7" t="inlineStr">
        <is>
          <t>Paper</t>
        </is>
      </c>
      <c r="H2400" s="7" t="inlineStr">
        <is>
          <t>Corporate</t>
        </is>
      </c>
      <c r="I2400" s="7" t="n">
        <v>13</v>
      </c>
      <c r="J2400" s="10" t="n">
        <v>24.17</v>
      </c>
      <c r="K2400" s="11" t="n">
        <v>0</v>
      </c>
      <c r="L2400" s="10">
        <f>I2400*J2400*(1-K2400)</f>
        <v/>
      </c>
      <c r="M2400" s="10" t="n">
        <v>162.5</v>
      </c>
      <c r="N2400" s="10">
        <f>L2400-M2400</f>
        <v/>
      </c>
    </row>
    <row r="2401">
      <c r="A2401" s="7" t="inlineStr">
        <is>
          <t>ORD-04826</t>
        </is>
      </c>
      <c r="B2401" s="8" t="n">
        <v>45455</v>
      </c>
      <c r="C2401" s="9" t="n">
        <v>45444</v>
      </c>
      <c r="D2401" s="7" t="n">
        <v>2024</v>
      </c>
      <c r="E2401" s="7" t="inlineStr">
        <is>
          <t>South</t>
        </is>
      </c>
      <c r="F2401" s="7" t="inlineStr">
        <is>
          <t>Office Supplies</t>
        </is>
      </c>
      <c r="G2401" s="7" t="inlineStr">
        <is>
          <t>Binder</t>
        </is>
      </c>
      <c r="H2401" s="7" t="inlineStr">
        <is>
          <t>Corporate</t>
        </is>
      </c>
      <c r="I2401" s="7" t="n">
        <v>14</v>
      </c>
      <c r="J2401" s="10" t="n">
        <v>8.17</v>
      </c>
      <c r="K2401" s="11" t="n">
        <v>0.05</v>
      </c>
      <c r="L2401" s="10">
        <f>I2401*J2401*(1-K2401)</f>
        <v/>
      </c>
      <c r="M2401" s="10" t="n">
        <v>44.8</v>
      </c>
      <c r="N2401" s="10">
        <f>L2401-M2401</f>
        <v/>
      </c>
    </row>
    <row r="2402">
      <c r="A2402" s="7" t="inlineStr">
        <is>
          <t>ORD-02590</t>
        </is>
      </c>
      <c r="B2402" s="8" t="n">
        <v>45455</v>
      </c>
      <c r="C2402" s="9" t="n">
        <v>45444</v>
      </c>
      <c r="D2402" s="7" t="n">
        <v>2024</v>
      </c>
      <c r="E2402" s="7" t="inlineStr">
        <is>
          <t>South</t>
        </is>
      </c>
      <c r="F2402" s="7" t="inlineStr">
        <is>
          <t>Technology</t>
        </is>
      </c>
      <c r="G2402" s="7" t="inlineStr">
        <is>
          <t>Laptop</t>
        </is>
      </c>
      <c r="H2402" s="7" t="inlineStr">
        <is>
          <t>Consumer</t>
        </is>
      </c>
      <c r="I2402" s="7" t="n">
        <v>3</v>
      </c>
      <c r="J2402" s="10" t="n">
        <v>925.9299999999999</v>
      </c>
      <c r="K2402" s="11" t="n">
        <v>0.05</v>
      </c>
      <c r="L2402" s="10">
        <f>I2402*J2402*(1-K2402)</f>
        <v/>
      </c>
      <c r="M2402" s="10" t="n">
        <v>2106</v>
      </c>
      <c r="N2402" s="10">
        <f>L2402-M2402</f>
        <v/>
      </c>
    </row>
    <row r="2403">
      <c r="A2403" s="7" t="inlineStr">
        <is>
          <t>ORD-01656</t>
        </is>
      </c>
      <c r="B2403" s="8" t="n">
        <v>45455</v>
      </c>
      <c r="C2403" s="9" t="n">
        <v>45444</v>
      </c>
      <c r="D2403" s="7" t="n">
        <v>2024</v>
      </c>
      <c r="E2403" s="7" t="inlineStr">
        <is>
          <t>South</t>
        </is>
      </c>
      <c r="F2403" s="7" t="inlineStr">
        <is>
          <t>Office Supplies</t>
        </is>
      </c>
      <c r="G2403" s="7" t="inlineStr">
        <is>
          <t>Binder</t>
        </is>
      </c>
      <c r="H2403" s="7" t="inlineStr">
        <is>
          <t>Consumer</t>
        </is>
      </c>
      <c r="I2403" s="7" t="n">
        <v>5</v>
      </c>
      <c r="J2403" s="10" t="n">
        <v>7.7</v>
      </c>
      <c r="K2403" s="11" t="n">
        <v>0</v>
      </c>
      <c r="L2403" s="10">
        <f>I2403*J2403*(1-K2403)</f>
        <v/>
      </c>
      <c r="M2403" s="10" t="n">
        <v>16</v>
      </c>
      <c r="N2403" s="10">
        <f>L2403-M2403</f>
        <v/>
      </c>
    </row>
    <row r="2404">
      <c r="A2404" s="7" t="inlineStr">
        <is>
          <t>ORD-01637</t>
        </is>
      </c>
      <c r="B2404" s="8" t="n">
        <v>45456</v>
      </c>
      <c r="C2404" s="9" t="n">
        <v>45444</v>
      </c>
      <c r="D2404" s="7" t="n">
        <v>2024</v>
      </c>
      <c r="E2404" s="7" t="inlineStr">
        <is>
          <t>East</t>
        </is>
      </c>
      <c r="F2404" s="7" t="inlineStr">
        <is>
          <t>Office Supplies</t>
        </is>
      </c>
      <c r="G2404" s="7" t="inlineStr">
        <is>
          <t>Binder</t>
        </is>
      </c>
      <c r="H2404" s="7" t="inlineStr">
        <is>
          <t>Consumer</t>
        </is>
      </c>
      <c r="I2404" s="7" t="n">
        <v>6</v>
      </c>
      <c r="J2404" s="10" t="n">
        <v>7.75</v>
      </c>
      <c r="K2404" s="11" t="n">
        <v>0.2</v>
      </c>
      <c r="L2404" s="10">
        <f>I2404*J2404*(1-K2404)</f>
        <v/>
      </c>
      <c r="M2404" s="10" t="n">
        <v>19.2</v>
      </c>
      <c r="N2404" s="10">
        <f>L2404-M2404</f>
        <v/>
      </c>
    </row>
    <row r="2405">
      <c r="A2405" s="7" t="inlineStr">
        <is>
          <t>ORD-04296</t>
        </is>
      </c>
      <c r="B2405" s="8" t="n">
        <v>45456</v>
      </c>
      <c r="C2405" s="9" t="n">
        <v>45444</v>
      </c>
      <c r="D2405" s="7" t="n">
        <v>2024</v>
      </c>
      <c r="E2405" s="7" t="inlineStr">
        <is>
          <t>South</t>
        </is>
      </c>
      <c r="F2405" s="7" t="inlineStr">
        <is>
          <t>Office Supplies</t>
        </is>
      </c>
      <c r="G2405" s="7" t="inlineStr">
        <is>
          <t>Paper</t>
        </is>
      </c>
      <c r="H2405" s="7" t="inlineStr">
        <is>
          <t>Consumer</t>
        </is>
      </c>
      <c r="I2405" s="7" t="n">
        <v>3</v>
      </c>
      <c r="J2405" s="10" t="n">
        <v>25.62</v>
      </c>
      <c r="K2405" s="11" t="n">
        <v>0</v>
      </c>
      <c r="L2405" s="10">
        <f>I2405*J2405*(1-K2405)</f>
        <v/>
      </c>
      <c r="M2405" s="10" t="n">
        <v>37.5</v>
      </c>
      <c r="N2405" s="10">
        <f>L2405-M2405</f>
        <v/>
      </c>
    </row>
    <row r="2406">
      <c r="A2406" s="7" t="inlineStr">
        <is>
          <t>ORD-03424</t>
        </is>
      </c>
      <c r="B2406" s="8" t="n">
        <v>45456</v>
      </c>
      <c r="C2406" s="9" t="n">
        <v>45444</v>
      </c>
      <c r="D2406" s="7" t="n">
        <v>2024</v>
      </c>
      <c r="E2406" s="7" t="inlineStr">
        <is>
          <t>West</t>
        </is>
      </c>
      <c r="F2406" s="7" t="inlineStr">
        <is>
          <t>Office Supplies</t>
        </is>
      </c>
      <c r="G2406" s="7" t="inlineStr">
        <is>
          <t>Pens</t>
        </is>
      </c>
      <c r="H2406" s="7" t="inlineStr">
        <is>
          <t>Consumer</t>
        </is>
      </c>
      <c r="I2406" s="7" t="n">
        <v>3</v>
      </c>
      <c r="J2406" s="10" t="n">
        <v>12.55</v>
      </c>
      <c r="K2406" s="11" t="n">
        <v>0</v>
      </c>
      <c r="L2406" s="10">
        <f>I2406*J2406*(1-K2406)</f>
        <v/>
      </c>
      <c r="M2406" s="10" t="n">
        <v>16.2</v>
      </c>
      <c r="N2406" s="10">
        <f>L2406-M2406</f>
        <v/>
      </c>
    </row>
    <row r="2407">
      <c r="A2407" s="7" t="inlineStr">
        <is>
          <t>ORD-01030</t>
        </is>
      </c>
      <c r="B2407" s="8" t="n">
        <v>45456</v>
      </c>
      <c r="C2407" s="9" t="n">
        <v>45444</v>
      </c>
      <c r="D2407" s="7" t="n">
        <v>2024</v>
      </c>
      <c r="E2407" s="7" t="inlineStr">
        <is>
          <t>North</t>
        </is>
      </c>
      <c r="F2407" s="7" t="inlineStr">
        <is>
          <t>Office Supplies</t>
        </is>
      </c>
      <c r="G2407" s="7" t="inlineStr">
        <is>
          <t>Pens</t>
        </is>
      </c>
      <c r="H2407" s="7" t="inlineStr">
        <is>
          <t>Consumer</t>
        </is>
      </c>
      <c r="I2407" s="7" t="n">
        <v>13</v>
      </c>
      <c r="J2407" s="10" t="n">
        <v>11.88</v>
      </c>
      <c r="K2407" s="11" t="n">
        <v>0.2</v>
      </c>
      <c r="L2407" s="10">
        <f>I2407*J2407*(1-K2407)</f>
        <v/>
      </c>
      <c r="M2407" s="10" t="n">
        <v>70.2</v>
      </c>
      <c r="N2407" s="10">
        <f>L2407-M2407</f>
        <v/>
      </c>
    </row>
    <row r="2408">
      <c r="A2408" s="7" t="inlineStr">
        <is>
          <t>ORD-02323</t>
        </is>
      </c>
      <c r="B2408" s="8" t="n">
        <v>45456</v>
      </c>
      <c r="C2408" s="9" t="n">
        <v>45444</v>
      </c>
      <c r="D2408" s="7" t="n">
        <v>2024</v>
      </c>
      <c r="E2408" s="7" t="inlineStr">
        <is>
          <t>West</t>
        </is>
      </c>
      <c r="F2408" s="7" t="inlineStr">
        <is>
          <t>Office Supplies</t>
        </is>
      </c>
      <c r="G2408" s="7" t="inlineStr">
        <is>
          <t>Pens</t>
        </is>
      </c>
      <c r="H2408" s="7" t="inlineStr">
        <is>
          <t>Home Office</t>
        </is>
      </c>
      <c r="I2408" s="7" t="n">
        <v>11</v>
      </c>
      <c r="J2408" s="10" t="n">
        <v>12.46</v>
      </c>
      <c r="K2408" s="11" t="n">
        <v>0</v>
      </c>
      <c r="L2408" s="10">
        <f>I2408*J2408*(1-K2408)</f>
        <v/>
      </c>
      <c r="M2408" s="10" t="n">
        <v>59.4</v>
      </c>
      <c r="N2408" s="10">
        <f>L2408-M2408</f>
        <v/>
      </c>
    </row>
    <row r="2409">
      <c r="A2409" s="7" t="inlineStr">
        <is>
          <t>ORD-01594</t>
        </is>
      </c>
      <c r="B2409" s="8" t="n">
        <v>45456</v>
      </c>
      <c r="C2409" s="9" t="n">
        <v>45444</v>
      </c>
      <c r="D2409" s="7" t="n">
        <v>2024</v>
      </c>
      <c r="E2409" s="7" t="inlineStr">
        <is>
          <t>South</t>
        </is>
      </c>
      <c r="F2409" s="7" t="inlineStr">
        <is>
          <t>Furniture</t>
        </is>
      </c>
      <c r="G2409" s="7" t="inlineStr">
        <is>
          <t>Office Chair</t>
        </is>
      </c>
      <c r="H2409" s="7" t="inlineStr">
        <is>
          <t>Consumer</t>
        </is>
      </c>
      <c r="I2409" s="7" t="n">
        <v>1</v>
      </c>
      <c r="J2409" s="10" t="n">
        <v>224.44</v>
      </c>
      <c r="K2409" s="11" t="n">
        <v>0.3</v>
      </c>
      <c r="L2409" s="10">
        <f>I2409*J2409*(1-K2409)</f>
        <v/>
      </c>
      <c r="M2409" s="10" t="n">
        <v>180.4</v>
      </c>
      <c r="N2409" s="10">
        <f>L2409-M2409</f>
        <v/>
      </c>
    </row>
    <row r="2410">
      <c r="A2410" s="7" t="inlineStr">
        <is>
          <t>ORD-05010</t>
        </is>
      </c>
      <c r="B2410" s="8" t="n">
        <v>45456</v>
      </c>
      <c r="C2410" s="9" t="n">
        <v>45444</v>
      </c>
      <c r="D2410" s="7" t="n">
        <v>2024</v>
      </c>
      <c r="E2410" s="7" t="inlineStr">
        <is>
          <t>North</t>
        </is>
      </c>
      <c r="F2410" s="7" t="inlineStr">
        <is>
          <t>Office Supplies</t>
        </is>
      </c>
      <c r="G2410" s="7" t="inlineStr">
        <is>
          <t>Printer Ink</t>
        </is>
      </c>
      <c r="H2410" s="7" t="inlineStr">
        <is>
          <t>Consumer</t>
        </is>
      </c>
      <c r="I2410" s="7" t="n">
        <v>11</v>
      </c>
      <c r="J2410" s="10" t="n">
        <v>59.46</v>
      </c>
      <c r="K2410" s="11" t="n">
        <v>0.1</v>
      </c>
      <c r="L2410" s="10">
        <f>I2410*J2410*(1-K2410)</f>
        <v/>
      </c>
      <c r="M2410" s="10" t="n">
        <v>396</v>
      </c>
      <c r="N2410" s="10">
        <f>L2410-M2410</f>
        <v/>
      </c>
    </row>
    <row r="2411">
      <c r="A2411" s="7" t="inlineStr">
        <is>
          <t>ORD-04168</t>
        </is>
      </c>
      <c r="B2411" s="8" t="n">
        <v>45457</v>
      </c>
      <c r="C2411" s="9" t="n">
        <v>45444</v>
      </c>
      <c r="D2411" s="7" t="n">
        <v>2024</v>
      </c>
      <c r="E2411" s="7" t="inlineStr">
        <is>
          <t>North</t>
        </is>
      </c>
      <c r="F2411" s="7" t="inlineStr">
        <is>
          <t>Office Supplies</t>
        </is>
      </c>
      <c r="G2411" s="7" t="inlineStr">
        <is>
          <t>Stapler</t>
        </is>
      </c>
      <c r="H2411" s="7" t="inlineStr">
        <is>
          <t>Home Office</t>
        </is>
      </c>
      <c r="I2411" s="7" t="n">
        <v>5</v>
      </c>
      <c r="J2411" s="10" t="n">
        <v>15.48</v>
      </c>
      <c r="K2411" s="11" t="n">
        <v>0</v>
      </c>
      <c r="L2411" s="10">
        <f>I2411*J2411*(1-K2411)</f>
        <v/>
      </c>
      <c r="M2411" s="10" t="n">
        <v>37.5</v>
      </c>
      <c r="N2411" s="10">
        <f>L2411-M2411</f>
        <v/>
      </c>
    </row>
    <row r="2412">
      <c r="A2412" s="7" t="inlineStr">
        <is>
          <t>ORD-00471</t>
        </is>
      </c>
      <c r="B2412" s="8" t="n">
        <v>45457</v>
      </c>
      <c r="C2412" s="9" t="n">
        <v>45444</v>
      </c>
      <c r="D2412" s="7" t="n">
        <v>2024</v>
      </c>
      <c r="E2412" s="7" t="inlineStr">
        <is>
          <t>East</t>
        </is>
      </c>
      <c r="F2412" s="7" t="inlineStr">
        <is>
          <t>Office Supplies</t>
        </is>
      </c>
      <c r="G2412" s="7" t="inlineStr">
        <is>
          <t>Paper</t>
        </is>
      </c>
      <c r="H2412" s="7" t="inlineStr">
        <is>
          <t>Corporate</t>
        </is>
      </c>
      <c r="I2412" s="7" t="n">
        <v>6</v>
      </c>
      <c r="J2412" s="10" t="n">
        <v>24.77</v>
      </c>
      <c r="K2412" s="11" t="n">
        <v>0</v>
      </c>
      <c r="L2412" s="10">
        <f>I2412*J2412*(1-K2412)</f>
        <v/>
      </c>
      <c r="M2412" s="10" t="n">
        <v>75</v>
      </c>
      <c r="N2412" s="10">
        <f>L2412-M2412</f>
        <v/>
      </c>
    </row>
    <row r="2413">
      <c r="A2413" s="7" t="inlineStr">
        <is>
          <t>ORD-02448</t>
        </is>
      </c>
      <c r="B2413" s="8" t="n">
        <v>45457</v>
      </c>
      <c r="C2413" s="9" t="n">
        <v>45444</v>
      </c>
      <c r="D2413" s="7" t="n">
        <v>2024</v>
      </c>
      <c r="E2413" s="7" t="inlineStr">
        <is>
          <t>South</t>
        </is>
      </c>
      <c r="F2413" s="7" t="inlineStr">
        <is>
          <t>Technology</t>
        </is>
      </c>
      <c r="G2413" s="7" t="inlineStr">
        <is>
          <t>Keyboard</t>
        </is>
      </c>
      <c r="H2413" s="7" t="inlineStr">
        <is>
          <t>Corporate</t>
        </is>
      </c>
      <c r="I2413" s="7" t="n">
        <v>1</v>
      </c>
      <c r="J2413" s="10" t="n">
        <v>46.52</v>
      </c>
      <c r="K2413" s="11" t="n">
        <v>0.2</v>
      </c>
      <c r="L2413" s="10">
        <f>I2413*J2413*(1-K2413)</f>
        <v/>
      </c>
      <c r="M2413" s="10" t="n">
        <v>24.75</v>
      </c>
      <c r="N2413" s="10">
        <f>L2413-M2413</f>
        <v/>
      </c>
    </row>
    <row r="2414">
      <c r="A2414" s="7" t="inlineStr">
        <is>
          <t>ORD-05234</t>
        </is>
      </c>
      <c r="B2414" s="8" t="n">
        <v>45458</v>
      </c>
      <c r="C2414" s="9" t="n">
        <v>45444</v>
      </c>
      <c r="D2414" s="7" t="n">
        <v>2024</v>
      </c>
      <c r="E2414" s="7" t="inlineStr">
        <is>
          <t>North</t>
        </is>
      </c>
      <c r="F2414" s="7" t="inlineStr">
        <is>
          <t>Furniture</t>
        </is>
      </c>
      <c r="G2414" s="7" t="inlineStr">
        <is>
          <t>Bookcase</t>
        </is>
      </c>
      <c r="H2414" s="7" t="inlineStr">
        <is>
          <t>Corporate</t>
        </is>
      </c>
      <c r="I2414" s="7" t="n">
        <v>3</v>
      </c>
      <c r="J2414" s="10" t="n">
        <v>185.04</v>
      </c>
      <c r="K2414" s="11" t="n">
        <v>0</v>
      </c>
      <c r="L2414" s="10">
        <f>I2414*J2414*(1-K2414)</f>
        <v/>
      </c>
      <c r="M2414" s="10" t="n">
        <v>432</v>
      </c>
      <c r="N2414" s="10">
        <f>L2414-M2414</f>
        <v/>
      </c>
    </row>
    <row r="2415">
      <c r="A2415" s="7" t="inlineStr">
        <is>
          <t>ORD-00933</t>
        </is>
      </c>
      <c r="B2415" s="8" t="n">
        <v>45458</v>
      </c>
      <c r="C2415" s="9" t="n">
        <v>45444</v>
      </c>
      <c r="D2415" s="7" t="n">
        <v>2024</v>
      </c>
      <c r="E2415" s="7" t="inlineStr">
        <is>
          <t>East</t>
        </is>
      </c>
      <c r="F2415" s="7" t="inlineStr">
        <is>
          <t>Office Supplies</t>
        </is>
      </c>
      <c r="G2415" s="7" t="inlineStr">
        <is>
          <t>Binder</t>
        </is>
      </c>
      <c r="H2415" s="7" t="inlineStr">
        <is>
          <t>Consumer</t>
        </is>
      </c>
      <c r="I2415" s="7" t="n">
        <v>13</v>
      </c>
      <c r="J2415" s="10" t="n">
        <v>8.16</v>
      </c>
      <c r="K2415" s="11" t="n">
        <v>0</v>
      </c>
      <c r="L2415" s="10">
        <f>I2415*J2415*(1-K2415)</f>
        <v/>
      </c>
      <c r="M2415" s="10" t="n">
        <v>41.6</v>
      </c>
      <c r="N2415" s="10">
        <f>L2415-M2415</f>
        <v/>
      </c>
    </row>
    <row r="2416">
      <c r="A2416" s="7" t="inlineStr">
        <is>
          <t>ORD-05215</t>
        </is>
      </c>
      <c r="B2416" s="8" t="n">
        <v>45458</v>
      </c>
      <c r="C2416" s="9" t="n">
        <v>45444</v>
      </c>
      <c r="D2416" s="7" t="n">
        <v>2024</v>
      </c>
      <c r="E2416" s="7" t="inlineStr">
        <is>
          <t>West</t>
        </is>
      </c>
      <c r="F2416" s="7" t="inlineStr">
        <is>
          <t>Office Supplies</t>
        </is>
      </c>
      <c r="G2416" s="7" t="inlineStr">
        <is>
          <t>Paper</t>
        </is>
      </c>
      <c r="H2416" s="7" t="inlineStr">
        <is>
          <t>Consumer</t>
        </is>
      </c>
      <c r="I2416" s="7" t="n">
        <v>5</v>
      </c>
      <c r="J2416" s="10" t="n">
        <v>24.38</v>
      </c>
      <c r="K2416" s="11" t="n">
        <v>0.1</v>
      </c>
      <c r="L2416" s="10">
        <f>I2416*J2416*(1-K2416)</f>
        <v/>
      </c>
      <c r="M2416" s="10" t="n">
        <v>62.5</v>
      </c>
      <c r="N2416" s="10">
        <f>L2416-M2416</f>
        <v/>
      </c>
    </row>
    <row r="2417">
      <c r="A2417" s="7" t="inlineStr">
        <is>
          <t>ORD-04277</t>
        </is>
      </c>
      <c r="B2417" s="8" t="n">
        <v>45458</v>
      </c>
      <c r="C2417" s="9" t="n">
        <v>45444</v>
      </c>
      <c r="D2417" s="7" t="n">
        <v>2024</v>
      </c>
      <c r="E2417" s="7" t="inlineStr">
        <is>
          <t>South</t>
        </is>
      </c>
      <c r="F2417" s="7" t="inlineStr">
        <is>
          <t>Furniture</t>
        </is>
      </c>
      <c r="G2417" s="7" t="inlineStr">
        <is>
          <t>Desk</t>
        </is>
      </c>
      <c r="H2417" s="7" t="inlineStr">
        <is>
          <t>Consumer</t>
        </is>
      </c>
      <c r="I2417" s="7" t="n">
        <v>2</v>
      </c>
      <c r="J2417" s="10" t="n">
        <v>463.87</v>
      </c>
      <c r="K2417" s="11" t="n">
        <v>0.2</v>
      </c>
      <c r="L2417" s="10">
        <f>I2417*J2417*(1-K2417)</f>
        <v/>
      </c>
      <c r="M2417" s="10" t="n">
        <v>765</v>
      </c>
      <c r="N2417" s="10">
        <f>L2417-M2417</f>
        <v/>
      </c>
    </row>
    <row r="2418">
      <c r="A2418" s="7" t="inlineStr">
        <is>
          <t>ORD-01373</t>
        </is>
      </c>
      <c r="B2418" s="8" t="n">
        <v>45458</v>
      </c>
      <c r="C2418" s="9" t="n">
        <v>45444</v>
      </c>
      <c r="D2418" s="7" t="n">
        <v>2024</v>
      </c>
      <c r="E2418" s="7" t="inlineStr">
        <is>
          <t>East</t>
        </is>
      </c>
      <c r="F2418" s="7" t="inlineStr">
        <is>
          <t>Office Supplies</t>
        </is>
      </c>
      <c r="G2418" s="7" t="inlineStr">
        <is>
          <t>Pens</t>
        </is>
      </c>
      <c r="H2418" s="7" t="inlineStr">
        <is>
          <t>Consumer</t>
        </is>
      </c>
      <c r="I2418" s="7" t="n">
        <v>3</v>
      </c>
      <c r="J2418" s="10" t="n">
        <v>11.68</v>
      </c>
      <c r="K2418" s="11" t="n">
        <v>0</v>
      </c>
      <c r="L2418" s="10">
        <f>I2418*J2418*(1-K2418)</f>
        <v/>
      </c>
      <c r="M2418" s="10" t="n">
        <v>16.2</v>
      </c>
      <c r="N2418" s="10">
        <f>L2418-M2418</f>
        <v/>
      </c>
    </row>
    <row r="2419">
      <c r="A2419" s="7" t="inlineStr">
        <is>
          <t>ORD-05233</t>
        </is>
      </c>
      <c r="B2419" s="8" t="n">
        <v>45459</v>
      </c>
      <c r="C2419" s="9" t="n">
        <v>45444</v>
      </c>
      <c r="D2419" s="7" t="n">
        <v>2024</v>
      </c>
      <c r="E2419" s="7" t="inlineStr">
        <is>
          <t>West</t>
        </is>
      </c>
      <c r="F2419" s="7" t="inlineStr">
        <is>
          <t>Office Supplies</t>
        </is>
      </c>
      <c r="G2419" s="7" t="inlineStr">
        <is>
          <t>Stapler</t>
        </is>
      </c>
      <c r="H2419" s="7" t="inlineStr">
        <is>
          <t>Home Office</t>
        </is>
      </c>
      <c r="I2419" s="7" t="n">
        <v>2</v>
      </c>
      <c r="J2419" s="10" t="n">
        <v>15.44</v>
      </c>
      <c r="K2419" s="11" t="n">
        <v>0.05</v>
      </c>
      <c r="L2419" s="10">
        <f>I2419*J2419*(1-K2419)</f>
        <v/>
      </c>
      <c r="M2419" s="10" t="n">
        <v>15</v>
      </c>
      <c r="N2419" s="10">
        <f>L2419-M2419</f>
        <v/>
      </c>
    </row>
    <row r="2420">
      <c r="A2420" s="7" t="inlineStr">
        <is>
          <t>ORD-02598</t>
        </is>
      </c>
      <c r="B2420" s="8" t="n">
        <v>45460</v>
      </c>
      <c r="C2420" s="9" t="n">
        <v>45444</v>
      </c>
      <c r="D2420" s="7" t="n">
        <v>2024</v>
      </c>
      <c r="E2420" s="7" t="inlineStr">
        <is>
          <t>South</t>
        </is>
      </c>
      <c r="F2420" s="7" t="inlineStr">
        <is>
          <t>Office Supplies</t>
        </is>
      </c>
      <c r="G2420" s="7" t="inlineStr">
        <is>
          <t>Paper</t>
        </is>
      </c>
      <c r="H2420" s="7" t="inlineStr">
        <is>
          <t>Consumer</t>
        </is>
      </c>
      <c r="I2420" s="7" t="n">
        <v>3</v>
      </c>
      <c r="J2420" s="10" t="n">
        <v>26.13</v>
      </c>
      <c r="K2420" s="11" t="n">
        <v>0.3</v>
      </c>
      <c r="L2420" s="10">
        <f>I2420*J2420*(1-K2420)</f>
        <v/>
      </c>
      <c r="M2420" s="10" t="n">
        <v>37.5</v>
      </c>
      <c r="N2420" s="10">
        <f>L2420-M2420</f>
        <v/>
      </c>
    </row>
    <row r="2421">
      <c r="A2421" s="7" t="inlineStr">
        <is>
          <t>ORD-03327</t>
        </is>
      </c>
      <c r="B2421" s="8" t="n">
        <v>45460</v>
      </c>
      <c r="C2421" s="9" t="n">
        <v>45444</v>
      </c>
      <c r="D2421" s="7" t="n">
        <v>2024</v>
      </c>
      <c r="E2421" s="7" t="inlineStr">
        <is>
          <t>East</t>
        </is>
      </c>
      <c r="F2421" s="7" t="inlineStr">
        <is>
          <t>Office Supplies</t>
        </is>
      </c>
      <c r="G2421" s="7" t="inlineStr">
        <is>
          <t>Binder</t>
        </is>
      </c>
      <c r="H2421" s="7" t="inlineStr">
        <is>
          <t>Consumer</t>
        </is>
      </c>
      <c r="I2421" s="7" t="n">
        <v>15</v>
      </c>
      <c r="J2421" s="10" t="n">
        <v>8.07</v>
      </c>
      <c r="K2421" s="11" t="n">
        <v>0.1</v>
      </c>
      <c r="L2421" s="10">
        <f>I2421*J2421*(1-K2421)</f>
        <v/>
      </c>
      <c r="M2421" s="10" t="n">
        <v>48</v>
      </c>
      <c r="N2421" s="10">
        <f>L2421-M2421</f>
        <v/>
      </c>
    </row>
    <row r="2422">
      <c r="A2422" s="7" t="inlineStr">
        <is>
          <t>ORD-00082</t>
        </is>
      </c>
      <c r="B2422" s="8" t="n">
        <v>45460</v>
      </c>
      <c r="C2422" s="9" t="n">
        <v>45444</v>
      </c>
      <c r="D2422" s="7" t="n">
        <v>2024</v>
      </c>
      <c r="E2422" s="7" t="inlineStr">
        <is>
          <t>West</t>
        </is>
      </c>
      <c r="F2422" s="7" t="inlineStr">
        <is>
          <t>Office Supplies</t>
        </is>
      </c>
      <c r="G2422" s="7" t="inlineStr">
        <is>
          <t>Binder</t>
        </is>
      </c>
      <c r="H2422" s="7" t="inlineStr">
        <is>
          <t>Home Office</t>
        </is>
      </c>
      <c r="I2422" s="7" t="n">
        <v>7</v>
      </c>
      <c r="J2422" s="10" t="n">
        <v>7.71</v>
      </c>
      <c r="K2422" s="11" t="n">
        <v>0</v>
      </c>
      <c r="L2422" s="10">
        <f>I2422*J2422*(1-K2422)</f>
        <v/>
      </c>
      <c r="M2422" s="10" t="n">
        <v>22.4</v>
      </c>
      <c r="N2422" s="10">
        <f>L2422-M2422</f>
        <v/>
      </c>
    </row>
    <row r="2423">
      <c r="A2423" s="7" t="inlineStr">
        <is>
          <t>ORD-04076</t>
        </is>
      </c>
      <c r="B2423" s="8" t="n">
        <v>45460</v>
      </c>
      <c r="C2423" s="9" t="n">
        <v>45444</v>
      </c>
      <c r="D2423" s="7" t="n">
        <v>2024</v>
      </c>
      <c r="E2423" s="7" t="inlineStr">
        <is>
          <t>South</t>
        </is>
      </c>
      <c r="F2423" s="7" t="inlineStr">
        <is>
          <t>Office Supplies</t>
        </is>
      </c>
      <c r="G2423" s="7" t="inlineStr">
        <is>
          <t>Paper</t>
        </is>
      </c>
      <c r="H2423" s="7" t="inlineStr">
        <is>
          <t>Consumer</t>
        </is>
      </c>
      <c r="I2423" s="7" t="n">
        <v>6</v>
      </c>
      <c r="J2423" s="10" t="n">
        <v>26.2</v>
      </c>
      <c r="K2423" s="11" t="n">
        <v>0.05</v>
      </c>
      <c r="L2423" s="10">
        <f>I2423*J2423*(1-K2423)</f>
        <v/>
      </c>
      <c r="M2423" s="10" t="n">
        <v>75</v>
      </c>
      <c r="N2423" s="10">
        <f>L2423-M2423</f>
        <v/>
      </c>
    </row>
    <row r="2424">
      <c r="A2424" s="7" t="inlineStr">
        <is>
          <t>ORD-05319</t>
        </is>
      </c>
      <c r="B2424" s="8" t="n">
        <v>45460</v>
      </c>
      <c r="C2424" s="9" t="n">
        <v>45444</v>
      </c>
      <c r="D2424" s="7" t="n">
        <v>2024</v>
      </c>
      <c r="E2424" s="7" t="inlineStr">
        <is>
          <t>South</t>
        </is>
      </c>
      <c r="F2424" s="7" t="inlineStr">
        <is>
          <t>Technology</t>
        </is>
      </c>
      <c r="G2424" s="7" t="inlineStr">
        <is>
          <t>Monitor</t>
        </is>
      </c>
      <c r="H2424" s="7" t="inlineStr">
        <is>
          <t>Consumer</t>
        </is>
      </c>
      <c r="I2424" s="7" t="n">
        <v>2</v>
      </c>
      <c r="J2424" s="10" t="n">
        <v>241.19</v>
      </c>
      <c r="K2424" s="11" t="n">
        <v>0.3</v>
      </c>
      <c r="L2424" s="10">
        <f>I2424*J2424*(1-K2424)</f>
        <v/>
      </c>
      <c r="M2424" s="10" t="n">
        <v>360</v>
      </c>
      <c r="N2424" s="10">
        <f>L2424-M2424</f>
        <v/>
      </c>
    </row>
    <row r="2425">
      <c r="A2425" s="7" t="inlineStr">
        <is>
          <t>ORD-01571</t>
        </is>
      </c>
      <c r="B2425" s="8" t="n">
        <v>45461</v>
      </c>
      <c r="C2425" s="9" t="n">
        <v>45444</v>
      </c>
      <c r="D2425" s="7" t="n">
        <v>2024</v>
      </c>
      <c r="E2425" s="7" t="inlineStr">
        <is>
          <t>South</t>
        </is>
      </c>
      <c r="F2425" s="7" t="inlineStr">
        <is>
          <t>Office Supplies</t>
        </is>
      </c>
      <c r="G2425" s="7" t="inlineStr">
        <is>
          <t>Stapler</t>
        </is>
      </c>
      <c r="H2425" s="7" t="inlineStr">
        <is>
          <t>Consumer</t>
        </is>
      </c>
      <c r="I2425" s="7" t="n">
        <v>8</v>
      </c>
      <c r="J2425" s="10" t="n">
        <v>15.07</v>
      </c>
      <c r="K2425" s="11" t="n">
        <v>0.1</v>
      </c>
      <c r="L2425" s="10">
        <f>I2425*J2425*(1-K2425)</f>
        <v/>
      </c>
      <c r="M2425" s="10" t="n">
        <v>60</v>
      </c>
      <c r="N2425" s="10">
        <f>L2425-M2425</f>
        <v/>
      </c>
    </row>
    <row r="2426">
      <c r="A2426" s="7" t="inlineStr">
        <is>
          <t>ORD-01883</t>
        </is>
      </c>
      <c r="B2426" s="8" t="n">
        <v>45462</v>
      </c>
      <c r="C2426" s="9" t="n">
        <v>45444</v>
      </c>
      <c r="D2426" s="7" t="n">
        <v>2024</v>
      </c>
      <c r="E2426" s="7" t="inlineStr">
        <is>
          <t>East</t>
        </is>
      </c>
      <c r="F2426" s="7" t="inlineStr">
        <is>
          <t>Technology</t>
        </is>
      </c>
      <c r="G2426" s="7" t="inlineStr">
        <is>
          <t>Laptop</t>
        </is>
      </c>
      <c r="H2426" s="7" t="inlineStr">
        <is>
          <t>Consumer</t>
        </is>
      </c>
      <c r="I2426" s="7" t="n">
        <v>1</v>
      </c>
      <c r="J2426" s="10" t="n">
        <v>906.23</v>
      </c>
      <c r="K2426" s="11" t="n">
        <v>0</v>
      </c>
      <c r="L2426" s="10">
        <f>I2426*J2426*(1-K2426)</f>
        <v/>
      </c>
      <c r="M2426" s="10" t="n">
        <v>702</v>
      </c>
      <c r="N2426" s="10">
        <f>L2426-M2426</f>
        <v/>
      </c>
    </row>
    <row r="2427">
      <c r="A2427" s="7" t="inlineStr">
        <is>
          <t>ORD-01038</t>
        </is>
      </c>
      <c r="B2427" s="8" t="n">
        <v>45462</v>
      </c>
      <c r="C2427" s="9" t="n">
        <v>45444</v>
      </c>
      <c r="D2427" s="7" t="n">
        <v>2024</v>
      </c>
      <c r="E2427" s="7" t="inlineStr">
        <is>
          <t>South</t>
        </is>
      </c>
      <c r="F2427" s="7" t="inlineStr">
        <is>
          <t>Technology</t>
        </is>
      </c>
      <c r="G2427" s="7" t="inlineStr">
        <is>
          <t>Smartphone</t>
        </is>
      </c>
      <c r="H2427" s="7" t="inlineStr">
        <is>
          <t>Corporate</t>
        </is>
      </c>
      <c r="I2427" s="7" t="n">
        <v>3</v>
      </c>
      <c r="J2427" s="10" t="n">
        <v>582.53</v>
      </c>
      <c r="K2427" s="11" t="n">
        <v>0.05</v>
      </c>
      <c r="L2427" s="10">
        <f>I2427*J2427*(1-K2427)</f>
        <v/>
      </c>
      <c r="M2427" s="10" t="n">
        <v>1350</v>
      </c>
      <c r="N2427" s="10">
        <f>L2427-M2427</f>
        <v/>
      </c>
    </row>
    <row r="2428">
      <c r="A2428" s="7" t="inlineStr">
        <is>
          <t>ORD-04807</t>
        </is>
      </c>
      <c r="B2428" s="8" t="n">
        <v>45462</v>
      </c>
      <c r="C2428" s="9" t="n">
        <v>45444</v>
      </c>
      <c r="D2428" s="7" t="n">
        <v>2024</v>
      </c>
      <c r="E2428" s="7" t="inlineStr">
        <is>
          <t>West</t>
        </is>
      </c>
      <c r="F2428" s="7" t="inlineStr">
        <is>
          <t>Office Supplies</t>
        </is>
      </c>
      <c r="G2428" s="7" t="inlineStr">
        <is>
          <t>Printer Ink</t>
        </is>
      </c>
      <c r="H2428" s="7" t="inlineStr">
        <is>
          <t>Corporate</t>
        </is>
      </c>
      <c r="I2428" s="7" t="n">
        <v>2</v>
      </c>
      <c r="J2428" s="10" t="n">
        <v>58.68</v>
      </c>
      <c r="K2428" s="11" t="n">
        <v>0.3</v>
      </c>
      <c r="L2428" s="10">
        <f>I2428*J2428*(1-K2428)</f>
        <v/>
      </c>
      <c r="M2428" s="10" t="n">
        <v>72</v>
      </c>
      <c r="N2428" s="10">
        <f>L2428-M2428</f>
        <v/>
      </c>
    </row>
    <row r="2429">
      <c r="A2429" s="7" t="inlineStr">
        <is>
          <t>ORD-04666</t>
        </is>
      </c>
      <c r="B2429" s="8" t="n">
        <v>45462</v>
      </c>
      <c r="C2429" s="9" t="n">
        <v>45444</v>
      </c>
      <c r="D2429" s="7" t="n">
        <v>2024</v>
      </c>
      <c r="E2429" s="7" t="inlineStr">
        <is>
          <t>South</t>
        </is>
      </c>
      <c r="F2429" s="7" t="inlineStr">
        <is>
          <t>Office Supplies</t>
        </is>
      </c>
      <c r="G2429" s="7" t="inlineStr">
        <is>
          <t>Printer Ink</t>
        </is>
      </c>
      <c r="H2429" s="7" t="inlineStr">
        <is>
          <t>Consumer</t>
        </is>
      </c>
      <c r="I2429" s="7" t="n">
        <v>9</v>
      </c>
      <c r="J2429" s="10" t="n">
        <v>57.01</v>
      </c>
      <c r="K2429" s="11" t="n">
        <v>0.05</v>
      </c>
      <c r="L2429" s="10">
        <f>I2429*J2429*(1-K2429)</f>
        <v/>
      </c>
      <c r="M2429" s="10" t="n">
        <v>324</v>
      </c>
      <c r="N2429" s="10">
        <f>L2429-M2429</f>
        <v/>
      </c>
    </row>
    <row r="2430">
      <c r="A2430" s="7" t="inlineStr">
        <is>
          <t>ORD-00844</t>
        </is>
      </c>
      <c r="B2430" s="8" t="n">
        <v>45462</v>
      </c>
      <c r="C2430" s="9" t="n">
        <v>45444</v>
      </c>
      <c r="D2430" s="7" t="n">
        <v>2024</v>
      </c>
      <c r="E2430" s="7" t="inlineStr">
        <is>
          <t>East</t>
        </is>
      </c>
      <c r="F2430" s="7" t="inlineStr">
        <is>
          <t>Technology</t>
        </is>
      </c>
      <c r="G2430" s="7" t="inlineStr">
        <is>
          <t>Monitor</t>
        </is>
      </c>
      <c r="H2430" s="7" t="inlineStr">
        <is>
          <t>Consumer</t>
        </is>
      </c>
      <c r="I2430" s="7" t="n">
        <v>3</v>
      </c>
      <c r="J2430" s="10" t="n">
        <v>251.6</v>
      </c>
      <c r="K2430" s="11" t="n">
        <v>0.3</v>
      </c>
      <c r="L2430" s="10">
        <f>I2430*J2430*(1-K2430)</f>
        <v/>
      </c>
      <c r="M2430" s="10" t="n">
        <v>540</v>
      </c>
      <c r="N2430" s="10">
        <f>L2430-M2430</f>
        <v/>
      </c>
    </row>
    <row r="2431">
      <c r="A2431" s="7" t="inlineStr">
        <is>
          <t>ORD-00670</t>
        </is>
      </c>
      <c r="B2431" s="8" t="n">
        <v>45462</v>
      </c>
      <c r="C2431" s="9" t="n">
        <v>45444</v>
      </c>
      <c r="D2431" s="7" t="n">
        <v>2024</v>
      </c>
      <c r="E2431" s="7" t="inlineStr">
        <is>
          <t>North</t>
        </is>
      </c>
      <c r="F2431" s="7" t="inlineStr">
        <is>
          <t>Office Supplies</t>
        </is>
      </c>
      <c r="G2431" s="7" t="inlineStr">
        <is>
          <t>Paper</t>
        </is>
      </c>
      <c r="H2431" s="7" t="inlineStr">
        <is>
          <t>Home Office</t>
        </is>
      </c>
      <c r="I2431" s="7" t="n">
        <v>11</v>
      </c>
      <c r="J2431" s="10" t="n">
        <v>25.42</v>
      </c>
      <c r="K2431" s="11" t="n">
        <v>0</v>
      </c>
      <c r="L2431" s="10">
        <f>I2431*J2431*(1-K2431)</f>
        <v/>
      </c>
      <c r="M2431" s="10" t="n">
        <v>137.5</v>
      </c>
      <c r="N2431" s="10">
        <f>L2431-M2431</f>
        <v/>
      </c>
    </row>
    <row r="2432">
      <c r="A2432" s="7" t="inlineStr">
        <is>
          <t>ORD-00072</t>
        </is>
      </c>
      <c r="B2432" s="8" t="n">
        <v>45462</v>
      </c>
      <c r="C2432" s="9" t="n">
        <v>45444</v>
      </c>
      <c r="D2432" s="7" t="n">
        <v>2024</v>
      </c>
      <c r="E2432" s="7" t="inlineStr">
        <is>
          <t>West</t>
        </is>
      </c>
      <c r="F2432" s="7" t="inlineStr">
        <is>
          <t>Office Supplies</t>
        </is>
      </c>
      <c r="G2432" s="7" t="inlineStr">
        <is>
          <t>Stapler</t>
        </is>
      </c>
      <c r="H2432" s="7" t="inlineStr">
        <is>
          <t>Consumer</t>
        </is>
      </c>
      <c r="I2432" s="7" t="n">
        <v>4</v>
      </c>
      <c r="J2432" s="10" t="n">
        <v>14.48</v>
      </c>
      <c r="K2432" s="11" t="n">
        <v>0.3</v>
      </c>
      <c r="L2432" s="10">
        <f>I2432*J2432*(1-K2432)</f>
        <v/>
      </c>
      <c r="M2432" s="10" t="n">
        <v>30</v>
      </c>
      <c r="N2432" s="10">
        <f>L2432-M2432</f>
        <v/>
      </c>
    </row>
    <row r="2433">
      <c r="A2433" s="7" t="inlineStr">
        <is>
          <t>ORD-04920</t>
        </is>
      </c>
      <c r="B2433" s="8" t="n">
        <v>45462</v>
      </c>
      <c r="C2433" s="9" t="n">
        <v>45444</v>
      </c>
      <c r="D2433" s="7" t="n">
        <v>2024</v>
      </c>
      <c r="E2433" s="7" t="inlineStr">
        <is>
          <t>West</t>
        </is>
      </c>
      <c r="F2433" s="7" t="inlineStr">
        <is>
          <t>Technology</t>
        </is>
      </c>
      <c r="G2433" s="7" t="inlineStr">
        <is>
          <t>Headphones</t>
        </is>
      </c>
      <c r="H2433" s="7" t="inlineStr">
        <is>
          <t>Consumer</t>
        </is>
      </c>
      <c r="I2433" s="7" t="n">
        <v>3</v>
      </c>
      <c r="J2433" s="10" t="n">
        <v>115.99</v>
      </c>
      <c r="K2433" s="11" t="n">
        <v>0.2</v>
      </c>
      <c r="L2433" s="10">
        <f>I2433*J2433*(1-K2433)</f>
        <v/>
      </c>
      <c r="M2433" s="10" t="n">
        <v>216</v>
      </c>
      <c r="N2433" s="10">
        <f>L2433-M2433</f>
        <v/>
      </c>
    </row>
    <row r="2434">
      <c r="A2434" s="7" t="inlineStr">
        <is>
          <t>ORD-00881</t>
        </is>
      </c>
      <c r="B2434" s="8" t="n">
        <v>45463</v>
      </c>
      <c r="C2434" s="9" t="n">
        <v>45444</v>
      </c>
      <c r="D2434" s="7" t="n">
        <v>2024</v>
      </c>
      <c r="E2434" s="7" t="inlineStr">
        <is>
          <t>West</t>
        </is>
      </c>
      <c r="F2434" s="7" t="inlineStr">
        <is>
          <t>Furniture</t>
        </is>
      </c>
      <c r="G2434" s="7" t="inlineStr">
        <is>
          <t>Desk</t>
        </is>
      </c>
      <c r="H2434" s="7" t="inlineStr">
        <is>
          <t>Consumer</t>
        </is>
      </c>
      <c r="I2434" s="7" t="n">
        <v>2</v>
      </c>
      <c r="J2434" s="10" t="n">
        <v>451</v>
      </c>
      <c r="K2434" s="11" t="n">
        <v>0.3</v>
      </c>
      <c r="L2434" s="10">
        <f>I2434*J2434*(1-K2434)</f>
        <v/>
      </c>
      <c r="M2434" s="10" t="n">
        <v>765</v>
      </c>
      <c r="N2434" s="10">
        <f>L2434-M2434</f>
        <v/>
      </c>
    </row>
    <row r="2435">
      <c r="A2435" s="7" t="inlineStr">
        <is>
          <t>ORD-00481</t>
        </is>
      </c>
      <c r="B2435" s="8" t="n">
        <v>45463</v>
      </c>
      <c r="C2435" s="9" t="n">
        <v>45444</v>
      </c>
      <c r="D2435" s="7" t="n">
        <v>2024</v>
      </c>
      <c r="E2435" s="7" t="inlineStr">
        <is>
          <t>South</t>
        </is>
      </c>
      <c r="F2435" s="7" t="inlineStr">
        <is>
          <t>Office Supplies</t>
        </is>
      </c>
      <c r="G2435" s="7" t="inlineStr">
        <is>
          <t>Binder</t>
        </is>
      </c>
      <c r="H2435" s="7" t="inlineStr">
        <is>
          <t>Home Office</t>
        </is>
      </c>
      <c r="I2435" s="7" t="n">
        <v>9</v>
      </c>
      <c r="J2435" s="10" t="n">
        <v>7.92</v>
      </c>
      <c r="K2435" s="11" t="n">
        <v>0.3</v>
      </c>
      <c r="L2435" s="10">
        <f>I2435*J2435*(1-K2435)</f>
        <v/>
      </c>
      <c r="M2435" s="10" t="n">
        <v>28.8</v>
      </c>
      <c r="N2435" s="10">
        <f>L2435-M2435</f>
        <v/>
      </c>
    </row>
    <row r="2436">
      <c r="A2436" s="7" t="inlineStr">
        <is>
          <t>ORD-01282</t>
        </is>
      </c>
      <c r="B2436" s="8" t="n">
        <v>45463</v>
      </c>
      <c r="C2436" s="9" t="n">
        <v>45444</v>
      </c>
      <c r="D2436" s="7" t="n">
        <v>2024</v>
      </c>
      <c r="E2436" s="7" t="inlineStr">
        <is>
          <t>West</t>
        </is>
      </c>
      <c r="F2436" s="7" t="inlineStr">
        <is>
          <t>Office Supplies</t>
        </is>
      </c>
      <c r="G2436" s="7" t="inlineStr">
        <is>
          <t>Paper</t>
        </is>
      </c>
      <c r="H2436" s="7" t="inlineStr">
        <is>
          <t>Consumer</t>
        </is>
      </c>
      <c r="I2436" s="7" t="n">
        <v>6</v>
      </c>
      <c r="J2436" s="10" t="n">
        <v>24.52</v>
      </c>
      <c r="K2436" s="11" t="n">
        <v>0</v>
      </c>
      <c r="L2436" s="10">
        <f>I2436*J2436*(1-K2436)</f>
        <v/>
      </c>
      <c r="M2436" s="10" t="n">
        <v>75</v>
      </c>
      <c r="N2436" s="10">
        <f>L2436-M2436</f>
        <v/>
      </c>
    </row>
    <row r="2437">
      <c r="A2437" s="7" t="inlineStr">
        <is>
          <t>ORD-01809</t>
        </is>
      </c>
      <c r="B2437" s="8" t="n">
        <v>45463</v>
      </c>
      <c r="C2437" s="9" t="n">
        <v>45444</v>
      </c>
      <c r="D2437" s="7" t="n">
        <v>2024</v>
      </c>
      <c r="E2437" s="7" t="inlineStr">
        <is>
          <t>North</t>
        </is>
      </c>
      <c r="F2437" s="7" t="inlineStr">
        <is>
          <t>Technology</t>
        </is>
      </c>
      <c r="G2437" s="7" t="inlineStr">
        <is>
          <t>Monitor</t>
        </is>
      </c>
      <c r="H2437" s="7" t="inlineStr">
        <is>
          <t>Corporate</t>
        </is>
      </c>
      <c r="I2437" s="7" t="n">
        <v>1</v>
      </c>
      <c r="J2437" s="10" t="n">
        <v>249.42</v>
      </c>
      <c r="K2437" s="11" t="n">
        <v>0</v>
      </c>
      <c r="L2437" s="10">
        <f>I2437*J2437*(1-K2437)</f>
        <v/>
      </c>
      <c r="M2437" s="10" t="n">
        <v>180</v>
      </c>
      <c r="N2437" s="10">
        <f>L2437-M2437</f>
        <v/>
      </c>
    </row>
    <row r="2438">
      <c r="A2438" s="7" t="inlineStr">
        <is>
          <t>ORD-01630</t>
        </is>
      </c>
      <c r="B2438" s="8" t="n">
        <v>45464</v>
      </c>
      <c r="C2438" s="9" t="n">
        <v>45444</v>
      </c>
      <c r="D2438" s="7" t="n">
        <v>2024</v>
      </c>
      <c r="E2438" s="7" t="inlineStr">
        <is>
          <t>North</t>
        </is>
      </c>
      <c r="F2438" s="7" t="inlineStr">
        <is>
          <t>Office Supplies</t>
        </is>
      </c>
      <c r="G2438" s="7" t="inlineStr">
        <is>
          <t>Pens</t>
        </is>
      </c>
      <c r="H2438" s="7" t="inlineStr">
        <is>
          <t>Consumer</t>
        </is>
      </c>
      <c r="I2438" s="7" t="n">
        <v>13</v>
      </c>
      <c r="J2438" s="10" t="n">
        <v>11.69</v>
      </c>
      <c r="K2438" s="11" t="n">
        <v>0.05</v>
      </c>
      <c r="L2438" s="10">
        <f>I2438*J2438*(1-K2438)</f>
        <v/>
      </c>
      <c r="M2438" s="10" t="n">
        <v>70.2</v>
      </c>
      <c r="N2438" s="10">
        <f>L2438-M2438</f>
        <v/>
      </c>
    </row>
    <row r="2439">
      <c r="A2439" s="7" t="inlineStr">
        <is>
          <t>ORD-03067</t>
        </is>
      </c>
      <c r="B2439" s="8" t="n">
        <v>45464</v>
      </c>
      <c r="C2439" s="9" t="n">
        <v>45444</v>
      </c>
      <c r="D2439" s="7" t="n">
        <v>2024</v>
      </c>
      <c r="E2439" s="7" t="inlineStr">
        <is>
          <t>East</t>
        </is>
      </c>
      <c r="F2439" s="7" t="inlineStr">
        <is>
          <t>Technology</t>
        </is>
      </c>
      <c r="G2439" s="7" t="inlineStr">
        <is>
          <t>Laptop</t>
        </is>
      </c>
      <c r="H2439" s="7" t="inlineStr">
        <is>
          <t>Home Office</t>
        </is>
      </c>
      <c r="I2439" s="7" t="n">
        <v>1</v>
      </c>
      <c r="J2439" s="10" t="n">
        <v>898.96</v>
      </c>
      <c r="K2439" s="11" t="n">
        <v>0</v>
      </c>
      <c r="L2439" s="10">
        <f>I2439*J2439*(1-K2439)</f>
        <v/>
      </c>
      <c r="M2439" s="10" t="n">
        <v>702</v>
      </c>
      <c r="N2439" s="10">
        <f>L2439-M2439</f>
        <v/>
      </c>
    </row>
    <row r="2440">
      <c r="A2440" s="7" t="inlineStr">
        <is>
          <t>ORD-01096</t>
        </is>
      </c>
      <c r="B2440" s="8" t="n">
        <v>45464</v>
      </c>
      <c r="C2440" s="9" t="n">
        <v>45444</v>
      </c>
      <c r="D2440" s="7" t="n">
        <v>2024</v>
      </c>
      <c r="E2440" s="7" t="inlineStr">
        <is>
          <t>West</t>
        </is>
      </c>
      <c r="F2440" s="7" t="inlineStr">
        <is>
          <t>Office Supplies</t>
        </is>
      </c>
      <c r="G2440" s="7" t="inlineStr">
        <is>
          <t>Paper</t>
        </is>
      </c>
      <c r="H2440" s="7" t="inlineStr">
        <is>
          <t>Corporate</t>
        </is>
      </c>
      <c r="I2440" s="7" t="n">
        <v>6</v>
      </c>
      <c r="J2440" s="10" t="n">
        <v>23.9</v>
      </c>
      <c r="K2440" s="11" t="n">
        <v>0</v>
      </c>
      <c r="L2440" s="10">
        <f>I2440*J2440*(1-K2440)</f>
        <v/>
      </c>
      <c r="M2440" s="10" t="n">
        <v>75</v>
      </c>
      <c r="N2440" s="10">
        <f>L2440-M2440</f>
        <v/>
      </c>
    </row>
    <row r="2441">
      <c r="A2441" s="7" t="inlineStr">
        <is>
          <t>ORD-02724</t>
        </is>
      </c>
      <c r="B2441" s="8" t="n">
        <v>45464</v>
      </c>
      <c r="C2441" s="9" t="n">
        <v>45444</v>
      </c>
      <c r="D2441" s="7" t="n">
        <v>2024</v>
      </c>
      <c r="E2441" s="7" t="inlineStr">
        <is>
          <t>South</t>
        </is>
      </c>
      <c r="F2441" s="7" t="inlineStr">
        <is>
          <t>Technology</t>
        </is>
      </c>
      <c r="G2441" s="7" t="inlineStr">
        <is>
          <t>Laptop</t>
        </is>
      </c>
      <c r="H2441" s="7" t="inlineStr">
        <is>
          <t>Corporate</t>
        </is>
      </c>
      <c r="I2441" s="7" t="n">
        <v>2</v>
      </c>
      <c r="J2441" s="10" t="n">
        <v>937.54</v>
      </c>
      <c r="K2441" s="11" t="n">
        <v>0.05</v>
      </c>
      <c r="L2441" s="10">
        <f>I2441*J2441*(1-K2441)</f>
        <v/>
      </c>
      <c r="M2441" s="10" t="n">
        <v>1404</v>
      </c>
      <c r="N2441" s="10">
        <f>L2441-M2441</f>
        <v/>
      </c>
    </row>
    <row r="2442">
      <c r="A2442" s="7" t="inlineStr">
        <is>
          <t>ORD-04730</t>
        </is>
      </c>
      <c r="B2442" s="8" t="n">
        <v>45464</v>
      </c>
      <c r="C2442" s="9" t="n">
        <v>45444</v>
      </c>
      <c r="D2442" s="7" t="n">
        <v>2024</v>
      </c>
      <c r="E2442" s="7" t="inlineStr">
        <is>
          <t>North</t>
        </is>
      </c>
      <c r="F2442" s="7" t="inlineStr">
        <is>
          <t>Office Supplies</t>
        </is>
      </c>
      <c r="G2442" s="7" t="inlineStr">
        <is>
          <t>Pens</t>
        </is>
      </c>
      <c r="H2442" s="7" t="inlineStr">
        <is>
          <t>Home Office</t>
        </is>
      </c>
      <c r="I2442" s="7" t="n">
        <v>10</v>
      </c>
      <c r="J2442" s="10" t="n">
        <v>12.14</v>
      </c>
      <c r="K2442" s="11" t="n">
        <v>0</v>
      </c>
      <c r="L2442" s="10">
        <f>I2442*J2442*(1-K2442)</f>
        <v/>
      </c>
      <c r="M2442" s="10" t="n">
        <v>54</v>
      </c>
      <c r="N2442" s="10">
        <f>L2442-M2442</f>
        <v/>
      </c>
    </row>
    <row r="2443">
      <c r="A2443" s="7" t="inlineStr">
        <is>
          <t>ORD-05820</t>
        </is>
      </c>
      <c r="B2443" s="8" t="n">
        <v>45464</v>
      </c>
      <c r="C2443" s="9" t="n">
        <v>45444</v>
      </c>
      <c r="D2443" s="7" t="n">
        <v>2024</v>
      </c>
      <c r="E2443" s="7" t="inlineStr">
        <is>
          <t>East</t>
        </is>
      </c>
      <c r="F2443" s="7" t="inlineStr">
        <is>
          <t>Office Supplies</t>
        </is>
      </c>
      <c r="G2443" s="7" t="inlineStr">
        <is>
          <t>Pens</t>
        </is>
      </c>
      <c r="H2443" s="7" t="inlineStr">
        <is>
          <t>Consumer</t>
        </is>
      </c>
      <c r="I2443" s="7" t="n">
        <v>13</v>
      </c>
      <c r="J2443" s="10" t="n">
        <v>11.81</v>
      </c>
      <c r="K2443" s="11" t="n">
        <v>0</v>
      </c>
      <c r="L2443" s="10">
        <f>I2443*J2443*(1-K2443)</f>
        <v/>
      </c>
      <c r="M2443" s="10" t="n">
        <v>70.2</v>
      </c>
      <c r="N2443" s="10">
        <f>L2443-M2443</f>
        <v/>
      </c>
    </row>
    <row r="2444">
      <c r="A2444" s="7" t="inlineStr">
        <is>
          <t>ORD-03474</t>
        </is>
      </c>
      <c r="B2444" s="8" t="n">
        <v>45464</v>
      </c>
      <c r="C2444" s="9" t="n">
        <v>45444</v>
      </c>
      <c r="D2444" s="7" t="n">
        <v>2024</v>
      </c>
      <c r="E2444" s="7" t="inlineStr">
        <is>
          <t>West</t>
        </is>
      </c>
      <c r="F2444" s="7" t="inlineStr">
        <is>
          <t>Technology</t>
        </is>
      </c>
      <c r="G2444" s="7" t="inlineStr">
        <is>
          <t>Keyboard</t>
        </is>
      </c>
      <c r="H2444" s="7" t="inlineStr">
        <is>
          <t>Home Office</t>
        </is>
      </c>
      <c r="I2444" s="7" t="n">
        <v>2</v>
      </c>
      <c r="J2444" s="10" t="n">
        <v>46.93</v>
      </c>
      <c r="K2444" s="11" t="n">
        <v>0</v>
      </c>
      <c r="L2444" s="10">
        <f>I2444*J2444*(1-K2444)</f>
        <v/>
      </c>
      <c r="M2444" s="10" t="n">
        <v>49.5</v>
      </c>
      <c r="N2444" s="10">
        <f>L2444-M2444</f>
        <v/>
      </c>
    </row>
    <row r="2445">
      <c r="A2445" s="7" t="inlineStr">
        <is>
          <t>ORD-02867</t>
        </is>
      </c>
      <c r="B2445" s="8" t="n">
        <v>45465</v>
      </c>
      <c r="C2445" s="9" t="n">
        <v>45444</v>
      </c>
      <c r="D2445" s="7" t="n">
        <v>2024</v>
      </c>
      <c r="E2445" s="7" t="inlineStr">
        <is>
          <t>West</t>
        </is>
      </c>
      <c r="F2445" s="7" t="inlineStr">
        <is>
          <t>Technology</t>
        </is>
      </c>
      <c r="G2445" s="7" t="inlineStr">
        <is>
          <t>Headphones</t>
        </is>
      </c>
      <c r="H2445" s="7" t="inlineStr">
        <is>
          <t>Consumer</t>
        </is>
      </c>
      <c r="I2445" s="7" t="n">
        <v>1</v>
      </c>
      <c r="J2445" s="10" t="n">
        <v>120.02</v>
      </c>
      <c r="K2445" s="11" t="n">
        <v>0</v>
      </c>
      <c r="L2445" s="10">
        <f>I2445*J2445*(1-K2445)</f>
        <v/>
      </c>
      <c r="M2445" s="10" t="n">
        <v>72</v>
      </c>
      <c r="N2445" s="10">
        <f>L2445-M2445</f>
        <v/>
      </c>
    </row>
    <row r="2446">
      <c r="A2446" s="7" t="inlineStr">
        <is>
          <t>ORD-02601</t>
        </is>
      </c>
      <c r="B2446" s="8" t="n">
        <v>45465</v>
      </c>
      <c r="C2446" s="9" t="n">
        <v>45444</v>
      </c>
      <c r="D2446" s="7" t="n">
        <v>2024</v>
      </c>
      <c r="E2446" s="7" t="inlineStr">
        <is>
          <t>East</t>
        </is>
      </c>
      <c r="F2446" s="7" t="inlineStr">
        <is>
          <t>Office Supplies</t>
        </is>
      </c>
      <c r="G2446" s="7" t="inlineStr">
        <is>
          <t>Binder</t>
        </is>
      </c>
      <c r="H2446" s="7" t="inlineStr">
        <is>
          <t>Corporate</t>
        </is>
      </c>
      <c r="I2446" s="7" t="n">
        <v>8</v>
      </c>
      <c r="J2446" s="10" t="n">
        <v>8.01</v>
      </c>
      <c r="K2446" s="11" t="n">
        <v>0</v>
      </c>
      <c r="L2446" s="10">
        <f>I2446*J2446*(1-K2446)</f>
        <v/>
      </c>
      <c r="M2446" s="10" t="n">
        <v>25.6</v>
      </c>
      <c r="N2446" s="10">
        <f>L2446-M2446</f>
        <v/>
      </c>
    </row>
    <row r="2447">
      <c r="A2447" s="7" t="inlineStr">
        <is>
          <t>ORD-04825</t>
        </is>
      </c>
      <c r="B2447" s="8" t="n">
        <v>45466</v>
      </c>
      <c r="C2447" s="9" t="n">
        <v>45444</v>
      </c>
      <c r="D2447" s="7" t="n">
        <v>2024</v>
      </c>
      <c r="E2447" s="7" t="inlineStr">
        <is>
          <t>West</t>
        </is>
      </c>
      <c r="F2447" s="7" t="inlineStr">
        <is>
          <t>Furniture</t>
        </is>
      </c>
      <c r="G2447" s="7" t="inlineStr">
        <is>
          <t>Desk</t>
        </is>
      </c>
      <c r="H2447" s="7" t="inlineStr">
        <is>
          <t>Consumer</t>
        </is>
      </c>
      <c r="I2447" s="7" t="n">
        <v>4</v>
      </c>
      <c r="J2447" s="10" t="n">
        <v>463.32</v>
      </c>
      <c r="K2447" s="11" t="n">
        <v>0.1</v>
      </c>
      <c r="L2447" s="10">
        <f>I2447*J2447*(1-K2447)</f>
        <v/>
      </c>
      <c r="M2447" s="10" t="n">
        <v>1530</v>
      </c>
      <c r="N2447" s="10">
        <f>L2447-M2447</f>
        <v/>
      </c>
    </row>
    <row r="2448">
      <c r="A2448" s="7" t="inlineStr">
        <is>
          <t>ORD-05396</t>
        </is>
      </c>
      <c r="B2448" s="8" t="n">
        <v>45466</v>
      </c>
      <c r="C2448" s="9" t="n">
        <v>45444</v>
      </c>
      <c r="D2448" s="7" t="n">
        <v>2024</v>
      </c>
      <c r="E2448" s="7" t="inlineStr">
        <is>
          <t>South</t>
        </is>
      </c>
      <c r="F2448" s="7" t="inlineStr">
        <is>
          <t>Office Supplies</t>
        </is>
      </c>
      <c r="G2448" s="7" t="inlineStr">
        <is>
          <t>Paper</t>
        </is>
      </c>
      <c r="H2448" s="7" t="inlineStr">
        <is>
          <t>Home Office</t>
        </is>
      </c>
      <c r="I2448" s="7" t="n">
        <v>9</v>
      </c>
      <c r="J2448" s="10" t="n">
        <v>25.49</v>
      </c>
      <c r="K2448" s="11" t="n">
        <v>0.1</v>
      </c>
      <c r="L2448" s="10">
        <f>I2448*J2448*(1-K2448)</f>
        <v/>
      </c>
      <c r="M2448" s="10" t="n">
        <v>112.5</v>
      </c>
      <c r="N2448" s="10">
        <f>L2448-M2448</f>
        <v/>
      </c>
    </row>
    <row r="2449">
      <c r="A2449" s="7" t="inlineStr">
        <is>
          <t>ORD-00626</t>
        </is>
      </c>
      <c r="B2449" s="8" t="n">
        <v>45466</v>
      </c>
      <c r="C2449" s="9" t="n">
        <v>45444</v>
      </c>
      <c r="D2449" s="7" t="n">
        <v>2024</v>
      </c>
      <c r="E2449" s="7" t="inlineStr">
        <is>
          <t>North</t>
        </is>
      </c>
      <c r="F2449" s="7" t="inlineStr">
        <is>
          <t>Furniture</t>
        </is>
      </c>
      <c r="G2449" s="7" t="inlineStr">
        <is>
          <t>Desk</t>
        </is>
      </c>
      <c r="H2449" s="7" t="inlineStr">
        <is>
          <t>Corporate</t>
        </is>
      </c>
      <c r="I2449" s="7" t="n">
        <v>2</v>
      </c>
      <c r="J2449" s="10" t="n">
        <v>444.55</v>
      </c>
      <c r="K2449" s="11" t="n">
        <v>0.3</v>
      </c>
      <c r="L2449" s="10">
        <f>I2449*J2449*(1-K2449)</f>
        <v/>
      </c>
      <c r="M2449" s="10" t="n">
        <v>765</v>
      </c>
      <c r="N2449" s="10">
        <f>L2449-M2449</f>
        <v/>
      </c>
    </row>
    <row r="2450">
      <c r="A2450" s="7" t="inlineStr">
        <is>
          <t>ORD-01636</t>
        </is>
      </c>
      <c r="B2450" s="8" t="n">
        <v>45466</v>
      </c>
      <c r="C2450" s="9" t="n">
        <v>45444</v>
      </c>
      <c r="D2450" s="7" t="n">
        <v>2024</v>
      </c>
      <c r="E2450" s="7" t="inlineStr">
        <is>
          <t>West</t>
        </is>
      </c>
      <c r="F2450" s="7" t="inlineStr">
        <is>
          <t>Office Supplies</t>
        </is>
      </c>
      <c r="G2450" s="7" t="inlineStr">
        <is>
          <t>Pens</t>
        </is>
      </c>
      <c r="H2450" s="7" t="inlineStr">
        <is>
          <t>Consumer</t>
        </is>
      </c>
      <c r="I2450" s="7" t="n">
        <v>7</v>
      </c>
      <c r="J2450" s="10" t="n">
        <v>12.36</v>
      </c>
      <c r="K2450" s="11" t="n">
        <v>0.2</v>
      </c>
      <c r="L2450" s="10">
        <f>I2450*J2450*(1-K2450)</f>
        <v/>
      </c>
      <c r="M2450" s="10" t="n">
        <v>37.8</v>
      </c>
      <c r="N2450" s="10">
        <f>L2450-M2450</f>
        <v/>
      </c>
    </row>
    <row r="2451">
      <c r="A2451" s="7" t="inlineStr">
        <is>
          <t>ORD-00480</t>
        </is>
      </c>
      <c r="B2451" s="8" t="n">
        <v>45466</v>
      </c>
      <c r="C2451" s="9" t="n">
        <v>45444</v>
      </c>
      <c r="D2451" s="7" t="n">
        <v>2024</v>
      </c>
      <c r="E2451" s="7" t="inlineStr">
        <is>
          <t>East</t>
        </is>
      </c>
      <c r="F2451" s="7" t="inlineStr">
        <is>
          <t>Technology</t>
        </is>
      </c>
      <c r="G2451" s="7" t="inlineStr">
        <is>
          <t>Monitor</t>
        </is>
      </c>
      <c r="H2451" s="7" t="inlineStr">
        <is>
          <t>Consumer</t>
        </is>
      </c>
      <c r="I2451" s="7" t="n">
        <v>1</v>
      </c>
      <c r="J2451" s="10" t="n">
        <v>255.66</v>
      </c>
      <c r="K2451" s="11" t="n">
        <v>0</v>
      </c>
      <c r="L2451" s="10">
        <f>I2451*J2451*(1-K2451)</f>
        <v/>
      </c>
      <c r="M2451" s="10" t="n">
        <v>180</v>
      </c>
      <c r="N2451" s="10">
        <f>L2451-M2451</f>
        <v/>
      </c>
    </row>
    <row r="2452">
      <c r="A2452" s="7" t="inlineStr">
        <is>
          <t>ORD-04507</t>
        </is>
      </c>
      <c r="B2452" s="8" t="n">
        <v>45466</v>
      </c>
      <c r="C2452" s="9" t="n">
        <v>45444</v>
      </c>
      <c r="D2452" s="7" t="n">
        <v>2024</v>
      </c>
      <c r="E2452" s="7" t="inlineStr">
        <is>
          <t>East</t>
        </is>
      </c>
      <c r="F2452" s="7" t="inlineStr">
        <is>
          <t>Office Supplies</t>
        </is>
      </c>
      <c r="G2452" s="7" t="inlineStr">
        <is>
          <t>Paper</t>
        </is>
      </c>
      <c r="H2452" s="7" t="inlineStr">
        <is>
          <t>Consumer</t>
        </is>
      </c>
      <c r="I2452" s="7" t="n">
        <v>14</v>
      </c>
      <c r="J2452" s="10" t="n">
        <v>24.53</v>
      </c>
      <c r="K2452" s="11" t="n">
        <v>0</v>
      </c>
      <c r="L2452" s="10">
        <f>I2452*J2452*(1-K2452)</f>
        <v/>
      </c>
      <c r="M2452" s="10" t="n">
        <v>175</v>
      </c>
      <c r="N2452" s="10">
        <f>L2452-M2452</f>
        <v/>
      </c>
    </row>
    <row r="2453">
      <c r="A2453" s="7" t="inlineStr">
        <is>
          <t>ORD-04976</t>
        </is>
      </c>
      <c r="B2453" s="8" t="n">
        <v>45466</v>
      </c>
      <c r="C2453" s="9" t="n">
        <v>45444</v>
      </c>
      <c r="D2453" s="7" t="n">
        <v>2024</v>
      </c>
      <c r="E2453" s="7" t="inlineStr">
        <is>
          <t>West</t>
        </is>
      </c>
      <c r="F2453" s="7" t="inlineStr">
        <is>
          <t>Office Supplies</t>
        </is>
      </c>
      <c r="G2453" s="7" t="inlineStr">
        <is>
          <t>Binder</t>
        </is>
      </c>
      <c r="H2453" s="7" t="inlineStr">
        <is>
          <t>Consumer</t>
        </is>
      </c>
      <c r="I2453" s="7" t="n">
        <v>11</v>
      </c>
      <c r="J2453" s="10" t="n">
        <v>8.380000000000001</v>
      </c>
      <c r="K2453" s="11" t="n">
        <v>0.1</v>
      </c>
      <c r="L2453" s="10">
        <f>I2453*J2453*(1-K2453)</f>
        <v/>
      </c>
      <c r="M2453" s="10" t="n">
        <v>35.2</v>
      </c>
      <c r="N2453" s="10">
        <f>L2453-M2453</f>
        <v/>
      </c>
    </row>
    <row r="2454">
      <c r="A2454" s="7" t="inlineStr">
        <is>
          <t>ORD-05091</t>
        </is>
      </c>
      <c r="B2454" s="8" t="n">
        <v>45467</v>
      </c>
      <c r="C2454" s="9" t="n">
        <v>45444</v>
      </c>
      <c r="D2454" s="7" t="n">
        <v>2024</v>
      </c>
      <c r="E2454" s="7" t="inlineStr">
        <is>
          <t>East</t>
        </is>
      </c>
      <c r="F2454" s="7" t="inlineStr">
        <is>
          <t>Office Supplies</t>
        </is>
      </c>
      <c r="G2454" s="7" t="inlineStr">
        <is>
          <t>Pens</t>
        </is>
      </c>
      <c r="H2454" s="7" t="inlineStr">
        <is>
          <t>Consumer</t>
        </is>
      </c>
      <c r="I2454" s="7" t="n">
        <v>2</v>
      </c>
      <c r="J2454" s="10" t="n">
        <v>11.49</v>
      </c>
      <c r="K2454" s="11" t="n">
        <v>0.3</v>
      </c>
      <c r="L2454" s="10">
        <f>I2454*J2454*(1-K2454)</f>
        <v/>
      </c>
      <c r="M2454" s="10" t="n">
        <v>10.8</v>
      </c>
      <c r="N2454" s="10">
        <f>L2454-M2454</f>
        <v/>
      </c>
    </row>
    <row r="2455">
      <c r="A2455" s="7" t="inlineStr">
        <is>
          <t>ORD-03876</t>
        </is>
      </c>
      <c r="B2455" s="8" t="n">
        <v>45467</v>
      </c>
      <c r="C2455" s="9" t="n">
        <v>45444</v>
      </c>
      <c r="D2455" s="7" t="n">
        <v>2024</v>
      </c>
      <c r="E2455" s="7" t="inlineStr">
        <is>
          <t>East</t>
        </is>
      </c>
      <c r="F2455" s="7" t="inlineStr">
        <is>
          <t>Office Supplies</t>
        </is>
      </c>
      <c r="G2455" s="7" t="inlineStr">
        <is>
          <t>Printer Ink</t>
        </is>
      </c>
      <c r="H2455" s="7" t="inlineStr">
        <is>
          <t>Corporate</t>
        </is>
      </c>
      <c r="I2455" s="7" t="n">
        <v>11</v>
      </c>
      <c r="J2455" s="10" t="n">
        <v>59.55</v>
      </c>
      <c r="K2455" s="11" t="n">
        <v>0.1</v>
      </c>
      <c r="L2455" s="10">
        <f>I2455*J2455*(1-K2455)</f>
        <v/>
      </c>
      <c r="M2455" s="10" t="n">
        <v>396</v>
      </c>
      <c r="N2455" s="10">
        <f>L2455-M2455</f>
        <v/>
      </c>
    </row>
    <row r="2456">
      <c r="A2456" s="7" t="inlineStr">
        <is>
          <t>ORD-01708</t>
        </is>
      </c>
      <c r="B2456" s="8" t="n">
        <v>45467</v>
      </c>
      <c r="C2456" s="9" t="n">
        <v>45444</v>
      </c>
      <c r="D2456" s="7" t="n">
        <v>2024</v>
      </c>
      <c r="E2456" s="7" t="inlineStr">
        <is>
          <t>East</t>
        </is>
      </c>
      <c r="F2456" s="7" t="inlineStr">
        <is>
          <t>Office Supplies</t>
        </is>
      </c>
      <c r="G2456" s="7" t="inlineStr">
        <is>
          <t>Pens</t>
        </is>
      </c>
      <c r="H2456" s="7" t="inlineStr">
        <is>
          <t>Consumer</t>
        </is>
      </c>
      <c r="I2456" s="7" t="n">
        <v>7</v>
      </c>
      <c r="J2456" s="10" t="n">
        <v>11.83</v>
      </c>
      <c r="K2456" s="11" t="n">
        <v>0</v>
      </c>
      <c r="L2456" s="10">
        <f>I2456*J2456*(1-K2456)</f>
        <v/>
      </c>
      <c r="M2456" s="10" t="n">
        <v>37.8</v>
      </c>
      <c r="N2456" s="10">
        <f>L2456-M2456</f>
        <v/>
      </c>
    </row>
    <row r="2457">
      <c r="A2457" s="7" t="inlineStr">
        <is>
          <t>ORD-05489</t>
        </is>
      </c>
      <c r="B2457" s="8" t="n">
        <v>45467</v>
      </c>
      <c r="C2457" s="9" t="n">
        <v>45444</v>
      </c>
      <c r="D2457" s="7" t="n">
        <v>2024</v>
      </c>
      <c r="E2457" s="7" t="inlineStr">
        <is>
          <t>West</t>
        </is>
      </c>
      <c r="F2457" s="7" t="inlineStr">
        <is>
          <t>Office Supplies</t>
        </is>
      </c>
      <c r="G2457" s="7" t="inlineStr">
        <is>
          <t>Paper</t>
        </is>
      </c>
      <c r="H2457" s="7" t="inlineStr">
        <is>
          <t>Corporate</t>
        </is>
      </c>
      <c r="I2457" s="7" t="n">
        <v>15</v>
      </c>
      <c r="J2457" s="10" t="n">
        <v>26.12</v>
      </c>
      <c r="K2457" s="11" t="n">
        <v>0</v>
      </c>
      <c r="L2457" s="10">
        <f>I2457*J2457*(1-K2457)</f>
        <v/>
      </c>
      <c r="M2457" s="10" t="n">
        <v>187.5</v>
      </c>
      <c r="N2457" s="10">
        <f>L2457-M2457</f>
        <v/>
      </c>
    </row>
    <row r="2458">
      <c r="A2458" s="7" t="inlineStr">
        <is>
          <t>ORD-01849</t>
        </is>
      </c>
      <c r="B2458" s="8" t="n">
        <v>45467</v>
      </c>
      <c r="C2458" s="9" t="n">
        <v>45444</v>
      </c>
      <c r="D2458" s="7" t="n">
        <v>2024</v>
      </c>
      <c r="E2458" s="7" t="inlineStr">
        <is>
          <t>West</t>
        </is>
      </c>
      <c r="F2458" s="7" t="inlineStr">
        <is>
          <t>Office Supplies</t>
        </is>
      </c>
      <c r="G2458" s="7" t="inlineStr">
        <is>
          <t>Binder</t>
        </is>
      </c>
      <c r="H2458" s="7" t="inlineStr">
        <is>
          <t>Home Office</t>
        </is>
      </c>
      <c r="I2458" s="7" t="n">
        <v>3</v>
      </c>
      <c r="J2458" s="10" t="n">
        <v>7.77</v>
      </c>
      <c r="K2458" s="11" t="n">
        <v>0.2</v>
      </c>
      <c r="L2458" s="10">
        <f>I2458*J2458*(1-K2458)</f>
        <v/>
      </c>
      <c r="M2458" s="10" t="n">
        <v>9.6</v>
      </c>
      <c r="N2458" s="10">
        <f>L2458-M2458</f>
        <v/>
      </c>
    </row>
    <row r="2459">
      <c r="A2459" s="7" t="inlineStr">
        <is>
          <t>ORD-00248</t>
        </is>
      </c>
      <c r="B2459" s="8" t="n">
        <v>45467</v>
      </c>
      <c r="C2459" s="9" t="n">
        <v>45444</v>
      </c>
      <c r="D2459" s="7" t="n">
        <v>2024</v>
      </c>
      <c r="E2459" s="7" t="inlineStr">
        <is>
          <t>North</t>
        </is>
      </c>
      <c r="F2459" s="7" t="inlineStr">
        <is>
          <t>Office Supplies</t>
        </is>
      </c>
      <c r="G2459" s="7" t="inlineStr">
        <is>
          <t>Paper</t>
        </is>
      </c>
      <c r="H2459" s="7" t="inlineStr">
        <is>
          <t>Corporate</t>
        </is>
      </c>
      <c r="I2459" s="7" t="n">
        <v>15</v>
      </c>
      <c r="J2459" s="10" t="n">
        <v>26.06</v>
      </c>
      <c r="K2459" s="11" t="n">
        <v>0</v>
      </c>
      <c r="L2459" s="10">
        <f>I2459*J2459*(1-K2459)</f>
        <v/>
      </c>
      <c r="M2459" s="10" t="n">
        <v>187.5</v>
      </c>
      <c r="N2459" s="10">
        <f>L2459-M2459</f>
        <v/>
      </c>
    </row>
    <row r="2460">
      <c r="A2460" s="7" t="inlineStr">
        <is>
          <t>ORD-03833</t>
        </is>
      </c>
      <c r="B2460" s="8" t="n">
        <v>45468</v>
      </c>
      <c r="C2460" s="9" t="n">
        <v>45444</v>
      </c>
      <c r="D2460" s="7" t="n">
        <v>2024</v>
      </c>
      <c r="E2460" s="7" t="inlineStr">
        <is>
          <t>South</t>
        </is>
      </c>
      <c r="F2460" s="7" t="inlineStr">
        <is>
          <t>Office Supplies</t>
        </is>
      </c>
      <c r="G2460" s="7" t="inlineStr">
        <is>
          <t>Binder</t>
        </is>
      </c>
      <c r="H2460" s="7" t="inlineStr">
        <is>
          <t>Home Office</t>
        </is>
      </c>
      <c r="I2460" s="7" t="n">
        <v>6</v>
      </c>
      <c r="J2460" s="10" t="n">
        <v>8.35</v>
      </c>
      <c r="K2460" s="11" t="n">
        <v>0.1</v>
      </c>
      <c r="L2460" s="10">
        <f>I2460*J2460*(1-K2460)</f>
        <v/>
      </c>
      <c r="M2460" s="10" t="n">
        <v>19.2</v>
      </c>
      <c r="N2460" s="10">
        <f>L2460-M2460</f>
        <v/>
      </c>
    </row>
    <row r="2461">
      <c r="A2461" s="7" t="inlineStr">
        <is>
          <t>ORD-05598</t>
        </is>
      </c>
      <c r="B2461" s="8" t="n">
        <v>45468</v>
      </c>
      <c r="C2461" s="9" t="n">
        <v>45444</v>
      </c>
      <c r="D2461" s="7" t="n">
        <v>2024</v>
      </c>
      <c r="E2461" s="7" t="inlineStr">
        <is>
          <t>East</t>
        </is>
      </c>
      <c r="F2461" s="7" t="inlineStr">
        <is>
          <t>Office Supplies</t>
        </is>
      </c>
      <c r="G2461" s="7" t="inlineStr">
        <is>
          <t>Paper</t>
        </is>
      </c>
      <c r="H2461" s="7" t="inlineStr">
        <is>
          <t>Home Office</t>
        </is>
      </c>
      <c r="I2461" s="7" t="n">
        <v>3</v>
      </c>
      <c r="J2461" s="10" t="n">
        <v>25.29</v>
      </c>
      <c r="K2461" s="11" t="n">
        <v>0.05</v>
      </c>
      <c r="L2461" s="10">
        <f>I2461*J2461*(1-K2461)</f>
        <v/>
      </c>
      <c r="M2461" s="10" t="n">
        <v>37.5</v>
      </c>
      <c r="N2461" s="10">
        <f>L2461-M2461</f>
        <v/>
      </c>
    </row>
    <row r="2462">
      <c r="A2462" s="7" t="inlineStr">
        <is>
          <t>ORD-05086</t>
        </is>
      </c>
      <c r="B2462" s="8" t="n">
        <v>45468</v>
      </c>
      <c r="C2462" s="9" t="n">
        <v>45444</v>
      </c>
      <c r="D2462" s="7" t="n">
        <v>2024</v>
      </c>
      <c r="E2462" s="7" t="inlineStr">
        <is>
          <t>North</t>
        </is>
      </c>
      <c r="F2462" s="7" t="inlineStr">
        <is>
          <t>Furniture</t>
        </is>
      </c>
      <c r="G2462" s="7" t="inlineStr">
        <is>
          <t>Bookcase</t>
        </is>
      </c>
      <c r="H2462" s="7" t="inlineStr">
        <is>
          <t>Consumer</t>
        </is>
      </c>
      <c r="I2462" s="7" t="n">
        <v>3</v>
      </c>
      <c r="J2462" s="10" t="n">
        <v>183.91</v>
      </c>
      <c r="K2462" s="11" t="n">
        <v>0.05</v>
      </c>
      <c r="L2462" s="10">
        <f>I2462*J2462*(1-K2462)</f>
        <v/>
      </c>
      <c r="M2462" s="10" t="n">
        <v>432</v>
      </c>
      <c r="N2462" s="10">
        <f>L2462-M2462</f>
        <v/>
      </c>
    </row>
    <row r="2463">
      <c r="A2463" s="7" t="inlineStr">
        <is>
          <t>ORD-00944</t>
        </is>
      </c>
      <c r="B2463" s="8" t="n">
        <v>45468</v>
      </c>
      <c r="C2463" s="9" t="n">
        <v>45444</v>
      </c>
      <c r="D2463" s="7" t="n">
        <v>2024</v>
      </c>
      <c r="E2463" s="7" t="inlineStr">
        <is>
          <t>East</t>
        </is>
      </c>
      <c r="F2463" s="7" t="inlineStr">
        <is>
          <t>Office Supplies</t>
        </is>
      </c>
      <c r="G2463" s="7" t="inlineStr">
        <is>
          <t>Paper</t>
        </is>
      </c>
      <c r="H2463" s="7" t="inlineStr">
        <is>
          <t>Home Office</t>
        </is>
      </c>
      <c r="I2463" s="7" t="n">
        <v>13</v>
      </c>
      <c r="J2463" s="10" t="n">
        <v>25.06</v>
      </c>
      <c r="K2463" s="11" t="n">
        <v>0</v>
      </c>
      <c r="L2463" s="10">
        <f>I2463*J2463*(1-K2463)</f>
        <v/>
      </c>
      <c r="M2463" s="10" t="n">
        <v>162.5</v>
      </c>
      <c r="N2463" s="10">
        <f>L2463-M2463</f>
        <v/>
      </c>
    </row>
    <row r="2464">
      <c r="A2464" s="7" t="inlineStr">
        <is>
          <t>ORD-02177</t>
        </is>
      </c>
      <c r="B2464" s="8" t="n">
        <v>45468</v>
      </c>
      <c r="C2464" s="9" t="n">
        <v>45444</v>
      </c>
      <c r="D2464" s="7" t="n">
        <v>2024</v>
      </c>
      <c r="E2464" s="7" t="inlineStr">
        <is>
          <t>South</t>
        </is>
      </c>
      <c r="F2464" s="7" t="inlineStr">
        <is>
          <t>Office Supplies</t>
        </is>
      </c>
      <c r="G2464" s="7" t="inlineStr">
        <is>
          <t>Binder</t>
        </is>
      </c>
      <c r="H2464" s="7" t="inlineStr">
        <is>
          <t>Corporate</t>
        </is>
      </c>
      <c r="I2464" s="7" t="n">
        <v>12</v>
      </c>
      <c r="J2464" s="10" t="n">
        <v>7.67</v>
      </c>
      <c r="K2464" s="11" t="n">
        <v>0</v>
      </c>
      <c r="L2464" s="10">
        <f>I2464*J2464*(1-K2464)</f>
        <v/>
      </c>
      <c r="M2464" s="10" t="n">
        <v>38.4</v>
      </c>
      <c r="N2464" s="10">
        <f>L2464-M2464</f>
        <v/>
      </c>
    </row>
    <row r="2465">
      <c r="A2465" s="7" t="inlineStr">
        <is>
          <t>ORD-02861</t>
        </is>
      </c>
      <c r="B2465" s="8" t="n">
        <v>45469</v>
      </c>
      <c r="C2465" s="9" t="n">
        <v>45444</v>
      </c>
      <c r="D2465" s="7" t="n">
        <v>2024</v>
      </c>
      <c r="E2465" s="7" t="inlineStr">
        <is>
          <t>West</t>
        </is>
      </c>
      <c r="F2465" s="7" t="inlineStr">
        <is>
          <t>Furniture</t>
        </is>
      </c>
      <c r="G2465" s="7" t="inlineStr">
        <is>
          <t>Office Chair</t>
        </is>
      </c>
      <c r="H2465" s="7" t="inlineStr">
        <is>
          <t>Consumer</t>
        </is>
      </c>
      <c r="I2465" s="7" t="n">
        <v>4</v>
      </c>
      <c r="J2465" s="10" t="n">
        <v>216.38</v>
      </c>
      <c r="K2465" s="11" t="n">
        <v>0</v>
      </c>
      <c r="L2465" s="10">
        <f>I2465*J2465*(1-K2465)</f>
        <v/>
      </c>
      <c r="M2465" s="10" t="n">
        <v>721.6</v>
      </c>
      <c r="N2465" s="10">
        <f>L2465-M2465</f>
        <v/>
      </c>
    </row>
    <row r="2466">
      <c r="A2466" s="7" t="inlineStr">
        <is>
          <t>ORD-01943</t>
        </is>
      </c>
      <c r="B2466" s="8" t="n">
        <v>45469</v>
      </c>
      <c r="C2466" s="9" t="n">
        <v>45444</v>
      </c>
      <c r="D2466" s="7" t="n">
        <v>2024</v>
      </c>
      <c r="E2466" s="7" t="inlineStr">
        <is>
          <t>South</t>
        </is>
      </c>
      <c r="F2466" s="7" t="inlineStr">
        <is>
          <t>Technology</t>
        </is>
      </c>
      <c r="G2466" s="7" t="inlineStr">
        <is>
          <t>Monitor</t>
        </is>
      </c>
      <c r="H2466" s="7" t="inlineStr">
        <is>
          <t>Corporate</t>
        </is>
      </c>
      <c r="I2466" s="7" t="n">
        <v>1</v>
      </c>
      <c r="J2466" s="10" t="n">
        <v>252.08</v>
      </c>
      <c r="K2466" s="11" t="n">
        <v>0</v>
      </c>
      <c r="L2466" s="10">
        <f>I2466*J2466*(1-K2466)</f>
        <v/>
      </c>
      <c r="M2466" s="10" t="n">
        <v>180</v>
      </c>
      <c r="N2466" s="10">
        <f>L2466-M2466</f>
        <v/>
      </c>
    </row>
    <row r="2467">
      <c r="A2467" s="7" t="inlineStr">
        <is>
          <t>ORD-04522</t>
        </is>
      </c>
      <c r="B2467" s="8" t="n">
        <v>45469</v>
      </c>
      <c r="C2467" s="9" t="n">
        <v>45444</v>
      </c>
      <c r="D2467" s="7" t="n">
        <v>2024</v>
      </c>
      <c r="E2467" s="7" t="inlineStr">
        <is>
          <t>South</t>
        </is>
      </c>
      <c r="F2467" s="7" t="inlineStr">
        <is>
          <t>Office Supplies</t>
        </is>
      </c>
      <c r="G2467" s="7" t="inlineStr">
        <is>
          <t>Stapler</t>
        </is>
      </c>
      <c r="H2467" s="7" t="inlineStr">
        <is>
          <t>Consumer</t>
        </is>
      </c>
      <c r="I2467" s="7" t="n">
        <v>8</v>
      </c>
      <c r="J2467" s="10" t="n">
        <v>15.41</v>
      </c>
      <c r="K2467" s="11" t="n">
        <v>0.05</v>
      </c>
      <c r="L2467" s="10">
        <f>I2467*J2467*(1-K2467)</f>
        <v/>
      </c>
      <c r="M2467" s="10" t="n">
        <v>60</v>
      </c>
      <c r="N2467" s="10">
        <f>L2467-M2467</f>
        <v/>
      </c>
    </row>
    <row r="2468">
      <c r="A2468" s="7" t="inlineStr">
        <is>
          <t>ORD-04828</t>
        </is>
      </c>
      <c r="B2468" s="8" t="n">
        <v>45469</v>
      </c>
      <c r="C2468" s="9" t="n">
        <v>45444</v>
      </c>
      <c r="D2468" s="7" t="n">
        <v>2024</v>
      </c>
      <c r="E2468" s="7" t="inlineStr">
        <is>
          <t>East</t>
        </is>
      </c>
      <c r="F2468" s="7" t="inlineStr">
        <is>
          <t>Technology</t>
        </is>
      </c>
      <c r="G2468" s="7" t="inlineStr">
        <is>
          <t>Smartphone</t>
        </is>
      </c>
      <c r="H2468" s="7" t="inlineStr">
        <is>
          <t>Consumer</t>
        </is>
      </c>
      <c r="I2468" s="7" t="n">
        <v>3</v>
      </c>
      <c r="J2468" s="10" t="n">
        <v>584.08</v>
      </c>
      <c r="K2468" s="11" t="n">
        <v>0</v>
      </c>
      <c r="L2468" s="10">
        <f>I2468*J2468*(1-K2468)</f>
        <v/>
      </c>
      <c r="M2468" s="10" t="n">
        <v>1350</v>
      </c>
      <c r="N2468" s="10">
        <f>L2468-M2468</f>
        <v/>
      </c>
    </row>
    <row r="2469">
      <c r="A2469" s="7" t="inlineStr">
        <is>
          <t>ORD-05801</t>
        </is>
      </c>
      <c r="B2469" s="8" t="n">
        <v>45469</v>
      </c>
      <c r="C2469" s="9" t="n">
        <v>45444</v>
      </c>
      <c r="D2469" s="7" t="n">
        <v>2024</v>
      </c>
      <c r="E2469" s="7" t="inlineStr">
        <is>
          <t>South</t>
        </is>
      </c>
      <c r="F2469" s="7" t="inlineStr">
        <is>
          <t>Office Supplies</t>
        </is>
      </c>
      <c r="G2469" s="7" t="inlineStr">
        <is>
          <t>Binder</t>
        </is>
      </c>
      <c r="H2469" s="7" t="inlineStr">
        <is>
          <t>Corporate</t>
        </is>
      </c>
      <c r="I2469" s="7" t="n">
        <v>7</v>
      </c>
      <c r="J2469" s="10" t="n">
        <v>8.15</v>
      </c>
      <c r="K2469" s="11" t="n">
        <v>0.2</v>
      </c>
      <c r="L2469" s="10">
        <f>I2469*J2469*(1-K2469)</f>
        <v/>
      </c>
      <c r="M2469" s="10" t="n">
        <v>22.4</v>
      </c>
      <c r="N2469" s="10">
        <f>L2469-M2469</f>
        <v/>
      </c>
    </row>
    <row r="2470">
      <c r="A2470" s="7" t="inlineStr">
        <is>
          <t>ORD-03501</t>
        </is>
      </c>
      <c r="B2470" s="8" t="n">
        <v>45469</v>
      </c>
      <c r="C2470" s="9" t="n">
        <v>45444</v>
      </c>
      <c r="D2470" s="7" t="n">
        <v>2024</v>
      </c>
      <c r="E2470" s="7" t="inlineStr">
        <is>
          <t>South</t>
        </is>
      </c>
      <c r="F2470" s="7" t="inlineStr">
        <is>
          <t>Technology</t>
        </is>
      </c>
      <c r="G2470" s="7" t="inlineStr">
        <is>
          <t>Keyboard</t>
        </is>
      </c>
      <c r="H2470" s="7" t="inlineStr">
        <is>
          <t>Corporate</t>
        </is>
      </c>
      <c r="I2470" s="7" t="n">
        <v>2</v>
      </c>
      <c r="J2470" s="10" t="n">
        <v>44.96</v>
      </c>
      <c r="K2470" s="11" t="n">
        <v>0.1</v>
      </c>
      <c r="L2470" s="10">
        <f>I2470*J2470*(1-K2470)</f>
        <v/>
      </c>
      <c r="M2470" s="10" t="n">
        <v>49.5</v>
      </c>
      <c r="N2470" s="10">
        <f>L2470-M2470</f>
        <v/>
      </c>
    </row>
    <row r="2471">
      <c r="A2471" s="7" t="inlineStr">
        <is>
          <t>ORD-00792</t>
        </is>
      </c>
      <c r="B2471" s="8" t="n">
        <v>45469</v>
      </c>
      <c r="C2471" s="9" t="n">
        <v>45444</v>
      </c>
      <c r="D2471" s="7" t="n">
        <v>2024</v>
      </c>
      <c r="E2471" s="7" t="inlineStr">
        <is>
          <t>East</t>
        </is>
      </c>
      <c r="F2471" s="7" t="inlineStr">
        <is>
          <t>Office Supplies</t>
        </is>
      </c>
      <c r="G2471" s="7" t="inlineStr">
        <is>
          <t>Printer Ink</t>
        </is>
      </c>
      <c r="H2471" s="7" t="inlineStr">
        <is>
          <t>Consumer</t>
        </is>
      </c>
      <c r="I2471" s="7" t="n">
        <v>9</v>
      </c>
      <c r="J2471" s="10" t="n">
        <v>60.42</v>
      </c>
      <c r="K2471" s="11" t="n">
        <v>0.05</v>
      </c>
      <c r="L2471" s="10">
        <f>I2471*J2471*(1-K2471)</f>
        <v/>
      </c>
      <c r="M2471" s="10" t="n">
        <v>324</v>
      </c>
      <c r="N2471" s="10">
        <f>L2471-M2471</f>
        <v/>
      </c>
    </row>
    <row r="2472">
      <c r="A2472" s="7" t="inlineStr">
        <is>
          <t>ORD-02015</t>
        </is>
      </c>
      <c r="B2472" s="8" t="n">
        <v>45469</v>
      </c>
      <c r="C2472" s="9" t="n">
        <v>45444</v>
      </c>
      <c r="D2472" s="7" t="n">
        <v>2024</v>
      </c>
      <c r="E2472" s="7" t="inlineStr">
        <is>
          <t>West</t>
        </is>
      </c>
      <c r="F2472" s="7" t="inlineStr">
        <is>
          <t>Technology</t>
        </is>
      </c>
      <c r="G2472" s="7" t="inlineStr">
        <is>
          <t>Laptop</t>
        </is>
      </c>
      <c r="H2472" s="7" t="inlineStr">
        <is>
          <t>Corporate</t>
        </is>
      </c>
      <c r="I2472" s="7" t="n">
        <v>3</v>
      </c>
      <c r="J2472" s="10" t="n">
        <v>919.45</v>
      </c>
      <c r="K2472" s="11" t="n">
        <v>0.05</v>
      </c>
      <c r="L2472" s="10">
        <f>I2472*J2472*(1-K2472)</f>
        <v/>
      </c>
      <c r="M2472" s="10" t="n">
        <v>2106</v>
      </c>
      <c r="N2472" s="10">
        <f>L2472-M2472</f>
        <v/>
      </c>
    </row>
    <row r="2473">
      <c r="A2473" s="7" t="inlineStr">
        <is>
          <t>ORD-05706</t>
        </is>
      </c>
      <c r="B2473" s="8" t="n">
        <v>45469</v>
      </c>
      <c r="C2473" s="9" t="n">
        <v>45444</v>
      </c>
      <c r="D2473" s="7" t="n">
        <v>2024</v>
      </c>
      <c r="E2473" s="7" t="inlineStr">
        <is>
          <t>East</t>
        </is>
      </c>
      <c r="F2473" s="7" t="inlineStr">
        <is>
          <t>Office Supplies</t>
        </is>
      </c>
      <c r="G2473" s="7" t="inlineStr">
        <is>
          <t>Pens</t>
        </is>
      </c>
      <c r="H2473" s="7" t="inlineStr">
        <is>
          <t>Consumer</t>
        </is>
      </c>
      <c r="I2473" s="7" t="n">
        <v>6</v>
      </c>
      <c r="J2473" s="10" t="n">
        <v>11.52</v>
      </c>
      <c r="K2473" s="11" t="n">
        <v>0.1</v>
      </c>
      <c r="L2473" s="10">
        <f>I2473*J2473*(1-K2473)</f>
        <v/>
      </c>
      <c r="M2473" s="10" t="n">
        <v>32.4</v>
      </c>
      <c r="N2473" s="10">
        <f>L2473-M2473</f>
        <v/>
      </c>
    </row>
    <row r="2474">
      <c r="A2474" s="7" t="inlineStr">
        <is>
          <t>ORD-02159</t>
        </is>
      </c>
      <c r="B2474" s="8" t="n">
        <v>45469</v>
      </c>
      <c r="C2474" s="9" t="n">
        <v>45444</v>
      </c>
      <c r="D2474" s="7" t="n">
        <v>2024</v>
      </c>
      <c r="E2474" s="7" t="inlineStr">
        <is>
          <t>West</t>
        </is>
      </c>
      <c r="F2474" s="7" t="inlineStr">
        <is>
          <t>Furniture</t>
        </is>
      </c>
      <c r="G2474" s="7" t="inlineStr">
        <is>
          <t>Office Chair</t>
        </is>
      </c>
      <c r="H2474" s="7" t="inlineStr">
        <is>
          <t>Corporate</t>
        </is>
      </c>
      <c r="I2474" s="7" t="n">
        <v>2</v>
      </c>
      <c r="J2474" s="10" t="n">
        <v>223.31</v>
      </c>
      <c r="K2474" s="11" t="n">
        <v>0.3</v>
      </c>
      <c r="L2474" s="10">
        <f>I2474*J2474*(1-K2474)</f>
        <v/>
      </c>
      <c r="M2474" s="10" t="n">
        <v>360.8</v>
      </c>
      <c r="N2474" s="10">
        <f>L2474-M2474</f>
        <v/>
      </c>
    </row>
    <row r="2475">
      <c r="A2475" s="7" t="inlineStr">
        <is>
          <t>ORD-05164</t>
        </is>
      </c>
      <c r="B2475" s="8" t="n">
        <v>45470</v>
      </c>
      <c r="C2475" s="9" t="n">
        <v>45444</v>
      </c>
      <c r="D2475" s="7" t="n">
        <v>2024</v>
      </c>
      <c r="E2475" s="7" t="inlineStr">
        <is>
          <t>North</t>
        </is>
      </c>
      <c r="F2475" s="7" t="inlineStr">
        <is>
          <t>Office Supplies</t>
        </is>
      </c>
      <c r="G2475" s="7" t="inlineStr">
        <is>
          <t>Binder</t>
        </is>
      </c>
      <c r="H2475" s="7" t="inlineStr">
        <is>
          <t>Consumer</t>
        </is>
      </c>
      <c r="I2475" s="7" t="n">
        <v>8</v>
      </c>
      <c r="J2475" s="10" t="n">
        <v>8.300000000000001</v>
      </c>
      <c r="K2475" s="11" t="n">
        <v>0.05</v>
      </c>
      <c r="L2475" s="10">
        <f>I2475*J2475*(1-K2475)</f>
        <v/>
      </c>
      <c r="M2475" s="10" t="n">
        <v>25.6</v>
      </c>
      <c r="N2475" s="10">
        <f>L2475-M2475</f>
        <v/>
      </c>
    </row>
    <row r="2476">
      <c r="A2476" s="7" t="inlineStr">
        <is>
          <t>ORD-04757</t>
        </is>
      </c>
      <c r="B2476" s="8" t="n">
        <v>45470</v>
      </c>
      <c r="C2476" s="9" t="n">
        <v>45444</v>
      </c>
      <c r="D2476" s="7" t="n">
        <v>2024</v>
      </c>
      <c r="E2476" s="7" t="inlineStr">
        <is>
          <t>North</t>
        </is>
      </c>
      <c r="F2476" s="7" t="inlineStr">
        <is>
          <t>Furniture</t>
        </is>
      </c>
      <c r="G2476" s="7" t="inlineStr">
        <is>
          <t>Desk</t>
        </is>
      </c>
      <c r="H2476" s="7" t="inlineStr">
        <is>
          <t>Consumer</t>
        </is>
      </c>
      <c r="I2476" s="7" t="n">
        <v>2</v>
      </c>
      <c r="J2476" s="10" t="n">
        <v>432.49</v>
      </c>
      <c r="K2476" s="11" t="n">
        <v>0.05</v>
      </c>
      <c r="L2476" s="10">
        <f>I2476*J2476*(1-K2476)</f>
        <v/>
      </c>
      <c r="M2476" s="10" t="n">
        <v>765</v>
      </c>
      <c r="N2476" s="10">
        <f>L2476-M2476</f>
        <v/>
      </c>
    </row>
    <row r="2477">
      <c r="A2477" s="7" t="inlineStr">
        <is>
          <t>ORD-03799</t>
        </is>
      </c>
      <c r="B2477" s="8" t="n">
        <v>45470</v>
      </c>
      <c r="C2477" s="9" t="n">
        <v>45444</v>
      </c>
      <c r="D2477" s="7" t="n">
        <v>2024</v>
      </c>
      <c r="E2477" s="7" t="inlineStr">
        <is>
          <t>West</t>
        </is>
      </c>
      <c r="F2477" s="7" t="inlineStr">
        <is>
          <t>Technology</t>
        </is>
      </c>
      <c r="G2477" s="7" t="inlineStr">
        <is>
          <t>Monitor</t>
        </is>
      </c>
      <c r="H2477" s="7" t="inlineStr">
        <is>
          <t>Consumer</t>
        </is>
      </c>
      <c r="I2477" s="7" t="n">
        <v>2</v>
      </c>
      <c r="J2477" s="10" t="n">
        <v>244.29</v>
      </c>
      <c r="K2477" s="11" t="n">
        <v>0.05</v>
      </c>
      <c r="L2477" s="10">
        <f>I2477*J2477*(1-K2477)</f>
        <v/>
      </c>
      <c r="M2477" s="10" t="n">
        <v>360</v>
      </c>
      <c r="N2477" s="10">
        <f>L2477-M2477</f>
        <v/>
      </c>
    </row>
    <row r="2478">
      <c r="A2478" s="7" t="inlineStr">
        <is>
          <t>ORD-02865</t>
        </is>
      </c>
      <c r="B2478" s="8" t="n">
        <v>45470</v>
      </c>
      <c r="C2478" s="9" t="n">
        <v>45444</v>
      </c>
      <c r="D2478" s="7" t="n">
        <v>2024</v>
      </c>
      <c r="E2478" s="7" t="inlineStr">
        <is>
          <t>West</t>
        </is>
      </c>
      <c r="F2478" s="7" t="inlineStr">
        <is>
          <t>Technology</t>
        </is>
      </c>
      <c r="G2478" s="7" t="inlineStr">
        <is>
          <t>Monitor</t>
        </is>
      </c>
      <c r="H2478" s="7" t="inlineStr">
        <is>
          <t>Consumer</t>
        </is>
      </c>
      <c r="I2478" s="7" t="n">
        <v>3</v>
      </c>
      <c r="J2478" s="10" t="n">
        <v>241.76</v>
      </c>
      <c r="K2478" s="11" t="n">
        <v>0.2</v>
      </c>
      <c r="L2478" s="10">
        <f>I2478*J2478*(1-K2478)</f>
        <v/>
      </c>
      <c r="M2478" s="10" t="n">
        <v>540</v>
      </c>
      <c r="N2478" s="10">
        <f>L2478-M2478</f>
        <v/>
      </c>
    </row>
    <row r="2479">
      <c r="A2479" s="7" t="inlineStr">
        <is>
          <t>ORD-04462</t>
        </is>
      </c>
      <c r="B2479" s="8" t="n">
        <v>45470</v>
      </c>
      <c r="C2479" s="9" t="n">
        <v>45444</v>
      </c>
      <c r="D2479" s="7" t="n">
        <v>2024</v>
      </c>
      <c r="E2479" s="7" t="inlineStr">
        <is>
          <t>South</t>
        </is>
      </c>
      <c r="F2479" s="7" t="inlineStr">
        <is>
          <t>Office Supplies</t>
        </is>
      </c>
      <c r="G2479" s="7" t="inlineStr">
        <is>
          <t>Binder</t>
        </is>
      </c>
      <c r="H2479" s="7" t="inlineStr">
        <is>
          <t>Home Office</t>
        </is>
      </c>
      <c r="I2479" s="7" t="n">
        <v>4</v>
      </c>
      <c r="J2479" s="10" t="n">
        <v>7.82</v>
      </c>
      <c r="K2479" s="11" t="n">
        <v>0</v>
      </c>
      <c r="L2479" s="10">
        <f>I2479*J2479*(1-K2479)</f>
        <v/>
      </c>
      <c r="M2479" s="10" t="n">
        <v>12.8</v>
      </c>
      <c r="N2479" s="10">
        <f>L2479-M2479</f>
        <v/>
      </c>
    </row>
    <row r="2480">
      <c r="A2480" s="7" t="inlineStr">
        <is>
          <t>ORD-02223</t>
        </is>
      </c>
      <c r="B2480" s="8" t="n">
        <v>45471</v>
      </c>
      <c r="C2480" s="9" t="n">
        <v>45444</v>
      </c>
      <c r="D2480" s="7" t="n">
        <v>2024</v>
      </c>
      <c r="E2480" s="7" t="inlineStr">
        <is>
          <t>East</t>
        </is>
      </c>
      <c r="F2480" s="7" t="inlineStr">
        <is>
          <t>Furniture</t>
        </is>
      </c>
      <c r="G2480" s="7" t="inlineStr">
        <is>
          <t>Bookcase</t>
        </is>
      </c>
      <c r="H2480" s="7" t="inlineStr">
        <is>
          <t>Home Office</t>
        </is>
      </c>
      <c r="I2480" s="7" t="n">
        <v>2</v>
      </c>
      <c r="J2480" s="10" t="n">
        <v>188.91</v>
      </c>
      <c r="K2480" s="11" t="n">
        <v>0</v>
      </c>
      <c r="L2480" s="10">
        <f>I2480*J2480*(1-K2480)</f>
        <v/>
      </c>
      <c r="M2480" s="10" t="n">
        <v>288</v>
      </c>
      <c r="N2480" s="10">
        <f>L2480-M2480</f>
        <v/>
      </c>
    </row>
    <row r="2481">
      <c r="A2481" s="7" t="inlineStr">
        <is>
          <t>ORD-04150</t>
        </is>
      </c>
      <c r="B2481" s="8" t="n">
        <v>45471</v>
      </c>
      <c r="C2481" s="9" t="n">
        <v>45444</v>
      </c>
      <c r="D2481" s="7" t="n">
        <v>2024</v>
      </c>
      <c r="E2481" s="7" t="inlineStr">
        <is>
          <t>South</t>
        </is>
      </c>
      <c r="F2481" s="7" t="inlineStr">
        <is>
          <t>Office Supplies</t>
        </is>
      </c>
      <c r="G2481" s="7" t="inlineStr">
        <is>
          <t>Pens</t>
        </is>
      </c>
      <c r="H2481" s="7" t="inlineStr">
        <is>
          <t>Consumer</t>
        </is>
      </c>
      <c r="I2481" s="7" t="n">
        <v>13</v>
      </c>
      <c r="J2481" s="10" t="n">
        <v>12.18</v>
      </c>
      <c r="K2481" s="11" t="n">
        <v>0.05</v>
      </c>
      <c r="L2481" s="10">
        <f>I2481*J2481*(1-K2481)</f>
        <v/>
      </c>
      <c r="M2481" s="10" t="n">
        <v>70.2</v>
      </c>
      <c r="N2481" s="10">
        <f>L2481-M2481</f>
        <v/>
      </c>
    </row>
    <row r="2482">
      <c r="A2482" s="7" t="inlineStr">
        <is>
          <t>ORD-03634</t>
        </is>
      </c>
      <c r="B2482" s="8" t="n">
        <v>45471</v>
      </c>
      <c r="C2482" s="9" t="n">
        <v>45444</v>
      </c>
      <c r="D2482" s="7" t="n">
        <v>2024</v>
      </c>
      <c r="E2482" s="7" t="inlineStr">
        <is>
          <t>East</t>
        </is>
      </c>
      <c r="F2482" s="7" t="inlineStr">
        <is>
          <t>Office Supplies</t>
        </is>
      </c>
      <c r="G2482" s="7" t="inlineStr">
        <is>
          <t>Binder</t>
        </is>
      </c>
      <c r="H2482" s="7" t="inlineStr">
        <is>
          <t>Home Office</t>
        </is>
      </c>
      <c r="I2482" s="7" t="n">
        <v>7</v>
      </c>
      <c r="J2482" s="10" t="n">
        <v>7.72</v>
      </c>
      <c r="K2482" s="11" t="n">
        <v>0</v>
      </c>
      <c r="L2482" s="10">
        <f>I2482*J2482*(1-K2482)</f>
        <v/>
      </c>
      <c r="M2482" s="10" t="n">
        <v>22.4</v>
      </c>
      <c r="N2482" s="10">
        <f>L2482-M2482</f>
        <v/>
      </c>
    </row>
    <row r="2483">
      <c r="A2483" s="7" t="inlineStr">
        <is>
          <t>ORD-05088</t>
        </is>
      </c>
      <c r="B2483" s="8" t="n">
        <v>45471</v>
      </c>
      <c r="C2483" s="9" t="n">
        <v>45444</v>
      </c>
      <c r="D2483" s="7" t="n">
        <v>2024</v>
      </c>
      <c r="E2483" s="7" t="inlineStr">
        <is>
          <t>East</t>
        </is>
      </c>
      <c r="F2483" s="7" t="inlineStr">
        <is>
          <t>Office Supplies</t>
        </is>
      </c>
      <c r="G2483" s="7" t="inlineStr">
        <is>
          <t>Binder</t>
        </is>
      </c>
      <c r="H2483" s="7" t="inlineStr">
        <is>
          <t>Consumer</t>
        </is>
      </c>
      <c r="I2483" s="7" t="n">
        <v>6</v>
      </c>
      <c r="J2483" s="10" t="n">
        <v>7.88</v>
      </c>
      <c r="K2483" s="11" t="n">
        <v>0.05</v>
      </c>
      <c r="L2483" s="10">
        <f>I2483*J2483*(1-K2483)</f>
        <v/>
      </c>
      <c r="M2483" s="10" t="n">
        <v>19.2</v>
      </c>
      <c r="N2483" s="10">
        <f>L2483-M2483</f>
        <v/>
      </c>
    </row>
    <row r="2484">
      <c r="A2484" s="7" t="inlineStr">
        <is>
          <t>ORD-00124</t>
        </is>
      </c>
      <c r="B2484" s="8" t="n">
        <v>45471</v>
      </c>
      <c r="C2484" s="9" t="n">
        <v>45444</v>
      </c>
      <c r="D2484" s="7" t="n">
        <v>2024</v>
      </c>
      <c r="E2484" s="7" t="inlineStr">
        <is>
          <t>East</t>
        </is>
      </c>
      <c r="F2484" s="7" t="inlineStr">
        <is>
          <t>Technology</t>
        </is>
      </c>
      <c r="G2484" s="7" t="inlineStr">
        <is>
          <t>Keyboard</t>
        </is>
      </c>
      <c r="H2484" s="7" t="inlineStr">
        <is>
          <t>Home Office</t>
        </is>
      </c>
      <c r="I2484" s="7" t="n">
        <v>3</v>
      </c>
      <c r="J2484" s="10" t="n">
        <v>43.9</v>
      </c>
      <c r="K2484" s="11" t="n">
        <v>0</v>
      </c>
      <c r="L2484" s="10">
        <f>I2484*J2484*(1-K2484)</f>
        <v/>
      </c>
      <c r="M2484" s="10" t="n">
        <v>74.25</v>
      </c>
      <c r="N2484" s="10">
        <f>L2484-M2484</f>
        <v/>
      </c>
    </row>
    <row r="2485">
      <c r="A2485" s="7" t="inlineStr">
        <is>
          <t>ORD-00286</t>
        </is>
      </c>
      <c r="B2485" s="8" t="n">
        <v>45471</v>
      </c>
      <c r="C2485" s="9" t="n">
        <v>45444</v>
      </c>
      <c r="D2485" s="7" t="n">
        <v>2024</v>
      </c>
      <c r="E2485" s="7" t="inlineStr">
        <is>
          <t>East</t>
        </is>
      </c>
      <c r="F2485" s="7" t="inlineStr">
        <is>
          <t>Office Supplies</t>
        </is>
      </c>
      <c r="G2485" s="7" t="inlineStr">
        <is>
          <t>Paper</t>
        </is>
      </c>
      <c r="H2485" s="7" t="inlineStr">
        <is>
          <t>Consumer</t>
        </is>
      </c>
      <c r="I2485" s="7" t="n">
        <v>13</v>
      </c>
      <c r="J2485" s="10" t="n">
        <v>24.81</v>
      </c>
      <c r="K2485" s="11" t="n">
        <v>0.05</v>
      </c>
      <c r="L2485" s="10">
        <f>I2485*J2485*(1-K2485)</f>
        <v/>
      </c>
      <c r="M2485" s="10" t="n">
        <v>162.5</v>
      </c>
      <c r="N2485" s="10">
        <f>L2485-M2485</f>
        <v/>
      </c>
    </row>
    <row r="2486">
      <c r="A2486" s="7" t="inlineStr">
        <is>
          <t>ORD-05358</t>
        </is>
      </c>
      <c r="B2486" s="8" t="n">
        <v>45472</v>
      </c>
      <c r="C2486" s="9" t="n">
        <v>45444</v>
      </c>
      <c r="D2486" s="7" t="n">
        <v>2024</v>
      </c>
      <c r="E2486" s="7" t="inlineStr">
        <is>
          <t>North</t>
        </is>
      </c>
      <c r="F2486" s="7" t="inlineStr">
        <is>
          <t>Office Supplies</t>
        </is>
      </c>
      <c r="G2486" s="7" t="inlineStr">
        <is>
          <t>Paper</t>
        </is>
      </c>
      <c r="H2486" s="7" t="inlineStr">
        <is>
          <t>Corporate</t>
        </is>
      </c>
      <c r="I2486" s="7" t="n">
        <v>4</v>
      </c>
      <c r="J2486" s="10" t="n">
        <v>26.13</v>
      </c>
      <c r="K2486" s="11" t="n">
        <v>0.05</v>
      </c>
      <c r="L2486" s="10">
        <f>I2486*J2486*(1-K2486)</f>
        <v/>
      </c>
      <c r="M2486" s="10" t="n">
        <v>50</v>
      </c>
      <c r="N2486" s="10">
        <f>L2486-M2486</f>
        <v/>
      </c>
    </row>
    <row r="2487">
      <c r="A2487" s="7" t="inlineStr">
        <is>
          <t>ORD-00312</t>
        </is>
      </c>
      <c r="B2487" s="8" t="n">
        <v>45472</v>
      </c>
      <c r="C2487" s="9" t="n">
        <v>45444</v>
      </c>
      <c r="D2487" s="7" t="n">
        <v>2024</v>
      </c>
      <c r="E2487" s="7" t="inlineStr">
        <is>
          <t>North</t>
        </is>
      </c>
      <c r="F2487" s="7" t="inlineStr">
        <is>
          <t>Furniture</t>
        </is>
      </c>
      <c r="G2487" s="7" t="inlineStr">
        <is>
          <t>Office Chair</t>
        </is>
      </c>
      <c r="H2487" s="7" t="inlineStr">
        <is>
          <t>Consumer</t>
        </is>
      </c>
      <c r="I2487" s="7" t="n">
        <v>1</v>
      </c>
      <c r="J2487" s="10" t="n">
        <v>227.05</v>
      </c>
      <c r="K2487" s="11" t="n">
        <v>0</v>
      </c>
      <c r="L2487" s="10">
        <f>I2487*J2487*(1-K2487)</f>
        <v/>
      </c>
      <c r="M2487" s="10" t="n">
        <v>180.4</v>
      </c>
      <c r="N2487" s="10">
        <f>L2487-M2487</f>
        <v/>
      </c>
    </row>
    <row r="2488">
      <c r="A2488" s="7" t="inlineStr">
        <is>
          <t>ORD-04655</t>
        </is>
      </c>
      <c r="B2488" s="8" t="n">
        <v>45472</v>
      </c>
      <c r="C2488" s="9" t="n">
        <v>45444</v>
      </c>
      <c r="D2488" s="7" t="n">
        <v>2024</v>
      </c>
      <c r="E2488" s="7" t="inlineStr">
        <is>
          <t>East</t>
        </is>
      </c>
      <c r="F2488" s="7" t="inlineStr">
        <is>
          <t>Office Supplies</t>
        </is>
      </c>
      <c r="G2488" s="7" t="inlineStr">
        <is>
          <t>Pens</t>
        </is>
      </c>
      <c r="H2488" s="7" t="inlineStr">
        <is>
          <t>Consumer</t>
        </is>
      </c>
      <c r="I2488" s="7" t="n">
        <v>14</v>
      </c>
      <c r="J2488" s="10" t="n">
        <v>11.44</v>
      </c>
      <c r="K2488" s="11" t="n">
        <v>0.2</v>
      </c>
      <c r="L2488" s="10">
        <f>I2488*J2488*(1-K2488)</f>
        <v/>
      </c>
      <c r="M2488" s="10" t="n">
        <v>75.59999999999999</v>
      </c>
      <c r="N2488" s="10">
        <f>L2488-M2488</f>
        <v/>
      </c>
    </row>
    <row r="2489">
      <c r="A2489" s="7" t="inlineStr">
        <is>
          <t>ORD-02413</t>
        </is>
      </c>
      <c r="B2489" s="8" t="n">
        <v>45472</v>
      </c>
      <c r="C2489" s="9" t="n">
        <v>45444</v>
      </c>
      <c r="D2489" s="7" t="n">
        <v>2024</v>
      </c>
      <c r="E2489" s="7" t="inlineStr">
        <is>
          <t>South</t>
        </is>
      </c>
      <c r="F2489" s="7" t="inlineStr">
        <is>
          <t>Office Supplies</t>
        </is>
      </c>
      <c r="G2489" s="7" t="inlineStr">
        <is>
          <t>Paper</t>
        </is>
      </c>
      <c r="H2489" s="7" t="inlineStr">
        <is>
          <t>Consumer</t>
        </is>
      </c>
      <c r="I2489" s="7" t="n">
        <v>10</v>
      </c>
      <c r="J2489" s="10" t="n">
        <v>25.43</v>
      </c>
      <c r="K2489" s="11" t="n">
        <v>0.1</v>
      </c>
      <c r="L2489" s="10">
        <f>I2489*J2489*(1-K2489)</f>
        <v/>
      </c>
      <c r="M2489" s="10" t="n">
        <v>125</v>
      </c>
      <c r="N2489" s="10">
        <f>L2489-M2489</f>
        <v/>
      </c>
    </row>
    <row r="2490">
      <c r="A2490" s="7" t="inlineStr">
        <is>
          <t>ORD-05083</t>
        </is>
      </c>
      <c r="B2490" s="8" t="n">
        <v>45472</v>
      </c>
      <c r="C2490" s="9" t="n">
        <v>45444</v>
      </c>
      <c r="D2490" s="7" t="n">
        <v>2024</v>
      </c>
      <c r="E2490" s="7" t="inlineStr">
        <is>
          <t>West</t>
        </is>
      </c>
      <c r="F2490" s="7" t="inlineStr">
        <is>
          <t>Furniture</t>
        </is>
      </c>
      <c r="G2490" s="7" t="inlineStr">
        <is>
          <t>Desk</t>
        </is>
      </c>
      <c r="H2490" s="7" t="inlineStr">
        <is>
          <t>Consumer</t>
        </is>
      </c>
      <c r="I2490" s="7" t="n">
        <v>4</v>
      </c>
      <c r="J2490" s="10" t="n">
        <v>465.87</v>
      </c>
      <c r="K2490" s="11" t="n">
        <v>0</v>
      </c>
      <c r="L2490" s="10">
        <f>I2490*J2490*(1-K2490)</f>
        <v/>
      </c>
      <c r="M2490" s="10" t="n">
        <v>1530</v>
      </c>
      <c r="N2490" s="10">
        <f>L2490-M2490</f>
        <v/>
      </c>
    </row>
    <row r="2491">
      <c r="A2491" s="7" t="inlineStr">
        <is>
          <t>ORD-03206</t>
        </is>
      </c>
      <c r="B2491" s="8" t="n">
        <v>45472</v>
      </c>
      <c r="C2491" s="9" t="n">
        <v>45444</v>
      </c>
      <c r="D2491" s="7" t="n">
        <v>2024</v>
      </c>
      <c r="E2491" s="7" t="inlineStr">
        <is>
          <t>North</t>
        </is>
      </c>
      <c r="F2491" s="7" t="inlineStr">
        <is>
          <t>Office Supplies</t>
        </is>
      </c>
      <c r="G2491" s="7" t="inlineStr">
        <is>
          <t>Paper</t>
        </is>
      </c>
      <c r="H2491" s="7" t="inlineStr">
        <is>
          <t>Corporate</t>
        </is>
      </c>
      <c r="I2491" s="7" t="n">
        <v>12</v>
      </c>
      <c r="J2491" s="10" t="n">
        <v>24</v>
      </c>
      <c r="K2491" s="11" t="n">
        <v>0.1</v>
      </c>
      <c r="L2491" s="10">
        <f>I2491*J2491*(1-K2491)</f>
        <v/>
      </c>
      <c r="M2491" s="10" t="n">
        <v>150</v>
      </c>
      <c r="N2491" s="10">
        <f>L2491-M2491</f>
        <v/>
      </c>
    </row>
    <row r="2492">
      <c r="A2492" s="7" t="inlineStr">
        <is>
          <t>ORD-01145</t>
        </is>
      </c>
      <c r="B2492" s="8" t="n">
        <v>45472</v>
      </c>
      <c r="C2492" s="9" t="n">
        <v>45444</v>
      </c>
      <c r="D2492" s="7" t="n">
        <v>2024</v>
      </c>
      <c r="E2492" s="7" t="inlineStr">
        <is>
          <t>North</t>
        </is>
      </c>
      <c r="F2492" s="7" t="inlineStr">
        <is>
          <t>Office Supplies</t>
        </is>
      </c>
      <c r="G2492" s="7" t="inlineStr">
        <is>
          <t>Binder</t>
        </is>
      </c>
      <c r="H2492" s="7" t="inlineStr">
        <is>
          <t>Consumer</t>
        </is>
      </c>
      <c r="I2492" s="7" t="n">
        <v>11</v>
      </c>
      <c r="J2492" s="10" t="n">
        <v>8.26</v>
      </c>
      <c r="K2492" s="11" t="n">
        <v>0</v>
      </c>
      <c r="L2492" s="10">
        <f>I2492*J2492*(1-K2492)</f>
        <v/>
      </c>
      <c r="M2492" s="10" t="n">
        <v>35.2</v>
      </c>
      <c r="N2492" s="10">
        <f>L2492-M2492</f>
        <v/>
      </c>
    </row>
    <row r="2493">
      <c r="A2493" s="7" t="inlineStr">
        <is>
          <t>ORD-03658</t>
        </is>
      </c>
      <c r="B2493" s="8" t="n">
        <v>45472</v>
      </c>
      <c r="C2493" s="9" t="n">
        <v>45444</v>
      </c>
      <c r="D2493" s="7" t="n">
        <v>2024</v>
      </c>
      <c r="E2493" s="7" t="inlineStr">
        <is>
          <t>West</t>
        </is>
      </c>
      <c r="F2493" s="7" t="inlineStr">
        <is>
          <t>Office Supplies</t>
        </is>
      </c>
      <c r="G2493" s="7" t="inlineStr">
        <is>
          <t>Paper</t>
        </is>
      </c>
      <c r="H2493" s="7" t="inlineStr">
        <is>
          <t>Corporate</t>
        </is>
      </c>
      <c r="I2493" s="7" t="n">
        <v>14</v>
      </c>
      <c r="J2493" s="10" t="n">
        <v>25.56</v>
      </c>
      <c r="K2493" s="11" t="n">
        <v>0</v>
      </c>
      <c r="L2493" s="10">
        <f>I2493*J2493*(1-K2493)</f>
        <v/>
      </c>
      <c r="M2493" s="10" t="n">
        <v>175</v>
      </c>
      <c r="N2493" s="10">
        <f>L2493-M2493</f>
        <v/>
      </c>
    </row>
    <row r="2494">
      <c r="A2494" s="7" t="inlineStr">
        <is>
          <t>ORD-00740</t>
        </is>
      </c>
      <c r="B2494" s="8" t="n">
        <v>45472</v>
      </c>
      <c r="C2494" s="9" t="n">
        <v>45444</v>
      </c>
      <c r="D2494" s="7" t="n">
        <v>2024</v>
      </c>
      <c r="E2494" s="7" t="inlineStr">
        <is>
          <t>East</t>
        </is>
      </c>
      <c r="F2494" s="7" t="inlineStr">
        <is>
          <t>Technology</t>
        </is>
      </c>
      <c r="G2494" s="7" t="inlineStr">
        <is>
          <t>Smartphone</t>
        </is>
      </c>
      <c r="H2494" s="7" t="inlineStr">
        <is>
          <t>Corporate</t>
        </is>
      </c>
      <c r="I2494" s="7" t="n">
        <v>2</v>
      </c>
      <c r="J2494" s="10" t="n">
        <v>593.71</v>
      </c>
      <c r="K2494" s="11" t="n">
        <v>0.1</v>
      </c>
      <c r="L2494" s="10">
        <f>I2494*J2494*(1-K2494)</f>
        <v/>
      </c>
      <c r="M2494" s="10" t="n">
        <v>900</v>
      </c>
      <c r="N2494" s="10">
        <f>L2494-M2494</f>
        <v/>
      </c>
    </row>
    <row r="2495">
      <c r="A2495" s="7" t="inlineStr">
        <is>
          <t>ORD-02171</t>
        </is>
      </c>
      <c r="B2495" s="8" t="n">
        <v>45473</v>
      </c>
      <c r="C2495" s="9" t="n">
        <v>45444</v>
      </c>
      <c r="D2495" s="7" t="n">
        <v>2024</v>
      </c>
      <c r="E2495" s="7" t="inlineStr">
        <is>
          <t>North</t>
        </is>
      </c>
      <c r="F2495" s="7" t="inlineStr">
        <is>
          <t>Office Supplies</t>
        </is>
      </c>
      <c r="G2495" s="7" t="inlineStr">
        <is>
          <t>Binder</t>
        </is>
      </c>
      <c r="H2495" s="7" t="inlineStr">
        <is>
          <t>Home Office</t>
        </is>
      </c>
      <c r="I2495" s="7" t="n">
        <v>10</v>
      </c>
      <c r="J2495" s="10" t="n">
        <v>7.88</v>
      </c>
      <c r="K2495" s="11" t="n">
        <v>0.05</v>
      </c>
      <c r="L2495" s="10">
        <f>I2495*J2495*(1-K2495)</f>
        <v/>
      </c>
      <c r="M2495" s="10" t="n">
        <v>32</v>
      </c>
      <c r="N2495" s="10">
        <f>L2495-M2495</f>
        <v/>
      </c>
    </row>
    <row r="2496">
      <c r="A2496" s="7" t="inlineStr">
        <is>
          <t>ORD-01349</t>
        </is>
      </c>
      <c r="B2496" s="8" t="n">
        <v>45473</v>
      </c>
      <c r="C2496" s="9" t="n">
        <v>45444</v>
      </c>
      <c r="D2496" s="7" t="n">
        <v>2024</v>
      </c>
      <c r="E2496" s="7" t="inlineStr">
        <is>
          <t>West</t>
        </is>
      </c>
      <c r="F2496" s="7" t="inlineStr">
        <is>
          <t>Office Supplies</t>
        </is>
      </c>
      <c r="G2496" s="7" t="inlineStr">
        <is>
          <t>Pens</t>
        </is>
      </c>
      <c r="H2496" s="7" t="inlineStr">
        <is>
          <t>Corporate</t>
        </is>
      </c>
      <c r="I2496" s="7" t="n">
        <v>13</v>
      </c>
      <c r="J2496" s="10" t="n">
        <v>11.52</v>
      </c>
      <c r="K2496" s="11" t="n">
        <v>0</v>
      </c>
      <c r="L2496" s="10">
        <f>I2496*J2496*(1-K2496)</f>
        <v/>
      </c>
      <c r="M2496" s="10" t="n">
        <v>70.2</v>
      </c>
      <c r="N2496" s="10">
        <f>L2496-M2496</f>
        <v/>
      </c>
    </row>
    <row r="2497">
      <c r="A2497" s="7" t="inlineStr">
        <is>
          <t>ORD-01962</t>
        </is>
      </c>
      <c r="B2497" s="8" t="n">
        <v>45473</v>
      </c>
      <c r="C2497" s="9" t="n">
        <v>45444</v>
      </c>
      <c r="D2497" s="7" t="n">
        <v>2024</v>
      </c>
      <c r="E2497" s="7" t="inlineStr">
        <is>
          <t>West</t>
        </is>
      </c>
      <c r="F2497" s="7" t="inlineStr">
        <is>
          <t>Technology</t>
        </is>
      </c>
      <c r="G2497" s="7" t="inlineStr">
        <is>
          <t>Headphones</t>
        </is>
      </c>
      <c r="H2497" s="7" t="inlineStr">
        <is>
          <t>Consumer</t>
        </is>
      </c>
      <c r="I2497" s="7" t="n">
        <v>2</v>
      </c>
      <c r="J2497" s="10" t="n">
        <v>125.58</v>
      </c>
      <c r="K2497" s="11" t="n">
        <v>0</v>
      </c>
      <c r="L2497" s="10">
        <f>I2497*J2497*(1-K2497)</f>
        <v/>
      </c>
      <c r="M2497" s="10" t="n">
        <v>144</v>
      </c>
      <c r="N2497" s="10">
        <f>L2497-M2497</f>
        <v/>
      </c>
    </row>
    <row r="2498">
      <c r="A2498" s="7" t="inlineStr">
        <is>
          <t>ORD-00366</t>
        </is>
      </c>
      <c r="B2498" s="8" t="n">
        <v>45474</v>
      </c>
      <c r="C2498" s="9" t="n">
        <v>45474</v>
      </c>
      <c r="D2498" s="7" t="n">
        <v>2024</v>
      </c>
      <c r="E2498" s="7" t="inlineStr">
        <is>
          <t>East</t>
        </is>
      </c>
      <c r="F2498" s="7" t="inlineStr">
        <is>
          <t>Furniture</t>
        </is>
      </c>
      <c r="G2498" s="7" t="inlineStr">
        <is>
          <t>Bookcase</t>
        </is>
      </c>
      <c r="H2498" s="7" t="inlineStr">
        <is>
          <t>Home Office</t>
        </is>
      </c>
      <c r="I2498" s="7" t="n">
        <v>2</v>
      </c>
      <c r="J2498" s="10" t="n">
        <v>177.97</v>
      </c>
      <c r="K2498" s="11" t="n">
        <v>0.1</v>
      </c>
      <c r="L2498" s="10">
        <f>I2498*J2498*(1-K2498)</f>
        <v/>
      </c>
      <c r="M2498" s="10" t="n">
        <v>288</v>
      </c>
      <c r="N2498" s="10">
        <f>L2498-M2498</f>
        <v/>
      </c>
    </row>
    <row r="2499">
      <c r="A2499" s="7" t="inlineStr">
        <is>
          <t>ORD-02946</t>
        </is>
      </c>
      <c r="B2499" s="8" t="n">
        <v>45474</v>
      </c>
      <c r="C2499" s="9" t="n">
        <v>45474</v>
      </c>
      <c r="D2499" s="7" t="n">
        <v>2024</v>
      </c>
      <c r="E2499" s="7" t="inlineStr">
        <is>
          <t>South</t>
        </is>
      </c>
      <c r="F2499" s="7" t="inlineStr">
        <is>
          <t>Office Supplies</t>
        </is>
      </c>
      <c r="G2499" s="7" t="inlineStr">
        <is>
          <t>Paper</t>
        </is>
      </c>
      <c r="H2499" s="7" t="inlineStr">
        <is>
          <t>Consumer</t>
        </is>
      </c>
      <c r="I2499" s="7" t="n">
        <v>4</v>
      </c>
      <c r="J2499" s="10" t="n">
        <v>24.02</v>
      </c>
      <c r="K2499" s="11" t="n">
        <v>0.2</v>
      </c>
      <c r="L2499" s="10">
        <f>I2499*J2499*(1-K2499)</f>
        <v/>
      </c>
      <c r="M2499" s="10" t="n">
        <v>50</v>
      </c>
      <c r="N2499" s="10">
        <f>L2499-M2499</f>
        <v/>
      </c>
    </row>
    <row r="2500">
      <c r="A2500" s="7" t="inlineStr">
        <is>
          <t>ORD-01210</t>
        </is>
      </c>
      <c r="B2500" s="8" t="n">
        <v>45474</v>
      </c>
      <c r="C2500" s="9" t="n">
        <v>45474</v>
      </c>
      <c r="D2500" s="7" t="n">
        <v>2024</v>
      </c>
      <c r="E2500" s="7" t="inlineStr">
        <is>
          <t>South</t>
        </is>
      </c>
      <c r="F2500" s="7" t="inlineStr">
        <is>
          <t>Office Supplies</t>
        </is>
      </c>
      <c r="G2500" s="7" t="inlineStr">
        <is>
          <t>Stapler</t>
        </is>
      </c>
      <c r="H2500" s="7" t="inlineStr">
        <is>
          <t>Home Office</t>
        </is>
      </c>
      <c r="I2500" s="7" t="n">
        <v>3</v>
      </c>
      <c r="J2500" s="10" t="n">
        <v>14.83</v>
      </c>
      <c r="K2500" s="11" t="n">
        <v>0.2</v>
      </c>
      <c r="L2500" s="10">
        <f>I2500*J2500*(1-K2500)</f>
        <v/>
      </c>
      <c r="M2500" s="10" t="n">
        <v>22.5</v>
      </c>
      <c r="N2500" s="10">
        <f>L2500-M2500</f>
        <v/>
      </c>
    </row>
    <row r="2501">
      <c r="A2501" s="7" t="inlineStr">
        <is>
          <t>ORD-05661</t>
        </is>
      </c>
      <c r="B2501" s="8" t="n">
        <v>45474</v>
      </c>
      <c r="C2501" s="9" t="n">
        <v>45474</v>
      </c>
      <c r="D2501" s="7" t="n">
        <v>2024</v>
      </c>
      <c r="E2501" s="7" t="inlineStr">
        <is>
          <t>South</t>
        </is>
      </c>
      <c r="F2501" s="7" t="inlineStr">
        <is>
          <t>Office Supplies</t>
        </is>
      </c>
      <c r="G2501" s="7" t="inlineStr">
        <is>
          <t>Stapler</t>
        </is>
      </c>
      <c r="H2501" s="7" t="inlineStr">
        <is>
          <t>Consumer</t>
        </is>
      </c>
      <c r="I2501" s="7" t="n">
        <v>11</v>
      </c>
      <c r="J2501" s="10" t="n">
        <v>14.51</v>
      </c>
      <c r="K2501" s="11" t="n">
        <v>0.1</v>
      </c>
      <c r="L2501" s="10">
        <f>I2501*J2501*(1-K2501)</f>
        <v/>
      </c>
      <c r="M2501" s="10" t="n">
        <v>82.5</v>
      </c>
      <c r="N2501" s="10">
        <f>L2501-M2501</f>
        <v/>
      </c>
    </row>
    <row r="2502">
      <c r="A2502" s="7" t="inlineStr">
        <is>
          <t>ORD-02368</t>
        </is>
      </c>
      <c r="B2502" s="8" t="n">
        <v>45474</v>
      </c>
      <c r="C2502" s="9" t="n">
        <v>45474</v>
      </c>
      <c r="D2502" s="7" t="n">
        <v>2024</v>
      </c>
      <c r="E2502" s="7" t="inlineStr">
        <is>
          <t>South</t>
        </is>
      </c>
      <c r="F2502" s="7" t="inlineStr">
        <is>
          <t>Technology</t>
        </is>
      </c>
      <c r="G2502" s="7" t="inlineStr">
        <is>
          <t>Laptop</t>
        </is>
      </c>
      <c r="H2502" s="7" t="inlineStr">
        <is>
          <t>Home Office</t>
        </is>
      </c>
      <c r="I2502" s="7" t="n">
        <v>1</v>
      </c>
      <c r="J2502" s="10" t="n">
        <v>919.89</v>
      </c>
      <c r="K2502" s="11" t="n">
        <v>0</v>
      </c>
      <c r="L2502" s="10">
        <f>I2502*J2502*(1-K2502)</f>
        <v/>
      </c>
      <c r="M2502" s="10" t="n">
        <v>702</v>
      </c>
      <c r="N2502" s="10">
        <f>L2502-M2502</f>
        <v/>
      </c>
    </row>
    <row r="2503">
      <c r="A2503" s="7" t="inlineStr">
        <is>
          <t>ORD-03880</t>
        </is>
      </c>
      <c r="B2503" s="8" t="n">
        <v>45474</v>
      </c>
      <c r="C2503" s="9" t="n">
        <v>45474</v>
      </c>
      <c r="D2503" s="7" t="n">
        <v>2024</v>
      </c>
      <c r="E2503" s="7" t="inlineStr">
        <is>
          <t>East</t>
        </is>
      </c>
      <c r="F2503" s="7" t="inlineStr">
        <is>
          <t>Office Supplies</t>
        </is>
      </c>
      <c r="G2503" s="7" t="inlineStr">
        <is>
          <t>Binder</t>
        </is>
      </c>
      <c r="H2503" s="7" t="inlineStr">
        <is>
          <t>Corporate</t>
        </is>
      </c>
      <c r="I2503" s="7" t="n">
        <v>6</v>
      </c>
      <c r="J2503" s="10" t="n">
        <v>7.66</v>
      </c>
      <c r="K2503" s="11" t="n">
        <v>0</v>
      </c>
      <c r="L2503" s="10">
        <f>I2503*J2503*(1-K2503)</f>
        <v/>
      </c>
      <c r="M2503" s="10" t="n">
        <v>19.2</v>
      </c>
      <c r="N2503" s="10">
        <f>L2503-M2503</f>
        <v/>
      </c>
    </row>
    <row r="2504">
      <c r="A2504" s="7" t="inlineStr">
        <is>
          <t>ORD-00486</t>
        </is>
      </c>
      <c r="B2504" s="8" t="n">
        <v>45474</v>
      </c>
      <c r="C2504" s="9" t="n">
        <v>45474</v>
      </c>
      <c r="D2504" s="7" t="n">
        <v>2024</v>
      </c>
      <c r="E2504" s="7" t="inlineStr">
        <is>
          <t>North</t>
        </is>
      </c>
      <c r="F2504" s="7" t="inlineStr">
        <is>
          <t>Furniture</t>
        </is>
      </c>
      <c r="G2504" s="7" t="inlineStr">
        <is>
          <t>Desk</t>
        </is>
      </c>
      <c r="H2504" s="7" t="inlineStr">
        <is>
          <t>Corporate</t>
        </is>
      </c>
      <c r="I2504" s="7" t="n">
        <v>2</v>
      </c>
      <c r="J2504" s="10" t="n">
        <v>441.93</v>
      </c>
      <c r="K2504" s="11" t="n">
        <v>0.3</v>
      </c>
      <c r="L2504" s="10">
        <f>I2504*J2504*(1-K2504)</f>
        <v/>
      </c>
      <c r="M2504" s="10" t="n">
        <v>765</v>
      </c>
      <c r="N2504" s="10">
        <f>L2504-M2504</f>
        <v/>
      </c>
    </row>
    <row r="2505">
      <c r="A2505" s="7" t="inlineStr">
        <is>
          <t>ORD-00839</t>
        </is>
      </c>
      <c r="B2505" s="8" t="n">
        <v>45475</v>
      </c>
      <c r="C2505" s="9" t="n">
        <v>45474</v>
      </c>
      <c r="D2505" s="7" t="n">
        <v>2024</v>
      </c>
      <c r="E2505" s="7" t="inlineStr">
        <is>
          <t>North</t>
        </is>
      </c>
      <c r="F2505" s="7" t="inlineStr">
        <is>
          <t>Technology</t>
        </is>
      </c>
      <c r="G2505" s="7" t="inlineStr">
        <is>
          <t>Laptop</t>
        </is>
      </c>
      <c r="H2505" s="7" t="inlineStr">
        <is>
          <t>Corporate</t>
        </is>
      </c>
      <c r="I2505" s="7" t="n">
        <v>3</v>
      </c>
      <c r="J2505" s="10" t="n">
        <v>855.47</v>
      </c>
      <c r="K2505" s="11" t="n">
        <v>0</v>
      </c>
      <c r="L2505" s="10">
        <f>I2505*J2505*(1-K2505)</f>
        <v/>
      </c>
      <c r="M2505" s="10" t="n">
        <v>2106</v>
      </c>
      <c r="N2505" s="10">
        <f>L2505-M2505</f>
        <v/>
      </c>
    </row>
    <row r="2506">
      <c r="A2506" s="7" t="inlineStr">
        <is>
          <t>ORD-04073</t>
        </is>
      </c>
      <c r="B2506" s="8" t="n">
        <v>45475</v>
      </c>
      <c r="C2506" s="9" t="n">
        <v>45474</v>
      </c>
      <c r="D2506" s="7" t="n">
        <v>2024</v>
      </c>
      <c r="E2506" s="7" t="inlineStr">
        <is>
          <t>West</t>
        </is>
      </c>
      <c r="F2506" s="7" t="inlineStr">
        <is>
          <t>Office Supplies</t>
        </is>
      </c>
      <c r="G2506" s="7" t="inlineStr">
        <is>
          <t>Binder</t>
        </is>
      </c>
      <c r="H2506" s="7" t="inlineStr">
        <is>
          <t>Consumer</t>
        </is>
      </c>
      <c r="I2506" s="7" t="n">
        <v>15</v>
      </c>
      <c r="J2506" s="10" t="n">
        <v>7.87</v>
      </c>
      <c r="K2506" s="11" t="n">
        <v>0</v>
      </c>
      <c r="L2506" s="10">
        <f>I2506*J2506*(1-K2506)</f>
        <v/>
      </c>
      <c r="M2506" s="10" t="n">
        <v>48</v>
      </c>
      <c r="N2506" s="10">
        <f>L2506-M2506</f>
        <v/>
      </c>
    </row>
    <row r="2507">
      <c r="A2507" s="7" t="inlineStr">
        <is>
          <t>ORD-01035</t>
        </is>
      </c>
      <c r="B2507" s="8" t="n">
        <v>45475</v>
      </c>
      <c r="C2507" s="9" t="n">
        <v>45474</v>
      </c>
      <c r="D2507" s="7" t="n">
        <v>2024</v>
      </c>
      <c r="E2507" s="7" t="inlineStr">
        <is>
          <t>West</t>
        </is>
      </c>
      <c r="F2507" s="7" t="inlineStr">
        <is>
          <t>Office Supplies</t>
        </is>
      </c>
      <c r="G2507" s="7" t="inlineStr">
        <is>
          <t>Stapler</t>
        </is>
      </c>
      <c r="H2507" s="7" t="inlineStr">
        <is>
          <t>Consumer</t>
        </is>
      </c>
      <c r="I2507" s="7" t="n">
        <v>4</v>
      </c>
      <c r="J2507" s="10" t="n">
        <v>14.8</v>
      </c>
      <c r="K2507" s="11" t="n">
        <v>0</v>
      </c>
      <c r="L2507" s="10">
        <f>I2507*J2507*(1-K2507)</f>
        <v/>
      </c>
      <c r="M2507" s="10" t="n">
        <v>30</v>
      </c>
      <c r="N2507" s="10">
        <f>L2507-M2507</f>
        <v/>
      </c>
    </row>
    <row r="2508">
      <c r="A2508" s="7" t="inlineStr">
        <is>
          <t>ORD-00232</t>
        </is>
      </c>
      <c r="B2508" s="8" t="n">
        <v>45475</v>
      </c>
      <c r="C2508" s="9" t="n">
        <v>45474</v>
      </c>
      <c r="D2508" s="7" t="n">
        <v>2024</v>
      </c>
      <c r="E2508" s="7" t="inlineStr">
        <is>
          <t>East</t>
        </is>
      </c>
      <c r="F2508" s="7" t="inlineStr">
        <is>
          <t>Furniture</t>
        </is>
      </c>
      <c r="G2508" s="7" t="inlineStr">
        <is>
          <t>Desk</t>
        </is>
      </c>
      <c r="H2508" s="7" t="inlineStr">
        <is>
          <t>Home Office</t>
        </is>
      </c>
      <c r="I2508" s="7" t="n">
        <v>4</v>
      </c>
      <c r="J2508" s="10" t="n">
        <v>468.82</v>
      </c>
      <c r="K2508" s="11" t="n">
        <v>0.05</v>
      </c>
      <c r="L2508" s="10">
        <f>I2508*J2508*(1-K2508)</f>
        <v/>
      </c>
      <c r="M2508" s="10" t="n">
        <v>1530</v>
      </c>
      <c r="N2508" s="10">
        <f>L2508-M2508</f>
        <v/>
      </c>
    </row>
    <row r="2509">
      <c r="A2509" s="7" t="inlineStr">
        <is>
          <t>ORD-02900</t>
        </is>
      </c>
      <c r="B2509" s="8" t="n">
        <v>45476</v>
      </c>
      <c r="C2509" s="9" t="n">
        <v>45474</v>
      </c>
      <c r="D2509" s="7" t="n">
        <v>2024</v>
      </c>
      <c r="E2509" s="7" t="inlineStr">
        <is>
          <t>West</t>
        </is>
      </c>
      <c r="F2509" s="7" t="inlineStr">
        <is>
          <t>Technology</t>
        </is>
      </c>
      <c r="G2509" s="7" t="inlineStr">
        <is>
          <t>Laptop</t>
        </is>
      </c>
      <c r="H2509" s="7" t="inlineStr">
        <is>
          <t>Corporate</t>
        </is>
      </c>
      <c r="I2509" s="7" t="n">
        <v>2</v>
      </c>
      <c r="J2509" s="10" t="n">
        <v>876.88</v>
      </c>
      <c r="K2509" s="11" t="n">
        <v>0.1</v>
      </c>
      <c r="L2509" s="10">
        <f>I2509*J2509*(1-K2509)</f>
        <v/>
      </c>
      <c r="M2509" s="10" t="n">
        <v>1404</v>
      </c>
      <c r="N2509" s="10">
        <f>L2509-M2509</f>
        <v/>
      </c>
    </row>
    <row r="2510">
      <c r="A2510" s="7" t="inlineStr">
        <is>
          <t>ORD-02652</t>
        </is>
      </c>
      <c r="B2510" s="8" t="n">
        <v>45476</v>
      </c>
      <c r="C2510" s="9" t="n">
        <v>45474</v>
      </c>
      <c r="D2510" s="7" t="n">
        <v>2024</v>
      </c>
      <c r="E2510" s="7" t="inlineStr">
        <is>
          <t>North</t>
        </is>
      </c>
      <c r="F2510" s="7" t="inlineStr">
        <is>
          <t>Furniture</t>
        </is>
      </c>
      <c r="G2510" s="7" t="inlineStr">
        <is>
          <t>Bookcase</t>
        </is>
      </c>
      <c r="H2510" s="7" t="inlineStr">
        <is>
          <t>Consumer</t>
        </is>
      </c>
      <c r="I2510" s="7" t="n">
        <v>3</v>
      </c>
      <c r="J2510" s="10" t="n">
        <v>171.62</v>
      </c>
      <c r="K2510" s="11" t="n">
        <v>0.3</v>
      </c>
      <c r="L2510" s="10">
        <f>I2510*J2510*(1-K2510)</f>
        <v/>
      </c>
      <c r="M2510" s="10" t="n">
        <v>432</v>
      </c>
      <c r="N2510" s="10">
        <f>L2510-M2510</f>
        <v/>
      </c>
    </row>
    <row r="2511">
      <c r="A2511" s="7" t="inlineStr">
        <is>
          <t>ORD-02512</t>
        </is>
      </c>
      <c r="B2511" s="8" t="n">
        <v>45476</v>
      </c>
      <c r="C2511" s="9" t="n">
        <v>45474</v>
      </c>
      <c r="D2511" s="7" t="n">
        <v>2024</v>
      </c>
      <c r="E2511" s="7" t="inlineStr">
        <is>
          <t>East</t>
        </is>
      </c>
      <c r="F2511" s="7" t="inlineStr">
        <is>
          <t>Technology</t>
        </is>
      </c>
      <c r="G2511" s="7" t="inlineStr">
        <is>
          <t>Laptop</t>
        </is>
      </c>
      <c r="H2511" s="7" t="inlineStr">
        <is>
          <t>Home Office</t>
        </is>
      </c>
      <c r="I2511" s="7" t="n">
        <v>1</v>
      </c>
      <c r="J2511" s="10" t="n">
        <v>857.99</v>
      </c>
      <c r="K2511" s="11" t="n">
        <v>0.05</v>
      </c>
      <c r="L2511" s="10">
        <f>I2511*J2511*(1-K2511)</f>
        <v/>
      </c>
      <c r="M2511" s="10" t="n">
        <v>702</v>
      </c>
      <c r="N2511" s="10">
        <f>L2511-M2511</f>
        <v/>
      </c>
    </row>
    <row r="2512">
      <c r="A2512" s="7" t="inlineStr">
        <is>
          <t>ORD-00687</t>
        </is>
      </c>
      <c r="B2512" s="8" t="n">
        <v>45476</v>
      </c>
      <c r="C2512" s="9" t="n">
        <v>45474</v>
      </c>
      <c r="D2512" s="7" t="n">
        <v>2024</v>
      </c>
      <c r="E2512" s="7" t="inlineStr">
        <is>
          <t>North</t>
        </is>
      </c>
      <c r="F2512" s="7" t="inlineStr">
        <is>
          <t>Technology</t>
        </is>
      </c>
      <c r="G2512" s="7" t="inlineStr">
        <is>
          <t>Smartphone</t>
        </is>
      </c>
      <c r="H2512" s="7" t="inlineStr">
        <is>
          <t>Corporate</t>
        </is>
      </c>
      <c r="I2512" s="7" t="n">
        <v>1</v>
      </c>
      <c r="J2512" s="10" t="n">
        <v>614.98</v>
      </c>
      <c r="K2512" s="11" t="n">
        <v>0.1</v>
      </c>
      <c r="L2512" s="10">
        <f>I2512*J2512*(1-K2512)</f>
        <v/>
      </c>
      <c r="M2512" s="10" t="n">
        <v>450</v>
      </c>
      <c r="N2512" s="10">
        <f>L2512-M2512</f>
        <v/>
      </c>
    </row>
    <row r="2513">
      <c r="A2513" s="7" t="inlineStr">
        <is>
          <t>ORD-03666</t>
        </is>
      </c>
      <c r="B2513" s="8" t="n">
        <v>45476</v>
      </c>
      <c r="C2513" s="9" t="n">
        <v>45474</v>
      </c>
      <c r="D2513" s="7" t="n">
        <v>2024</v>
      </c>
      <c r="E2513" s="7" t="inlineStr">
        <is>
          <t>South</t>
        </is>
      </c>
      <c r="F2513" s="7" t="inlineStr">
        <is>
          <t>Technology</t>
        </is>
      </c>
      <c r="G2513" s="7" t="inlineStr">
        <is>
          <t>Headphones</t>
        </is>
      </c>
      <c r="H2513" s="7" t="inlineStr">
        <is>
          <t>Corporate</t>
        </is>
      </c>
      <c r="I2513" s="7" t="n">
        <v>1</v>
      </c>
      <c r="J2513" s="10" t="n">
        <v>116.41</v>
      </c>
      <c r="K2513" s="11" t="n">
        <v>0.2</v>
      </c>
      <c r="L2513" s="10">
        <f>I2513*J2513*(1-K2513)</f>
        <v/>
      </c>
      <c r="M2513" s="10" t="n">
        <v>72</v>
      </c>
      <c r="N2513" s="10">
        <f>L2513-M2513</f>
        <v/>
      </c>
    </row>
    <row r="2514">
      <c r="A2514" s="7" t="inlineStr">
        <is>
          <t>ORD-02281</t>
        </is>
      </c>
      <c r="B2514" s="8" t="n">
        <v>45476</v>
      </c>
      <c r="C2514" s="9" t="n">
        <v>45474</v>
      </c>
      <c r="D2514" s="7" t="n">
        <v>2024</v>
      </c>
      <c r="E2514" s="7" t="inlineStr">
        <is>
          <t>East</t>
        </is>
      </c>
      <c r="F2514" s="7" t="inlineStr">
        <is>
          <t>Technology</t>
        </is>
      </c>
      <c r="G2514" s="7" t="inlineStr">
        <is>
          <t>Smartphone</t>
        </is>
      </c>
      <c r="H2514" s="7" t="inlineStr">
        <is>
          <t>Consumer</t>
        </is>
      </c>
      <c r="I2514" s="7" t="n">
        <v>2</v>
      </c>
      <c r="J2514" s="10" t="n">
        <v>594.2</v>
      </c>
      <c r="K2514" s="11" t="n">
        <v>0</v>
      </c>
      <c r="L2514" s="10">
        <f>I2514*J2514*(1-K2514)</f>
        <v/>
      </c>
      <c r="M2514" s="10" t="n">
        <v>900</v>
      </c>
      <c r="N2514" s="10">
        <f>L2514-M2514</f>
        <v/>
      </c>
    </row>
    <row r="2515">
      <c r="A2515" s="7" t="inlineStr">
        <is>
          <t>ORD-05631</t>
        </is>
      </c>
      <c r="B2515" s="8" t="n">
        <v>45477</v>
      </c>
      <c r="C2515" s="9" t="n">
        <v>45474</v>
      </c>
      <c r="D2515" s="7" t="n">
        <v>2024</v>
      </c>
      <c r="E2515" s="7" t="inlineStr">
        <is>
          <t>South</t>
        </is>
      </c>
      <c r="F2515" s="7" t="inlineStr">
        <is>
          <t>Furniture</t>
        </is>
      </c>
      <c r="G2515" s="7" t="inlineStr">
        <is>
          <t>Sofa</t>
        </is>
      </c>
      <c r="H2515" s="7" t="inlineStr">
        <is>
          <t>Corporate</t>
        </is>
      </c>
      <c r="I2515" s="7" t="n">
        <v>1</v>
      </c>
      <c r="J2515" s="10" t="n">
        <v>665.39</v>
      </c>
      <c r="K2515" s="11" t="n">
        <v>0.3</v>
      </c>
      <c r="L2515" s="10">
        <f>I2515*J2515*(1-K2515)</f>
        <v/>
      </c>
      <c r="M2515" s="10" t="n">
        <v>616</v>
      </c>
      <c r="N2515" s="10">
        <f>L2515-M2515</f>
        <v/>
      </c>
    </row>
    <row r="2516">
      <c r="A2516" s="7" t="inlineStr">
        <is>
          <t>ORD-05685</t>
        </is>
      </c>
      <c r="B2516" s="8" t="n">
        <v>45477</v>
      </c>
      <c r="C2516" s="9" t="n">
        <v>45474</v>
      </c>
      <c r="D2516" s="7" t="n">
        <v>2024</v>
      </c>
      <c r="E2516" s="7" t="inlineStr">
        <is>
          <t>North</t>
        </is>
      </c>
      <c r="F2516" s="7" t="inlineStr">
        <is>
          <t>Office Supplies</t>
        </is>
      </c>
      <c r="G2516" s="7" t="inlineStr">
        <is>
          <t>Binder</t>
        </is>
      </c>
      <c r="H2516" s="7" t="inlineStr">
        <is>
          <t>Corporate</t>
        </is>
      </c>
      <c r="I2516" s="7" t="n">
        <v>3</v>
      </c>
      <c r="J2516" s="10" t="n">
        <v>8.19</v>
      </c>
      <c r="K2516" s="11" t="n">
        <v>0</v>
      </c>
      <c r="L2516" s="10">
        <f>I2516*J2516*(1-K2516)</f>
        <v/>
      </c>
      <c r="M2516" s="10" t="n">
        <v>9.6</v>
      </c>
      <c r="N2516" s="10">
        <f>L2516-M2516</f>
        <v/>
      </c>
    </row>
    <row r="2517">
      <c r="A2517" s="7" t="inlineStr">
        <is>
          <t>ORD-05633</t>
        </is>
      </c>
      <c r="B2517" s="8" t="n">
        <v>45477</v>
      </c>
      <c r="C2517" s="9" t="n">
        <v>45474</v>
      </c>
      <c r="D2517" s="7" t="n">
        <v>2024</v>
      </c>
      <c r="E2517" s="7" t="inlineStr">
        <is>
          <t>West</t>
        </is>
      </c>
      <c r="F2517" s="7" t="inlineStr">
        <is>
          <t>Office Supplies</t>
        </is>
      </c>
      <c r="G2517" s="7" t="inlineStr">
        <is>
          <t>Stapler</t>
        </is>
      </c>
      <c r="H2517" s="7" t="inlineStr">
        <is>
          <t>Consumer</t>
        </is>
      </c>
      <c r="I2517" s="7" t="n">
        <v>8</v>
      </c>
      <c r="J2517" s="10" t="n">
        <v>15</v>
      </c>
      <c r="K2517" s="11" t="n">
        <v>0</v>
      </c>
      <c r="L2517" s="10">
        <f>I2517*J2517*(1-K2517)</f>
        <v/>
      </c>
      <c r="M2517" s="10" t="n">
        <v>60</v>
      </c>
      <c r="N2517" s="10">
        <f>L2517-M2517</f>
        <v/>
      </c>
    </row>
    <row r="2518">
      <c r="A2518" s="7" t="inlineStr">
        <is>
          <t>ORD-03288</t>
        </is>
      </c>
      <c r="B2518" s="8" t="n">
        <v>45477</v>
      </c>
      <c r="C2518" s="9" t="n">
        <v>45474</v>
      </c>
      <c r="D2518" s="7" t="n">
        <v>2024</v>
      </c>
      <c r="E2518" s="7" t="inlineStr">
        <is>
          <t>East</t>
        </is>
      </c>
      <c r="F2518" s="7" t="inlineStr">
        <is>
          <t>Office Supplies</t>
        </is>
      </c>
      <c r="G2518" s="7" t="inlineStr">
        <is>
          <t>Paper</t>
        </is>
      </c>
      <c r="H2518" s="7" t="inlineStr">
        <is>
          <t>Consumer</t>
        </is>
      </c>
      <c r="I2518" s="7" t="n">
        <v>9</v>
      </c>
      <c r="J2518" s="10" t="n">
        <v>25.6</v>
      </c>
      <c r="K2518" s="11" t="n">
        <v>0.05</v>
      </c>
      <c r="L2518" s="10">
        <f>I2518*J2518*(1-K2518)</f>
        <v/>
      </c>
      <c r="M2518" s="10" t="n">
        <v>112.5</v>
      </c>
      <c r="N2518" s="10">
        <f>L2518-M2518</f>
        <v/>
      </c>
    </row>
    <row r="2519">
      <c r="A2519" s="7" t="inlineStr">
        <is>
          <t>ORD-04461</t>
        </is>
      </c>
      <c r="B2519" s="8" t="n">
        <v>45477</v>
      </c>
      <c r="C2519" s="9" t="n">
        <v>45474</v>
      </c>
      <c r="D2519" s="7" t="n">
        <v>2024</v>
      </c>
      <c r="E2519" s="7" t="inlineStr">
        <is>
          <t>North</t>
        </is>
      </c>
      <c r="F2519" s="7" t="inlineStr">
        <is>
          <t>Office Supplies</t>
        </is>
      </c>
      <c r="G2519" s="7" t="inlineStr">
        <is>
          <t>Binder</t>
        </is>
      </c>
      <c r="H2519" s="7" t="inlineStr">
        <is>
          <t>Consumer</t>
        </is>
      </c>
      <c r="I2519" s="7" t="n">
        <v>15</v>
      </c>
      <c r="J2519" s="10" t="n">
        <v>8.16</v>
      </c>
      <c r="K2519" s="11" t="n">
        <v>0</v>
      </c>
      <c r="L2519" s="10">
        <f>I2519*J2519*(1-K2519)</f>
        <v/>
      </c>
      <c r="M2519" s="10" t="n">
        <v>48</v>
      </c>
      <c r="N2519" s="10">
        <f>L2519-M2519</f>
        <v/>
      </c>
    </row>
    <row r="2520">
      <c r="A2520" s="7" t="inlineStr">
        <is>
          <t>ORD-02034</t>
        </is>
      </c>
      <c r="B2520" s="8" t="n">
        <v>45477</v>
      </c>
      <c r="C2520" s="9" t="n">
        <v>45474</v>
      </c>
      <c r="D2520" s="7" t="n">
        <v>2024</v>
      </c>
      <c r="E2520" s="7" t="inlineStr">
        <is>
          <t>West</t>
        </is>
      </c>
      <c r="F2520" s="7" t="inlineStr">
        <is>
          <t>Technology</t>
        </is>
      </c>
      <c r="G2520" s="7" t="inlineStr">
        <is>
          <t>Keyboard</t>
        </is>
      </c>
      <c r="H2520" s="7" t="inlineStr">
        <is>
          <t>Consumer</t>
        </is>
      </c>
      <c r="I2520" s="7" t="n">
        <v>3</v>
      </c>
      <c r="J2520" s="10" t="n">
        <v>46.15</v>
      </c>
      <c r="K2520" s="11" t="n">
        <v>0.05</v>
      </c>
      <c r="L2520" s="10">
        <f>I2520*J2520*(1-K2520)</f>
        <v/>
      </c>
      <c r="M2520" s="10" t="n">
        <v>74.25</v>
      </c>
      <c r="N2520" s="10">
        <f>L2520-M2520</f>
        <v/>
      </c>
    </row>
    <row r="2521">
      <c r="A2521" s="7" t="inlineStr">
        <is>
          <t>ORD-01481</t>
        </is>
      </c>
      <c r="B2521" s="8" t="n">
        <v>45478</v>
      </c>
      <c r="C2521" s="9" t="n">
        <v>45474</v>
      </c>
      <c r="D2521" s="7" t="n">
        <v>2024</v>
      </c>
      <c r="E2521" s="7" t="inlineStr">
        <is>
          <t>East</t>
        </is>
      </c>
      <c r="F2521" s="7" t="inlineStr">
        <is>
          <t>Office Supplies</t>
        </is>
      </c>
      <c r="G2521" s="7" t="inlineStr">
        <is>
          <t>Pens</t>
        </is>
      </c>
      <c r="H2521" s="7" t="inlineStr">
        <is>
          <t>Consumer</t>
        </is>
      </c>
      <c r="I2521" s="7" t="n">
        <v>14</v>
      </c>
      <c r="J2521" s="10" t="n">
        <v>11.92</v>
      </c>
      <c r="K2521" s="11" t="n">
        <v>0</v>
      </c>
      <c r="L2521" s="10">
        <f>I2521*J2521*(1-K2521)</f>
        <v/>
      </c>
      <c r="M2521" s="10" t="n">
        <v>75.59999999999999</v>
      </c>
      <c r="N2521" s="10">
        <f>L2521-M2521</f>
        <v/>
      </c>
    </row>
    <row r="2522">
      <c r="A2522" s="7" t="inlineStr">
        <is>
          <t>ORD-05052</t>
        </is>
      </c>
      <c r="B2522" s="8" t="n">
        <v>45478</v>
      </c>
      <c r="C2522" s="9" t="n">
        <v>45474</v>
      </c>
      <c r="D2522" s="7" t="n">
        <v>2024</v>
      </c>
      <c r="E2522" s="7" t="inlineStr">
        <is>
          <t>East</t>
        </is>
      </c>
      <c r="F2522" s="7" t="inlineStr">
        <is>
          <t>Office Supplies</t>
        </is>
      </c>
      <c r="G2522" s="7" t="inlineStr">
        <is>
          <t>Stapler</t>
        </is>
      </c>
      <c r="H2522" s="7" t="inlineStr">
        <is>
          <t>Consumer</t>
        </is>
      </c>
      <c r="I2522" s="7" t="n">
        <v>5</v>
      </c>
      <c r="J2522" s="10" t="n">
        <v>14.82</v>
      </c>
      <c r="K2522" s="11" t="n">
        <v>0</v>
      </c>
      <c r="L2522" s="10">
        <f>I2522*J2522*(1-K2522)</f>
        <v/>
      </c>
      <c r="M2522" s="10" t="n">
        <v>37.5</v>
      </c>
      <c r="N2522" s="10">
        <f>L2522-M2522</f>
        <v/>
      </c>
    </row>
    <row r="2523">
      <c r="A2523" s="7" t="inlineStr">
        <is>
          <t>ORD-02626</t>
        </is>
      </c>
      <c r="B2523" s="8" t="n">
        <v>45479</v>
      </c>
      <c r="C2523" s="9" t="n">
        <v>45474</v>
      </c>
      <c r="D2523" s="7" t="n">
        <v>2024</v>
      </c>
      <c r="E2523" s="7" t="inlineStr">
        <is>
          <t>West</t>
        </is>
      </c>
      <c r="F2523" s="7" t="inlineStr">
        <is>
          <t>Technology</t>
        </is>
      </c>
      <c r="G2523" s="7" t="inlineStr">
        <is>
          <t>Laptop</t>
        </is>
      </c>
      <c r="H2523" s="7" t="inlineStr">
        <is>
          <t>Consumer</t>
        </is>
      </c>
      <c r="I2523" s="7" t="n">
        <v>1</v>
      </c>
      <c r="J2523" s="10" t="n">
        <v>919.26</v>
      </c>
      <c r="K2523" s="11" t="n">
        <v>0</v>
      </c>
      <c r="L2523" s="10">
        <f>I2523*J2523*(1-K2523)</f>
        <v/>
      </c>
      <c r="M2523" s="10" t="n">
        <v>702</v>
      </c>
      <c r="N2523" s="10">
        <f>L2523-M2523</f>
        <v/>
      </c>
    </row>
    <row r="2524">
      <c r="A2524" s="7" t="inlineStr">
        <is>
          <t>ORD-05258</t>
        </is>
      </c>
      <c r="B2524" s="8" t="n">
        <v>45479</v>
      </c>
      <c r="C2524" s="9" t="n">
        <v>45474</v>
      </c>
      <c r="D2524" s="7" t="n">
        <v>2024</v>
      </c>
      <c r="E2524" s="7" t="inlineStr">
        <is>
          <t>East</t>
        </is>
      </c>
      <c r="F2524" s="7" t="inlineStr">
        <is>
          <t>Office Supplies</t>
        </is>
      </c>
      <c r="G2524" s="7" t="inlineStr">
        <is>
          <t>Printer Ink</t>
        </is>
      </c>
      <c r="H2524" s="7" t="inlineStr">
        <is>
          <t>Consumer</t>
        </is>
      </c>
      <c r="I2524" s="7" t="n">
        <v>3</v>
      </c>
      <c r="J2524" s="10" t="n">
        <v>60.8</v>
      </c>
      <c r="K2524" s="11" t="n">
        <v>0.05</v>
      </c>
      <c r="L2524" s="10">
        <f>I2524*J2524*(1-K2524)</f>
        <v/>
      </c>
      <c r="M2524" s="10" t="n">
        <v>108</v>
      </c>
      <c r="N2524" s="10">
        <f>L2524-M2524</f>
        <v/>
      </c>
    </row>
    <row r="2525">
      <c r="A2525" s="7" t="inlineStr">
        <is>
          <t>ORD-01112</t>
        </is>
      </c>
      <c r="B2525" s="8" t="n">
        <v>45479</v>
      </c>
      <c r="C2525" s="9" t="n">
        <v>45474</v>
      </c>
      <c r="D2525" s="7" t="n">
        <v>2024</v>
      </c>
      <c r="E2525" s="7" t="inlineStr">
        <is>
          <t>East</t>
        </is>
      </c>
      <c r="F2525" s="7" t="inlineStr">
        <is>
          <t>Furniture</t>
        </is>
      </c>
      <c r="G2525" s="7" t="inlineStr">
        <is>
          <t>Desk</t>
        </is>
      </c>
      <c r="H2525" s="7" t="inlineStr">
        <is>
          <t>Consumer</t>
        </is>
      </c>
      <c r="I2525" s="7" t="n">
        <v>4</v>
      </c>
      <c r="J2525" s="10" t="n">
        <v>454.1</v>
      </c>
      <c r="K2525" s="11" t="n">
        <v>0.05</v>
      </c>
      <c r="L2525" s="10">
        <f>I2525*J2525*(1-K2525)</f>
        <v/>
      </c>
      <c r="M2525" s="10" t="n">
        <v>1530</v>
      </c>
      <c r="N2525" s="10">
        <f>L2525-M2525</f>
        <v/>
      </c>
    </row>
    <row r="2526">
      <c r="A2526" s="7" t="inlineStr">
        <is>
          <t>ORD-01238</t>
        </is>
      </c>
      <c r="B2526" s="8" t="n">
        <v>45479</v>
      </c>
      <c r="C2526" s="9" t="n">
        <v>45474</v>
      </c>
      <c r="D2526" s="7" t="n">
        <v>2024</v>
      </c>
      <c r="E2526" s="7" t="inlineStr">
        <is>
          <t>South</t>
        </is>
      </c>
      <c r="F2526" s="7" t="inlineStr">
        <is>
          <t>Technology</t>
        </is>
      </c>
      <c r="G2526" s="7" t="inlineStr">
        <is>
          <t>Keyboard</t>
        </is>
      </c>
      <c r="H2526" s="7" t="inlineStr">
        <is>
          <t>Corporate</t>
        </is>
      </c>
      <c r="I2526" s="7" t="n">
        <v>1</v>
      </c>
      <c r="J2526" s="10" t="n">
        <v>43.97</v>
      </c>
      <c r="K2526" s="11" t="n">
        <v>0.3</v>
      </c>
      <c r="L2526" s="10">
        <f>I2526*J2526*(1-K2526)</f>
        <v/>
      </c>
      <c r="M2526" s="10" t="n">
        <v>24.75</v>
      </c>
      <c r="N2526" s="10">
        <f>L2526-M2526</f>
        <v/>
      </c>
    </row>
    <row r="2527">
      <c r="A2527" s="7" t="inlineStr">
        <is>
          <t>ORD-04267</t>
        </is>
      </c>
      <c r="B2527" s="8" t="n">
        <v>45479</v>
      </c>
      <c r="C2527" s="9" t="n">
        <v>45474</v>
      </c>
      <c r="D2527" s="7" t="n">
        <v>2024</v>
      </c>
      <c r="E2527" s="7" t="inlineStr">
        <is>
          <t>East</t>
        </is>
      </c>
      <c r="F2527" s="7" t="inlineStr">
        <is>
          <t>Office Supplies</t>
        </is>
      </c>
      <c r="G2527" s="7" t="inlineStr">
        <is>
          <t>Pens</t>
        </is>
      </c>
      <c r="H2527" s="7" t="inlineStr">
        <is>
          <t>Corporate</t>
        </is>
      </c>
      <c r="I2527" s="7" t="n">
        <v>11</v>
      </c>
      <c r="J2527" s="10" t="n">
        <v>11.54</v>
      </c>
      <c r="K2527" s="11" t="n">
        <v>0</v>
      </c>
      <c r="L2527" s="10">
        <f>I2527*J2527*(1-K2527)</f>
        <v/>
      </c>
      <c r="M2527" s="10" t="n">
        <v>59.4</v>
      </c>
      <c r="N2527" s="10">
        <f>L2527-M2527</f>
        <v/>
      </c>
    </row>
    <row r="2528">
      <c r="A2528" s="7" t="inlineStr">
        <is>
          <t>ORD-03696</t>
        </is>
      </c>
      <c r="B2528" s="8" t="n">
        <v>45480</v>
      </c>
      <c r="C2528" s="9" t="n">
        <v>45474</v>
      </c>
      <c r="D2528" s="7" t="n">
        <v>2024</v>
      </c>
      <c r="E2528" s="7" t="inlineStr">
        <is>
          <t>East</t>
        </is>
      </c>
      <c r="F2528" s="7" t="inlineStr">
        <is>
          <t>Office Supplies</t>
        </is>
      </c>
      <c r="G2528" s="7" t="inlineStr">
        <is>
          <t>Pens</t>
        </is>
      </c>
      <c r="H2528" s="7" t="inlineStr">
        <is>
          <t>Corporate</t>
        </is>
      </c>
      <c r="I2528" s="7" t="n">
        <v>13</v>
      </c>
      <c r="J2528" s="10" t="n">
        <v>12.03</v>
      </c>
      <c r="K2528" s="11" t="n">
        <v>0</v>
      </c>
      <c r="L2528" s="10">
        <f>I2528*J2528*(1-K2528)</f>
        <v/>
      </c>
      <c r="M2528" s="10" t="n">
        <v>70.2</v>
      </c>
      <c r="N2528" s="10">
        <f>L2528-M2528</f>
        <v/>
      </c>
    </row>
    <row r="2529">
      <c r="A2529" s="7" t="inlineStr">
        <is>
          <t>ORD-03992</t>
        </is>
      </c>
      <c r="B2529" s="8" t="n">
        <v>45480</v>
      </c>
      <c r="C2529" s="9" t="n">
        <v>45474</v>
      </c>
      <c r="D2529" s="7" t="n">
        <v>2024</v>
      </c>
      <c r="E2529" s="7" t="inlineStr">
        <is>
          <t>East</t>
        </is>
      </c>
      <c r="F2529" s="7" t="inlineStr">
        <is>
          <t>Technology</t>
        </is>
      </c>
      <c r="G2529" s="7" t="inlineStr">
        <is>
          <t>Monitor</t>
        </is>
      </c>
      <c r="H2529" s="7" t="inlineStr">
        <is>
          <t>Home Office</t>
        </is>
      </c>
      <c r="I2529" s="7" t="n">
        <v>1</v>
      </c>
      <c r="J2529" s="10" t="n">
        <v>257.66</v>
      </c>
      <c r="K2529" s="11" t="n">
        <v>0</v>
      </c>
      <c r="L2529" s="10">
        <f>I2529*J2529*(1-K2529)</f>
        <v/>
      </c>
      <c r="M2529" s="10" t="n">
        <v>180</v>
      </c>
      <c r="N2529" s="10">
        <f>L2529-M2529</f>
        <v/>
      </c>
    </row>
    <row r="2530">
      <c r="A2530" s="7" t="inlineStr">
        <is>
          <t>ORD-02065</t>
        </is>
      </c>
      <c r="B2530" s="8" t="n">
        <v>45480</v>
      </c>
      <c r="C2530" s="9" t="n">
        <v>45474</v>
      </c>
      <c r="D2530" s="7" t="n">
        <v>2024</v>
      </c>
      <c r="E2530" s="7" t="inlineStr">
        <is>
          <t>North</t>
        </is>
      </c>
      <c r="F2530" s="7" t="inlineStr">
        <is>
          <t>Office Supplies</t>
        </is>
      </c>
      <c r="G2530" s="7" t="inlineStr">
        <is>
          <t>Paper</t>
        </is>
      </c>
      <c r="H2530" s="7" t="inlineStr">
        <is>
          <t>Consumer</t>
        </is>
      </c>
      <c r="I2530" s="7" t="n">
        <v>2</v>
      </c>
      <c r="J2530" s="10" t="n">
        <v>25.67</v>
      </c>
      <c r="K2530" s="11" t="n">
        <v>0</v>
      </c>
      <c r="L2530" s="10">
        <f>I2530*J2530*(1-K2530)</f>
        <v/>
      </c>
      <c r="M2530" s="10" t="n">
        <v>25</v>
      </c>
      <c r="N2530" s="10">
        <f>L2530-M2530</f>
        <v/>
      </c>
    </row>
    <row r="2531">
      <c r="A2531" s="7" t="inlineStr">
        <is>
          <t>ORD-01125</t>
        </is>
      </c>
      <c r="B2531" s="8" t="n">
        <v>45480</v>
      </c>
      <c r="C2531" s="9" t="n">
        <v>45474</v>
      </c>
      <c r="D2531" s="7" t="n">
        <v>2024</v>
      </c>
      <c r="E2531" s="7" t="inlineStr">
        <is>
          <t>West</t>
        </is>
      </c>
      <c r="F2531" s="7" t="inlineStr">
        <is>
          <t>Technology</t>
        </is>
      </c>
      <c r="G2531" s="7" t="inlineStr">
        <is>
          <t>Monitor</t>
        </is>
      </c>
      <c r="H2531" s="7" t="inlineStr">
        <is>
          <t>Home Office</t>
        </is>
      </c>
      <c r="I2531" s="7" t="n">
        <v>2</v>
      </c>
      <c r="J2531" s="10" t="n">
        <v>254.53</v>
      </c>
      <c r="K2531" s="11" t="n">
        <v>0</v>
      </c>
      <c r="L2531" s="10">
        <f>I2531*J2531*(1-K2531)</f>
        <v/>
      </c>
      <c r="M2531" s="10" t="n">
        <v>360</v>
      </c>
      <c r="N2531" s="10">
        <f>L2531-M2531</f>
        <v/>
      </c>
    </row>
    <row r="2532">
      <c r="A2532" s="7" t="inlineStr">
        <is>
          <t>ORD-03376</t>
        </is>
      </c>
      <c r="B2532" s="8" t="n">
        <v>45481</v>
      </c>
      <c r="C2532" s="9" t="n">
        <v>45474</v>
      </c>
      <c r="D2532" s="7" t="n">
        <v>2024</v>
      </c>
      <c r="E2532" s="7" t="inlineStr">
        <is>
          <t>West</t>
        </is>
      </c>
      <c r="F2532" s="7" t="inlineStr">
        <is>
          <t>Office Supplies</t>
        </is>
      </c>
      <c r="G2532" s="7" t="inlineStr">
        <is>
          <t>Binder</t>
        </is>
      </c>
      <c r="H2532" s="7" t="inlineStr">
        <is>
          <t>Consumer</t>
        </is>
      </c>
      <c r="I2532" s="7" t="n">
        <v>13</v>
      </c>
      <c r="J2532" s="10" t="n">
        <v>8.07</v>
      </c>
      <c r="K2532" s="11" t="n">
        <v>0</v>
      </c>
      <c r="L2532" s="10">
        <f>I2532*J2532*(1-K2532)</f>
        <v/>
      </c>
      <c r="M2532" s="10" t="n">
        <v>41.6</v>
      </c>
      <c r="N2532" s="10">
        <f>L2532-M2532</f>
        <v/>
      </c>
    </row>
    <row r="2533">
      <c r="A2533" s="7" t="inlineStr">
        <is>
          <t>ORD-03851</t>
        </is>
      </c>
      <c r="B2533" s="8" t="n">
        <v>45481</v>
      </c>
      <c r="C2533" s="9" t="n">
        <v>45474</v>
      </c>
      <c r="D2533" s="7" t="n">
        <v>2024</v>
      </c>
      <c r="E2533" s="7" t="inlineStr">
        <is>
          <t>West</t>
        </is>
      </c>
      <c r="F2533" s="7" t="inlineStr">
        <is>
          <t>Office Supplies</t>
        </is>
      </c>
      <c r="G2533" s="7" t="inlineStr">
        <is>
          <t>Printer Ink</t>
        </is>
      </c>
      <c r="H2533" s="7" t="inlineStr">
        <is>
          <t>Consumer</t>
        </is>
      </c>
      <c r="I2533" s="7" t="n">
        <v>2</v>
      </c>
      <c r="J2533" s="10" t="n">
        <v>61.14</v>
      </c>
      <c r="K2533" s="11" t="n">
        <v>0.1</v>
      </c>
      <c r="L2533" s="10">
        <f>I2533*J2533*(1-K2533)</f>
        <v/>
      </c>
      <c r="M2533" s="10" t="n">
        <v>72</v>
      </c>
      <c r="N2533" s="10">
        <f>L2533-M2533</f>
        <v/>
      </c>
    </row>
    <row r="2534">
      <c r="A2534" s="7" t="inlineStr">
        <is>
          <t>ORD-01138</t>
        </is>
      </c>
      <c r="B2534" s="8" t="n">
        <v>45482</v>
      </c>
      <c r="C2534" s="9" t="n">
        <v>45474</v>
      </c>
      <c r="D2534" s="7" t="n">
        <v>2024</v>
      </c>
      <c r="E2534" s="7" t="inlineStr">
        <is>
          <t>West</t>
        </is>
      </c>
      <c r="F2534" s="7" t="inlineStr">
        <is>
          <t>Office Supplies</t>
        </is>
      </c>
      <c r="G2534" s="7" t="inlineStr">
        <is>
          <t>Pens</t>
        </is>
      </c>
      <c r="H2534" s="7" t="inlineStr">
        <is>
          <t>Consumer</t>
        </is>
      </c>
      <c r="I2534" s="7" t="n">
        <v>4</v>
      </c>
      <c r="J2534" s="10" t="n">
        <v>11.53</v>
      </c>
      <c r="K2534" s="11" t="n">
        <v>0</v>
      </c>
      <c r="L2534" s="10">
        <f>I2534*J2534*(1-K2534)</f>
        <v/>
      </c>
      <c r="M2534" s="10" t="n">
        <v>21.6</v>
      </c>
      <c r="N2534" s="10">
        <f>L2534-M2534</f>
        <v/>
      </c>
    </row>
    <row r="2535">
      <c r="A2535" s="7" t="inlineStr">
        <is>
          <t>ORD-03951</t>
        </is>
      </c>
      <c r="B2535" s="8" t="n">
        <v>45482</v>
      </c>
      <c r="C2535" s="9" t="n">
        <v>45474</v>
      </c>
      <c r="D2535" s="7" t="n">
        <v>2024</v>
      </c>
      <c r="E2535" s="7" t="inlineStr">
        <is>
          <t>West</t>
        </is>
      </c>
      <c r="F2535" s="7" t="inlineStr">
        <is>
          <t>Technology</t>
        </is>
      </c>
      <c r="G2535" s="7" t="inlineStr">
        <is>
          <t>Headphones</t>
        </is>
      </c>
      <c r="H2535" s="7" t="inlineStr">
        <is>
          <t>Corporate</t>
        </is>
      </c>
      <c r="I2535" s="7" t="n">
        <v>2</v>
      </c>
      <c r="J2535" s="10" t="n">
        <v>116.32</v>
      </c>
      <c r="K2535" s="11" t="n">
        <v>0.1</v>
      </c>
      <c r="L2535" s="10">
        <f>I2535*J2535*(1-K2535)</f>
        <v/>
      </c>
      <c r="M2535" s="10" t="n">
        <v>144</v>
      </c>
      <c r="N2535" s="10">
        <f>L2535-M2535</f>
        <v/>
      </c>
    </row>
    <row r="2536">
      <c r="A2536" s="7" t="inlineStr">
        <is>
          <t>ORD-04842</t>
        </is>
      </c>
      <c r="B2536" s="8" t="n">
        <v>45482</v>
      </c>
      <c r="C2536" s="9" t="n">
        <v>45474</v>
      </c>
      <c r="D2536" s="7" t="n">
        <v>2024</v>
      </c>
      <c r="E2536" s="7" t="inlineStr">
        <is>
          <t>South</t>
        </is>
      </c>
      <c r="F2536" s="7" t="inlineStr">
        <is>
          <t>Office Supplies</t>
        </is>
      </c>
      <c r="G2536" s="7" t="inlineStr">
        <is>
          <t>Printer Ink</t>
        </is>
      </c>
      <c r="H2536" s="7" t="inlineStr">
        <is>
          <t>Consumer</t>
        </is>
      </c>
      <c r="I2536" s="7" t="n">
        <v>3</v>
      </c>
      <c r="J2536" s="10" t="n">
        <v>57.45</v>
      </c>
      <c r="K2536" s="11" t="n">
        <v>0</v>
      </c>
      <c r="L2536" s="10">
        <f>I2536*J2536*(1-K2536)</f>
        <v/>
      </c>
      <c r="M2536" s="10" t="n">
        <v>108</v>
      </c>
      <c r="N2536" s="10">
        <f>L2536-M2536</f>
        <v/>
      </c>
    </row>
    <row r="2537">
      <c r="A2537" s="7" t="inlineStr">
        <is>
          <t>ORD-01347</t>
        </is>
      </c>
      <c r="B2537" s="8" t="n">
        <v>45482</v>
      </c>
      <c r="C2537" s="9" t="n">
        <v>45474</v>
      </c>
      <c r="D2537" s="7" t="n">
        <v>2024</v>
      </c>
      <c r="E2537" s="7" t="inlineStr">
        <is>
          <t>East</t>
        </is>
      </c>
      <c r="F2537" s="7" t="inlineStr">
        <is>
          <t>Office Supplies</t>
        </is>
      </c>
      <c r="G2537" s="7" t="inlineStr">
        <is>
          <t>Pens</t>
        </is>
      </c>
      <c r="H2537" s="7" t="inlineStr">
        <is>
          <t>Home Office</t>
        </is>
      </c>
      <c r="I2537" s="7" t="n">
        <v>12</v>
      </c>
      <c r="J2537" s="10" t="n">
        <v>12.1</v>
      </c>
      <c r="K2537" s="11" t="n">
        <v>0</v>
      </c>
      <c r="L2537" s="10">
        <f>I2537*J2537*(1-K2537)</f>
        <v/>
      </c>
      <c r="M2537" s="10" t="n">
        <v>64.8</v>
      </c>
      <c r="N2537" s="10">
        <f>L2537-M2537</f>
        <v/>
      </c>
    </row>
    <row r="2538">
      <c r="A2538" s="7" t="inlineStr">
        <is>
          <t>ORD-01504</t>
        </is>
      </c>
      <c r="B2538" s="8" t="n">
        <v>45482</v>
      </c>
      <c r="C2538" s="9" t="n">
        <v>45474</v>
      </c>
      <c r="D2538" s="7" t="n">
        <v>2024</v>
      </c>
      <c r="E2538" s="7" t="inlineStr">
        <is>
          <t>East</t>
        </is>
      </c>
      <c r="F2538" s="7" t="inlineStr">
        <is>
          <t>Office Supplies</t>
        </is>
      </c>
      <c r="G2538" s="7" t="inlineStr">
        <is>
          <t>Stapler</t>
        </is>
      </c>
      <c r="H2538" s="7" t="inlineStr">
        <is>
          <t>Consumer</t>
        </is>
      </c>
      <c r="I2538" s="7" t="n">
        <v>3</v>
      </c>
      <c r="J2538" s="10" t="n">
        <v>14.68</v>
      </c>
      <c r="K2538" s="11" t="n">
        <v>0.1</v>
      </c>
      <c r="L2538" s="10">
        <f>I2538*J2538*(1-K2538)</f>
        <v/>
      </c>
      <c r="M2538" s="10" t="n">
        <v>22.5</v>
      </c>
      <c r="N2538" s="10">
        <f>L2538-M2538</f>
        <v/>
      </c>
    </row>
    <row r="2539">
      <c r="A2539" s="7" t="inlineStr">
        <is>
          <t>ORD-02164</t>
        </is>
      </c>
      <c r="B2539" s="8" t="n">
        <v>45482</v>
      </c>
      <c r="C2539" s="9" t="n">
        <v>45474</v>
      </c>
      <c r="D2539" s="7" t="n">
        <v>2024</v>
      </c>
      <c r="E2539" s="7" t="inlineStr">
        <is>
          <t>West</t>
        </is>
      </c>
      <c r="F2539" s="7" t="inlineStr">
        <is>
          <t>Office Supplies</t>
        </is>
      </c>
      <c r="G2539" s="7" t="inlineStr">
        <is>
          <t>Pens</t>
        </is>
      </c>
      <c r="H2539" s="7" t="inlineStr">
        <is>
          <t>Corporate</t>
        </is>
      </c>
      <c r="I2539" s="7" t="n">
        <v>2</v>
      </c>
      <c r="J2539" s="10" t="n">
        <v>11.49</v>
      </c>
      <c r="K2539" s="11" t="n">
        <v>0.05</v>
      </c>
      <c r="L2539" s="10">
        <f>I2539*J2539*(1-K2539)</f>
        <v/>
      </c>
      <c r="M2539" s="10" t="n">
        <v>10.8</v>
      </c>
      <c r="N2539" s="10">
        <f>L2539-M2539</f>
        <v/>
      </c>
    </row>
    <row r="2540">
      <c r="A2540" s="7" t="inlineStr">
        <is>
          <t>ORD-05311</t>
        </is>
      </c>
      <c r="B2540" s="8" t="n">
        <v>45482</v>
      </c>
      <c r="C2540" s="9" t="n">
        <v>45474</v>
      </c>
      <c r="D2540" s="7" t="n">
        <v>2024</v>
      </c>
      <c r="E2540" s="7" t="inlineStr">
        <is>
          <t>East</t>
        </is>
      </c>
      <c r="F2540" s="7" t="inlineStr">
        <is>
          <t>Technology</t>
        </is>
      </c>
      <c r="G2540" s="7" t="inlineStr">
        <is>
          <t>Monitor</t>
        </is>
      </c>
      <c r="H2540" s="7" t="inlineStr">
        <is>
          <t>Corporate</t>
        </is>
      </c>
      <c r="I2540" s="7" t="n">
        <v>2</v>
      </c>
      <c r="J2540" s="10" t="n">
        <v>244.84</v>
      </c>
      <c r="K2540" s="11" t="n">
        <v>0.1</v>
      </c>
      <c r="L2540" s="10">
        <f>I2540*J2540*(1-K2540)</f>
        <v/>
      </c>
      <c r="M2540" s="10" t="n">
        <v>360</v>
      </c>
      <c r="N2540" s="10">
        <f>L2540-M2540</f>
        <v/>
      </c>
    </row>
    <row r="2541">
      <c r="A2541" s="7" t="inlineStr">
        <is>
          <t>ORD-02355</t>
        </is>
      </c>
      <c r="B2541" s="8" t="n">
        <v>45483</v>
      </c>
      <c r="C2541" s="9" t="n">
        <v>45474</v>
      </c>
      <c r="D2541" s="7" t="n">
        <v>2024</v>
      </c>
      <c r="E2541" s="7" t="inlineStr">
        <is>
          <t>East</t>
        </is>
      </c>
      <c r="F2541" s="7" t="inlineStr">
        <is>
          <t>Technology</t>
        </is>
      </c>
      <c r="G2541" s="7" t="inlineStr">
        <is>
          <t>Smartphone</t>
        </is>
      </c>
      <c r="H2541" s="7" t="inlineStr">
        <is>
          <t>Home Office</t>
        </is>
      </c>
      <c r="I2541" s="7" t="n">
        <v>2</v>
      </c>
      <c r="J2541" s="10" t="n">
        <v>597.1900000000001</v>
      </c>
      <c r="K2541" s="11" t="n">
        <v>0</v>
      </c>
      <c r="L2541" s="10">
        <f>I2541*J2541*(1-K2541)</f>
        <v/>
      </c>
      <c r="M2541" s="10" t="n">
        <v>900</v>
      </c>
      <c r="N2541" s="10">
        <f>L2541-M2541</f>
        <v/>
      </c>
    </row>
    <row r="2542">
      <c r="A2542" s="7" t="inlineStr">
        <is>
          <t>ORD-02168</t>
        </is>
      </c>
      <c r="B2542" s="8" t="n">
        <v>45483</v>
      </c>
      <c r="C2542" s="9" t="n">
        <v>45474</v>
      </c>
      <c r="D2542" s="7" t="n">
        <v>2024</v>
      </c>
      <c r="E2542" s="7" t="inlineStr">
        <is>
          <t>North</t>
        </is>
      </c>
      <c r="F2542" s="7" t="inlineStr">
        <is>
          <t>Technology</t>
        </is>
      </c>
      <c r="G2542" s="7" t="inlineStr">
        <is>
          <t>Headphones</t>
        </is>
      </c>
      <c r="H2542" s="7" t="inlineStr">
        <is>
          <t>Corporate</t>
        </is>
      </c>
      <c r="I2542" s="7" t="n">
        <v>3</v>
      </c>
      <c r="J2542" s="10" t="n">
        <v>121.63</v>
      </c>
      <c r="K2542" s="11" t="n">
        <v>0.2</v>
      </c>
      <c r="L2542" s="10">
        <f>I2542*J2542*(1-K2542)</f>
        <v/>
      </c>
      <c r="M2542" s="10" t="n">
        <v>216</v>
      </c>
      <c r="N2542" s="10">
        <f>L2542-M2542</f>
        <v/>
      </c>
    </row>
    <row r="2543">
      <c r="A2543" s="7" t="inlineStr">
        <is>
          <t>ORD-00250</t>
        </is>
      </c>
      <c r="B2543" s="8" t="n">
        <v>45483</v>
      </c>
      <c r="C2543" s="9" t="n">
        <v>45474</v>
      </c>
      <c r="D2543" s="7" t="n">
        <v>2024</v>
      </c>
      <c r="E2543" s="7" t="inlineStr">
        <is>
          <t>East</t>
        </is>
      </c>
      <c r="F2543" s="7" t="inlineStr">
        <is>
          <t>Furniture</t>
        </is>
      </c>
      <c r="G2543" s="7" t="inlineStr">
        <is>
          <t>Office Chair</t>
        </is>
      </c>
      <c r="H2543" s="7" t="inlineStr">
        <is>
          <t>Consumer</t>
        </is>
      </c>
      <c r="I2543" s="7" t="n">
        <v>4</v>
      </c>
      <c r="J2543" s="10" t="n">
        <v>230.07</v>
      </c>
      <c r="K2543" s="11" t="n">
        <v>0.2</v>
      </c>
      <c r="L2543" s="10">
        <f>I2543*J2543*(1-K2543)</f>
        <v/>
      </c>
      <c r="M2543" s="10" t="n">
        <v>721.6</v>
      </c>
      <c r="N2543" s="10">
        <f>L2543-M2543</f>
        <v/>
      </c>
    </row>
    <row r="2544">
      <c r="A2544" s="7" t="inlineStr">
        <is>
          <t>ORD-03683</t>
        </is>
      </c>
      <c r="B2544" s="8" t="n">
        <v>45483</v>
      </c>
      <c r="C2544" s="9" t="n">
        <v>45474</v>
      </c>
      <c r="D2544" s="7" t="n">
        <v>2024</v>
      </c>
      <c r="E2544" s="7" t="inlineStr">
        <is>
          <t>North</t>
        </is>
      </c>
      <c r="F2544" s="7" t="inlineStr">
        <is>
          <t>Office Supplies</t>
        </is>
      </c>
      <c r="G2544" s="7" t="inlineStr">
        <is>
          <t>Paper</t>
        </is>
      </c>
      <c r="H2544" s="7" t="inlineStr">
        <is>
          <t>Consumer</t>
        </is>
      </c>
      <c r="I2544" s="7" t="n">
        <v>11</v>
      </c>
      <c r="J2544" s="10" t="n">
        <v>25.41</v>
      </c>
      <c r="K2544" s="11" t="n">
        <v>0.3</v>
      </c>
      <c r="L2544" s="10">
        <f>I2544*J2544*(1-K2544)</f>
        <v/>
      </c>
      <c r="M2544" s="10" t="n">
        <v>137.5</v>
      </c>
      <c r="N2544" s="10">
        <f>L2544-M2544</f>
        <v/>
      </c>
    </row>
    <row r="2545">
      <c r="A2545" s="7" t="inlineStr">
        <is>
          <t>ORD-05591</t>
        </is>
      </c>
      <c r="B2545" s="8" t="n">
        <v>45484</v>
      </c>
      <c r="C2545" s="9" t="n">
        <v>45474</v>
      </c>
      <c r="D2545" s="7" t="n">
        <v>2024</v>
      </c>
      <c r="E2545" s="7" t="inlineStr">
        <is>
          <t>East</t>
        </is>
      </c>
      <c r="F2545" s="7" t="inlineStr">
        <is>
          <t>Office Supplies</t>
        </is>
      </c>
      <c r="G2545" s="7" t="inlineStr">
        <is>
          <t>Binder</t>
        </is>
      </c>
      <c r="H2545" s="7" t="inlineStr">
        <is>
          <t>Corporate</t>
        </is>
      </c>
      <c r="I2545" s="7" t="n">
        <v>11</v>
      </c>
      <c r="J2545" s="10" t="n">
        <v>8.359999999999999</v>
      </c>
      <c r="K2545" s="11" t="n">
        <v>0</v>
      </c>
      <c r="L2545" s="10">
        <f>I2545*J2545*(1-K2545)</f>
        <v/>
      </c>
      <c r="M2545" s="10" t="n">
        <v>35.2</v>
      </c>
      <c r="N2545" s="10">
        <f>L2545-M2545</f>
        <v/>
      </c>
    </row>
    <row r="2546">
      <c r="A2546" s="7" t="inlineStr">
        <is>
          <t>ORD-03131</t>
        </is>
      </c>
      <c r="B2546" s="8" t="n">
        <v>45484</v>
      </c>
      <c r="C2546" s="9" t="n">
        <v>45474</v>
      </c>
      <c r="D2546" s="7" t="n">
        <v>2024</v>
      </c>
      <c r="E2546" s="7" t="inlineStr">
        <is>
          <t>West</t>
        </is>
      </c>
      <c r="F2546" s="7" t="inlineStr">
        <is>
          <t>Office Supplies</t>
        </is>
      </c>
      <c r="G2546" s="7" t="inlineStr">
        <is>
          <t>Pens</t>
        </is>
      </c>
      <c r="H2546" s="7" t="inlineStr">
        <is>
          <t>Corporate</t>
        </is>
      </c>
      <c r="I2546" s="7" t="n">
        <v>3</v>
      </c>
      <c r="J2546" s="10" t="n">
        <v>11.61</v>
      </c>
      <c r="K2546" s="11" t="n">
        <v>0.05</v>
      </c>
      <c r="L2546" s="10">
        <f>I2546*J2546*(1-K2546)</f>
        <v/>
      </c>
      <c r="M2546" s="10" t="n">
        <v>16.2</v>
      </c>
      <c r="N2546" s="10">
        <f>L2546-M2546</f>
        <v/>
      </c>
    </row>
    <row r="2547">
      <c r="A2547" s="7" t="inlineStr">
        <is>
          <t>ORD-05259</t>
        </is>
      </c>
      <c r="B2547" s="8" t="n">
        <v>45484</v>
      </c>
      <c r="C2547" s="9" t="n">
        <v>45474</v>
      </c>
      <c r="D2547" s="7" t="n">
        <v>2024</v>
      </c>
      <c r="E2547" s="7" t="inlineStr">
        <is>
          <t>East</t>
        </is>
      </c>
      <c r="F2547" s="7" t="inlineStr">
        <is>
          <t>Office Supplies</t>
        </is>
      </c>
      <c r="G2547" s="7" t="inlineStr">
        <is>
          <t>Printer Ink</t>
        </is>
      </c>
      <c r="H2547" s="7" t="inlineStr">
        <is>
          <t>Consumer</t>
        </is>
      </c>
      <c r="I2547" s="7" t="n">
        <v>13</v>
      </c>
      <c r="J2547" s="10" t="n">
        <v>59.19</v>
      </c>
      <c r="K2547" s="11" t="n">
        <v>0.05</v>
      </c>
      <c r="L2547" s="10">
        <f>I2547*J2547*(1-K2547)</f>
        <v/>
      </c>
      <c r="M2547" s="10" t="n">
        <v>468</v>
      </c>
      <c r="N2547" s="10">
        <f>L2547-M2547</f>
        <v/>
      </c>
    </row>
    <row r="2548">
      <c r="A2548" s="7" t="inlineStr">
        <is>
          <t>ORD-05434</t>
        </is>
      </c>
      <c r="B2548" s="8" t="n">
        <v>45484</v>
      </c>
      <c r="C2548" s="9" t="n">
        <v>45474</v>
      </c>
      <c r="D2548" s="7" t="n">
        <v>2024</v>
      </c>
      <c r="E2548" s="7" t="inlineStr">
        <is>
          <t>North</t>
        </is>
      </c>
      <c r="F2548" s="7" t="inlineStr">
        <is>
          <t>Office Supplies</t>
        </is>
      </c>
      <c r="G2548" s="7" t="inlineStr">
        <is>
          <t>Paper</t>
        </is>
      </c>
      <c r="H2548" s="7" t="inlineStr">
        <is>
          <t>Consumer</t>
        </is>
      </c>
      <c r="I2548" s="7" t="n">
        <v>13</v>
      </c>
      <c r="J2548" s="10" t="n">
        <v>24.64</v>
      </c>
      <c r="K2548" s="11" t="n">
        <v>0</v>
      </c>
      <c r="L2548" s="10">
        <f>I2548*J2548*(1-K2548)</f>
        <v/>
      </c>
      <c r="M2548" s="10" t="n">
        <v>162.5</v>
      </c>
      <c r="N2548" s="10">
        <f>L2548-M2548</f>
        <v/>
      </c>
    </row>
    <row r="2549">
      <c r="A2549" s="7" t="inlineStr">
        <is>
          <t>ORD-03817</t>
        </is>
      </c>
      <c r="B2549" s="8" t="n">
        <v>45485</v>
      </c>
      <c r="C2549" s="9" t="n">
        <v>45474</v>
      </c>
      <c r="D2549" s="7" t="n">
        <v>2024</v>
      </c>
      <c r="E2549" s="7" t="inlineStr">
        <is>
          <t>West</t>
        </is>
      </c>
      <c r="F2549" s="7" t="inlineStr">
        <is>
          <t>Technology</t>
        </is>
      </c>
      <c r="G2549" s="7" t="inlineStr">
        <is>
          <t>Headphones</t>
        </is>
      </c>
      <c r="H2549" s="7" t="inlineStr">
        <is>
          <t>Consumer</t>
        </is>
      </c>
      <c r="I2549" s="7" t="n">
        <v>1</v>
      </c>
      <c r="J2549" s="10" t="n">
        <v>125.2</v>
      </c>
      <c r="K2549" s="11" t="n">
        <v>0.1</v>
      </c>
      <c r="L2549" s="10">
        <f>I2549*J2549*(1-K2549)</f>
        <v/>
      </c>
      <c r="M2549" s="10" t="n">
        <v>72</v>
      </c>
      <c r="N2549" s="10">
        <f>L2549-M2549</f>
        <v/>
      </c>
    </row>
    <row r="2550">
      <c r="A2550" s="7" t="inlineStr">
        <is>
          <t>ORD-04133</t>
        </is>
      </c>
      <c r="B2550" s="8" t="n">
        <v>45485</v>
      </c>
      <c r="C2550" s="9" t="n">
        <v>45474</v>
      </c>
      <c r="D2550" s="7" t="n">
        <v>2024</v>
      </c>
      <c r="E2550" s="7" t="inlineStr">
        <is>
          <t>East</t>
        </is>
      </c>
      <c r="F2550" s="7" t="inlineStr">
        <is>
          <t>Furniture</t>
        </is>
      </c>
      <c r="G2550" s="7" t="inlineStr">
        <is>
          <t>Sofa</t>
        </is>
      </c>
      <c r="H2550" s="7" t="inlineStr">
        <is>
          <t>Consumer</t>
        </is>
      </c>
      <c r="I2550" s="7" t="n">
        <v>4</v>
      </c>
      <c r="J2550" s="10" t="n">
        <v>681.46</v>
      </c>
      <c r="K2550" s="11" t="n">
        <v>0.1</v>
      </c>
      <c r="L2550" s="10">
        <f>I2550*J2550*(1-K2550)</f>
        <v/>
      </c>
      <c r="M2550" s="10" t="n">
        <v>2464</v>
      </c>
      <c r="N2550" s="10">
        <f>L2550-M2550</f>
        <v/>
      </c>
    </row>
    <row r="2551">
      <c r="A2551" s="7" t="inlineStr">
        <is>
          <t>ORD-05367</t>
        </is>
      </c>
      <c r="B2551" s="8" t="n">
        <v>45485</v>
      </c>
      <c r="C2551" s="9" t="n">
        <v>45474</v>
      </c>
      <c r="D2551" s="7" t="n">
        <v>2024</v>
      </c>
      <c r="E2551" s="7" t="inlineStr">
        <is>
          <t>West</t>
        </is>
      </c>
      <c r="F2551" s="7" t="inlineStr">
        <is>
          <t>Office Supplies</t>
        </is>
      </c>
      <c r="G2551" s="7" t="inlineStr">
        <is>
          <t>Stapler</t>
        </is>
      </c>
      <c r="H2551" s="7" t="inlineStr">
        <is>
          <t>Home Office</t>
        </is>
      </c>
      <c r="I2551" s="7" t="n">
        <v>7</v>
      </c>
      <c r="J2551" s="10" t="n">
        <v>15.54</v>
      </c>
      <c r="K2551" s="11" t="n">
        <v>0.2</v>
      </c>
      <c r="L2551" s="10">
        <f>I2551*J2551*(1-K2551)</f>
        <v/>
      </c>
      <c r="M2551" s="10" t="n">
        <v>52.5</v>
      </c>
      <c r="N2551" s="10">
        <f>L2551-M2551</f>
        <v/>
      </c>
    </row>
    <row r="2552">
      <c r="A2552" s="7" t="inlineStr">
        <is>
          <t>ORD-02636</t>
        </is>
      </c>
      <c r="B2552" s="8" t="n">
        <v>45486</v>
      </c>
      <c r="C2552" s="9" t="n">
        <v>45474</v>
      </c>
      <c r="D2552" s="7" t="n">
        <v>2024</v>
      </c>
      <c r="E2552" s="7" t="inlineStr">
        <is>
          <t>East</t>
        </is>
      </c>
      <c r="F2552" s="7" t="inlineStr">
        <is>
          <t>Office Supplies</t>
        </is>
      </c>
      <c r="G2552" s="7" t="inlineStr">
        <is>
          <t>Binder</t>
        </is>
      </c>
      <c r="H2552" s="7" t="inlineStr">
        <is>
          <t>Corporate</t>
        </is>
      </c>
      <c r="I2552" s="7" t="n">
        <v>5</v>
      </c>
      <c r="J2552" s="10" t="n">
        <v>8.15</v>
      </c>
      <c r="K2552" s="11" t="n">
        <v>0</v>
      </c>
      <c r="L2552" s="10">
        <f>I2552*J2552*(1-K2552)</f>
        <v/>
      </c>
      <c r="M2552" s="10" t="n">
        <v>16</v>
      </c>
      <c r="N2552" s="10">
        <f>L2552-M2552</f>
        <v/>
      </c>
    </row>
    <row r="2553">
      <c r="A2553" s="7" t="inlineStr">
        <is>
          <t>ORD-04815</t>
        </is>
      </c>
      <c r="B2553" s="8" t="n">
        <v>45486</v>
      </c>
      <c r="C2553" s="9" t="n">
        <v>45474</v>
      </c>
      <c r="D2553" s="7" t="n">
        <v>2024</v>
      </c>
      <c r="E2553" s="7" t="inlineStr">
        <is>
          <t>West</t>
        </is>
      </c>
      <c r="F2553" s="7" t="inlineStr">
        <is>
          <t>Office Supplies</t>
        </is>
      </c>
      <c r="G2553" s="7" t="inlineStr">
        <is>
          <t>Printer Ink</t>
        </is>
      </c>
      <c r="H2553" s="7" t="inlineStr">
        <is>
          <t>Home Office</t>
        </is>
      </c>
      <c r="I2553" s="7" t="n">
        <v>11</v>
      </c>
      <c r="J2553" s="10" t="n">
        <v>62.97</v>
      </c>
      <c r="K2553" s="11" t="n">
        <v>0.1</v>
      </c>
      <c r="L2553" s="10">
        <f>I2553*J2553*(1-K2553)</f>
        <v/>
      </c>
      <c r="M2553" s="10" t="n">
        <v>396</v>
      </c>
      <c r="N2553" s="10">
        <f>L2553-M2553</f>
        <v/>
      </c>
    </row>
    <row r="2554">
      <c r="A2554" s="7" t="inlineStr">
        <is>
          <t>ORD-02335</t>
        </is>
      </c>
      <c r="B2554" s="8" t="n">
        <v>45486</v>
      </c>
      <c r="C2554" s="9" t="n">
        <v>45474</v>
      </c>
      <c r="D2554" s="7" t="n">
        <v>2024</v>
      </c>
      <c r="E2554" s="7" t="inlineStr">
        <is>
          <t>West</t>
        </is>
      </c>
      <c r="F2554" s="7" t="inlineStr">
        <is>
          <t>Technology</t>
        </is>
      </c>
      <c r="G2554" s="7" t="inlineStr">
        <is>
          <t>Smartphone</t>
        </is>
      </c>
      <c r="H2554" s="7" t="inlineStr">
        <is>
          <t>Consumer</t>
        </is>
      </c>
      <c r="I2554" s="7" t="n">
        <v>1</v>
      </c>
      <c r="J2554" s="10" t="n">
        <v>602.28</v>
      </c>
      <c r="K2554" s="11" t="n">
        <v>0.05</v>
      </c>
      <c r="L2554" s="10">
        <f>I2554*J2554*(1-K2554)</f>
        <v/>
      </c>
      <c r="M2554" s="10" t="n">
        <v>450</v>
      </c>
      <c r="N2554" s="10">
        <f>L2554-M2554</f>
        <v/>
      </c>
    </row>
    <row r="2555">
      <c r="A2555" s="7" t="inlineStr">
        <is>
          <t>ORD-04708</t>
        </is>
      </c>
      <c r="B2555" s="8" t="n">
        <v>45486</v>
      </c>
      <c r="C2555" s="9" t="n">
        <v>45474</v>
      </c>
      <c r="D2555" s="7" t="n">
        <v>2024</v>
      </c>
      <c r="E2555" s="7" t="inlineStr">
        <is>
          <t>East</t>
        </is>
      </c>
      <c r="F2555" s="7" t="inlineStr">
        <is>
          <t>Furniture</t>
        </is>
      </c>
      <c r="G2555" s="7" t="inlineStr">
        <is>
          <t>Office Chair</t>
        </is>
      </c>
      <c r="H2555" s="7" t="inlineStr">
        <is>
          <t>Consumer</t>
        </is>
      </c>
      <c r="I2555" s="7" t="n">
        <v>4</v>
      </c>
      <c r="J2555" s="10" t="n">
        <v>215.15</v>
      </c>
      <c r="K2555" s="11" t="n">
        <v>0.1</v>
      </c>
      <c r="L2555" s="10">
        <f>I2555*J2555*(1-K2555)</f>
        <v/>
      </c>
      <c r="M2555" s="10" t="n">
        <v>721.6</v>
      </c>
      <c r="N2555" s="10">
        <f>L2555-M2555</f>
        <v/>
      </c>
    </row>
    <row r="2556">
      <c r="A2556" s="7" t="inlineStr">
        <is>
          <t>ORD-01495</t>
        </is>
      </c>
      <c r="B2556" s="8" t="n">
        <v>45486</v>
      </c>
      <c r="C2556" s="9" t="n">
        <v>45474</v>
      </c>
      <c r="D2556" s="7" t="n">
        <v>2024</v>
      </c>
      <c r="E2556" s="7" t="inlineStr">
        <is>
          <t>North</t>
        </is>
      </c>
      <c r="F2556" s="7" t="inlineStr">
        <is>
          <t>Office Supplies</t>
        </is>
      </c>
      <c r="G2556" s="7" t="inlineStr">
        <is>
          <t>Stapler</t>
        </is>
      </c>
      <c r="H2556" s="7" t="inlineStr">
        <is>
          <t>Corporate</t>
        </is>
      </c>
      <c r="I2556" s="7" t="n">
        <v>11</v>
      </c>
      <c r="J2556" s="10" t="n">
        <v>15.55</v>
      </c>
      <c r="K2556" s="11" t="n">
        <v>0</v>
      </c>
      <c r="L2556" s="10">
        <f>I2556*J2556*(1-K2556)</f>
        <v/>
      </c>
      <c r="M2556" s="10" t="n">
        <v>82.5</v>
      </c>
      <c r="N2556" s="10">
        <f>L2556-M2556</f>
        <v/>
      </c>
    </row>
    <row r="2557">
      <c r="A2557" s="7" t="inlineStr">
        <is>
          <t>ORD-01380</t>
        </is>
      </c>
      <c r="B2557" s="8" t="n">
        <v>45487</v>
      </c>
      <c r="C2557" s="9" t="n">
        <v>45474</v>
      </c>
      <c r="D2557" s="7" t="n">
        <v>2024</v>
      </c>
      <c r="E2557" s="7" t="inlineStr">
        <is>
          <t>East</t>
        </is>
      </c>
      <c r="F2557" s="7" t="inlineStr">
        <is>
          <t>Office Supplies</t>
        </is>
      </c>
      <c r="G2557" s="7" t="inlineStr">
        <is>
          <t>Pens</t>
        </is>
      </c>
      <c r="H2557" s="7" t="inlineStr">
        <is>
          <t>Home Office</t>
        </is>
      </c>
      <c r="I2557" s="7" t="n">
        <v>12</v>
      </c>
      <c r="J2557" s="10" t="n">
        <v>11.64</v>
      </c>
      <c r="K2557" s="11" t="n">
        <v>0</v>
      </c>
      <c r="L2557" s="10">
        <f>I2557*J2557*(1-K2557)</f>
        <v/>
      </c>
      <c r="M2557" s="10" t="n">
        <v>64.8</v>
      </c>
      <c r="N2557" s="10">
        <f>L2557-M2557</f>
        <v/>
      </c>
    </row>
    <row r="2558">
      <c r="A2558" s="7" t="inlineStr">
        <is>
          <t>ORD-05609</t>
        </is>
      </c>
      <c r="B2558" s="8" t="n">
        <v>45487</v>
      </c>
      <c r="C2558" s="9" t="n">
        <v>45474</v>
      </c>
      <c r="D2558" s="7" t="n">
        <v>2024</v>
      </c>
      <c r="E2558" s="7" t="inlineStr">
        <is>
          <t>West</t>
        </is>
      </c>
      <c r="F2558" s="7" t="inlineStr">
        <is>
          <t>Office Supplies</t>
        </is>
      </c>
      <c r="G2558" s="7" t="inlineStr">
        <is>
          <t>Binder</t>
        </is>
      </c>
      <c r="H2558" s="7" t="inlineStr">
        <is>
          <t>Corporate</t>
        </is>
      </c>
      <c r="I2558" s="7" t="n">
        <v>7</v>
      </c>
      <c r="J2558" s="10" t="n">
        <v>7.9</v>
      </c>
      <c r="K2558" s="11" t="n">
        <v>0.05</v>
      </c>
      <c r="L2558" s="10">
        <f>I2558*J2558*(1-K2558)</f>
        <v/>
      </c>
      <c r="M2558" s="10" t="n">
        <v>22.4</v>
      </c>
      <c r="N2558" s="10">
        <f>L2558-M2558</f>
        <v/>
      </c>
    </row>
    <row r="2559">
      <c r="A2559" s="7" t="inlineStr">
        <is>
          <t>ORD-02260</t>
        </is>
      </c>
      <c r="B2559" s="8" t="n">
        <v>45487</v>
      </c>
      <c r="C2559" s="9" t="n">
        <v>45474</v>
      </c>
      <c r="D2559" s="7" t="n">
        <v>2024</v>
      </c>
      <c r="E2559" s="7" t="inlineStr">
        <is>
          <t>East</t>
        </is>
      </c>
      <c r="F2559" s="7" t="inlineStr">
        <is>
          <t>Office Supplies</t>
        </is>
      </c>
      <c r="G2559" s="7" t="inlineStr">
        <is>
          <t>Printer Ink</t>
        </is>
      </c>
      <c r="H2559" s="7" t="inlineStr">
        <is>
          <t>Home Office</t>
        </is>
      </c>
      <c r="I2559" s="7" t="n">
        <v>12</v>
      </c>
      <c r="J2559" s="10" t="n">
        <v>57.27</v>
      </c>
      <c r="K2559" s="11" t="n">
        <v>0</v>
      </c>
      <c r="L2559" s="10">
        <f>I2559*J2559*(1-K2559)</f>
        <v/>
      </c>
      <c r="M2559" s="10" t="n">
        <v>432</v>
      </c>
      <c r="N2559" s="10">
        <f>L2559-M2559</f>
        <v/>
      </c>
    </row>
    <row r="2560">
      <c r="A2560" s="7" t="inlineStr">
        <is>
          <t>ORD-05523</t>
        </is>
      </c>
      <c r="B2560" s="8" t="n">
        <v>45487</v>
      </c>
      <c r="C2560" s="9" t="n">
        <v>45474</v>
      </c>
      <c r="D2560" s="7" t="n">
        <v>2024</v>
      </c>
      <c r="E2560" s="7" t="inlineStr">
        <is>
          <t>North</t>
        </is>
      </c>
      <c r="F2560" s="7" t="inlineStr">
        <is>
          <t>Technology</t>
        </is>
      </c>
      <c r="G2560" s="7" t="inlineStr">
        <is>
          <t>Keyboard</t>
        </is>
      </c>
      <c r="H2560" s="7" t="inlineStr">
        <is>
          <t>Corporate</t>
        </is>
      </c>
      <c r="I2560" s="7" t="n">
        <v>3</v>
      </c>
      <c r="J2560" s="10" t="n">
        <v>45.09</v>
      </c>
      <c r="K2560" s="11" t="n">
        <v>0.2</v>
      </c>
      <c r="L2560" s="10">
        <f>I2560*J2560*(1-K2560)</f>
        <v/>
      </c>
      <c r="M2560" s="10" t="n">
        <v>74.25</v>
      </c>
      <c r="N2560" s="10">
        <f>L2560-M2560</f>
        <v/>
      </c>
    </row>
    <row r="2561">
      <c r="A2561" s="7" t="inlineStr">
        <is>
          <t>ORD-04844</t>
        </is>
      </c>
      <c r="B2561" s="8" t="n">
        <v>45487</v>
      </c>
      <c r="C2561" s="9" t="n">
        <v>45474</v>
      </c>
      <c r="D2561" s="7" t="n">
        <v>2024</v>
      </c>
      <c r="E2561" s="7" t="inlineStr">
        <is>
          <t>South</t>
        </is>
      </c>
      <c r="F2561" s="7" t="inlineStr">
        <is>
          <t>Office Supplies</t>
        </is>
      </c>
      <c r="G2561" s="7" t="inlineStr">
        <is>
          <t>Binder</t>
        </is>
      </c>
      <c r="H2561" s="7" t="inlineStr">
        <is>
          <t>Corporate</t>
        </is>
      </c>
      <c r="I2561" s="7" t="n">
        <v>15</v>
      </c>
      <c r="J2561" s="10" t="n">
        <v>7.65</v>
      </c>
      <c r="K2561" s="11" t="n">
        <v>0.2</v>
      </c>
      <c r="L2561" s="10">
        <f>I2561*J2561*(1-K2561)</f>
        <v/>
      </c>
      <c r="M2561" s="10" t="n">
        <v>48</v>
      </c>
      <c r="N2561" s="10">
        <f>L2561-M2561</f>
        <v/>
      </c>
    </row>
    <row r="2562">
      <c r="A2562" s="7" t="inlineStr">
        <is>
          <t>ORD-01609</t>
        </is>
      </c>
      <c r="B2562" s="8" t="n">
        <v>45488</v>
      </c>
      <c r="C2562" s="9" t="n">
        <v>45474</v>
      </c>
      <c r="D2562" s="7" t="n">
        <v>2024</v>
      </c>
      <c r="E2562" s="7" t="inlineStr">
        <is>
          <t>East</t>
        </is>
      </c>
      <c r="F2562" s="7" t="inlineStr">
        <is>
          <t>Technology</t>
        </is>
      </c>
      <c r="G2562" s="7" t="inlineStr">
        <is>
          <t>Keyboard</t>
        </is>
      </c>
      <c r="H2562" s="7" t="inlineStr">
        <is>
          <t>Consumer</t>
        </is>
      </c>
      <c r="I2562" s="7" t="n">
        <v>1</v>
      </c>
      <c r="J2562" s="10" t="n">
        <v>43.15</v>
      </c>
      <c r="K2562" s="11" t="n">
        <v>0.05</v>
      </c>
      <c r="L2562" s="10">
        <f>I2562*J2562*(1-K2562)</f>
        <v/>
      </c>
      <c r="M2562" s="10" t="n">
        <v>24.75</v>
      </c>
      <c r="N2562" s="10">
        <f>L2562-M2562</f>
        <v/>
      </c>
    </row>
    <row r="2563">
      <c r="A2563" s="7" t="inlineStr">
        <is>
          <t>ORD-03700</t>
        </is>
      </c>
      <c r="B2563" s="8" t="n">
        <v>45488</v>
      </c>
      <c r="C2563" s="9" t="n">
        <v>45474</v>
      </c>
      <c r="D2563" s="7" t="n">
        <v>2024</v>
      </c>
      <c r="E2563" s="7" t="inlineStr">
        <is>
          <t>West</t>
        </is>
      </c>
      <c r="F2563" s="7" t="inlineStr">
        <is>
          <t>Furniture</t>
        </is>
      </c>
      <c r="G2563" s="7" t="inlineStr">
        <is>
          <t>Sofa</t>
        </is>
      </c>
      <c r="H2563" s="7" t="inlineStr">
        <is>
          <t>Consumer</t>
        </is>
      </c>
      <c r="I2563" s="7" t="n">
        <v>4</v>
      </c>
      <c r="J2563" s="10" t="n">
        <v>713.62</v>
      </c>
      <c r="K2563" s="11" t="n">
        <v>0.1</v>
      </c>
      <c r="L2563" s="10">
        <f>I2563*J2563*(1-K2563)</f>
        <v/>
      </c>
      <c r="M2563" s="10" t="n">
        <v>2464</v>
      </c>
      <c r="N2563" s="10">
        <f>L2563-M2563</f>
        <v/>
      </c>
    </row>
    <row r="2564">
      <c r="A2564" s="7" t="inlineStr">
        <is>
          <t>ORD-05955</t>
        </is>
      </c>
      <c r="B2564" s="8" t="n">
        <v>45488</v>
      </c>
      <c r="C2564" s="9" t="n">
        <v>45474</v>
      </c>
      <c r="D2564" s="7" t="n">
        <v>2024</v>
      </c>
      <c r="E2564" s="7" t="inlineStr">
        <is>
          <t>North</t>
        </is>
      </c>
      <c r="F2564" s="7" t="inlineStr">
        <is>
          <t>Office Supplies</t>
        </is>
      </c>
      <c r="G2564" s="7" t="inlineStr">
        <is>
          <t>Paper</t>
        </is>
      </c>
      <c r="H2564" s="7" t="inlineStr">
        <is>
          <t>Home Office</t>
        </is>
      </c>
      <c r="I2564" s="7" t="n">
        <v>5</v>
      </c>
      <c r="J2564" s="10" t="n">
        <v>24.96</v>
      </c>
      <c r="K2564" s="11" t="n">
        <v>0.1</v>
      </c>
      <c r="L2564" s="10">
        <f>I2564*J2564*(1-K2564)</f>
        <v/>
      </c>
      <c r="M2564" s="10" t="n">
        <v>62.5</v>
      </c>
      <c r="N2564" s="10">
        <f>L2564-M2564</f>
        <v/>
      </c>
    </row>
    <row r="2565">
      <c r="A2565" s="7" t="inlineStr">
        <is>
          <t>ORD-01381</t>
        </is>
      </c>
      <c r="B2565" s="8" t="n">
        <v>45489</v>
      </c>
      <c r="C2565" s="9" t="n">
        <v>45474</v>
      </c>
      <c r="D2565" s="7" t="n">
        <v>2024</v>
      </c>
      <c r="E2565" s="7" t="inlineStr">
        <is>
          <t>East</t>
        </is>
      </c>
      <c r="F2565" s="7" t="inlineStr">
        <is>
          <t>Technology</t>
        </is>
      </c>
      <c r="G2565" s="7" t="inlineStr">
        <is>
          <t>Laptop</t>
        </is>
      </c>
      <c r="H2565" s="7" t="inlineStr">
        <is>
          <t>Consumer</t>
        </is>
      </c>
      <c r="I2565" s="7" t="n">
        <v>1</v>
      </c>
      <c r="J2565" s="10" t="n">
        <v>860.88</v>
      </c>
      <c r="K2565" s="11" t="n">
        <v>0.05</v>
      </c>
      <c r="L2565" s="10">
        <f>I2565*J2565*(1-K2565)</f>
        <v/>
      </c>
      <c r="M2565" s="10" t="n">
        <v>702</v>
      </c>
      <c r="N2565" s="10">
        <f>L2565-M2565</f>
        <v/>
      </c>
    </row>
    <row r="2566">
      <c r="A2566" s="7" t="inlineStr">
        <is>
          <t>ORD-04777</t>
        </is>
      </c>
      <c r="B2566" s="8" t="n">
        <v>45489</v>
      </c>
      <c r="C2566" s="9" t="n">
        <v>45474</v>
      </c>
      <c r="D2566" s="7" t="n">
        <v>2024</v>
      </c>
      <c r="E2566" s="7" t="inlineStr">
        <is>
          <t>North</t>
        </is>
      </c>
      <c r="F2566" s="7" t="inlineStr">
        <is>
          <t>Office Supplies</t>
        </is>
      </c>
      <c r="G2566" s="7" t="inlineStr">
        <is>
          <t>Binder</t>
        </is>
      </c>
      <c r="H2566" s="7" t="inlineStr">
        <is>
          <t>Corporate</t>
        </is>
      </c>
      <c r="I2566" s="7" t="n">
        <v>4</v>
      </c>
      <c r="J2566" s="10" t="n">
        <v>7.84</v>
      </c>
      <c r="K2566" s="11" t="n">
        <v>0</v>
      </c>
      <c r="L2566" s="10">
        <f>I2566*J2566*(1-K2566)</f>
        <v/>
      </c>
      <c r="M2566" s="10" t="n">
        <v>12.8</v>
      </c>
      <c r="N2566" s="10">
        <f>L2566-M2566</f>
        <v/>
      </c>
    </row>
    <row r="2567">
      <c r="A2567" s="7" t="inlineStr">
        <is>
          <t>ORD-03920</t>
        </is>
      </c>
      <c r="B2567" s="8" t="n">
        <v>45489</v>
      </c>
      <c r="C2567" s="9" t="n">
        <v>45474</v>
      </c>
      <c r="D2567" s="7" t="n">
        <v>2024</v>
      </c>
      <c r="E2567" s="7" t="inlineStr">
        <is>
          <t>North</t>
        </is>
      </c>
      <c r="F2567" s="7" t="inlineStr">
        <is>
          <t>Office Supplies</t>
        </is>
      </c>
      <c r="G2567" s="7" t="inlineStr">
        <is>
          <t>Stapler</t>
        </is>
      </c>
      <c r="H2567" s="7" t="inlineStr">
        <is>
          <t>Home Office</t>
        </is>
      </c>
      <c r="I2567" s="7" t="n">
        <v>3</v>
      </c>
      <c r="J2567" s="10" t="n">
        <v>15.42</v>
      </c>
      <c r="K2567" s="11" t="n">
        <v>0.3</v>
      </c>
      <c r="L2567" s="10">
        <f>I2567*J2567*(1-K2567)</f>
        <v/>
      </c>
      <c r="M2567" s="10" t="n">
        <v>22.5</v>
      </c>
      <c r="N2567" s="10">
        <f>L2567-M2567</f>
        <v/>
      </c>
    </row>
    <row r="2568">
      <c r="A2568" s="7" t="inlineStr">
        <is>
          <t>ORD-03815</t>
        </is>
      </c>
      <c r="B2568" s="8" t="n">
        <v>45489</v>
      </c>
      <c r="C2568" s="9" t="n">
        <v>45474</v>
      </c>
      <c r="D2568" s="7" t="n">
        <v>2024</v>
      </c>
      <c r="E2568" s="7" t="inlineStr">
        <is>
          <t>North</t>
        </is>
      </c>
      <c r="F2568" s="7" t="inlineStr">
        <is>
          <t>Office Supplies</t>
        </is>
      </c>
      <c r="G2568" s="7" t="inlineStr">
        <is>
          <t>Paper</t>
        </is>
      </c>
      <c r="H2568" s="7" t="inlineStr">
        <is>
          <t>Consumer</t>
        </is>
      </c>
      <c r="I2568" s="7" t="n">
        <v>14</v>
      </c>
      <c r="J2568" s="10" t="n">
        <v>24.47</v>
      </c>
      <c r="K2568" s="11" t="n">
        <v>0.3</v>
      </c>
      <c r="L2568" s="10">
        <f>I2568*J2568*(1-K2568)</f>
        <v/>
      </c>
      <c r="M2568" s="10" t="n">
        <v>175</v>
      </c>
      <c r="N2568" s="10">
        <f>L2568-M2568</f>
        <v/>
      </c>
    </row>
    <row r="2569">
      <c r="A2569" s="7" t="inlineStr">
        <is>
          <t>ORD-02308</t>
        </is>
      </c>
      <c r="B2569" s="8" t="n">
        <v>45489</v>
      </c>
      <c r="C2569" s="9" t="n">
        <v>45474</v>
      </c>
      <c r="D2569" s="7" t="n">
        <v>2024</v>
      </c>
      <c r="E2569" s="7" t="inlineStr">
        <is>
          <t>South</t>
        </is>
      </c>
      <c r="F2569" s="7" t="inlineStr">
        <is>
          <t>Technology</t>
        </is>
      </c>
      <c r="G2569" s="7" t="inlineStr">
        <is>
          <t>Keyboard</t>
        </is>
      </c>
      <c r="H2569" s="7" t="inlineStr">
        <is>
          <t>Home Office</t>
        </is>
      </c>
      <c r="I2569" s="7" t="n">
        <v>1</v>
      </c>
      <c r="J2569" s="10" t="n">
        <v>43.91</v>
      </c>
      <c r="K2569" s="11" t="n">
        <v>0</v>
      </c>
      <c r="L2569" s="10">
        <f>I2569*J2569*(1-K2569)</f>
        <v/>
      </c>
      <c r="M2569" s="10" t="n">
        <v>24.75</v>
      </c>
      <c r="N2569" s="10">
        <f>L2569-M2569</f>
        <v/>
      </c>
    </row>
    <row r="2570">
      <c r="A2570" s="7" t="inlineStr">
        <is>
          <t>ORD-01838</t>
        </is>
      </c>
      <c r="B2570" s="8" t="n">
        <v>45490</v>
      </c>
      <c r="C2570" s="9" t="n">
        <v>45474</v>
      </c>
      <c r="D2570" s="7" t="n">
        <v>2024</v>
      </c>
      <c r="E2570" s="7" t="inlineStr">
        <is>
          <t>South</t>
        </is>
      </c>
      <c r="F2570" s="7" t="inlineStr">
        <is>
          <t>Office Supplies</t>
        </is>
      </c>
      <c r="G2570" s="7" t="inlineStr">
        <is>
          <t>Paper</t>
        </is>
      </c>
      <c r="H2570" s="7" t="inlineStr">
        <is>
          <t>Consumer</t>
        </is>
      </c>
      <c r="I2570" s="7" t="n">
        <v>6</v>
      </c>
      <c r="J2570" s="10" t="n">
        <v>24.47</v>
      </c>
      <c r="K2570" s="11" t="n">
        <v>0</v>
      </c>
      <c r="L2570" s="10">
        <f>I2570*J2570*(1-K2570)</f>
        <v/>
      </c>
      <c r="M2570" s="10" t="n">
        <v>75</v>
      </c>
      <c r="N2570" s="10">
        <f>L2570-M2570</f>
        <v/>
      </c>
    </row>
    <row r="2571">
      <c r="A2571" s="7" t="inlineStr">
        <is>
          <t>ORD-03724</t>
        </is>
      </c>
      <c r="B2571" s="8" t="n">
        <v>45490</v>
      </c>
      <c r="C2571" s="9" t="n">
        <v>45474</v>
      </c>
      <c r="D2571" s="7" t="n">
        <v>2024</v>
      </c>
      <c r="E2571" s="7" t="inlineStr">
        <is>
          <t>East</t>
        </is>
      </c>
      <c r="F2571" s="7" t="inlineStr">
        <is>
          <t>Office Supplies</t>
        </is>
      </c>
      <c r="G2571" s="7" t="inlineStr">
        <is>
          <t>Stapler</t>
        </is>
      </c>
      <c r="H2571" s="7" t="inlineStr">
        <is>
          <t>Corporate</t>
        </is>
      </c>
      <c r="I2571" s="7" t="n">
        <v>11</v>
      </c>
      <c r="J2571" s="10" t="n">
        <v>15.59</v>
      </c>
      <c r="K2571" s="11" t="n">
        <v>0.1</v>
      </c>
      <c r="L2571" s="10">
        <f>I2571*J2571*(1-K2571)</f>
        <v/>
      </c>
      <c r="M2571" s="10" t="n">
        <v>82.5</v>
      </c>
      <c r="N2571" s="10">
        <f>L2571-M2571</f>
        <v/>
      </c>
    </row>
    <row r="2572">
      <c r="A2572" s="7" t="inlineStr">
        <is>
          <t>ORD-05123</t>
        </is>
      </c>
      <c r="B2572" s="8" t="n">
        <v>45490</v>
      </c>
      <c r="C2572" s="9" t="n">
        <v>45474</v>
      </c>
      <c r="D2572" s="7" t="n">
        <v>2024</v>
      </c>
      <c r="E2572" s="7" t="inlineStr">
        <is>
          <t>South</t>
        </is>
      </c>
      <c r="F2572" s="7" t="inlineStr">
        <is>
          <t>Technology</t>
        </is>
      </c>
      <c r="G2572" s="7" t="inlineStr">
        <is>
          <t>Smartphone</t>
        </is>
      </c>
      <c r="H2572" s="7" t="inlineStr">
        <is>
          <t>Corporate</t>
        </is>
      </c>
      <c r="I2572" s="7" t="n">
        <v>1</v>
      </c>
      <c r="J2572" s="10" t="n">
        <v>609.27</v>
      </c>
      <c r="K2572" s="11" t="n">
        <v>0.2</v>
      </c>
      <c r="L2572" s="10">
        <f>I2572*J2572*(1-K2572)</f>
        <v/>
      </c>
      <c r="M2572" s="10" t="n">
        <v>450</v>
      </c>
      <c r="N2572" s="10">
        <f>L2572-M2572</f>
        <v/>
      </c>
    </row>
    <row r="2573">
      <c r="A2573" s="7" t="inlineStr">
        <is>
          <t>ORD-01283</t>
        </is>
      </c>
      <c r="B2573" s="8" t="n">
        <v>45490</v>
      </c>
      <c r="C2573" s="9" t="n">
        <v>45474</v>
      </c>
      <c r="D2573" s="7" t="n">
        <v>2024</v>
      </c>
      <c r="E2573" s="7" t="inlineStr">
        <is>
          <t>West</t>
        </is>
      </c>
      <c r="F2573" s="7" t="inlineStr">
        <is>
          <t>Office Supplies</t>
        </is>
      </c>
      <c r="G2573" s="7" t="inlineStr">
        <is>
          <t>Pens</t>
        </is>
      </c>
      <c r="H2573" s="7" t="inlineStr">
        <is>
          <t>Home Office</t>
        </is>
      </c>
      <c r="I2573" s="7" t="n">
        <v>7</v>
      </c>
      <c r="J2573" s="10" t="n">
        <v>11.55</v>
      </c>
      <c r="K2573" s="11" t="n">
        <v>0</v>
      </c>
      <c r="L2573" s="10">
        <f>I2573*J2573*(1-K2573)</f>
        <v/>
      </c>
      <c r="M2573" s="10" t="n">
        <v>37.8</v>
      </c>
      <c r="N2573" s="10">
        <f>L2573-M2573</f>
        <v/>
      </c>
    </row>
    <row r="2574">
      <c r="A2574" s="7" t="inlineStr">
        <is>
          <t>ORD-04370</t>
        </is>
      </c>
      <c r="B2574" s="8" t="n">
        <v>45490</v>
      </c>
      <c r="C2574" s="9" t="n">
        <v>45474</v>
      </c>
      <c r="D2574" s="7" t="n">
        <v>2024</v>
      </c>
      <c r="E2574" s="7" t="inlineStr">
        <is>
          <t>North</t>
        </is>
      </c>
      <c r="F2574" s="7" t="inlineStr">
        <is>
          <t>Office Supplies</t>
        </is>
      </c>
      <c r="G2574" s="7" t="inlineStr">
        <is>
          <t>Printer Ink</t>
        </is>
      </c>
      <c r="H2574" s="7" t="inlineStr">
        <is>
          <t>Consumer</t>
        </is>
      </c>
      <c r="I2574" s="7" t="n">
        <v>5</v>
      </c>
      <c r="J2574" s="10" t="n">
        <v>60.51</v>
      </c>
      <c r="K2574" s="11" t="n">
        <v>0</v>
      </c>
      <c r="L2574" s="10">
        <f>I2574*J2574*(1-K2574)</f>
        <v/>
      </c>
      <c r="M2574" s="10" t="n">
        <v>180</v>
      </c>
      <c r="N2574" s="10">
        <f>L2574-M2574</f>
        <v/>
      </c>
    </row>
    <row r="2575">
      <c r="A2575" s="7" t="inlineStr">
        <is>
          <t>ORD-00748</t>
        </is>
      </c>
      <c r="B2575" s="8" t="n">
        <v>45490</v>
      </c>
      <c r="C2575" s="9" t="n">
        <v>45474</v>
      </c>
      <c r="D2575" s="7" t="n">
        <v>2024</v>
      </c>
      <c r="E2575" s="7" t="inlineStr">
        <is>
          <t>East</t>
        </is>
      </c>
      <c r="F2575" s="7" t="inlineStr">
        <is>
          <t>Furniture</t>
        </is>
      </c>
      <c r="G2575" s="7" t="inlineStr">
        <is>
          <t>Desk</t>
        </is>
      </c>
      <c r="H2575" s="7" t="inlineStr">
        <is>
          <t>Consumer</t>
        </is>
      </c>
      <c r="I2575" s="7" t="n">
        <v>1</v>
      </c>
      <c r="J2575" s="10" t="n">
        <v>442.88</v>
      </c>
      <c r="K2575" s="11" t="n">
        <v>0.05</v>
      </c>
      <c r="L2575" s="10">
        <f>I2575*J2575*(1-K2575)</f>
        <v/>
      </c>
      <c r="M2575" s="10" t="n">
        <v>382.5</v>
      </c>
      <c r="N2575" s="10">
        <f>L2575-M2575</f>
        <v/>
      </c>
    </row>
    <row r="2576">
      <c r="A2576" s="7" t="inlineStr">
        <is>
          <t>ORD-02858</t>
        </is>
      </c>
      <c r="B2576" s="8" t="n">
        <v>45490</v>
      </c>
      <c r="C2576" s="9" t="n">
        <v>45474</v>
      </c>
      <c r="D2576" s="7" t="n">
        <v>2024</v>
      </c>
      <c r="E2576" s="7" t="inlineStr">
        <is>
          <t>North</t>
        </is>
      </c>
      <c r="F2576" s="7" t="inlineStr">
        <is>
          <t>Technology</t>
        </is>
      </c>
      <c r="G2576" s="7" t="inlineStr">
        <is>
          <t>Headphones</t>
        </is>
      </c>
      <c r="H2576" s="7" t="inlineStr">
        <is>
          <t>Consumer</t>
        </is>
      </c>
      <c r="I2576" s="7" t="n">
        <v>1</v>
      </c>
      <c r="J2576" s="10" t="n">
        <v>121.81</v>
      </c>
      <c r="K2576" s="11" t="n">
        <v>0.05</v>
      </c>
      <c r="L2576" s="10">
        <f>I2576*J2576*(1-K2576)</f>
        <v/>
      </c>
      <c r="M2576" s="10" t="n">
        <v>72</v>
      </c>
      <c r="N2576" s="10">
        <f>L2576-M2576</f>
        <v/>
      </c>
    </row>
    <row r="2577">
      <c r="A2577" s="7" t="inlineStr">
        <is>
          <t>ORD-00497</t>
        </is>
      </c>
      <c r="B2577" s="8" t="n">
        <v>45490</v>
      </c>
      <c r="C2577" s="9" t="n">
        <v>45474</v>
      </c>
      <c r="D2577" s="7" t="n">
        <v>2024</v>
      </c>
      <c r="E2577" s="7" t="inlineStr">
        <is>
          <t>East</t>
        </is>
      </c>
      <c r="F2577" s="7" t="inlineStr">
        <is>
          <t>Technology</t>
        </is>
      </c>
      <c r="G2577" s="7" t="inlineStr">
        <is>
          <t>Smartphone</t>
        </is>
      </c>
      <c r="H2577" s="7" t="inlineStr">
        <is>
          <t>Consumer</t>
        </is>
      </c>
      <c r="I2577" s="7" t="n">
        <v>3</v>
      </c>
      <c r="J2577" s="10" t="n">
        <v>573.8099999999999</v>
      </c>
      <c r="K2577" s="11" t="n">
        <v>0</v>
      </c>
      <c r="L2577" s="10">
        <f>I2577*J2577*(1-K2577)</f>
        <v/>
      </c>
      <c r="M2577" s="10" t="n">
        <v>1350</v>
      </c>
      <c r="N2577" s="10">
        <f>L2577-M2577</f>
        <v/>
      </c>
    </row>
    <row r="2578">
      <c r="A2578" s="7" t="inlineStr">
        <is>
          <t>ORD-02852</t>
        </is>
      </c>
      <c r="B2578" s="8" t="n">
        <v>45490</v>
      </c>
      <c r="C2578" s="9" t="n">
        <v>45474</v>
      </c>
      <c r="D2578" s="7" t="n">
        <v>2024</v>
      </c>
      <c r="E2578" s="7" t="inlineStr">
        <is>
          <t>West</t>
        </is>
      </c>
      <c r="F2578" s="7" t="inlineStr">
        <is>
          <t>Office Supplies</t>
        </is>
      </c>
      <c r="G2578" s="7" t="inlineStr">
        <is>
          <t>Pens</t>
        </is>
      </c>
      <c r="H2578" s="7" t="inlineStr">
        <is>
          <t>Corporate</t>
        </is>
      </c>
      <c r="I2578" s="7" t="n">
        <v>5</v>
      </c>
      <c r="J2578" s="10" t="n">
        <v>12.23</v>
      </c>
      <c r="K2578" s="11" t="n">
        <v>0</v>
      </c>
      <c r="L2578" s="10">
        <f>I2578*J2578*(1-K2578)</f>
        <v/>
      </c>
      <c r="M2578" s="10" t="n">
        <v>27</v>
      </c>
      <c r="N2578" s="10">
        <f>L2578-M2578</f>
        <v/>
      </c>
    </row>
    <row r="2579">
      <c r="A2579" s="7" t="inlineStr">
        <is>
          <t>ORD-04517</t>
        </is>
      </c>
      <c r="B2579" s="8" t="n">
        <v>45490</v>
      </c>
      <c r="C2579" s="9" t="n">
        <v>45474</v>
      </c>
      <c r="D2579" s="7" t="n">
        <v>2024</v>
      </c>
      <c r="E2579" s="7" t="inlineStr">
        <is>
          <t>West</t>
        </is>
      </c>
      <c r="F2579" s="7" t="inlineStr">
        <is>
          <t>Office Supplies</t>
        </is>
      </c>
      <c r="G2579" s="7" t="inlineStr">
        <is>
          <t>Binder</t>
        </is>
      </c>
      <c r="H2579" s="7" t="inlineStr">
        <is>
          <t>Corporate</t>
        </is>
      </c>
      <c r="I2579" s="7" t="n">
        <v>14</v>
      </c>
      <c r="J2579" s="10" t="n">
        <v>8.32</v>
      </c>
      <c r="K2579" s="11" t="n">
        <v>0</v>
      </c>
      <c r="L2579" s="10">
        <f>I2579*J2579*(1-K2579)</f>
        <v/>
      </c>
      <c r="M2579" s="10" t="n">
        <v>44.8</v>
      </c>
      <c r="N2579" s="10">
        <f>L2579-M2579</f>
        <v/>
      </c>
    </row>
    <row r="2580">
      <c r="A2580" s="7" t="inlineStr">
        <is>
          <t>ORD-03476</t>
        </is>
      </c>
      <c r="B2580" s="8" t="n">
        <v>45491</v>
      </c>
      <c r="C2580" s="9" t="n">
        <v>45474</v>
      </c>
      <c r="D2580" s="7" t="n">
        <v>2024</v>
      </c>
      <c r="E2580" s="7" t="inlineStr">
        <is>
          <t>North</t>
        </is>
      </c>
      <c r="F2580" s="7" t="inlineStr">
        <is>
          <t>Technology</t>
        </is>
      </c>
      <c r="G2580" s="7" t="inlineStr">
        <is>
          <t>Monitor</t>
        </is>
      </c>
      <c r="H2580" s="7" t="inlineStr">
        <is>
          <t>Corporate</t>
        </is>
      </c>
      <c r="I2580" s="7" t="n">
        <v>2</v>
      </c>
      <c r="J2580" s="10" t="n">
        <v>238.33</v>
      </c>
      <c r="K2580" s="11" t="n">
        <v>0.05</v>
      </c>
      <c r="L2580" s="10">
        <f>I2580*J2580*(1-K2580)</f>
        <v/>
      </c>
      <c r="M2580" s="10" t="n">
        <v>360</v>
      </c>
      <c r="N2580" s="10">
        <f>L2580-M2580</f>
        <v/>
      </c>
    </row>
    <row r="2581">
      <c r="A2581" s="7" t="inlineStr">
        <is>
          <t>ORD-01610</t>
        </is>
      </c>
      <c r="B2581" s="8" t="n">
        <v>45491</v>
      </c>
      <c r="C2581" s="9" t="n">
        <v>45474</v>
      </c>
      <c r="D2581" s="7" t="n">
        <v>2024</v>
      </c>
      <c r="E2581" s="7" t="inlineStr">
        <is>
          <t>North</t>
        </is>
      </c>
      <c r="F2581" s="7" t="inlineStr">
        <is>
          <t>Technology</t>
        </is>
      </c>
      <c r="G2581" s="7" t="inlineStr">
        <is>
          <t>Headphones</t>
        </is>
      </c>
      <c r="H2581" s="7" t="inlineStr">
        <is>
          <t>Consumer</t>
        </is>
      </c>
      <c r="I2581" s="7" t="n">
        <v>1</v>
      </c>
      <c r="J2581" s="10" t="n">
        <v>115.64</v>
      </c>
      <c r="K2581" s="11" t="n">
        <v>0.2</v>
      </c>
      <c r="L2581" s="10">
        <f>I2581*J2581*(1-K2581)</f>
        <v/>
      </c>
      <c r="M2581" s="10" t="n">
        <v>72</v>
      </c>
      <c r="N2581" s="10">
        <f>L2581-M2581</f>
        <v/>
      </c>
    </row>
    <row r="2582">
      <c r="A2582" s="7" t="inlineStr">
        <is>
          <t>ORD-03969</t>
        </is>
      </c>
      <c r="B2582" s="8" t="n">
        <v>45491</v>
      </c>
      <c r="C2582" s="9" t="n">
        <v>45474</v>
      </c>
      <c r="D2582" s="7" t="n">
        <v>2024</v>
      </c>
      <c r="E2582" s="7" t="inlineStr">
        <is>
          <t>West</t>
        </is>
      </c>
      <c r="F2582" s="7" t="inlineStr">
        <is>
          <t>Furniture</t>
        </is>
      </c>
      <c r="G2582" s="7" t="inlineStr">
        <is>
          <t>Sofa</t>
        </is>
      </c>
      <c r="H2582" s="7" t="inlineStr">
        <is>
          <t>Consumer</t>
        </is>
      </c>
      <c r="I2582" s="7" t="n">
        <v>3</v>
      </c>
      <c r="J2582" s="10" t="n">
        <v>706.23</v>
      </c>
      <c r="K2582" s="11" t="n">
        <v>0.05</v>
      </c>
      <c r="L2582" s="10">
        <f>I2582*J2582*(1-K2582)</f>
        <v/>
      </c>
      <c r="M2582" s="10" t="n">
        <v>1848</v>
      </c>
      <c r="N2582" s="10">
        <f>L2582-M2582</f>
        <v/>
      </c>
    </row>
    <row r="2583">
      <c r="A2583" s="7" t="inlineStr">
        <is>
          <t>ORD-00119</t>
        </is>
      </c>
      <c r="B2583" s="8" t="n">
        <v>45491</v>
      </c>
      <c r="C2583" s="9" t="n">
        <v>45474</v>
      </c>
      <c r="D2583" s="7" t="n">
        <v>2024</v>
      </c>
      <c r="E2583" s="7" t="inlineStr">
        <is>
          <t>North</t>
        </is>
      </c>
      <c r="F2583" s="7" t="inlineStr">
        <is>
          <t>Furniture</t>
        </is>
      </c>
      <c r="G2583" s="7" t="inlineStr">
        <is>
          <t>Bookcase</t>
        </is>
      </c>
      <c r="H2583" s="7" t="inlineStr">
        <is>
          <t>Consumer</t>
        </is>
      </c>
      <c r="I2583" s="7" t="n">
        <v>2</v>
      </c>
      <c r="J2583" s="10" t="n">
        <v>173.62</v>
      </c>
      <c r="K2583" s="11" t="n">
        <v>0.2</v>
      </c>
      <c r="L2583" s="10">
        <f>I2583*J2583*(1-K2583)</f>
        <v/>
      </c>
      <c r="M2583" s="10" t="n">
        <v>288</v>
      </c>
      <c r="N2583" s="10">
        <f>L2583-M2583</f>
        <v/>
      </c>
    </row>
    <row r="2584">
      <c r="A2584" s="7" t="inlineStr">
        <is>
          <t>ORD-03526</t>
        </is>
      </c>
      <c r="B2584" s="8" t="n">
        <v>45491</v>
      </c>
      <c r="C2584" s="9" t="n">
        <v>45474</v>
      </c>
      <c r="D2584" s="7" t="n">
        <v>2024</v>
      </c>
      <c r="E2584" s="7" t="inlineStr">
        <is>
          <t>East</t>
        </is>
      </c>
      <c r="F2584" s="7" t="inlineStr">
        <is>
          <t>Office Supplies</t>
        </is>
      </c>
      <c r="G2584" s="7" t="inlineStr">
        <is>
          <t>Binder</t>
        </is>
      </c>
      <c r="H2584" s="7" t="inlineStr">
        <is>
          <t>Corporate</t>
        </is>
      </c>
      <c r="I2584" s="7" t="n">
        <v>7</v>
      </c>
      <c r="J2584" s="10" t="n">
        <v>7.85</v>
      </c>
      <c r="K2584" s="11" t="n">
        <v>0.05</v>
      </c>
      <c r="L2584" s="10">
        <f>I2584*J2584*(1-K2584)</f>
        <v/>
      </c>
      <c r="M2584" s="10" t="n">
        <v>22.4</v>
      </c>
      <c r="N2584" s="10">
        <f>L2584-M2584</f>
        <v/>
      </c>
    </row>
    <row r="2585">
      <c r="A2585" s="7" t="inlineStr">
        <is>
          <t>ORD-00722</t>
        </is>
      </c>
      <c r="B2585" s="8" t="n">
        <v>45492</v>
      </c>
      <c r="C2585" s="9" t="n">
        <v>45474</v>
      </c>
      <c r="D2585" s="7" t="n">
        <v>2024</v>
      </c>
      <c r="E2585" s="7" t="inlineStr">
        <is>
          <t>East</t>
        </is>
      </c>
      <c r="F2585" s="7" t="inlineStr">
        <is>
          <t>Office Supplies</t>
        </is>
      </c>
      <c r="G2585" s="7" t="inlineStr">
        <is>
          <t>Pens</t>
        </is>
      </c>
      <c r="H2585" s="7" t="inlineStr">
        <is>
          <t>Consumer</t>
        </is>
      </c>
      <c r="I2585" s="7" t="n">
        <v>10</v>
      </c>
      <c r="J2585" s="10" t="n">
        <v>11.85</v>
      </c>
      <c r="K2585" s="11" t="n">
        <v>0.05</v>
      </c>
      <c r="L2585" s="10">
        <f>I2585*J2585*(1-K2585)</f>
        <v/>
      </c>
      <c r="M2585" s="10" t="n">
        <v>54</v>
      </c>
      <c r="N2585" s="10">
        <f>L2585-M2585</f>
        <v/>
      </c>
    </row>
    <row r="2586">
      <c r="A2586" s="7" t="inlineStr">
        <is>
          <t>ORD-04871</t>
        </is>
      </c>
      <c r="B2586" s="8" t="n">
        <v>45492</v>
      </c>
      <c r="C2586" s="9" t="n">
        <v>45474</v>
      </c>
      <c r="D2586" s="7" t="n">
        <v>2024</v>
      </c>
      <c r="E2586" s="7" t="inlineStr">
        <is>
          <t>East</t>
        </is>
      </c>
      <c r="F2586" s="7" t="inlineStr">
        <is>
          <t>Office Supplies</t>
        </is>
      </c>
      <c r="G2586" s="7" t="inlineStr">
        <is>
          <t>Stapler</t>
        </is>
      </c>
      <c r="H2586" s="7" t="inlineStr">
        <is>
          <t>Home Office</t>
        </is>
      </c>
      <c r="I2586" s="7" t="n">
        <v>8</v>
      </c>
      <c r="J2586" s="10" t="n">
        <v>15.69</v>
      </c>
      <c r="K2586" s="11" t="n">
        <v>0.05</v>
      </c>
      <c r="L2586" s="10">
        <f>I2586*J2586*(1-K2586)</f>
        <v/>
      </c>
      <c r="M2586" s="10" t="n">
        <v>60</v>
      </c>
      <c r="N2586" s="10">
        <f>L2586-M2586</f>
        <v/>
      </c>
    </row>
    <row r="2587">
      <c r="A2587" s="7" t="inlineStr">
        <is>
          <t>ORD-02842</t>
        </is>
      </c>
      <c r="B2587" s="8" t="n">
        <v>45492</v>
      </c>
      <c r="C2587" s="9" t="n">
        <v>45474</v>
      </c>
      <c r="D2587" s="7" t="n">
        <v>2024</v>
      </c>
      <c r="E2587" s="7" t="inlineStr">
        <is>
          <t>West</t>
        </is>
      </c>
      <c r="F2587" s="7" t="inlineStr">
        <is>
          <t>Technology</t>
        </is>
      </c>
      <c r="G2587" s="7" t="inlineStr">
        <is>
          <t>Smartphone</t>
        </is>
      </c>
      <c r="H2587" s="7" t="inlineStr">
        <is>
          <t>Consumer</t>
        </is>
      </c>
      <c r="I2587" s="7" t="n">
        <v>1</v>
      </c>
      <c r="J2587" s="10" t="n">
        <v>600.6</v>
      </c>
      <c r="K2587" s="11" t="n">
        <v>0.05</v>
      </c>
      <c r="L2587" s="10">
        <f>I2587*J2587*(1-K2587)</f>
        <v/>
      </c>
      <c r="M2587" s="10" t="n">
        <v>450</v>
      </c>
      <c r="N2587" s="10">
        <f>L2587-M2587</f>
        <v/>
      </c>
    </row>
    <row r="2588">
      <c r="A2588" s="7" t="inlineStr">
        <is>
          <t>ORD-03290</t>
        </is>
      </c>
      <c r="B2588" s="8" t="n">
        <v>45492</v>
      </c>
      <c r="C2588" s="9" t="n">
        <v>45474</v>
      </c>
      <c r="D2588" s="7" t="n">
        <v>2024</v>
      </c>
      <c r="E2588" s="7" t="inlineStr">
        <is>
          <t>West</t>
        </is>
      </c>
      <c r="F2588" s="7" t="inlineStr">
        <is>
          <t>Office Supplies</t>
        </is>
      </c>
      <c r="G2588" s="7" t="inlineStr">
        <is>
          <t>Paper</t>
        </is>
      </c>
      <c r="H2588" s="7" t="inlineStr">
        <is>
          <t>Consumer</t>
        </is>
      </c>
      <c r="I2588" s="7" t="n">
        <v>8</v>
      </c>
      <c r="J2588" s="10" t="n">
        <v>25.53</v>
      </c>
      <c r="K2588" s="11" t="n">
        <v>0</v>
      </c>
      <c r="L2588" s="10">
        <f>I2588*J2588*(1-K2588)</f>
        <v/>
      </c>
      <c r="M2588" s="10" t="n">
        <v>100</v>
      </c>
      <c r="N2588" s="10">
        <f>L2588-M2588</f>
        <v/>
      </c>
    </row>
    <row r="2589">
      <c r="A2589" s="7" t="inlineStr">
        <is>
          <t>ORD-03322</t>
        </is>
      </c>
      <c r="B2589" s="8" t="n">
        <v>45493</v>
      </c>
      <c r="C2589" s="9" t="n">
        <v>45474</v>
      </c>
      <c r="D2589" s="7" t="n">
        <v>2024</v>
      </c>
      <c r="E2589" s="7" t="inlineStr">
        <is>
          <t>West</t>
        </is>
      </c>
      <c r="F2589" s="7" t="inlineStr">
        <is>
          <t>Furniture</t>
        </is>
      </c>
      <c r="G2589" s="7" t="inlineStr">
        <is>
          <t>Sofa</t>
        </is>
      </c>
      <c r="H2589" s="7" t="inlineStr">
        <is>
          <t>Corporate</t>
        </is>
      </c>
      <c r="I2589" s="7" t="n">
        <v>1</v>
      </c>
      <c r="J2589" s="10" t="n">
        <v>725.89</v>
      </c>
      <c r="K2589" s="11" t="n">
        <v>0.3</v>
      </c>
      <c r="L2589" s="10">
        <f>I2589*J2589*(1-K2589)</f>
        <v/>
      </c>
      <c r="M2589" s="10" t="n">
        <v>616</v>
      </c>
      <c r="N2589" s="10">
        <f>L2589-M2589</f>
        <v/>
      </c>
    </row>
    <row r="2590">
      <c r="A2590" s="7" t="inlineStr">
        <is>
          <t>ORD-02142</t>
        </is>
      </c>
      <c r="B2590" s="8" t="n">
        <v>45493</v>
      </c>
      <c r="C2590" s="9" t="n">
        <v>45474</v>
      </c>
      <c r="D2590" s="7" t="n">
        <v>2024</v>
      </c>
      <c r="E2590" s="7" t="inlineStr">
        <is>
          <t>West</t>
        </is>
      </c>
      <c r="F2590" s="7" t="inlineStr">
        <is>
          <t>Technology</t>
        </is>
      </c>
      <c r="G2590" s="7" t="inlineStr">
        <is>
          <t>Laptop</t>
        </is>
      </c>
      <c r="H2590" s="7" t="inlineStr">
        <is>
          <t>Consumer</t>
        </is>
      </c>
      <c r="I2590" s="7" t="n">
        <v>1</v>
      </c>
      <c r="J2590" s="10" t="n">
        <v>907.21</v>
      </c>
      <c r="K2590" s="11" t="n">
        <v>0.2</v>
      </c>
      <c r="L2590" s="10">
        <f>I2590*J2590*(1-K2590)</f>
        <v/>
      </c>
      <c r="M2590" s="10" t="n">
        <v>702</v>
      </c>
      <c r="N2590" s="10">
        <f>L2590-M2590</f>
        <v/>
      </c>
    </row>
    <row r="2591">
      <c r="A2591" s="7" t="inlineStr">
        <is>
          <t>ORD-00550</t>
        </is>
      </c>
      <c r="B2591" s="8" t="n">
        <v>45493</v>
      </c>
      <c r="C2591" s="9" t="n">
        <v>45474</v>
      </c>
      <c r="D2591" s="7" t="n">
        <v>2024</v>
      </c>
      <c r="E2591" s="7" t="inlineStr">
        <is>
          <t>West</t>
        </is>
      </c>
      <c r="F2591" s="7" t="inlineStr">
        <is>
          <t>Office Supplies</t>
        </is>
      </c>
      <c r="G2591" s="7" t="inlineStr">
        <is>
          <t>Binder</t>
        </is>
      </c>
      <c r="H2591" s="7" t="inlineStr">
        <is>
          <t>Consumer</t>
        </is>
      </c>
      <c r="I2591" s="7" t="n">
        <v>9</v>
      </c>
      <c r="J2591" s="10" t="n">
        <v>8.359999999999999</v>
      </c>
      <c r="K2591" s="11" t="n">
        <v>0.05</v>
      </c>
      <c r="L2591" s="10">
        <f>I2591*J2591*(1-K2591)</f>
        <v/>
      </c>
      <c r="M2591" s="10" t="n">
        <v>28.8</v>
      </c>
      <c r="N2591" s="10">
        <f>L2591-M2591</f>
        <v/>
      </c>
    </row>
    <row r="2592">
      <c r="A2592" s="7" t="inlineStr">
        <is>
          <t>ORD-05395</t>
        </is>
      </c>
      <c r="B2592" s="8" t="n">
        <v>45493</v>
      </c>
      <c r="C2592" s="9" t="n">
        <v>45474</v>
      </c>
      <c r="D2592" s="7" t="n">
        <v>2024</v>
      </c>
      <c r="E2592" s="7" t="inlineStr">
        <is>
          <t>North</t>
        </is>
      </c>
      <c r="F2592" s="7" t="inlineStr">
        <is>
          <t>Furniture</t>
        </is>
      </c>
      <c r="G2592" s="7" t="inlineStr">
        <is>
          <t>Office Chair</t>
        </is>
      </c>
      <c r="H2592" s="7" t="inlineStr">
        <is>
          <t>Corporate</t>
        </is>
      </c>
      <c r="I2592" s="7" t="n">
        <v>2</v>
      </c>
      <c r="J2592" s="10" t="n">
        <v>214.56</v>
      </c>
      <c r="K2592" s="11" t="n">
        <v>0.3</v>
      </c>
      <c r="L2592" s="10">
        <f>I2592*J2592*(1-K2592)</f>
        <v/>
      </c>
      <c r="M2592" s="10" t="n">
        <v>360.8</v>
      </c>
      <c r="N2592" s="10">
        <f>L2592-M2592</f>
        <v/>
      </c>
    </row>
    <row r="2593">
      <c r="A2593" s="7" t="inlineStr">
        <is>
          <t>ORD-01467</t>
        </is>
      </c>
      <c r="B2593" s="8" t="n">
        <v>45494</v>
      </c>
      <c r="C2593" s="9" t="n">
        <v>45474</v>
      </c>
      <c r="D2593" s="7" t="n">
        <v>2024</v>
      </c>
      <c r="E2593" s="7" t="inlineStr">
        <is>
          <t>West</t>
        </is>
      </c>
      <c r="F2593" s="7" t="inlineStr">
        <is>
          <t>Technology</t>
        </is>
      </c>
      <c r="G2593" s="7" t="inlineStr">
        <is>
          <t>Keyboard</t>
        </is>
      </c>
      <c r="H2593" s="7" t="inlineStr">
        <is>
          <t>Consumer</t>
        </is>
      </c>
      <c r="I2593" s="7" t="n">
        <v>3</v>
      </c>
      <c r="J2593" s="10" t="n">
        <v>43.55</v>
      </c>
      <c r="K2593" s="11" t="n">
        <v>0</v>
      </c>
      <c r="L2593" s="10">
        <f>I2593*J2593*(1-K2593)</f>
        <v/>
      </c>
      <c r="M2593" s="10" t="n">
        <v>74.25</v>
      </c>
      <c r="N2593" s="10">
        <f>L2593-M2593</f>
        <v/>
      </c>
    </row>
    <row r="2594">
      <c r="A2594" s="7" t="inlineStr">
        <is>
          <t>ORD-04149</t>
        </is>
      </c>
      <c r="B2594" s="8" t="n">
        <v>45494</v>
      </c>
      <c r="C2594" s="9" t="n">
        <v>45474</v>
      </c>
      <c r="D2594" s="7" t="n">
        <v>2024</v>
      </c>
      <c r="E2594" s="7" t="inlineStr">
        <is>
          <t>East</t>
        </is>
      </c>
      <c r="F2594" s="7" t="inlineStr">
        <is>
          <t>Office Supplies</t>
        </is>
      </c>
      <c r="G2594" s="7" t="inlineStr">
        <is>
          <t>Paper</t>
        </is>
      </c>
      <c r="H2594" s="7" t="inlineStr">
        <is>
          <t>Consumer</t>
        </is>
      </c>
      <c r="I2594" s="7" t="n">
        <v>4</v>
      </c>
      <c r="J2594" s="10" t="n">
        <v>26.1</v>
      </c>
      <c r="K2594" s="11" t="n">
        <v>0</v>
      </c>
      <c r="L2594" s="10">
        <f>I2594*J2594*(1-K2594)</f>
        <v/>
      </c>
      <c r="M2594" s="10" t="n">
        <v>50</v>
      </c>
      <c r="N2594" s="10">
        <f>L2594-M2594</f>
        <v/>
      </c>
    </row>
    <row r="2595">
      <c r="A2595" s="7" t="inlineStr">
        <is>
          <t>ORD-05649</t>
        </is>
      </c>
      <c r="B2595" s="8" t="n">
        <v>45494</v>
      </c>
      <c r="C2595" s="9" t="n">
        <v>45474</v>
      </c>
      <c r="D2595" s="7" t="n">
        <v>2024</v>
      </c>
      <c r="E2595" s="7" t="inlineStr">
        <is>
          <t>East</t>
        </is>
      </c>
      <c r="F2595" s="7" t="inlineStr">
        <is>
          <t>Technology</t>
        </is>
      </c>
      <c r="G2595" s="7" t="inlineStr">
        <is>
          <t>Headphones</t>
        </is>
      </c>
      <c r="H2595" s="7" t="inlineStr">
        <is>
          <t>Consumer</t>
        </is>
      </c>
      <c r="I2595" s="7" t="n">
        <v>3</v>
      </c>
      <c r="J2595" s="10" t="n">
        <v>116.82</v>
      </c>
      <c r="K2595" s="11" t="n">
        <v>0</v>
      </c>
      <c r="L2595" s="10">
        <f>I2595*J2595*(1-K2595)</f>
        <v/>
      </c>
      <c r="M2595" s="10" t="n">
        <v>216</v>
      </c>
      <c r="N2595" s="10">
        <f>L2595-M2595</f>
        <v/>
      </c>
    </row>
    <row r="2596">
      <c r="A2596" s="7" t="inlineStr">
        <is>
          <t>ORD-00177</t>
        </is>
      </c>
      <c r="B2596" s="8" t="n">
        <v>45494</v>
      </c>
      <c r="C2596" s="9" t="n">
        <v>45474</v>
      </c>
      <c r="D2596" s="7" t="n">
        <v>2024</v>
      </c>
      <c r="E2596" s="7" t="inlineStr">
        <is>
          <t>South</t>
        </is>
      </c>
      <c r="F2596" s="7" t="inlineStr">
        <is>
          <t>Technology</t>
        </is>
      </c>
      <c r="G2596" s="7" t="inlineStr">
        <is>
          <t>Laptop</t>
        </is>
      </c>
      <c r="H2596" s="7" t="inlineStr">
        <is>
          <t>Consumer</t>
        </is>
      </c>
      <c r="I2596" s="7" t="n">
        <v>2</v>
      </c>
      <c r="J2596" s="10" t="n">
        <v>915.75</v>
      </c>
      <c r="K2596" s="11" t="n">
        <v>0</v>
      </c>
      <c r="L2596" s="10">
        <f>I2596*J2596*(1-K2596)</f>
        <v/>
      </c>
      <c r="M2596" s="10" t="n">
        <v>1404</v>
      </c>
      <c r="N2596" s="10">
        <f>L2596-M2596</f>
        <v/>
      </c>
    </row>
    <row r="2597">
      <c r="A2597" s="7" t="inlineStr">
        <is>
          <t>ORD-00962</t>
        </is>
      </c>
      <c r="B2597" s="8" t="n">
        <v>45494</v>
      </c>
      <c r="C2597" s="9" t="n">
        <v>45474</v>
      </c>
      <c r="D2597" s="7" t="n">
        <v>2024</v>
      </c>
      <c r="E2597" s="7" t="inlineStr">
        <is>
          <t>West</t>
        </is>
      </c>
      <c r="F2597" s="7" t="inlineStr">
        <is>
          <t>Technology</t>
        </is>
      </c>
      <c r="G2597" s="7" t="inlineStr">
        <is>
          <t>Headphones</t>
        </is>
      </c>
      <c r="H2597" s="7" t="inlineStr">
        <is>
          <t>Corporate</t>
        </is>
      </c>
      <c r="I2597" s="7" t="n">
        <v>3</v>
      </c>
      <c r="J2597" s="10" t="n">
        <v>117</v>
      </c>
      <c r="K2597" s="11" t="n">
        <v>0.2</v>
      </c>
      <c r="L2597" s="10">
        <f>I2597*J2597*(1-K2597)</f>
        <v/>
      </c>
      <c r="M2597" s="10" t="n">
        <v>216</v>
      </c>
      <c r="N2597" s="10">
        <f>L2597-M2597</f>
        <v/>
      </c>
    </row>
    <row r="2598">
      <c r="A2598" s="7" t="inlineStr">
        <is>
          <t>ORD-02819</t>
        </is>
      </c>
      <c r="B2598" s="8" t="n">
        <v>45494</v>
      </c>
      <c r="C2598" s="9" t="n">
        <v>45474</v>
      </c>
      <c r="D2598" s="7" t="n">
        <v>2024</v>
      </c>
      <c r="E2598" s="7" t="inlineStr">
        <is>
          <t>South</t>
        </is>
      </c>
      <c r="F2598" s="7" t="inlineStr">
        <is>
          <t>Office Supplies</t>
        </is>
      </c>
      <c r="G2598" s="7" t="inlineStr">
        <is>
          <t>Binder</t>
        </is>
      </c>
      <c r="H2598" s="7" t="inlineStr">
        <is>
          <t>Corporate</t>
        </is>
      </c>
      <c r="I2598" s="7" t="n">
        <v>8</v>
      </c>
      <c r="J2598" s="10" t="n">
        <v>8.220000000000001</v>
      </c>
      <c r="K2598" s="11" t="n">
        <v>0</v>
      </c>
      <c r="L2598" s="10">
        <f>I2598*J2598*(1-K2598)</f>
        <v/>
      </c>
      <c r="M2598" s="10" t="n">
        <v>25.6</v>
      </c>
      <c r="N2598" s="10">
        <f>L2598-M2598</f>
        <v/>
      </c>
    </row>
    <row r="2599">
      <c r="A2599" s="7" t="inlineStr">
        <is>
          <t>ORD-04597</t>
        </is>
      </c>
      <c r="B2599" s="8" t="n">
        <v>45494</v>
      </c>
      <c r="C2599" s="9" t="n">
        <v>45474</v>
      </c>
      <c r="D2599" s="7" t="n">
        <v>2024</v>
      </c>
      <c r="E2599" s="7" t="inlineStr">
        <is>
          <t>West</t>
        </is>
      </c>
      <c r="F2599" s="7" t="inlineStr">
        <is>
          <t>Technology</t>
        </is>
      </c>
      <c r="G2599" s="7" t="inlineStr">
        <is>
          <t>Laptop</t>
        </is>
      </c>
      <c r="H2599" s="7" t="inlineStr">
        <is>
          <t>Consumer</t>
        </is>
      </c>
      <c r="I2599" s="7" t="n">
        <v>3</v>
      </c>
      <c r="J2599" s="10" t="n">
        <v>944.5</v>
      </c>
      <c r="K2599" s="11" t="n">
        <v>0.05</v>
      </c>
      <c r="L2599" s="10">
        <f>I2599*J2599*(1-K2599)</f>
        <v/>
      </c>
      <c r="M2599" s="10" t="n">
        <v>2106</v>
      </c>
      <c r="N2599" s="10">
        <f>L2599-M2599</f>
        <v/>
      </c>
    </row>
    <row r="2600">
      <c r="A2600" s="7" t="inlineStr">
        <is>
          <t>ORD-05027</t>
        </is>
      </c>
      <c r="B2600" s="8" t="n">
        <v>45494</v>
      </c>
      <c r="C2600" s="9" t="n">
        <v>45474</v>
      </c>
      <c r="D2600" s="7" t="n">
        <v>2024</v>
      </c>
      <c r="E2600" s="7" t="inlineStr">
        <is>
          <t>West</t>
        </is>
      </c>
      <c r="F2600" s="7" t="inlineStr">
        <is>
          <t>Technology</t>
        </is>
      </c>
      <c r="G2600" s="7" t="inlineStr">
        <is>
          <t>Headphones</t>
        </is>
      </c>
      <c r="H2600" s="7" t="inlineStr">
        <is>
          <t>Home Office</t>
        </is>
      </c>
      <c r="I2600" s="7" t="n">
        <v>3</v>
      </c>
      <c r="J2600" s="10" t="n">
        <v>125.18</v>
      </c>
      <c r="K2600" s="11" t="n">
        <v>0</v>
      </c>
      <c r="L2600" s="10">
        <f>I2600*J2600*(1-K2600)</f>
        <v/>
      </c>
      <c r="M2600" s="10" t="n">
        <v>216</v>
      </c>
      <c r="N2600" s="10">
        <f>L2600-M2600</f>
        <v/>
      </c>
    </row>
    <row r="2601">
      <c r="A2601" s="7" t="inlineStr">
        <is>
          <t>ORD-01159</t>
        </is>
      </c>
      <c r="B2601" s="8" t="n">
        <v>45496</v>
      </c>
      <c r="C2601" s="9" t="n">
        <v>45474</v>
      </c>
      <c r="D2601" s="7" t="n">
        <v>2024</v>
      </c>
      <c r="E2601" s="7" t="inlineStr">
        <is>
          <t>West</t>
        </is>
      </c>
      <c r="F2601" s="7" t="inlineStr">
        <is>
          <t>Technology</t>
        </is>
      </c>
      <c r="G2601" s="7" t="inlineStr">
        <is>
          <t>Monitor</t>
        </is>
      </c>
      <c r="H2601" s="7" t="inlineStr">
        <is>
          <t>Home Office</t>
        </is>
      </c>
      <c r="I2601" s="7" t="n">
        <v>1</v>
      </c>
      <c r="J2601" s="10" t="n">
        <v>252.12</v>
      </c>
      <c r="K2601" s="11" t="n">
        <v>0</v>
      </c>
      <c r="L2601" s="10">
        <f>I2601*J2601*(1-K2601)</f>
        <v/>
      </c>
      <c r="M2601" s="10" t="n">
        <v>180</v>
      </c>
      <c r="N2601" s="10">
        <f>L2601-M2601</f>
        <v/>
      </c>
    </row>
    <row r="2602">
      <c r="A2602" s="7" t="inlineStr">
        <is>
          <t>ORD-04801</t>
        </is>
      </c>
      <c r="B2602" s="8" t="n">
        <v>45496</v>
      </c>
      <c r="C2602" s="9" t="n">
        <v>45474</v>
      </c>
      <c r="D2602" s="7" t="n">
        <v>2024</v>
      </c>
      <c r="E2602" s="7" t="inlineStr">
        <is>
          <t>West</t>
        </is>
      </c>
      <c r="F2602" s="7" t="inlineStr">
        <is>
          <t>Technology</t>
        </is>
      </c>
      <c r="G2602" s="7" t="inlineStr">
        <is>
          <t>Keyboard</t>
        </is>
      </c>
      <c r="H2602" s="7" t="inlineStr">
        <is>
          <t>Consumer</t>
        </is>
      </c>
      <c r="I2602" s="7" t="n">
        <v>2</v>
      </c>
      <c r="J2602" s="10" t="n">
        <v>47.06</v>
      </c>
      <c r="K2602" s="11" t="n">
        <v>0</v>
      </c>
      <c r="L2602" s="10">
        <f>I2602*J2602*(1-K2602)</f>
        <v/>
      </c>
      <c r="M2602" s="10" t="n">
        <v>49.5</v>
      </c>
      <c r="N2602" s="10">
        <f>L2602-M2602</f>
        <v/>
      </c>
    </row>
    <row r="2603">
      <c r="A2603" s="7" t="inlineStr">
        <is>
          <t>ORD-02305</t>
        </is>
      </c>
      <c r="B2603" s="8" t="n">
        <v>45496</v>
      </c>
      <c r="C2603" s="9" t="n">
        <v>45474</v>
      </c>
      <c r="D2603" s="7" t="n">
        <v>2024</v>
      </c>
      <c r="E2603" s="7" t="inlineStr">
        <is>
          <t>South</t>
        </is>
      </c>
      <c r="F2603" s="7" t="inlineStr">
        <is>
          <t>Office Supplies</t>
        </is>
      </c>
      <c r="G2603" s="7" t="inlineStr">
        <is>
          <t>Binder</t>
        </is>
      </c>
      <c r="H2603" s="7" t="inlineStr">
        <is>
          <t>Home Office</t>
        </is>
      </c>
      <c r="I2603" s="7" t="n">
        <v>10</v>
      </c>
      <c r="J2603" s="10" t="n">
        <v>7.63</v>
      </c>
      <c r="K2603" s="11" t="n">
        <v>0</v>
      </c>
      <c r="L2603" s="10">
        <f>I2603*J2603*(1-K2603)</f>
        <v/>
      </c>
      <c r="M2603" s="10" t="n">
        <v>32</v>
      </c>
      <c r="N2603" s="10">
        <f>L2603-M2603</f>
        <v/>
      </c>
    </row>
    <row r="2604">
      <c r="A2604" s="7" t="inlineStr">
        <is>
          <t>ORD-04809</t>
        </is>
      </c>
      <c r="B2604" s="8" t="n">
        <v>45496</v>
      </c>
      <c r="C2604" s="9" t="n">
        <v>45474</v>
      </c>
      <c r="D2604" s="7" t="n">
        <v>2024</v>
      </c>
      <c r="E2604" s="7" t="inlineStr">
        <is>
          <t>West</t>
        </is>
      </c>
      <c r="F2604" s="7" t="inlineStr">
        <is>
          <t>Furniture</t>
        </is>
      </c>
      <c r="G2604" s="7" t="inlineStr">
        <is>
          <t>Office Chair</t>
        </is>
      </c>
      <c r="H2604" s="7" t="inlineStr">
        <is>
          <t>Corporate</t>
        </is>
      </c>
      <c r="I2604" s="7" t="n">
        <v>1</v>
      </c>
      <c r="J2604" s="10" t="n">
        <v>226.11</v>
      </c>
      <c r="K2604" s="11" t="n">
        <v>0.1</v>
      </c>
      <c r="L2604" s="10">
        <f>I2604*J2604*(1-K2604)</f>
        <v/>
      </c>
      <c r="M2604" s="10" t="n">
        <v>180.4</v>
      </c>
      <c r="N2604" s="10">
        <f>L2604-M2604</f>
        <v/>
      </c>
    </row>
    <row r="2605">
      <c r="A2605" s="7" t="inlineStr">
        <is>
          <t>ORD-01477</t>
        </is>
      </c>
      <c r="B2605" s="8" t="n">
        <v>45496</v>
      </c>
      <c r="C2605" s="9" t="n">
        <v>45474</v>
      </c>
      <c r="D2605" s="7" t="n">
        <v>2024</v>
      </c>
      <c r="E2605" s="7" t="inlineStr">
        <is>
          <t>East</t>
        </is>
      </c>
      <c r="F2605" s="7" t="inlineStr">
        <is>
          <t>Office Supplies</t>
        </is>
      </c>
      <c r="G2605" s="7" t="inlineStr">
        <is>
          <t>Binder</t>
        </is>
      </c>
      <c r="H2605" s="7" t="inlineStr">
        <is>
          <t>Consumer</t>
        </is>
      </c>
      <c r="I2605" s="7" t="n">
        <v>4</v>
      </c>
      <c r="J2605" s="10" t="n">
        <v>8.24</v>
      </c>
      <c r="K2605" s="11" t="n">
        <v>0.3</v>
      </c>
      <c r="L2605" s="10">
        <f>I2605*J2605*(1-K2605)</f>
        <v/>
      </c>
      <c r="M2605" s="10" t="n">
        <v>12.8</v>
      </c>
      <c r="N2605" s="10">
        <f>L2605-M2605</f>
        <v/>
      </c>
    </row>
    <row r="2606">
      <c r="A2606" s="7" t="inlineStr">
        <is>
          <t>ORD-00070</t>
        </is>
      </c>
      <c r="B2606" s="8" t="n">
        <v>45496</v>
      </c>
      <c r="C2606" s="9" t="n">
        <v>45474</v>
      </c>
      <c r="D2606" s="7" t="n">
        <v>2024</v>
      </c>
      <c r="E2606" s="7" t="inlineStr">
        <is>
          <t>West</t>
        </is>
      </c>
      <c r="F2606" s="7" t="inlineStr">
        <is>
          <t>Technology</t>
        </is>
      </c>
      <c r="G2606" s="7" t="inlineStr">
        <is>
          <t>Keyboard</t>
        </is>
      </c>
      <c r="H2606" s="7" t="inlineStr">
        <is>
          <t>Corporate</t>
        </is>
      </c>
      <c r="I2606" s="7" t="n">
        <v>2</v>
      </c>
      <c r="J2606" s="10" t="n">
        <v>43.47</v>
      </c>
      <c r="K2606" s="11" t="n">
        <v>0</v>
      </c>
      <c r="L2606" s="10">
        <f>I2606*J2606*(1-K2606)</f>
        <v/>
      </c>
      <c r="M2606" s="10" t="n">
        <v>49.5</v>
      </c>
      <c r="N2606" s="10">
        <f>L2606-M2606</f>
        <v/>
      </c>
    </row>
    <row r="2607">
      <c r="A2607" s="7" t="inlineStr">
        <is>
          <t>ORD-02439</t>
        </is>
      </c>
      <c r="B2607" s="8" t="n">
        <v>45497</v>
      </c>
      <c r="C2607" s="9" t="n">
        <v>45474</v>
      </c>
      <c r="D2607" s="7" t="n">
        <v>2024</v>
      </c>
      <c r="E2607" s="7" t="inlineStr">
        <is>
          <t>North</t>
        </is>
      </c>
      <c r="F2607" s="7" t="inlineStr">
        <is>
          <t>Furniture</t>
        </is>
      </c>
      <c r="G2607" s="7" t="inlineStr">
        <is>
          <t>Bookcase</t>
        </is>
      </c>
      <c r="H2607" s="7" t="inlineStr">
        <is>
          <t>Consumer</t>
        </is>
      </c>
      <c r="I2607" s="7" t="n">
        <v>1</v>
      </c>
      <c r="J2607" s="10" t="n">
        <v>188.45</v>
      </c>
      <c r="K2607" s="11" t="n">
        <v>0.3</v>
      </c>
      <c r="L2607" s="10">
        <f>I2607*J2607*(1-K2607)</f>
        <v/>
      </c>
      <c r="M2607" s="10" t="n">
        <v>144</v>
      </c>
      <c r="N2607" s="10">
        <f>L2607-M2607</f>
        <v/>
      </c>
    </row>
    <row r="2608">
      <c r="A2608" s="7" t="inlineStr">
        <is>
          <t>ORD-03858</t>
        </is>
      </c>
      <c r="B2608" s="8" t="n">
        <v>45497</v>
      </c>
      <c r="C2608" s="9" t="n">
        <v>45474</v>
      </c>
      <c r="D2608" s="7" t="n">
        <v>2024</v>
      </c>
      <c r="E2608" s="7" t="inlineStr">
        <is>
          <t>South</t>
        </is>
      </c>
      <c r="F2608" s="7" t="inlineStr">
        <is>
          <t>Technology</t>
        </is>
      </c>
      <c r="G2608" s="7" t="inlineStr">
        <is>
          <t>Headphones</t>
        </is>
      </c>
      <c r="H2608" s="7" t="inlineStr">
        <is>
          <t>Consumer</t>
        </is>
      </c>
      <c r="I2608" s="7" t="n">
        <v>1</v>
      </c>
      <c r="J2608" s="10" t="n">
        <v>123.06</v>
      </c>
      <c r="K2608" s="11" t="n">
        <v>0.1</v>
      </c>
      <c r="L2608" s="10">
        <f>I2608*J2608*(1-K2608)</f>
        <v/>
      </c>
      <c r="M2608" s="10" t="n">
        <v>72</v>
      </c>
      <c r="N2608" s="10">
        <f>L2608-M2608</f>
        <v/>
      </c>
    </row>
    <row r="2609">
      <c r="A2609" s="7" t="inlineStr">
        <is>
          <t>ORD-05020</t>
        </is>
      </c>
      <c r="B2609" s="8" t="n">
        <v>45497</v>
      </c>
      <c r="C2609" s="9" t="n">
        <v>45474</v>
      </c>
      <c r="D2609" s="7" t="n">
        <v>2024</v>
      </c>
      <c r="E2609" s="7" t="inlineStr">
        <is>
          <t>South</t>
        </is>
      </c>
      <c r="F2609" s="7" t="inlineStr">
        <is>
          <t>Furniture</t>
        </is>
      </c>
      <c r="G2609" s="7" t="inlineStr">
        <is>
          <t>Office Chair</t>
        </is>
      </c>
      <c r="H2609" s="7" t="inlineStr">
        <is>
          <t>Consumer</t>
        </is>
      </c>
      <c r="I2609" s="7" t="n">
        <v>4</v>
      </c>
      <c r="J2609" s="10" t="n">
        <v>223.58</v>
      </c>
      <c r="K2609" s="11" t="n">
        <v>0.3</v>
      </c>
      <c r="L2609" s="10">
        <f>I2609*J2609*(1-K2609)</f>
        <v/>
      </c>
      <c r="M2609" s="10" t="n">
        <v>721.6</v>
      </c>
      <c r="N2609" s="10">
        <f>L2609-M2609</f>
        <v/>
      </c>
    </row>
    <row r="2610">
      <c r="A2610" s="7" t="inlineStr">
        <is>
          <t>ORD-02542</t>
        </is>
      </c>
      <c r="B2610" s="8" t="n">
        <v>45497</v>
      </c>
      <c r="C2610" s="9" t="n">
        <v>45474</v>
      </c>
      <c r="D2610" s="7" t="n">
        <v>2024</v>
      </c>
      <c r="E2610" s="7" t="inlineStr">
        <is>
          <t>West</t>
        </is>
      </c>
      <c r="F2610" s="7" t="inlineStr">
        <is>
          <t>Furniture</t>
        </is>
      </c>
      <c r="G2610" s="7" t="inlineStr">
        <is>
          <t>Bookcase</t>
        </is>
      </c>
      <c r="H2610" s="7" t="inlineStr">
        <is>
          <t>Home Office</t>
        </is>
      </c>
      <c r="I2610" s="7" t="n">
        <v>4</v>
      </c>
      <c r="J2610" s="10" t="n">
        <v>181.36</v>
      </c>
      <c r="K2610" s="11" t="n">
        <v>0.05</v>
      </c>
      <c r="L2610" s="10">
        <f>I2610*J2610*(1-K2610)</f>
        <v/>
      </c>
      <c r="M2610" s="10" t="n">
        <v>576</v>
      </c>
      <c r="N2610" s="10">
        <f>L2610-M2610</f>
        <v/>
      </c>
    </row>
    <row r="2611">
      <c r="A2611" s="7" t="inlineStr">
        <is>
          <t>ORD-05239</t>
        </is>
      </c>
      <c r="B2611" s="8" t="n">
        <v>45497</v>
      </c>
      <c r="C2611" s="9" t="n">
        <v>45474</v>
      </c>
      <c r="D2611" s="7" t="n">
        <v>2024</v>
      </c>
      <c r="E2611" s="7" t="inlineStr">
        <is>
          <t>South</t>
        </is>
      </c>
      <c r="F2611" s="7" t="inlineStr">
        <is>
          <t>Office Supplies</t>
        </is>
      </c>
      <c r="G2611" s="7" t="inlineStr">
        <is>
          <t>Printer Ink</t>
        </is>
      </c>
      <c r="H2611" s="7" t="inlineStr">
        <is>
          <t>Consumer</t>
        </is>
      </c>
      <c r="I2611" s="7" t="n">
        <v>2</v>
      </c>
      <c r="J2611" s="10" t="n">
        <v>60.14</v>
      </c>
      <c r="K2611" s="11" t="n">
        <v>0</v>
      </c>
      <c r="L2611" s="10">
        <f>I2611*J2611*(1-K2611)</f>
        <v/>
      </c>
      <c r="M2611" s="10" t="n">
        <v>72</v>
      </c>
      <c r="N2611" s="10">
        <f>L2611-M2611</f>
        <v/>
      </c>
    </row>
    <row r="2612">
      <c r="A2612" s="7" t="inlineStr">
        <is>
          <t>ORD-00709</t>
        </is>
      </c>
      <c r="B2612" s="8" t="n">
        <v>45498</v>
      </c>
      <c r="C2612" s="9" t="n">
        <v>45474</v>
      </c>
      <c r="D2612" s="7" t="n">
        <v>2024</v>
      </c>
      <c r="E2612" s="7" t="inlineStr">
        <is>
          <t>South</t>
        </is>
      </c>
      <c r="F2612" s="7" t="inlineStr">
        <is>
          <t>Office Supplies</t>
        </is>
      </c>
      <c r="G2612" s="7" t="inlineStr">
        <is>
          <t>Printer Ink</t>
        </is>
      </c>
      <c r="H2612" s="7" t="inlineStr">
        <is>
          <t>Consumer</t>
        </is>
      </c>
      <c r="I2612" s="7" t="n">
        <v>6</v>
      </c>
      <c r="J2612" s="10" t="n">
        <v>57.72</v>
      </c>
      <c r="K2612" s="11" t="n">
        <v>0</v>
      </c>
      <c r="L2612" s="10">
        <f>I2612*J2612*(1-K2612)</f>
        <v/>
      </c>
      <c r="M2612" s="10" t="n">
        <v>216</v>
      </c>
      <c r="N2612" s="10">
        <f>L2612-M2612</f>
        <v/>
      </c>
    </row>
    <row r="2613">
      <c r="A2613" s="7" t="inlineStr">
        <is>
          <t>ORD-01458</t>
        </is>
      </c>
      <c r="B2613" s="8" t="n">
        <v>45498</v>
      </c>
      <c r="C2613" s="9" t="n">
        <v>45474</v>
      </c>
      <c r="D2613" s="7" t="n">
        <v>2024</v>
      </c>
      <c r="E2613" s="7" t="inlineStr">
        <is>
          <t>South</t>
        </is>
      </c>
      <c r="F2613" s="7" t="inlineStr">
        <is>
          <t>Office Supplies</t>
        </is>
      </c>
      <c r="G2613" s="7" t="inlineStr">
        <is>
          <t>Printer Ink</t>
        </is>
      </c>
      <c r="H2613" s="7" t="inlineStr">
        <is>
          <t>Corporate</t>
        </is>
      </c>
      <c r="I2613" s="7" t="n">
        <v>10</v>
      </c>
      <c r="J2613" s="10" t="n">
        <v>57.63</v>
      </c>
      <c r="K2613" s="11" t="n">
        <v>0</v>
      </c>
      <c r="L2613" s="10">
        <f>I2613*J2613*(1-K2613)</f>
        <v/>
      </c>
      <c r="M2613" s="10" t="n">
        <v>360</v>
      </c>
      <c r="N2613" s="10">
        <f>L2613-M2613</f>
        <v/>
      </c>
    </row>
    <row r="2614">
      <c r="A2614" s="7" t="inlineStr">
        <is>
          <t>ORD-00378</t>
        </is>
      </c>
      <c r="B2614" s="8" t="n">
        <v>45498</v>
      </c>
      <c r="C2614" s="9" t="n">
        <v>45474</v>
      </c>
      <c r="D2614" s="7" t="n">
        <v>2024</v>
      </c>
      <c r="E2614" s="7" t="inlineStr">
        <is>
          <t>North</t>
        </is>
      </c>
      <c r="F2614" s="7" t="inlineStr">
        <is>
          <t>Office Supplies</t>
        </is>
      </c>
      <c r="G2614" s="7" t="inlineStr">
        <is>
          <t>Paper</t>
        </is>
      </c>
      <c r="H2614" s="7" t="inlineStr">
        <is>
          <t>Home Office</t>
        </is>
      </c>
      <c r="I2614" s="7" t="n">
        <v>15</v>
      </c>
      <c r="J2614" s="10" t="n">
        <v>25.14</v>
      </c>
      <c r="K2614" s="11" t="n">
        <v>0.05</v>
      </c>
      <c r="L2614" s="10">
        <f>I2614*J2614*(1-K2614)</f>
        <v/>
      </c>
      <c r="M2614" s="10" t="n">
        <v>187.5</v>
      </c>
      <c r="N2614" s="10">
        <f>L2614-M2614</f>
        <v/>
      </c>
    </row>
    <row r="2615">
      <c r="A2615" s="7" t="inlineStr">
        <is>
          <t>ORD-00996</t>
        </is>
      </c>
      <c r="B2615" s="8" t="n">
        <v>45498</v>
      </c>
      <c r="C2615" s="9" t="n">
        <v>45474</v>
      </c>
      <c r="D2615" s="7" t="n">
        <v>2024</v>
      </c>
      <c r="E2615" s="7" t="inlineStr">
        <is>
          <t>North</t>
        </is>
      </c>
      <c r="F2615" s="7" t="inlineStr">
        <is>
          <t>Office Supplies</t>
        </is>
      </c>
      <c r="G2615" s="7" t="inlineStr">
        <is>
          <t>Printer Ink</t>
        </is>
      </c>
      <c r="H2615" s="7" t="inlineStr">
        <is>
          <t>Consumer</t>
        </is>
      </c>
      <c r="I2615" s="7" t="n">
        <v>4</v>
      </c>
      <c r="J2615" s="10" t="n">
        <v>58.73</v>
      </c>
      <c r="K2615" s="11" t="n">
        <v>0.05</v>
      </c>
      <c r="L2615" s="10">
        <f>I2615*J2615*(1-K2615)</f>
        <v/>
      </c>
      <c r="M2615" s="10" t="n">
        <v>144</v>
      </c>
      <c r="N2615" s="10">
        <f>L2615-M2615</f>
        <v/>
      </c>
    </row>
    <row r="2616">
      <c r="A2616" s="7" t="inlineStr">
        <is>
          <t>ORD-04153</t>
        </is>
      </c>
      <c r="B2616" s="8" t="n">
        <v>45498</v>
      </c>
      <c r="C2616" s="9" t="n">
        <v>45474</v>
      </c>
      <c r="D2616" s="7" t="n">
        <v>2024</v>
      </c>
      <c r="E2616" s="7" t="inlineStr">
        <is>
          <t>West</t>
        </is>
      </c>
      <c r="F2616" s="7" t="inlineStr">
        <is>
          <t>Furniture</t>
        </is>
      </c>
      <c r="G2616" s="7" t="inlineStr">
        <is>
          <t>Office Chair</t>
        </is>
      </c>
      <c r="H2616" s="7" t="inlineStr">
        <is>
          <t>Consumer</t>
        </is>
      </c>
      <c r="I2616" s="7" t="n">
        <v>3</v>
      </c>
      <c r="J2616" s="10" t="n">
        <v>228.34</v>
      </c>
      <c r="K2616" s="11" t="n">
        <v>0</v>
      </c>
      <c r="L2616" s="10">
        <f>I2616*J2616*(1-K2616)</f>
        <v/>
      </c>
      <c r="M2616" s="10" t="n">
        <v>541.2</v>
      </c>
      <c r="N2616" s="10">
        <f>L2616-M2616</f>
        <v/>
      </c>
    </row>
    <row r="2617">
      <c r="A2617" s="7" t="inlineStr">
        <is>
          <t>ORD-03600</t>
        </is>
      </c>
      <c r="B2617" s="8" t="n">
        <v>45498</v>
      </c>
      <c r="C2617" s="9" t="n">
        <v>45474</v>
      </c>
      <c r="D2617" s="7" t="n">
        <v>2024</v>
      </c>
      <c r="E2617" s="7" t="inlineStr">
        <is>
          <t>East</t>
        </is>
      </c>
      <c r="F2617" s="7" t="inlineStr">
        <is>
          <t>Office Supplies</t>
        </is>
      </c>
      <c r="G2617" s="7" t="inlineStr">
        <is>
          <t>Printer Ink</t>
        </is>
      </c>
      <c r="H2617" s="7" t="inlineStr">
        <is>
          <t>Corporate</t>
        </is>
      </c>
      <c r="I2617" s="7" t="n">
        <v>7</v>
      </c>
      <c r="J2617" s="10" t="n">
        <v>62.73</v>
      </c>
      <c r="K2617" s="11" t="n">
        <v>0.3</v>
      </c>
      <c r="L2617" s="10">
        <f>I2617*J2617*(1-K2617)</f>
        <v/>
      </c>
      <c r="M2617" s="10" t="n">
        <v>252</v>
      </c>
      <c r="N2617" s="10">
        <f>L2617-M2617</f>
        <v/>
      </c>
    </row>
    <row r="2618">
      <c r="A2618" s="7" t="inlineStr">
        <is>
          <t>ORD-05329</t>
        </is>
      </c>
      <c r="B2618" s="8" t="n">
        <v>45498</v>
      </c>
      <c r="C2618" s="9" t="n">
        <v>45474</v>
      </c>
      <c r="D2618" s="7" t="n">
        <v>2024</v>
      </c>
      <c r="E2618" s="7" t="inlineStr">
        <is>
          <t>North</t>
        </is>
      </c>
      <c r="F2618" s="7" t="inlineStr">
        <is>
          <t>Technology</t>
        </is>
      </c>
      <c r="G2618" s="7" t="inlineStr">
        <is>
          <t>Headphones</t>
        </is>
      </c>
      <c r="H2618" s="7" t="inlineStr">
        <is>
          <t>Consumer</t>
        </is>
      </c>
      <c r="I2618" s="7" t="n">
        <v>3</v>
      </c>
      <c r="J2618" s="10" t="n">
        <v>114.24</v>
      </c>
      <c r="K2618" s="11" t="n">
        <v>0.1</v>
      </c>
      <c r="L2618" s="10">
        <f>I2618*J2618*(1-K2618)</f>
        <v/>
      </c>
      <c r="M2618" s="10" t="n">
        <v>216</v>
      </c>
      <c r="N2618" s="10">
        <f>L2618-M2618</f>
        <v/>
      </c>
    </row>
    <row r="2619">
      <c r="A2619" s="7" t="inlineStr">
        <is>
          <t>ORD-04765</t>
        </is>
      </c>
      <c r="B2619" s="8" t="n">
        <v>45498</v>
      </c>
      <c r="C2619" s="9" t="n">
        <v>45474</v>
      </c>
      <c r="D2619" s="7" t="n">
        <v>2024</v>
      </c>
      <c r="E2619" s="7" t="inlineStr">
        <is>
          <t>South</t>
        </is>
      </c>
      <c r="F2619" s="7" t="inlineStr">
        <is>
          <t>Furniture</t>
        </is>
      </c>
      <c r="G2619" s="7" t="inlineStr">
        <is>
          <t>Desk</t>
        </is>
      </c>
      <c r="H2619" s="7" t="inlineStr">
        <is>
          <t>Home Office</t>
        </is>
      </c>
      <c r="I2619" s="7" t="n">
        <v>3</v>
      </c>
      <c r="J2619" s="10" t="n">
        <v>438.27</v>
      </c>
      <c r="K2619" s="11" t="n">
        <v>0.3</v>
      </c>
      <c r="L2619" s="10">
        <f>I2619*J2619*(1-K2619)</f>
        <v/>
      </c>
      <c r="M2619" s="10" t="n">
        <v>1147.5</v>
      </c>
      <c r="N2619" s="10">
        <f>L2619-M2619</f>
        <v/>
      </c>
    </row>
    <row r="2620">
      <c r="A2620" s="7" t="inlineStr">
        <is>
          <t>ORD-02843</t>
        </is>
      </c>
      <c r="B2620" s="8" t="n">
        <v>45498</v>
      </c>
      <c r="C2620" s="9" t="n">
        <v>45474</v>
      </c>
      <c r="D2620" s="7" t="n">
        <v>2024</v>
      </c>
      <c r="E2620" s="7" t="inlineStr">
        <is>
          <t>West</t>
        </is>
      </c>
      <c r="F2620" s="7" t="inlineStr">
        <is>
          <t>Technology</t>
        </is>
      </c>
      <c r="G2620" s="7" t="inlineStr">
        <is>
          <t>Keyboard</t>
        </is>
      </c>
      <c r="H2620" s="7" t="inlineStr">
        <is>
          <t>Consumer</t>
        </is>
      </c>
      <c r="I2620" s="7" t="n">
        <v>3</v>
      </c>
      <c r="J2620" s="10" t="n">
        <v>46.7</v>
      </c>
      <c r="K2620" s="11" t="n">
        <v>0.2</v>
      </c>
      <c r="L2620" s="10">
        <f>I2620*J2620*(1-K2620)</f>
        <v/>
      </c>
      <c r="M2620" s="10" t="n">
        <v>74.25</v>
      </c>
      <c r="N2620" s="10">
        <f>L2620-M2620</f>
        <v/>
      </c>
    </row>
    <row r="2621">
      <c r="A2621" s="7" t="inlineStr">
        <is>
          <t>ORD-01552</t>
        </is>
      </c>
      <c r="B2621" s="8" t="n">
        <v>45499</v>
      </c>
      <c r="C2621" s="9" t="n">
        <v>45474</v>
      </c>
      <c r="D2621" s="7" t="n">
        <v>2024</v>
      </c>
      <c r="E2621" s="7" t="inlineStr">
        <is>
          <t>South</t>
        </is>
      </c>
      <c r="F2621" s="7" t="inlineStr">
        <is>
          <t>Technology</t>
        </is>
      </c>
      <c r="G2621" s="7" t="inlineStr">
        <is>
          <t>Smartphone</t>
        </is>
      </c>
      <c r="H2621" s="7" t="inlineStr">
        <is>
          <t>Corporate</t>
        </is>
      </c>
      <c r="I2621" s="7" t="n">
        <v>1</v>
      </c>
      <c r="J2621" s="10" t="n">
        <v>606.87</v>
      </c>
      <c r="K2621" s="11" t="n">
        <v>0</v>
      </c>
      <c r="L2621" s="10">
        <f>I2621*J2621*(1-K2621)</f>
        <v/>
      </c>
      <c r="M2621" s="10" t="n">
        <v>450</v>
      </c>
      <c r="N2621" s="10">
        <f>L2621-M2621</f>
        <v/>
      </c>
    </row>
    <row r="2622">
      <c r="A2622" s="7" t="inlineStr">
        <is>
          <t>ORD-04396</t>
        </is>
      </c>
      <c r="B2622" s="8" t="n">
        <v>45499</v>
      </c>
      <c r="C2622" s="9" t="n">
        <v>45474</v>
      </c>
      <c r="D2622" s="7" t="n">
        <v>2024</v>
      </c>
      <c r="E2622" s="7" t="inlineStr">
        <is>
          <t>East</t>
        </is>
      </c>
      <c r="F2622" s="7" t="inlineStr">
        <is>
          <t>Technology</t>
        </is>
      </c>
      <c r="G2622" s="7" t="inlineStr">
        <is>
          <t>Headphones</t>
        </is>
      </c>
      <c r="H2622" s="7" t="inlineStr">
        <is>
          <t>Consumer</t>
        </is>
      </c>
      <c r="I2622" s="7" t="n">
        <v>1</v>
      </c>
      <c r="J2622" s="10" t="n">
        <v>119.57</v>
      </c>
      <c r="K2622" s="11" t="n">
        <v>0</v>
      </c>
      <c r="L2622" s="10">
        <f>I2622*J2622*(1-K2622)</f>
        <v/>
      </c>
      <c r="M2622" s="10" t="n">
        <v>72</v>
      </c>
      <c r="N2622" s="10">
        <f>L2622-M2622</f>
        <v/>
      </c>
    </row>
    <row r="2623">
      <c r="A2623" s="7" t="inlineStr">
        <is>
          <t>ORD-03389</t>
        </is>
      </c>
      <c r="B2623" s="8" t="n">
        <v>45499</v>
      </c>
      <c r="C2623" s="9" t="n">
        <v>45474</v>
      </c>
      <c r="D2623" s="7" t="n">
        <v>2024</v>
      </c>
      <c r="E2623" s="7" t="inlineStr">
        <is>
          <t>West</t>
        </is>
      </c>
      <c r="F2623" s="7" t="inlineStr">
        <is>
          <t>Office Supplies</t>
        </is>
      </c>
      <c r="G2623" s="7" t="inlineStr">
        <is>
          <t>Pens</t>
        </is>
      </c>
      <c r="H2623" s="7" t="inlineStr">
        <is>
          <t>Corporate</t>
        </is>
      </c>
      <c r="I2623" s="7" t="n">
        <v>3</v>
      </c>
      <c r="J2623" s="10" t="n">
        <v>12.6</v>
      </c>
      <c r="K2623" s="11" t="n">
        <v>0.05</v>
      </c>
      <c r="L2623" s="10">
        <f>I2623*J2623*(1-K2623)</f>
        <v/>
      </c>
      <c r="M2623" s="10" t="n">
        <v>16.2</v>
      </c>
      <c r="N2623" s="10">
        <f>L2623-M2623</f>
        <v/>
      </c>
    </row>
    <row r="2624">
      <c r="A2624" s="7" t="inlineStr">
        <is>
          <t>ORD-03709</t>
        </is>
      </c>
      <c r="B2624" s="8" t="n">
        <v>45499</v>
      </c>
      <c r="C2624" s="9" t="n">
        <v>45474</v>
      </c>
      <c r="D2624" s="7" t="n">
        <v>2024</v>
      </c>
      <c r="E2624" s="7" t="inlineStr">
        <is>
          <t>South</t>
        </is>
      </c>
      <c r="F2624" s="7" t="inlineStr">
        <is>
          <t>Technology</t>
        </is>
      </c>
      <c r="G2624" s="7" t="inlineStr">
        <is>
          <t>Headphones</t>
        </is>
      </c>
      <c r="H2624" s="7" t="inlineStr">
        <is>
          <t>Consumer</t>
        </is>
      </c>
      <c r="I2624" s="7" t="n">
        <v>3</v>
      </c>
      <c r="J2624" s="10" t="n">
        <v>125.15</v>
      </c>
      <c r="K2624" s="11" t="n">
        <v>0.3</v>
      </c>
      <c r="L2624" s="10">
        <f>I2624*J2624*(1-K2624)</f>
        <v/>
      </c>
      <c r="M2624" s="10" t="n">
        <v>216</v>
      </c>
      <c r="N2624" s="10">
        <f>L2624-M2624</f>
        <v/>
      </c>
    </row>
    <row r="2625">
      <c r="A2625" s="7" t="inlineStr">
        <is>
          <t>ORD-00149</t>
        </is>
      </c>
      <c r="B2625" s="8" t="n">
        <v>45499</v>
      </c>
      <c r="C2625" s="9" t="n">
        <v>45474</v>
      </c>
      <c r="D2625" s="7" t="n">
        <v>2024</v>
      </c>
      <c r="E2625" s="7" t="inlineStr">
        <is>
          <t>North</t>
        </is>
      </c>
      <c r="F2625" s="7" t="inlineStr">
        <is>
          <t>Office Supplies</t>
        </is>
      </c>
      <c r="G2625" s="7" t="inlineStr">
        <is>
          <t>Pens</t>
        </is>
      </c>
      <c r="H2625" s="7" t="inlineStr">
        <is>
          <t>Consumer</t>
        </is>
      </c>
      <c r="I2625" s="7" t="n">
        <v>13</v>
      </c>
      <c r="J2625" s="10" t="n">
        <v>11.56</v>
      </c>
      <c r="K2625" s="11" t="n">
        <v>0.3</v>
      </c>
      <c r="L2625" s="10">
        <f>I2625*J2625*(1-K2625)</f>
        <v/>
      </c>
      <c r="M2625" s="10" t="n">
        <v>70.2</v>
      </c>
      <c r="N2625" s="10">
        <f>L2625-M2625</f>
        <v/>
      </c>
    </row>
    <row r="2626">
      <c r="A2626" s="7" t="inlineStr">
        <is>
          <t>ORD-01930</t>
        </is>
      </c>
      <c r="B2626" s="8" t="n">
        <v>45499</v>
      </c>
      <c r="C2626" s="9" t="n">
        <v>45474</v>
      </c>
      <c r="D2626" s="7" t="n">
        <v>2024</v>
      </c>
      <c r="E2626" s="7" t="inlineStr">
        <is>
          <t>South</t>
        </is>
      </c>
      <c r="F2626" s="7" t="inlineStr">
        <is>
          <t>Office Supplies</t>
        </is>
      </c>
      <c r="G2626" s="7" t="inlineStr">
        <is>
          <t>Stapler</t>
        </is>
      </c>
      <c r="H2626" s="7" t="inlineStr">
        <is>
          <t>Corporate</t>
        </is>
      </c>
      <c r="I2626" s="7" t="n">
        <v>12</v>
      </c>
      <c r="J2626" s="10" t="n">
        <v>14.95</v>
      </c>
      <c r="K2626" s="11" t="n">
        <v>0</v>
      </c>
      <c r="L2626" s="10">
        <f>I2626*J2626*(1-K2626)</f>
        <v/>
      </c>
      <c r="M2626" s="10" t="n">
        <v>90</v>
      </c>
      <c r="N2626" s="10">
        <f>L2626-M2626</f>
        <v/>
      </c>
    </row>
    <row r="2627">
      <c r="A2627" s="7" t="inlineStr">
        <is>
          <t>ORD-00002</t>
        </is>
      </c>
      <c r="B2627" s="8" t="n">
        <v>45499</v>
      </c>
      <c r="C2627" s="9" t="n">
        <v>45474</v>
      </c>
      <c r="D2627" s="7" t="n">
        <v>2024</v>
      </c>
      <c r="E2627" s="7" t="inlineStr">
        <is>
          <t>West</t>
        </is>
      </c>
      <c r="F2627" s="7" t="inlineStr">
        <is>
          <t>Office Supplies</t>
        </is>
      </c>
      <c r="G2627" s="7" t="inlineStr">
        <is>
          <t>Pens</t>
        </is>
      </c>
      <c r="H2627" s="7" t="inlineStr">
        <is>
          <t>Consumer</t>
        </is>
      </c>
      <c r="I2627" s="7" t="n">
        <v>12</v>
      </c>
      <c r="J2627" s="10" t="n">
        <v>11.82</v>
      </c>
      <c r="K2627" s="11" t="n">
        <v>0</v>
      </c>
      <c r="L2627" s="10">
        <f>I2627*J2627*(1-K2627)</f>
        <v/>
      </c>
      <c r="M2627" s="10" t="n">
        <v>64.8</v>
      </c>
      <c r="N2627" s="10">
        <f>L2627-M2627</f>
        <v/>
      </c>
    </row>
    <row r="2628">
      <c r="A2628" s="7" t="inlineStr">
        <is>
          <t>ORD-03471</t>
        </is>
      </c>
      <c r="B2628" s="8" t="n">
        <v>45499</v>
      </c>
      <c r="C2628" s="9" t="n">
        <v>45474</v>
      </c>
      <c r="D2628" s="7" t="n">
        <v>2024</v>
      </c>
      <c r="E2628" s="7" t="inlineStr">
        <is>
          <t>South</t>
        </is>
      </c>
      <c r="F2628" s="7" t="inlineStr">
        <is>
          <t>Furniture</t>
        </is>
      </c>
      <c r="G2628" s="7" t="inlineStr">
        <is>
          <t>Bookcase</t>
        </is>
      </c>
      <c r="H2628" s="7" t="inlineStr">
        <is>
          <t>Consumer</t>
        </is>
      </c>
      <c r="I2628" s="7" t="n">
        <v>1</v>
      </c>
      <c r="J2628" s="10" t="n">
        <v>174.26</v>
      </c>
      <c r="K2628" s="11" t="n">
        <v>0.05</v>
      </c>
      <c r="L2628" s="10">
        <f>I2628*J2628*(1-K2628)</f>
        <v/>
      </c>
      <c r="M2628" s="10" t="n">
        <v>144</v>
      </c>
      <c r="N2628" s="10">
        <f>L2628-M2628</f>
        <v/>
      </c>
    </row>
    <row r="2629">
      <c r="A2629" s="7" t="inlineStr">
        <is>
          <t>ORD-01872</t>
        </is>
      </c>
      <c r="B2629" s="8" t="n">
        <v>45500</v>
      </c>
      <c r="C2629" s="9" t="n">
        <v>45474</v>
      </c>
      <c r="D2629" s="7" t="n">
        <v>2024</v>
      </c>
      <c r="E2629" s="7" t="inlineStr">
        <is>
          <t>West</t>
        </is>
      </c>
      <c r="F2629" s="7" t="inlineStr">
        <is>
          <t>Office Supplies</t>
        </is>
      </c>
      <c r="G2629" s="7" t="inlineStr">
        <is>
          <t>Paper</t>
        </is>
      </c>
      <c r="H2629" s="7" t="inlineStr">
        <is>
          <t>Consumer</t>
        </is>
      </c>
      <c r="I2629" s="7" t="n">
        <v>9</v>
      </c>
      <c r="J2629" s="10" t="n">
        <v>25.45</v>
      </c>
      <c r="K2629" s="11" t="n">
        <v>0</v>
      </c>
      <c r="L2629" s="10">
        <f>I2629*J2629*(1-K2629)</f>
        <v/>
      </c>
      <c r="M2629" s="10" t="n">
        <v>112.5</v>
      </c>
      <c r="N2629" s="10">
        <f>L2629-M2629</f>
        <v/>
      </c>
    </row>
    <row r="2630">
      <c r="A2630" s="7" t="inlineStr">
        <is>
          <t>ORD-05006</t>
        </is>
      </c>
      <c r="B2630" s="8" t="n">
        <v>45500</v>
      </c>
      <c r="C2630" s="9" t="n">
        <v>45474</v>
      </c>
      <c r="D2630" s="7" t="n">
        <v>2024</v>
      </c>
      <c r="E2630" s="7" t="inlineStr">
        <is>
          <t>West</t>
        </is>
      </c>
      <c r="F2630" s="7" t="inlineStr">
        <is>
          <t>Office Supplies</t>
        </is>
      </c>
      <c r="G2630" s="7" t="inlineStr">
        <is>
          <t>Stapler</t>
        </is>
      </c>
      <c r="H2630" s="7" t="inlineStr">
        <is>
          <t>Consumer</t>
        </is>
      </c>
      <c r="I2630" s="7" t="n">
        <v>8</v>
      </c>
      <c r="J2630" s="10" t="n">
        <v>15.24</v>
      </c>
      <c r="K2630" s="11" t="n">
        <v>0</v>
      </c>
      <c r="L2630" s="10">
        <f>I2630*J2630*(1-K2630)</f>
        <v/>
      </c>
      <c r="M2630" s="10" t="n">
        <v>60</v>
      </c>
      <c r="N2630" s="10">
        <f>L2630-M2630</f>
        <v/>
      </c>
    </row>
    <row r="2631">
      <c r="A2631" s="7" t="inlineStr">
        <is>
          <t>ORD-03231</t>
        </is>
      </c>
      <c r="B2631" s="8" t="n">
        <v>45500</v>
      </c>
      <c r="C2631" s="9" t="n">
        <v>45474</v>
      </c>
      <c r="D2631" s="7" t="n">
        <v>2024</v>
      </c>
      <c r="E2631" s="7" t="inlineStr">
        <is>
          <t>West</t>
        </is>
      </c>
      <c r="F2631" s="7" t="inlineStr">
        <is>
          <t>Technology</t>
        </is>
      </c>
      <c r="G2631" s="7" t="inlineStr">
        <is>
          <t>Monitor</t>
        </is>
      </c>
      <c r="H2631" s="7" t="inlineStr">
        <is>
          <t>Corporate</t>
        </is>
      </c>
      <c r="I2631" s="7" t="n">
        <v>1</v>
      </c>
      <c r="J2631" s="10" t="n">
        <v>259.83</v>
      </c>
      <c r="K2631" s="11" t="n">
        <v>0.2</v>
      </c>
      <c r="L2631" s="10">
        <f>I2631*J2631*(1-K2631)</f>
        <v/>
      </c>
      <c r="M2631" s="10" t="n">
        <v>180</v>
      </c>
      <c r="N2631" s="10">
        <f>L2631-M2631</f>
        <v/>
      </c>
    </row>
    <row r="2632">
      <c r="A2632" s="7" t="inlineStr">
        <is>
          <t>ORD-01039</t>
        </is>
      </c>
      <c r="B2632" s="8" t="n">
        <v>45500</v>
      </c>
      <c r="C2632" s="9" t="n">
        <v>45474</v>
      </c>
      <c r="D2632" s="7" t="n">
        <v>2024</v>
      </c>
      <c r="E2632" s="7" t="inlineStr">
        <is>
          <t>North</t>
        </is>
      </c>
      <c r="F2632" s="7" t="inlineStr">
        <is>
          <t>Office Supplies</t>
        </is>
      </c>
      <c r="G2632" s="7" t="inlineStr">
        <is>
          <t>Paper</t>
        </is>
      </c>
      <c r="H2632" s="7" t="inlineStr">
        <is>
          <t>Consumer</t>
        </is>
      </c>
      <c r="I2632" s="7" t="n">
        <v>7</v>
      </c>
      <c r="J2632" s="10" t="n">
        <v>24.5</v>
      </c>
      <c r="K2632" s="11" t="n">
        <v>0.2</v>
      </c>
      <c r="L2632" s="10">
        <f>I2632*J2632*(1-K2632)</f>
        <v/>
      </c>
      <c r="M2632" s="10" t="n">
        <v>87.5</v>
      </c>
      <c r="N2632" s="10">
        <f>L2632-M2632</f>
        <v/>
      </c>
    </row>
    <row r="2633">
      <c r="A2633" s="7" t="inlineStr">
        <is>
          <t>ORD-05127</t>
        </is>
      </c>
      <c r="B2633" s="8" t="n">
        <v>45500</v>
      </c>
      <c r="C2633" s="9" t="n">
        <v>45474</v>
      </c>
      <c r="D2633" s="7" t="n">
        <v>2024</v>
      </c>
      <c r="E2633" s="7" t="inlineStr">
        <is>
          <t>East</t>
        </is>
      </c>
      <c r="F2633" s="7" t="inlineStr">
        <is>
          <t>Furniture</t>
        </is>
      </c>
      <c r="G2633" s="7" t="inlineStr">
        <is>
          <t>Office Chair</t>
        </is>
      </c>
      <c r="H2633" s="7" t="inlineStr">
        <is>
          <t>Consumer</t>
        </is>
      </c>
      <c r="I2633" s="7" t="n">
        <v>3</v>
      </c>
      <c r="J2633" s="10" t="n">
        <v>230.28</v>
      </c>
      <c r="K2633" s="11" t="n">
        <v>0.2</v>
      </c>
      <c r="L2633" s="10">
        <f>I2633*J2633*(1-K2633)</f>
        <v/>
      </c>
      <c r="M2633" s="10" t="n">
        <v>541.2</v>
      </c>
      <c r="N2633" s="10">
        <f>L2633-M2633</f>
        <v/>
      </c>
    </row>
    <row r="2634">
      <c r="A2634" s="7" t="inlineStr">
        <is>
          <t>ORD-00610</t>
        </is>
      </c>
      <c r="B2634" s="8" t="n">
        <v>45500</v>
      </c>
      <c r="C2634" s="9" t="n">
        <v>45474</v>
      </c>
      <c r="D2634" s="7" t="n">
        <v>2024</v>
      </c>
      <c r="E2634" s="7" t="inlineStr">
        <is>
          <t>West</t>
        </is>
      </c>
      <c r="F2634" s="7" t="inlineStr">
        <is>
          <t>Office Supplies</t>
        </is>
      </c>
      <c r="G2634" s="7" t="inlineStr">
        <is>
          <t>Stapler</t>
        </is>
      </c>
      <c r="H2634" s="7" t="inlineStr">
        <is>
          <t>Home Office</t>
        </is>
      </c>
      <c r="I2634" s="7" t="n">
        <v>3</v>
      </c>
      <c r="J2634" s="10" t="n">
        <v>14.28</v>
      </c>
      <c r="K2634" s="11" t="n">
        <v>0</v>
      </c>
      <c r="L2634" s="10">
        <f>I2634*J2634*(1-K2634)</f>
        <v/>
      </c>
      <c r="M2634" s="10" t="n">
        <v>22.5</v>
      </c>
      <c r="N2634" s="10">
        <f>L2634-M2634</f>
        <v/>
      </c>
    </row>
    <row r="2635">
      <c r="A2635" s="7" t="inlineStr">
        <is>
          <t>ORD-03836</t>
        </is>
      </c>
      <c r="B2635" s="8" t="n">
        <v>45500</v>
      </c>
      <c r="C2635" s="9" t="n">
        <v>45474</v>
      </c>
      <c r="D2635" s="7" t="n">
        <v>2024</v>
      </c>
      <c r="E2635" s="7" t="inlineStr">
        <is>
          <t>West</t>
        </is>
      </c>
      <c r="F2635" s="7" t="inlineStr">
        <is>
          <t>Office Supplies</t>
        </is>
      </c>
      <c r="G2635" s="7" t="inlineStr">
        <is>
          <t>Paper</t>
        </is>
      </c>
      <c r="H2635" s="7" t="inlineStr">
        <is>
          <t>Corporate</t>
        </is>
      </c>
      <c r="I2635" s="7" t="n">
        <v>5</v>
      </c>
      <c r="J2635" s="10" t="n">
        <v>25.57</v>
      </c>
      <c r="K2635" s="11" t="n">
        <v>0.1</v>
      </c>
      <c r="L2635" s="10">
        <f>I2635*J2635*(1-K2635)</f>
        <v/>
      </c>
      <c r="M2635" s="10" t="n">
        <v>62.5</v>
      </c>
      <c r="N2635" s="10">
        <f>L2635-M2635</f>
        <v/>
      </c>
    </row>
    <row r="2636">
      <c r="A2636" s="7" t="inlineStr">
        <is>
          <t>ORD-05617</t>
        </is>
      </c>
      <c r="B2636" s="8" t="n">
        <v>45501</v>
      </c>
      <c r="C2636" s="9" t="n">
        <v>45474</v>
      </c>
      <c r="D2636" s="7" t="n">
        <v>2024</v>
      </c>
      <c r="E2636" s="7" t="inlineStr">
        <is>
          <t>East</t>
        </is>
      </c>
      <c r="F2636" s="7" t="inlineStr">
        <is>
          <t>Technology</t>
        </is>
      </c>
      <c r="G2636" s="7" t="inlineStr">
        <is>
          <t>Keyboard</t>
        </is>
      </c>
      <c r="H2636" s="7" t="inlineStr">
        <is>
          <t>Home Office</t>
        </is>
      </c>
      <c r="I2636" s="7" t="n">
        <v>3</v>
      </c>
      <c r="J2636" s="10" t="n">
        <v>46.87</v>
      </c>
      <c r="K2636" s="11" t="n">
        <v>0</v>
      </c>
      <c r="L2636" s="10">
        <f>I2636*J2636*(1-K2636)</f>
        <v/>
      </c>
      <c r="M2636" s="10" t="n">
        <v>74.25</v>
      </c>
      <c r="N2636" s="10">
        <f>L2636-M2636</f>
        <v/>
      </c>
    </row>
    <row r="2637">
      <c r="A2637" s="7" t="inlineStr">
        <is>
          <t>ORD-01812</t>
        </is>
      </c>
      <c r="B2637" s="8" t="n">
        <v>45501</v>
      </c>
      <c r="C2637" s="9" t="n">
        <v>45474</v>
      </c>
      <c r="D2637" s="7" t="n">
        <v>2024</v>
      </c>
      <c r="E2637" s="7" t="inlineStr">
        <is>
          <t>East</t>
        </is>
      </c>
      <c r="F2637" s="7" t="inlineStr">
        <is>
          <t>Office Supplies</t>
        </is>
      </c>
      <c r="G2637" s="7" t="inlineStr">
        <is>
          <t>Stapler</t>
        </is>
      </c>
      <c r="H2637" s="7" t="inlineStr">
        <is>
          <t>Corporate</t>
        </is>
      </c>
      <c r="I2637" s="7" t="n">
        <v>13</v>
      </c>
      <c r="J2637" s="10" t="n">
        <v>15.21</v>
      </c>
      <c r="K2637" s="11" t="n">
        <v>0</v>
      </c>
      <c r="L2637" s="10">
        <f>I2637*J2637*(1-K2637)</f>
        <v/>
      </c>
      <c r="M2637" s="10" t="n">
        <v>97.5</v>
      </c>
      <c r="N2637" s="10">
        <f>L2637-M2637</f>
        <v/>
      </c>
    </row>
    <row r="2638">
      <c r="A2638" s="7" t="inlineStr">
        <is>
          <t>ORD-01678</t>
        </is>
      </c>
      <c r="B2638" s="8" t="n">
        <v>45502</v>
      </c>
      <c r="C2638" s="9" t="n">
        <v>45474</v>
      </c>
      <c r="D2638" s="7" t="n">
        <v>2024</v>
      </c>
      <c r="E2638" s="7" t="inlineStr">
        <is>
          <t>North</t>
        </is>
      </c>
      <c r="F2638" s="7" t="inlineStr">
        <is>
          <t>Office Supplies</t>
        </is>
      </c>
      <c r="G2638" s="7" t="inlineStr">
        <is>
          <t>Paper</t>
        </is>
      </c>
      <c r="H2638" s="7" t="inlineStr">
        <is>
          <t>Consumer</t>
        </is>
      </c>
      <c r="I2638" s="7" t="n">
        <v>9</v>
      </c>
      <c r="J2638" s="10" t="n">
        <v>24.87</v>
      </c>
      <c r="K2638" s="11" t="n">
        <v>0</v>
      </c>
      <c r="L2638" s="10">
        <f>I2638*J2638*(1-K2638)</f>
        <v/>
      </c>
      <c r="M2638" s="10" t="n">
        <v>112.5</v>
      </c>
      <c r="N2638" s="10">
        <f>L2638-M2638</f>
        <v/>
      </c>
    </row>
    <row r="2639">
      <c r="A2639" s="7" t="inlineStr">
        <is>
          <t>ORD-03370</t>
        </is>
      </c>
      <c r="B2639" s="8" t="n">
        <v>45502</v>
      </c>
      <c r="C2639" s="9" t="n">
        <v>45474</v>
      </c>
      <c r="D2639" s="7" t="n">
        <v>2024</v>
      </c>
      <c r="E2639" s="7" t="inlineStr">
        <is>
          <t>South</t>
        </is>
      </c>
      <c r="F2639" s="7" t="inlineStr">
        <is>
          <t>Office Supplies</t>
        </is>
      </c>
      <c r="G2639" s="7" t="inlineStr">
        <is>
          <t>Stapler</t>
        </is>
      </c>
      <c r="H2639" s="7" t="inlineStr">
        <is>
          <t>Consumer</t>
        </is>
      </c>
      <c r="I2639" s="7" t="n">
        <v>5</v>
      </c>
      <c r="J2639" s="10" t="n">
        <v>15.11</v>
      </c>
      <c r="K2639" s="11" t="n">
        <v>0.1</v>
      </c>
      <c r="L2639" s="10">
        <f>I2639*J2639*(1-K2639)</f>
        <v/>
      </c>
      <c r="M2639" s="10" t="n">
        <v>37.5</v>
      </c>
      <c r="N2639" s="10">
        <f>L2639-M2639</f>
        <v/>
      </c>
    </row>
    <row r="2640">
      <c r="A2640" s="7" t="inlineStr">
        <is>
          <t>ORD-03740</t>
        </is>
      </c>
      <c r="B2640" s="8" t="n">
        <v>45502</v>
      </c>
      <c r="C2640" s="9" t="n">
        <v>45474</v>
      </c>
      <c r="D2640" s="7" t="n">
        <v>2024</v>
      </c>
      <c r="E2640" s="7" t="inlineStr">
        <is>
          <t>South</t>
        </is>
      </c>
      <c r="F2640" s="7" t="inlineStr">
        <is>
          <t>Office Supplies</t>
        </is>
      </c>
      <c r="G2640" s="7" t="inlineStr">
        <is>
          <t>Stapler</t>
        </is>
      </c>
      <c r="H2640" s="7" t="inlineStr">
        <is>
          <t>Consumer</t>
        </is>
      </c>
      <c r="I2640" s="7" t="n">
        <v>10</v>
      </c>
      <c r="J2640" s="10" t="n">
        <v>15.73</v>
      </c>
      <c r="K2640" s="11" t="n">
        <v>0.05</v>
      </c>
      <c r="L2640" s="10">
        <f>I2640*J2640*(1-K2640)</f>
        <v/>
      </c>
      <c r="M2640" s="10" t="n">
        <v>75</v>
      </c>
      <c r="N2640" s="10">
        <f>L2640-M2640</f>
        <v/>
      </c>
    </row>
    <row r="2641">
      <c r="A2641" s="7" t="inlineStr">
        <is>
          <t>ORD-03982</t>
        </is>
      </c>
      <c r="B2641" s="8" t="n">
        <v>45502</v>
      </c>
      <c r="C2641" s="9" t="n">
        <v>45474</v>
      </c>
      <c r="D2641" s="7" t="n">
        <v>2024</v>
      </c>
      <c r="E2641" s="7" t="inlineStr">
        <is>
          <t>West</t>
        </is>
      </c>
      <c r="F2641" s="7" t="inlineStr">
        <is>
          <t>Furniture</t>
        </is>
      </c>
      <c r="G2641" s="7" t="inlineStr">
        <is>
          <t>Bookcase</t>
        </is>
      </c>
      <c r="H2641" s="7" t="inlineStr">
        <is>
          <t>Consumer</t>
        </is>
      </c>
      <c r="I2641" s="7" t="n">
        <v>4</v>
      </c>
      <c r="J2641" s="10" t="n">
        <v>183.04</v>
      </c>
      <c r="K2641" s="11" t="n">
        <v>0.2</v>
      </c>
      <c r="L2641" s="10">
        <f>I2641*J2641*(1-K2641)</f>
        <v/>
      </c>
      <c r="M2641" s="10" t="n">
        <v>576</v>
      </c>
      <c r="N2641" s="10">
        <f>L2641-M2641</f>
        <v/>
      </c>
    </row>
    <row r="2642">
      <c r="A2642" s="7" t="inlineStr">
        <is>
          <t>ORD-02014</t>
        </is>
      </c>
      <c r="B2642" s="8" t="n">
        <v>45502</v>
      </c>
      <c r="C2642" s="9" t="n">
        <v>45474</v>
      </c>
      <c r="D2642" s="7" t="n">
        <v>2024</v>
      </c>
      <c r="E2642" s="7" t="inlineStr">
        <is>
          <t>East</t>
        </is>
      </c>
      <c r="F2642" s="7" t="inlineStr">
        <is>
          <t>Office Supplies</t>
        </is>
      </c>
      <c r="G2642" s="7" t="inlineStr">
        <is>
          <t>Paper</t>
        </is>
      </c>
      <c r="H2642" s="7" t="inlineStr">
        <is>
          <t>Home Office</t>
        </is>
      </c>
      <c r="I2642" s="7" t="n">
        <v>4</v>
      </c>
      <c r="J2642" s="10" t="n">
        <v>25.41</v>
      </c>
      <c r="K2642" s="11" t="n">
        <v>0.2</v>
      </c>
      <c r="L2642" s="10">
        <f>I2642*J2642*(1-K2642)</f>
        <v/>
      </c>
      <c r="M2642" s="10" t="n">
        <v>50</v>
      </c>
      <c r="N2642" s="10">
        <f>L2642-M2642</f>
        <v/>
      </c>
    </row>
    <row r="2643">
      <c r="A2643" s="7" t="inlineStr">
        <is>
          <t>ORD-03062</t>
        </is>
      </c>
      <c r="B2643" s="8" t="n">
        <v>45503</v>
      </c>
      <c r="C2643" s="9" t="n">
        <v>45474</v>
      </c>
      <c r="D2643" s="7" t="n">
        <v>2024</v>
      </c>
      <c r="E2643" s="7" t="inlineStr">
        <is>
          <t>North</t>
        </is>
      </c>
      <c r="F2643" s="7" t="inlineStr">
        <is>
          <t>Office Supplies</t>
        </is>
      </c>
      <c r="G2643" s="7" t="inlineStr">
        <is>
          <t>Paper</t>
        </is>
      </c>
      <c r="H2643" s="7" t="inlineStr">
        <is>
          <t>Home Office</t>
        </is>
      </c>
      <c r="I2643" s="7" t="n">
        <v>5</v>
      </c>
      <c r="J2643" s="10" t="n">
        <v>26.2</v>
      </c>
      <c r="K2643" s="11" t="n">
        <v>0.2</v>
      </c>
      <c r="L2643" s="10">
        <f>I2643*J2643*(1-K2643)</f>
        <v/>
      </c>
      <c r="M2643" s="10" t="n">
        <v>62.5</v>
      </c>
      <c r="N2643" s="10">
        <f>L2643-M2643</f>
        <v/>
      </c>
    </row>
    <row r="2644">
      <c r="A2644" s="7" t="inlineStr">
        <is>
          <t>ORD-04893</t>
        </is>
      </c>
      <c r="B2644" s="8" t="n">
        <v>45503</v>
      </c>
      <c r="C2644" s="9" t="n">
        <v>45474</v>
      </c>
      <c r="D2644" s="7" t="n">
        <v>2024</v>
      </c>
      <c r="E2644" s="7" t="inlineStr">
        <is>
          <t>North</t>
        </is>
      </c>
      <c r="F2644" s="7" t="inlineStr">
        <is>
          <t>Office Supplies</t>
        </is>
      </c>
      <c r="G2644" s="7" t="inlineStr">
        <is>
          <t>Paper</t>
        </is>
      </c>
      <c r="H2644" s="7" t="inlineStr">
        <is>
          <t>Consumer</t>
        </is>
      </c>
      <c r="I2644" s="7" t="n">
        <v>5</v>
      </c>
      <c r="J2644" s="10" t="n">
        <v>23.95</v>
      </c>
      <c r="K2644" s="11" t="n">
        <v>0</v>
      </c>
      <c r="L2644" s="10">
        <f>I2644*J2644*(1-K2644)</f>
        <v/>
      </c>
      <c r="M2644" s="10" t="n">
        <v>62.5</v>
      </c>
      <c r="N2644" s="10">
        <f>L2644-M2644</f>
        <v/>
      </c>
    </row>
    <row r="2645">
      <c r="A2645" s="7" t="inlineStr">
        <is>
          <t>ORD-04869</t>
        </is>
      </c>
      <c r="B2645" s="8" t="n">
        <v>45503</v>
      </c>
      <c r="C2645" s="9" t="n">
        <v>45474</v>
      </c>
      <c r="D2645" s="7" t="n">
        <v>2024</v>
      </c>
      <c r="E2645" s="7" t="inlineStr">
        <is>
          <t>South</t>
        </is>
      </c>
      <c r="F2645" s="7" t="inlineStr">
        <is>
          <t>Office Supplies</t>
        </is>
      </c>
      <c r="G2645" s="7" t="inlineStr">
        <is>
          <t>Binder</t>
        </is>
      </c>
      <c r="H2645" s="7" t="inlineStr">
        <is>
          <t>Consumer</t>
        </is>
      </c>
      <c r="I2645" s="7" t="n">
        <v>4</v>
      </c>
      <c r="J2645" s="10" t="n">
        <v>7.8</v>
      </c>
      <c r="K2645" s="11" t="n">
        <v>0.1</v>
      </c>
      <c r="L2645" s="10">
        <f>I2645*J2645*(1-K2645)</f>
        <v/>
      </c>
      <c r="M2645" s="10" t="n">
        <v>12.8</v>
      </c>
      <c r="N2645" s="10">
        <f>L2645-M2645</f>
        <v/>
      </c>
    </row>
    <row r="2646">
      <c r="A2646" s="7" t="inlineStr">
        <is>
          <t>ORD-00400</t>
        </is>
      </c>
      <c r="B2646" s="8" t="n">
        <v>45503</v>
      </c>
      <c r="C2646" s="9" t="n">
        <v>45474</v>
      </c>
      <c r="D2646" s="7" t="n">
        <v>2024</v>
      </c>
      <c r="E2646" s="7" t="inlineStr">
        <is>
          <t>South</t>
        </is>
      </c>
      <c r="F2646" s="7" t="inlineStr">
        <is>
          <t>Office Supplies</t>
        </is>
      </c>
      <c r="G2646" s="7" t="inlineStr">
        <is>
          <t>Paper</t>
        </is>
      </c>
      <c r="H2646" s="7" t="inlineStr">
        <is>
          <t>Corporate</t>
        </is>
      </c>
      <c r="I2646" s="7" t="n">
        <v>4</v>
      </c>
      <c r="J2646" s="10" t="n">
        <v>23.8</v>
      </c>
      <c r="K2646" s="11" t="n">
        <v>0.3</v>
      </c>
      <c r="L2646" s="10">
        <f>I2646*J2646*(1-K2646)</f>
        <v/>
      </c>
      <c r="M2646" s="10" t="n">
        <v>50</v>
      </c>
      <c r="N2646" s="10">
        <f>L2646-M2646</f>
        <v/>
      </c>
    </row>
    <row r="2647">
      <c r="A2647" s="7" t="inlineStr">
        <is>
          <t>ORD-05226</t>
        </is>
      </c>
      <c r="B2647" s="8" t="n">
        <v>45503</v>
      </c>
      <c r="C2647" s="9" t="n">
        <v>45474</v>
      </c>
      <c r="D2647" s="7" t="n">
        <v>2024</v>
      </c>
      <c r="E2647" s="7" t="inlineStr">
        <is>
          <t>West</t>
        </is>
      </c>
      <c r="F2647" s="7" t="inlineStr">
        <is>
          <t>Technology</t>
        </is>
      </c>
      <c r="G2647" s="7" t="inlineStr">
        <is>
          <t>Keyboard</t>
        </is>
      </c>
      <c r="H2647" s="7" t="inlineStr">
        <is>
          <t>Consumer</t>
        </is>
      </c>
      <c r="I2647" s="7" t="n">
        <v>1</v>
      </c>
      <c r="J2647" s="10" t="n">
        <v>45.28</v>
      </c>
      <c r="K2647" s="11" t="n">
        <v>0</v>
      </c>
      <c r="L2647" s="10">
        <f>I2647*J2647*(1-K2647)</f>
        <v/>
      </c>
      <c r="M2647" s="10" t="n">
        <v>24.75</v>
      </c>
      <c r="N2647" s="10">
        <f>L2647-M2647</f>
        <v/>
      </c>
    </row>
    <row r="2648">
      <c r="A2648" s="7" t="inlineStr">
        <is>
          <t>ORD-04041</t>
        </is>
      </c>
      <c r="B2648" s="8" t="n">
        <v>45503</v>
      </c>
      <c r="C2648" s="9" t="n">
        <v>45474</v>
      </c>
      <c r="D2648" s="7" t="n">
        <v>2024</v>
      </c>
      <c r="E2648" s="7" t="inlineStr">
        <is>
          <t>West</t>
        </is>
      </c>
      <c r="F2648" s="7" t="inlineStr">
        <is>
          <t>Furniture</t>
        </is>
      </c>
      <c r="G2648" s="7" t="inlineStr">
        <is>
          <t>Bookcase</t>
        </is>
      </c>
      <c r="H2648" s="7" t="inlineStr">
        <is>
          <t>Home Office</t>
        </is>
      </c>
      <c r="I2648" s="7" t="n">
        <v>4</v>
      </c>
      <c r="J2648" s="10" t="n">
        <v>173.66</v>
      </c>
      <c r="K2648" s="11" t="n">
        <v>0.1</v>
      </c>
      <c r="L2648" s="10">
        <f>I2648*J2648*(1-K2648)</f>
        <v/>
      </c>
      <c r="M2648" s="10" t="n">
        <v>576</v>
      </c>
      <c r="N2648" s="10">
        <f>L2648-M2648</f>
        <v/>
      </c>
    </row>
    <row r="2649">
      <c r="A2649" s="7" t="inlineStr">
        <is>
          <t>ORD-03481</t>
        </is>
      </c>
      <c r="B2649" s="8" t="n">
        <v>45503</v>
      </c>
      <c r="C2649" s="9" t="n">
        <v>45474</v>
      </c>
      <c r="D2649" s="7" t="n">
        <v>2024</v>
      </c>
      <c r="E2649" s="7" t="inlineStr">
        <is>
          <t>North</t>
        </is>
      </c>
      <c r="F2649" s="7" t="inlineStr">
        <is>
          <t>Office Supplies</t>
        </is>
      </c>
      <c r="G2649" s="7" t="inlineStr">
        <is>
          <t>Binder</t>
        </is>
      </c>
      <c r="H2649" s="7" t="inlineStr">
        <is>
          <t>Consumer</t>
        </is>
      </c>
      <c r="I2649" s="7" t="n">
        <v>13</v>
      </c>
      <c r="J2649" s="10" t="n">
        <v>8.26</v>
      </c>
      <c r="K2649" s="11" t="n">
        <v>0</v>
      </c>
      <c r="L2649" s="10">
        <f>I2649*J2649*(1-K2649)</f>
        <v/>
      </c>
      <c r="M2649" s="10" t="n">
        <v>41.6</v>
      </c>
      <c r="N2649" s="10">
        <f>L2649-M2649</f>
        <v/>
      </c>
    </row>
    <row r="2650">
      <c r="A2650" s="7" t="inlineStr">
        <is>
          <t>ORD-04747</t>
        </is>
      </c>
      <c r="B2650" s="8" t="n">
        <v>45504</v>
      </c>
      <c r="C2650" s="9" t="n">
        <v>45474</v>
      </c>
      <c r="D2650" s="7" t="n">
        <v>2024</v>
      </c>
      <c r="E2650" s="7" t="inlineStr">
        <is>
          <t>East</t>
        </is>
      </c>
      <c r="F2650" s="7" t="inlineStr">
        <is>
          <t>Office Supplies</t>
        </is>
      </c>
      <c r="G2650" s="7" t="inlineStr">
        <is>
          <t>Paper</t>
        </is>
      </c>
      <c r="H2650" s="7" t="inlineStr">
        <is>
          <t>Consumer</t>
        </is>
      </c>
      <c r="I2650" s="7" t="n">
        <v>7</v>
      </c>
      <c r="J2650" s="10" t="n">
        <v>26.18</v>
      </c>
      <c r="K2650" s="11" t="n">
        <v>0</v>
      </c>
      <c r="L2650" s="10">
        <f>I2650*J2650*(1-K2650)</f>
        <v/>
      </c>
      <c r="M2650" s="10" t="n">
        <v>87.5</v>
      </c>
      <c r="N2650" s="10">
        <f>L2650-M2650</f>
        <v/>
      </c>
    </row>
    <row r="2651">
      <c r="A2651" s="7" t="inlineStr">
        <is>
          <t>ORD-01907</t>
        </is>
      </c>
      <c r="B2651" s="8" t="n">
        <v>45504</v>
      </c>
      <c r="C2651" s="9" t="n">
        <v>45474</v>
      </c>
      <c r="D2651" s="7" t="n">
        <v>2024</v>
      </c>
      <c r="E2651" s="7" t="inlineStr">
        <is>
          <t>South</t>
        </is>
      </c>
      <c r="F2651" s="7" t="inlineStr">
        <is>
          <t>Office Supplies</t>
        </is>
      </c>
      <c r="G2651" s="7" t="inlineStr">
        <is>
          <t>Binder</t>
        </is>
      </c>
      <c r="H2651" s="7" t="inlineStr">
        <is>
          <t>Consumer</t>
        </is>
      </c>
      <c r="I2651" s="7" t="n">
        <v>12</v>
      </c>
      <c r="J2651" s="10" t="n">
        <v>8.02</v>
      </c>
      <c r="K2651" s="11" t="n">
        <v>0</v>
      </c>
      <c r="L2651" s="10">
        <f>I2651*J2651*(1-K2651)</f>
        <v/>
      </c>
      <c r="M2651" s="10" t="n">
        <v>38.4</v>
      </c>
      <c r="N2651" s="10">
        <f>L2651-M2651</f>
        <v/>
      </c>
    </row>
    <row r="2652">
      <c r="A2652" s="7" t="inlineStr">
        <is>
          <t>ORD-00015</t>
        </is>
      </c>
      <c r="B2652" s="8" t="n">
        <v>45504</v>
      </c>
      <c r="C2652" s="9" t="n">
        <v>45474</v>
      </c>
      <c r="D2652" s="7" t="n">
        <v>2024</v>
      </c>
      <c r="E2652" s="7" t="inlineStr">
        <is>
          <t>West</t>
        </is>
      </c>
      <c r="F2652" s="7" t="inlineStr">
        <is>
          <t>Technology</t>
        </is>
      </c>
      <c r="G2652" s="7" t="inlineStr">
        <is>
          <t>Smartphone</t>
        </is>
      </c>
      <c r="H2652" s="7" t="inlineStr">
        <is>
          <t>Consumer</t>
        </is>
      </c>
      <c r="I2652" s="7" t="n">
        <v>2</v>
      </c>
      <c r="J2652" s="10" t="n">
        <v>575.66</v>
      </c>
      <c r="K2652" s="11" t="n">
        <v>0.1</v>
      </c>
      <c r="L2652" s="10">
        <f>I2652*J2652*(1-K2652)</f>
        <v/>
      </c>
      <c r="M2652" s="10" t="n">
        <v>900</v>
      </c>
      <c r="N2652" s="10">
        <f>L2652-M2652</f>
        <v/>
      </c>
    </row>
    <row r="2653">
      <c r="A2653" s="7" t="inlineStr">
        <is>
          <t>ORD-02208</t>
        </is>
      </c>
      <c r="B2653" s="8" t="n">
        <v>45504</v>
      </c>
      <c r="C2653" s="9" t="n">
        <v>45474</v>
      </c>
      <c r="D2653" s="7" t="n">
        <v>2024</v>
      </c>
      <c r="E2653" s="7" t="inlineStr">
        <is>
          <t>East</t>
        </is>
      </c>
      <c r="F2653" s="7" t="inlineStr">
        <is>
          <t>Office Supplies</t>
        </is>
      </c>
      <c r="G2653" s="7" t="inlineStr">
        <is>
          <t>Paper</t>
        </is>
      </c>
      <c r="H2653" s="7" t="inlineStr">
        <is>
          <t>Home Office</t>
        </is>
      </c>
      <c r="I2653" s="7" t="n">
        <v>5</v>
      </c>
      <c r="J2653" s="10" t="n">
        <v>23.83</v>
      </c>
      <c r="K2653" s="11" t="n">
        <v>0</v>
      </c>
      <c r="L2653" s="10">
        <f>I2653*J2653*(1-K2653)</f>
        <v/>
      </c>
      <c r="M2653" s="10" t="n">
        <v>62.5</v>
      </c>
      <c r="N2653" s="10">
        <f>L2653-M2653</f>
        <v/>
      </c>
    </row>
    <row r="2654">
      <c r="A2654" s="7" t="inlineStr">
        <is>
          <t>ORD-05197</t>
        </is>
      </c>
      <c r="B2654" s="8" t="n">
        <v>45504</v>
      </c>
      <c r="C2654" s="9" t="n">
        <v>45474</v>
      </c>
      <c r="D2654" s="7" t="n">
        <v>2024</v>
      </c>
      <c r="E2654" s="7" t="inlineStr">
        <is>
          <t>West</t>
        </is>
      </c>
      <c r="F2654" s="7" t="inlineStr">
        <is>
          <t>Furniture</t>
        </is>
      </c>
      <c r="G2654" s="7" t="inlineStr">
        <is>
          <t>Office Chair</t>
        </is>
      </c>
      <c r="H2654" s="7" t="inlineStr">
        <is>
          <t>Corporate</t>
        </is>
      </c>
      <c r="I2654" s="7" t="n">
        <v>1</v>
      </c>
      <c r="J2654" s="10" t="n">
        <v>222.55</v>
      </c>
      <c r="K2654" s="11" t="n">
        <v>0.1</v>
      </c>
      <c r="L2654" s="10">
        <f>I2654*J2654*(1-K2654)</f>
        <v/>
      </c>
      <c r="M2654" s="10" t="n">
        <v>180.4</v>
      </c>
      <c r="N2654" s="10">
        <f>L2654-M2654</f>
        <v/>
      </c>
    </row>
    <row r="2655">
      <c r="A2655" s="7" t="inlineStr">
        <is>
          <t>ORD-05432</t>
        </is>
      </c>
      <c r="B2655" s="8" t="n">
        <v>45504</v>
      </c>
      <c r="C2655" s="9" t="n">
        <v>45474</v>
      </c>
      <c r="D2655" s="7" t="n">
        <v>2024</v>
      </c>
      <c r="E2655" s="7" t="inlineStr">
        <is>
          <t>West</t>
        </is>
      </c>
      <c r="F2655" s="7" t="inlineStr">
        <is>
          <t>Technology</t>
        </is>
      </c>
      <c r="G2655" s="7" t="inlineStr">
        <is>
          <t>Smartphone</t>
        </is>
      </c>
      <c r="H2655" s="7" t="inlineStr">
        <is>
          <t>Consumer</t>
        </is>
      </c>
      <c r="I2655" s="7" t="n">
        <v>1</v>
      </c>
      <c r="J2655" s="10" t="n">
        <v>628.49</v>
      </c>
      <c r="K2655" s="11" t="n">
        <v>0</v>
      </c>
      <c r="L2655" s="10">
        <f>I2655*J2655*(1-K2655)</f>
        <v/>
      </c>
      <c r="M2655" s="10" t="n">
        <v>450</v>
      </c>
      <c r="N2655" s="10">
        <f>L2655-M2655</f>
        <v/>
      </c>
    </row>
    <row r="2656">
      <c r="A2656" s="7" t="inlineStr">
        <is>
          <t>ORD-05621</t>
        </is>
      </c>
      <c r="B2656" s="8" t="n">
        <v>45504</v>
      </c>
      <c r="C2656" s="9" t="n">
        <v>45474</v>
      </c>
      <c r="D2656" s="7" t="n">
        <v>2024</v>
      </c>
      <c r="E2656" s="7" t="inlineStr">
        <is>
          <t>South</t>
        </is>
      </c>
      <c r="F2656" s="7" t="inlineStr">
        <is>
          <t>Technology</t>
        </is>
      </c>
      <c r="G2656" s="7" t="inlineStr">
        <is>
          <t>Headphones</t>
        </is>
      </c>
      <c r="H2656" s="7" t="inlineStr">
        <is>
          <t>Consumer</t>
        </is>
      </c>
      <c r="I2656" s="7" t="n">
        <v>3</v>
      </c>
      <c r="J2656" s="10" t="n">
        <v>119.91</v>
      </c>
      <c r="K2656" s="11" t="n">
        <v>0.05</v>
      </c>
      <c r="L2656" s="10">
        <f>I2656*J2656*(1-K2656)</f>
        <v/>
      </c>
      <c r="M2656" s="10" t="n">
        <v>216</v>
      </c>
      <c r="N2656" s="10">
        <f>L2656-M2656</f>
        <v/>
      </c>
    </row>
    <row r="2657">
      <c r="A2657" s="7" t="inlineStr">
        <is>
          <t>ORD-01073</t>
        </is>
      </c>
      <c r="B2657" s="8" t="n">
        <v>45505</v>
      </c>
      <c r="C2657" s="9" t="n">
        <v>45505</v>
      </c>
      <c r="D2657" s="7" t="n">
        <v>2024</v>
      </c>
      <c r="E2657" s="7" t="inlineStr">
        <is>
          <t>West</t>
        </is>
      </c>
      <c r="F2657" s="7" t="inlineStr">
        <is>
          <t>Office Supplies</t>
        </is>
      </c>
      <c r="G2657" s="7" t="inlineStr">
        <is>
          <t>Printer Ink</t>
        </is>
      </c>
      <c r="H2657" s="7" t="inlineStr">
        <is>
          <t>Corporate</t>
        </is>
      </c>
      <c r="I2657" s="7" t="n">
        <v>8</v>
      </c>
      <c r="J2657" s="10" t="n">
        <v>58.96</v>
      </c>
      <c r="K2657" s="11" t="n">
        <v>0.05</v>
      </c>
      <c r="L2657" s="10">
        <f>I2657*J2657*(1-K2657)</f>
        <v/>
      </c>
      <c r="M2657" s="10" t="n">
        <v>288</v>
      </c>
      <c r="N2657" s="10">
        <f>L2657-M2657</f>
        <v/>
      </c>
    </row>
    <row r="2658">
      <c r="A2658" s="7" t="inlineStr">
        <is>
          <t>ORD-05521</t>
        </is>
      </c>
      <c r="B2658" s="8" t="n">
        <v>45505</v>
      </c>
      <c r="C2658" s="9" t="n">
        <v>45505</v>
      </c>
      <c r="D2658" s="7" t="n">
        <v>2024</v>
      </c>
      <c r="E2658" s="7" t="inlineStr">
        <is>
          <t>East</t>
        </is>
      </c>
      <c r="F2658" s="7" t="inlineStr">
        <is>
          <t>Office Supplies</t>
        </is>
      </c>
      <c r="G2658" s="7" t="inlineStr">
        <is>
          <t>Binder</t>
        </is>
      </c>
      <c r="H2658" s="7" t="inlineStr">
        <is>
          <t>Consumer</t>
        </is>
      </c>
      <c r="I2658" s="7" t="n">
        <v>11</v>
      </c>
      <c r="J2658" s="10" t="n">
        <v>8.16</v>
      </c>
      <c r="K2658" s="11" t="n">
        <v>0.2</v>
      </c>
      <c r="L2658" s="10">
        <f>I2658*J2658*(1-K2658)</f>
        <v/>
      </c>
      <c r="M2658" s="10" t="n">
        <v>35.2</v>
      </c>
      <c r="N2658" s="10">
        <f>L2658-M2658</f>
        <v/>
      </c>
    </row>
    <row r="2659">
      <c r="A2659" s="7" t="inlineStr">
        <is>
          <t>ORD-02047</t>
        </is>
      </c>
      <c r="B2659" s="8" t="n">
        <v>45506</v>
      </c>
      <c r="C2659" s="9" t="n">
        <v>45505</v>
      </c>
      <c r="D2659" s="7" t="n">
        <v>2024</v>
      </c>
      <c r="E2659" s="7" t="inlineStr">
        <is>
          <t>South</t>
        </is>
      </c>
      <c r="F2659" s="7" t="inlineStr">
        <is>
          <t>Office Supplies</t>
        </is>
      </c>
      <c r="G2659" s="7" t="inlineStr">
        <is>
          <t>Pens</t>
        </is>
      </c>
      <c r="H2659" s="7" t="inlineStr">
        <is>
          <t>Home Office</t>
        </is>
      </c>
      <c r="I2659" s="7" t="n">
        <v>10</v>
      </c>
      <c r="J2659" s="10" t="n">
        <v>11.82</v>
      </c>
      <c r="K2659" s="11" t="n">
        <v>0.05</v>
      </c>
      <c r="L2659" s="10">
        <f>I2659*J2659*(1-K2659)</f>
        <v/>
      </c>
      <c r="M2659" s="10" t="n">
        <v>54</v>
      </c>
      <c r="N2659" s="10">
        <f>L2659-M2659</f>
        <v/>
      </c>
    </row>
    <row r="2660">
      <c r="A2660" s="7" t="inlineStr">
        <is>
          <t>ORD-04297</t>
        </is>
      </c>
      <c r="B2660" s="8" t="n">
        <v>45506</v>
      </c>
      <c r="C2660" s="9" t="n">
        <v>45505</v>
      </c>
      <c r="D2660" s="7" t="n">
        <v>2024</v>
      </c>
      <c r="E2660" s="7" t="inlineStr">
        <is>
          <t>South</t>
        </is>
      </c>
      <c r="F2660" s="7" t="inlineStr">
        <is>
          <t>Office Supplies</t>
        </is>
      </c>
      <c r="G2660" s="7" t="inlineStr">
        <is>
          <t>Pens</t>
        </is>
      </c>
      <c r="H2660" s="7" t="inlineStr">
        <is>
          <t>Consumer</t>
        </is>
      </c>
      <c r="I2660" s="7" t="n">
        <v>4</v>
      </c>
      <c r="J2660" s="10" t="n">
        <v>12.11</v>
      </c>
      <c r="K2660" s="11" t="n">
        <v>0</v>
      </c>
      <c r="L2660" s="10">
        <f>I2660*J2660*(1-K2660)</f>
        <v/>
      </c>
      <c r="M2660" s="10" t="n">
        <v>21.6</v>
      </c>
      <c r="N2660" s="10">
        <f>L2660-M2660</f>
        <v/>
      </c>
    </row>
    <row r="2661">
      <c r="A2661" s="7" t="inlineStr">
        <is>
          <t>ORD-04702</t>
        </is>
      </c>
      <c r="B2661" s="8" t="n">
        <v>45506</v>
      </c>
      <c r="C2661" s="9" t="n">
        <v>45505</v>
      </c>
      <c r="D2661" s="7" t="n">
        <v>2024</v>
      </c>
      <c r="E2661" s="7" t="inlineStr">
        <is>
          <t>East</t>
        </is>
      </c>
      <c r="F2661" s="7" t="inlineStr">
        <is>
          <t>Furniture</t>
        </is>
      </c>
      <c r="G2661" s="7" t="inlineStr">
        <is>
          <t>Bookcase</t>
        </is>
      </c>
      <c r="H2661" s="7" t="inlineStr">
        <is>
          <t>Consumer</t>
        </is>
      </c>
      <c r="I2661" s="7" t="n">
        <v>1</v>
      </c>
      <c r="J2661" s="10" t="n">
        <v>177.5</v>
      </c>
      <c r="K2661" s="11" t="n">
        <v>0.1</v>
      </c>
      <c r="L2661" s="10">
        <f>I2661*J2661*(1-K2661)</f>
        <v/>
      </c>
      <c r="M2661" s="10" t="n">
        <v>144</v>
      </c>
      <c r="N2661" s="10">
        <f>L2661-M2661</f>
        <v/>
      </c>
    </row>
    <row r="2662">
      <c r="A2662" s="7" t="inlineStr">
        <is>
          <t>ORD-01401</t>
        </is>
      </c>
      <c r="B2662" s="8" t="n">
        <v>45506</v>
      </c>
      <c r="C2662" s="9" t="n">
        <v>45505</v>
      </c>
      <c r="D2662" s="7" t="n">
        <v>2024</v>
      </c>
      <c r="E2662" s="7" t="inlineStr">
        <is>
          <t>East</t>
        </is>
      </c>
      <c r="F2662" s="7" t="inlineStr">
        <is>
          <t>Office Supplies</t>
        </is>
      </c>
      <c r="G2662" s="7" t="inlineStr">
        <is>
          <t>Binder</t>
        </is>
      </c>
      <c r="H2662" s="7" t="inlineStr">
        <is>
          <t>Consumer</t>
        </is>
      </c>
      <c r="I2662" s="7" t="n">
        <v>7</v>
      </c>
      <c r="J2662" s="10" t="n">
        <v>7.68</v>
      </c>
      <c r="K2662" s="11" t="n">
        <v>0.1</v>
      </c>
      <c r="L2662" s="10">
        <f>I2662*J2662*(1-K2662)</f>
        <v/>
      </c>
      <c r="M2662" s="10" t="n">
        <v>22.4</v>
      </c>
      <c r="N2662" s="10">
        <f>L2662-M2662</f>
        <v/>
      </c>
    </row>
    <row r="2663">
      <c r="A2663" s="7" t="inlineStr">
        <is>
          <t>ORD-05652</t>
        </is>
      </c>
      <c r="B2663" s="8" t="n">
        <v>45506</v>
      </c>
      <c r="C2663" s="9" t="n">
        <v>45505</v>
      </c>
      <c r="D2663" s="7" t="n">
        <v>2024</v>
      </c>
      <c r="E2663" s="7" t="inlineStr">
        <is>
          <t>East</t>
        </is>
      </c>
      <c r="F2663" s="7" t="inlineStr">
        <is>
          <t>Office Supplies</t>
        </is>
      </c>
      <c r="G2663" s="7" t="inlineStr">
        <is>
          <t>Paper</t>
        </is>
      </c>
      <c r="H2663" s="7" t="inlineStr">
        <is>
          <t>Corporate</t>
        </is>
      </c>
      <c r="I2663" s="7" t="n">
        <v>5</v>
      </c>
      <c r="J2663" s="10" t="n">
        <v>25.72</v>
      </c>
      <c r="K2663" s="11" t="n">
        <v>0.05</v>
      </c>
      <c r="L2663" s="10">
        <f>I2663*J2663*(1-K2663)</f>
        <v/>
      </c>
      <c r="M2663" s="10" t="n">
        <v>62.5</v>
      </c>
      <c r="N2663" s="10">
        <f>L2663-M2663</f>
        <v/>
      </c>
    </row>
    <row r="2664">
      <c r="A2664" s="7" t="inlineStr">
        <is>
          <t>ORD-01906</t>
        </is>
      </c>
      <c r="B2664" s="8" t="n">
        <v>45506</v>
      </c>
      <c r="C2664" s="9" t="n">
        <v>45505</v>
      </c>
      <c r="D2664" s="7" t="n">
        <v>2024</v>
      </c>
      <c r="E2664" s="7" t="inlineStr">
        <is>
          <t>West</t>
        </is>
      </c>
      <c r="F2664" s="7" t="inlineStr">
        <is>
          <t>Office Supplies</t>
        </is>
      </c>
      <c r="G2664" s="7" t="inlineStr">
        <is>
          <t>Stapler</t>
        </is>
      </c>
      <c r="H2664" s="7" t="inlineStr">
        <is>
          <t>Home Office</t>
        </is>
      </c>
      <c r="I2664" s="7" t="n">
        <v>7</v>
      </c>
      <c r="J2664" s="10" t="n">
        <v>15.41</v>
      </c>
      <c r="K2664" s="11" t="n">
        <v>0.1</v>
      </c>
      <c r="L2664" s="10">
        <f>I2664*J2664*(1-K2664)</f>
        <v/>
      </c>
      <c r="M2664" s="10" t="n">
        <v>52.5</v>
      </c>
      <c r="N2664" s="10">
        <f>L2664-M2664</f>
        <v/>
      </c>
    </row>
    <row r="2665">
      <c r="A2665" s="7" t="inlineStr">
        <is>
          <t>ORD-03574</t>
        </is>
      </c>
      <c r="B2665" s="8" t="n">
        <v>45507</v>
      </c>
      <c r="C2665" s="9" t="n">
        <v>45505</v>
      </c>
      <c r="D2665" s="7" t="n">
        <v>2024</v>
      </c>
      <c r="E2665" s="7" t="inlineStr">
        <is>
          <t>South</t>
        </is>
      </c>
      <c r="F2665" s="7" t="inlineStr">
        <is>
          <t>Technology</t>
        </is>
      </c>
      <c r="G2665" s="7" t="inlineStr">
        <is>
          <t>Keyboard</t>
        </is>
      </c>
      <c r="H2665" s="7" t="inlineStr">
        <is>
          <t>Corporate</t>
        </is>
      </c>
      <c r="I2665" s="7" t="n">
        <v>3</v>
      </c>
      <c r="J2665" s="10" t="n">
        <v>43.03</v>
      </c>
      <c r="K2665" s="11" t="n">
        <v>0.05</v>
      </c>
      <c r="L2665" s="10">
        <f>I2665*J2665*(1-K2665)</f>
        <v/>
      </c>
      <c r="M2665" s="10" t="n">
        <v>74.25</v>
      </c>
      <c r="N2665" s="10">
        <f>L2665-M2665</f>
        <v/>
      </c>
    </row>
    <row r="2666">
      <c r="A2666" s="7" t="inlineStr">
        <is>
          <t>ORD-02767</t>
        </is>
      </c>
      <c r="B2666" s="8" t="n">
        <v>45507</v>
      </c>
      <c r="C2666" s="9" t="n">
        <v>45505</v>
      </c>
      <c r="D2666" s="7" t="n">
        <v>2024</v>
      </c>
      <c r="E2666" s="7" t="inlineStr">
        <is>
          <t>South</t>
        </is>
      </c>
      <c r="F2666" s="7" t="inlineStr">
        <is>
          <t>Office Supplies</t>
        </is>
      </c>
      <c r="G2666" s="7" t="inlineStr">
        <is>
          <t>Pens</t>
        </is>
      </c>
      <c r="H2666" s="7" t="inlineStr">
        <is>
          <t>Consumer</t>
        </is>
      </c>
      <c r="I2666" s="7" t="n">
        <v>6</v>
      </c>
      <c r="J2666" s="10" t="n">
        <v>11.89</v>
      </c>
      <c r="K2666" s="11" t="n">
        <v>0.05</v>
      </c>
      <c r="L2666" s="10">
        <f>I2666*J2666*(1-K2666)</f>
        <v/>
      </c>
      <c r="M2666" s="10" t="n">
        <v>32.4</v>
      </c>
      <c r="N2666" s="10">
        <f>L2666-M2666</f>
        <v/>
      </c>
    </row>
    <row r="2667">
      <c r="A2667" s="7" t="inlineStr">
        <is>
          <t>ORD-05450</t>
        </is>
      </c>
      <c r="B2667" s="8" t="n">
        <v>45507</v>
      </c>
      <c r="C2667" s="9" t="n">
        <v>45505</v>
      </c>
      <c r="D2667" s="7" t="n">
        <v>2024</v>
      </c>
      <c r="E2667" s="7" t="inlineStr">
        <is>
          <t>East</t>
        </is>
      </c>
      <c r="F2667" s="7" t="inlineStr">
        <is>
          <t>Office Supplies</t>
        </is>
      </c>
      <c r="G2667" s="7" t="inlineStr">
        <is>
          <t>Binder</t>
        </is>
      </c>
      <c r="H2667" s="7" t="inlineStr">
        <is>
          <t>Consumer</t>
        </is>
      </c>
      <c r="I2667" s="7" t="n">
        <v>7</v>
      </c>
      <c r="J2667" s="10" t="n">
        <v>8.31</v>
      </c>
      <c r="K2667" s="11" t="n">
        <v>0</v>
      </c>
      <c r="L2667" s="10">
        <f>I2667*J2667*(1-K2667)</f>
        <v/>
      </c>
      <c r="M2667" s="10" t="n">
        <v>22.4</v>
      </c>
      <c r="N2667" s="10">
        <f>L2667-M2667</f>
        <v/>
      </c>
    </row>
    <row r="2668">
      <c r="A2668" s="7" t="inlineStr">
        <is>
          <t>ORD-02586</t>
        </is>
      </c>
      <c r="B2668" s="8" t="n">
        <v>45507</v>
      </c>
      <c r="C2668" s="9" t="n">
        <v>45505</v>
      </c>
      <c r="D2668" s="7" t="n">
        <v>2024</v>
      </c>
      <c r="E2668" s="7" t="inlineStr">
        <is>
          <t>East</t>
        </is>
      </c>
      <c r="F2668" s="7" t="inlineStr">
        <is>
          <t>Technology</t>
        </is>
      </c>
      <c r="G2668" s="7" t="inlineStr">
        <is>
          <t>Headphones</t>
        </is>
      </c>
      <c r="H2668" s="7" t="inlineStr">
        <is>
          <t>Consumer</t>
        </is>
      </c>
      <c r="I2668" s="7" t="n">
        <v>2</v>
      </c>
      <c r="J2668" s="10" t="n">
        <v>125.41</v>
      </c>
      <c r="K2668" s="11" t="n">
        <v>0</v>
      </c>
      <c r="L2668" s="10">
        <f>I2668*J2668*(1-K2668)</f>
        <v/>
      </c>
      <c r="M2668" s="10" t="n">
        <v>144</v>
      </c>
      <c r="N2668" s="10">
        <f>L2668-M2668</f>
        <v/>
      </c>
    </row>
    <row r="2669">
      <c r="A2669" s="7" t="inlineStr">
        <is>
          <t>ORD-04619</t>
        </is>
      </c>
      <c r="B2669" s="8" t="n">
        <v>45508</v>
      </c>
      <c r="C2669" s="9" t="n">
        <v>45505</v>
      </c>
      <c r="D2669" s="7" t="n">
        <v>2024</v>
      </c>
      <c r="E2669" s="7" t="inlineStr">
        <is>
          <t>North</t>
        </is>
      </c>
      <c r="F2669" s="7" t="inlineStr">
        <is>
          <t>Technology</t>
        </is>
      </c>
      <c r="G2669" s="7" t="inlineStr">
        <is>
          <t>Laptop</t>
        </is>
      </c>
      <c r="H2669" s="7" t="inlineStr">
        <is>
          <t>Corporate</t>
        </is>
      </c>
      <c r="I2669" s="7" t="n">
        <v>1</v>
      </c>
      <c r="J2669" s="10" t="n">
        <v>913.85</v>
      </c>
      <c r="K2669" s="11" t="n">
        <v>0</v>
      </c>
      <c r="L2669" s="10">
        <f>I2669*J2669*(1-K2669)</f>
        <v/>
      </c>
      <c r="M2669" s="10" t="n">
        <v>702</v>
      </c>
      <c r="N2669" s="10">
        <f>L2669-M2669</f>
        <v/>
      </c>
    </row>
    <row r="2670">
      <c r="A2670" s="7" t="inlineStr">
        <is>
          <t>ORD-01430</t>
        </is>
      </c>
      <c r="B2670" s="8" t="n">
        <v>45508</v>
      </c>
      <c r="C2670" s="9" t="n">
        <v>45505</v>
      </c>
      <c r="D2670" s="7" t="n">
        <v>2024</v>
      </c>
      <c r="E2670" s="7" t="inlineStr">
        <is>
          <t>North</t>
        </is>
      </c>
      <c r="F2670" s="7" t="inlineStr">
        <is>
          <t>Office Supplies</t>
        </is>
      </c>
      <c r="G2670" s="7" t="inlineStr">
        <is>
          <t>Stapler</t>
        </is>
      </c>
      <c r="H2670" s="7" t="inlineStr">
        <is>
          <t>Home Office</t>
        </is>
      </c>
      <c r="I2670" s="7" t="n">
        <v>11</v>
      </c>
      <c r="J2670" s="10" t="n">
        <v>14.56</v>
      </c>
      <c r="K2670" s="11" t="n">
        <v>0</v>
      </c>
      <c r="L2670" s="10">
        <f>I2670*J2670*(1-K2670)</f>
        <v/>
      </c>
      <c r="M2670" s="10" t="n">
        <v>82.5</v>
      </c>
      <c r="N2670" s="10">
        <f>L2670-M2670</f>
        <v/>
      </c>
    </row>
    <row r="2671">
      <c r="A2671" s="7" t="inlineStr">
        <is>
          <t>ORD-04774</t>
        </is>
      </c>
      <c r="B2671" s="8" t="n">
        <v>45508</v>
      </c>
      <c r="C2671" s="9" t="n">
        <v>45505</v>
      </c>
      <c r="D2671" s="7" t="n">
        <v>2024</v>
      </c>
      <c r="E2671" s="7" t="inlineStr">
        <is>
          <t>East</t>
        </is>
      </c>
      <c r="F2671" s="7" t="inlineStr">
        <is>
          <t>Technology</t>
        </is>
      </c>
      <c r="G2671" s="7" t="inlineStr">
        <is>
          <t>Laptop</t>
        </is>
      </c>
      <c r="H2671" s="7" t="inlineStr">
        <is>
          <t>Consumer</t>
        </is>
      </c>
      <c r="I2671" s="7" t="n">
        <v>3</v>
      </c>
      <c r="J2671" s="10" t="n">
        <v>879.88</v>
      </c>
      <c r="K2671" s="11" t="n">
        <v>0.05</v>
      </c>
      <c r="L2671" s="10">
        <f>I2671*J2671*(1-K2671)</f>
        <v/>
      </c>
      <c r="M2671" s="10" t="n">
        <v>2106</v>
      </c>
      <c r="N2671" s="10">
        <f>L2671-M2671</f>
        <v/>
      </c>
    </row>
    <row r="2672">
      <c r="A2672" s="7" t="inlineStr">
        <is>
          <t>ORD-01808</t>
        </is>
      </c>
      <c r="B2672" s="8" t="n">
        <v>45508</v>
      </c>
      <c r="C2672" s="9" t="n">
        <v>45505</v>
      </c>
      <c r="D2672" s="7" t="n">
        <v>2024</v>
      </c>
      <c r="E2672" s="7" t="inlineStr">
        <is>
          <t>East</t>
        </is>
      </c>
      <c r="F2672" s="7" t="inlineStr">
        <is>
          <t>Office Supplies</t>
        </is>
      </c>
      <c r="G2672" s="7" t="inlineStr">
        <is>
          <t>Binder</t>
        </is>
      </c>
      <c r="H2672" s="7" t="inlineStr">
        <is>
          <t>Consumer</t>
        </is>
      </c>
      <c r="I2672" s="7" t="n">
        <v>13</v>
      </c>
      <c r="J2672" s="10" t="n">
        <v>8.01</v>
      </c>
      <c r="K2672" s="11" t="n">
        <v>0.1</v>
      </c>
      <c r="L2672" s="10">
        <f>I2672*J2672*(1-K2672)</f>
        <v/>
      </c>
      <c r="M2672" s="10" t="n">
        <v>41.6</v>
      </c>
      <c r="N2672" s="10">
        <f>L2672-M2672</f>
        <v/>
      </c>
    </row>
    <row r="2673">
      <c r="A2673" s="7" t="inlineStr">
        <is>
          <t>ORD-00093</t>
        </is>
      </c>
      <c r="B2673" s="8" t="n">
        <v>45508</v>
      </c>
      <c r="C2673" s="9" t="n">
        <v>45505</v>
      </c>
      <c r="D2673" s="7" t="n">
        <v>2024</v>
      </c>
      <c r="E2673" s="7" t="inlineStr">
        <is>
          <t>South</t>
        </is>
      </c>
      <c r="F2673" s="7" t="inlineStr">
        <is>
          <t>Furniture</t>
        </is>
      </c>
      <c r="G2673" s="7" t="inlineStr">
        <is>
          <t>Desk</t>
        </is>
      </c>
      <c r="H2673" s="7" t="inlineStr">
        <is>
          <t>Consumer</t>
        </is>
      </c>
      <c r="I2673" s="7" t="n">
        <v>3</v>
      </c>
      <c r="J2673" s="10" t="n">
        <v>447.17</v>
      </c>
      <c r="K2673" s="11" t="n">
        <v>0.3</v>
      </c>
      <c r="L2673" s="10">
        <f>I2673*J2673*(1-K2673)</f>
        <v/>
      </c>
      <c r="M2673" s="10" t="n">
        <v>1147.5</v>
      </c>
      <c r="N2673" s="10">
        <f>L2673-M2673</f>
        <v/>
      </c>
    </row>
    <row r="2674">
      <c r="A2674" s="7" t="inlineStr">
        <is>
          <t>ORD-03066</t>
        </is>
      </c>
      <c r="B2674" s="8" t="n">
        <v>45508</v>
      </c>
      <c r="C2674" s="9" t="n">
        <v>45505</v>
      </c>
      <c r="D2674" s="7" t="n">
        <v>2024</v>
      </c>
      <c r="E2674" s="7" t="inlineStr">
        <is>
          <t>South</t>
        </is>
      </c>
      <c r="F2674" s="7" t="inlineStr">
        <is>
          <t>Office Supplies</t>
        </is>
      </c>
      <c r="G2674" s="7" t="inlineStr">
        <is>
          <t>Pens</t>
        </is>
      </c>
      <c r="H2674" s="7" t="inlineStr">
        <is>
          <t>Corporate</t>
        </is>
      </c>
      <c r="I2674" s="7" t="n">
        <v>2</v>
      </c>
      <c r="J2674" s="10" t="n">
        <v>12.1</v>
      </c>
      <c r="K2674" s="11" t="n">
        <v>0</v>
      </c>
      <c r="L2674" s="10">
        <f>I2674*J2674*(1-K2674)</f>
        <v/>
      </c>
      <c r="M2674" s="10" t="n">
        <v>10.8</v>
      </c>
      <c r="N2674" s="10">
        <f>L2674-M2674</f>
        <v/>
      </c>
    </row>
    <row r="2675">
      <c r="A2675" s="7" t="inlineStr">
        <is>
          <t>ORD-04721</t>
        </is>
      </c>
      <c r="B2675" s="8" t="n">
        <v>45508</v>
      </c>
      <c r="C2675" s="9" t="n">
        <v>45505</v>
      </c>
      <c r="D2675" s="7" t="n">
        <v>2024</v>
      </c>
      <c r="E2675" s="7" t="inlineStr">
        <is>
          <t>West</t>
        </is>
      </c>
      <c r="F2675" s="7" t="inlineStr">
        <is>
          <t>Furniture</t>
        </is>
      </c>
      <c r="G2675" s="7" t="inlineStr">
        <is>
          <t>Bookcase</t>
        </is>
      </c>
      <c r="H2675" s="7" t="inlineStr">
        <is>
          <t>Consumer</t>
        </is>
      </c>
      <c r="I2675" s="7" t="n">
        <v>4</v>
      </c>
      <c r="J2675" s="10" t="n">
        <v>172.13</v>
      </c>
      <c r="K2675" s="11" t="n">
        <v>0</v>
      </c>
      <c r="L2675" s="10">
        <f>I2675*J2675*(1-K2675)</f>
        <v/>
      </c>
      <c r="M2675" s="10" t="n">
        <v>576</v>
      </c>
      <c r="N2675" s="10">
        <f>L2675-M2675</f>
        <v/>
      </c>
    </row>
    <row r="2676">
      <c r="A2676" s="7" t="inlineStr">
        <is>
          <t>ORD-01890</t>
        </is>
      </c>
      <c r="B2676" s="8" t="n">
        <v>45508</v>
      </c>
      <c r="C2676" s="9" t="n">
        <v>45505</v>
      </c>
      <c r="D2676" s="7" t="n">
        <v>2024</v>
      </c>
      <c r="E2676" s="7" t="inlineStr">
        <is>
          <t>South</t>
        </is>
      </c>
      <c r="F2676" s="7" t="inlineStr">
        <is>
          <t>Technology</t>
        </is>
      </c>
      <c r="G2676" s="7" t="inlineStr">
        <is>
          <t>Monitor</t>
        </is>
      </c>
      <c r="H2676" s="7" t="inlineStr">
        <is>
          <t>Consumer</t>
        </is>
      </c>
      <c r="I2676" s="7" t="n">
        <v>2</v>
      </c>
      <c r="J2676" s="10" t="n">
        <v>254.21</v>
      </c>
      <c r="K2676" s="11" t="n">
        <v>0.05</v>
      </c>
      <c r="L2676" s="10">
        <f>I2676*J2676*(1-K2676)</f>
        <v/>
      </c>
      <c r="M2676" s="10" t="n">
        <v>360</v>
      </c>
      <c r="N2676" s="10">
        <f>L2676-M2676</f>
        <v/>
      </c>
    </row>
    <row r="2677">
      <c r="A2677" s="7" t="inlineStr">
        <is>
          <t>ORD-02002</t>
        </is>
      </c>
      <c r="B2677" s="8" t="n">
        <v>45508</v>
      </c>
      <c r="C2677" s="9" t="n">
        <v>45505</v>
      </c>
      <c r="D2677" s="7" t="n">
        <v>2024</v>
      </c>
      <c r="E2677" s="7" t="inlineStr">
        <is>
          <t>North</t>
        </is>
      </c>
      <c r="F2677" s="7" t="inlineStr">
        <is>
          <t>Office Supplies</t>
        </is>
      </c>
      <c r="G2677" s="7" t="inlineStr">
        <is>
          <t>Stapler</t>
        </is>
      </c>
      <c r="H2677" s="7" t="inlineStr">
        <is>
          <t>Corporate</t>
        </is>
      </c>
      <c r="I2677" s="7" t="n">
        <v>15</v>
      </c>
      <c r="J2677" s="10" t="n">
        <v>14.47</v>
      </c>
      <c r="K2677" s="11" t="n">
        <v>0.2</v>
      </c>
      <c r="L2677" s="10">
        <f>I2677*J2677*(1-K2677)</f>
        <v/>
      </c>
      <c r="M2677" s="10" t="n">
        <v>112.5</v>
      </c>
      <c r="N2677" s="10">
        <f>L2677-M2677</f>
        <v/>
      </c>
    </row>
    <row r="2678">
      <c r="A2678" s="7" t="inlineStr">
        <is>
          <t>ORD-04632</t>
        </is>
      </c>
      <c r="B2678" s="8" t="n">
        <v>45509</v>
      </c>
      <c r="C2678" s="9" t="n">
        <v>45505</v>
      </c>
      <c r="D2678" s="7" t="n">
        <v>2024</v>
      </c>
      <c r="E2678" s="7" t="inlineStr">
        <is>
          <t>West</t>
        </is>
      </c>
      <c r="F2678" s="7" t="inlineStr">
        <is>
          <t>Office Supplies</t>
        </is>
      </c>
      <c r="G2678" s="7" t="inlineStr">
        <is>
          <t>Pens</t>
        </is>
      </c>
      <c r="H2678" s="7" t="inlineStr">
        <is>
          <t>Consumer</t>
        </is>
      </c>
      <c r="I2678" s="7" t="n">
        <v>12</v>
      </c>
      <c r="J2678" s="10" t="n">
        <v>12.31</v>
      </c>
      <c r="K2678" s="11" t="n">
        <v>0</v>
      </c>
      <c r="L2678" s="10">
        <f>I2678*J2678*(1-K2678)</f>
        <v/>
      </c>
      <c r="M2678" s="10" t="n">
        <v>64.8</v>
      </c>
      <c r="N2678" s="10">
        <f>L2678-M2678</f>
        <v/>
      </c>
    </row>
    <row r="2679">
      <c r="A2679" s="7" t="inlineStr">
        <is>
          <t>ORD-01778</t>
        </is>
      </c>
      <c r="B2679" s="8" t="n">
        <v>45509</v>
      </c>
      <c r="C2679" s="9" t="n">
        <v>45505</v>
      </c>
      <c r="D2679" s="7" t="n">
        <v>2024</v>
      </c>
      <c r="E2679" s="7" t="inlineStr">
        <is>
          <t>North</t>
        </is>
      </c>
      <c r="F2679" s="7" t="inlineStr">
        <is>
          <t>Furniture</t>
        </is>
      </c>
      <c r="G2679" s="7" t="inlineStr">
        <is>
          <t>Office Chair</t>
        </is>
      </c>
      <c r="H2679" s="7" t="inlineStr">
        <is>
          <t>Home Office</t>
        </is>
      </c>
      <c r="I2679" s="7" t="n">
        <v>1</v>
      </c>
      <c r="J2679" s="10" t="n">
        <v>224</v>
      </c>
      <c r="K2679" s="11" t="n">
        <v>0.1</v>
      </c>
      <c r="L2679" s="10">
        <f>I2679*J2679*(1-K2679)</f>
        <v/>
      </c>
      <c r="M2679" s="10" t="n">
        <v>180.4</v>
      </c>
      <c r="N2679" s="10">
        <f>L2679-M2679</f>
        <v/>
      </c>
    </row>
    <row r="2680">
      <c r="A2680" s="7" t="inlineStr">
        <is>
          <t>ORD-02672</t>
        </is>
      </c>
      <c r="B2680" s="8" t="n">
        <v>45509</v>
      </c>
      <c r="C2680" s="9" t="n">
        <v>45505</v>
      </c>
      <c r="D2680" s="7" t="n">
        <v>2024</v>
      </c>
      <c r="E2680" s="7" t="inlineStr">
        <is>
          <t>East</t>
        </is>
      </c>
      <c r="F2680" s="7" t="inlineStr">
        <is>
          <t>Technology</t>
        </is>
      </c>
      <c r="G2680" s="7" t="inlineStr">
        <is>
          <t>Laptop</t>
        </is>
      </c>
      <c r="H2680" s="7" t="inlineStr">
        <is>
          <t>Consumer</t>
        </is>
      </c>
      <c r="I2680" s="7" t="n">
        <v>3</v>
      </c>
      <c r="J2680" s="10" t="n">
        <v>896.2</v>
      </c>
      <c r="K2680" s="11" t="n">
        <v>0.1</v>
      </c>
      <c r="L2680" s="10">
        <f>I2680*J2680*(1-K2680)</f>
        <v/>
      </c>
      <c r="M2680" s="10" t="n">
        <v>2106</v>
      </c>
      <c r="N2680" s="10">
        <f>L2680-M2680</f>
        <v/>
      </c>
    </row>
    <row r="2681">
      <c r="A2681" s="7" t="inlineStr">
        <is>
          <t>ORD-03472</t>
        </is>
      </c>
      <c r="B2681" s="8" t="n">
        <v>45509</v>
      </c>
      <c r="C2681" s="9" t="n">
        <v>45505</v>
      </c>
      <c r="D2681" s="7" t="n">
        <v>2024</v>
      </c>
      <c r="E2681" s="7" t="inlineStr">
        <is>
          <t>West</t>
        </is>
      </c>
      <c r="F2681" s="7" t="inlineStr">
        <is>
          <t>Office Supplies</t>
        </is>
      </c>
      <c r="G2681" s="7" t="inlineStr">
        <is>
          <t>Binder</t>
        </is>
      </c>
      <c r="H2681" s="7" t="inlineStr">
        <is>
          <t>Consumer</t>
        </is>
      </c>
      <c r="I2681" s="7" t="n">
        <v>14</v>
      </c>
      <c r="J2681" s="10" t="n">
        <v>7.72</v>
      </c>
      <c r="K2681" s="11" t="n">
        <v>0.3</v>
      </c>
      <c r="L2681" s="10">
        <f>I2681*J2681*(1-K2681)</f>
        <v/>
      </c>
      <c r="M2681" s="10" t="n">
        <v>44.8</v>
      </c>
      <c r="N2681" s="10">
        <f>L2681-M2681</f>
        <v/>
      </c>
    </row>
    <row r="2682">
      <c r="A2682" s="7" t="inlineStr">
        <is>
          <t>ORD-02161</t>
        </is>
      </c>
      <c r="B2682" s="8" t="n">
        <v>45510</v>
      </c>
      <c r="C2682" s="9" t="n">
        <v>45505</v>
      </c>
      <c r="D2682" s="7" t="n">
        <v>2024</v>
      </c>
      <c r="E2682" s="7" t="inlineStr">
        <is>
          <t>East</t>
        </is>
      </c>
      <c r="F2682" s="7" t="inlineStr">
        <is>
          <t>Furniture</t>
        </is>
      </c>
      <c r="G2682" s="7" t="inlineStr">
        <is>
          <t>Bookcase</t>
        </is>
      </c>
      <c r="H2682" s="7" t="inlineStr">
        <is>
          <t>Consumer</t>
        </is>
      </c>
      <c r="I2682" s="7" t="n">
        <v>3</v>
      </c>
      <c r="J2682" s="10" t="n">
        <v>175</v>
      </c>
      <c r="K2682" s="11" t="n">
        <v>0.1</v>
      </c>
      <c r="L2682" s="10">
        <f>I2682*J2682*(1-K2682)</f>
        <v/>
      </c>
      <c r="M2682" s="10" t="n">
        <v>432</v>
      </c>
      <c r="N2682" s="10">
        <f>L2682-M2682</f>
        <v/>
      </c>
    </row>
    <row r="2683">
      <c r="A2683" s="7" t="inlineStr">
        <is>
          <t>ORD-05292</t>
        </is>
      </c>
      <c r="B2683" s="8" t="n">
        <v>45510</v>
      </c>
      <c r="C2683" s="9" t="n">
        <v>45505</v>
      </c>
      <c r="D2683" s="7" t="n">
        <v>2024</v>
      </c>
      <c r="E2683" s="7" t="inlineStr">
        <is>
          <t>East</t>
        </is>
      </c>
      <c r="F2683" s="7" t="inlineStr">
        <is>
          <t>Office Supplies</t>
        </is>
      </c>
      <c r="G2683" s="7" t="inlineStr">
        <is>
          <t>Binder</t>
        </is>
      </c>
      <c r="H2683" s="7" t="inlineStr">
        <is>
          <t>Consumer</t>
        </is>
      </c>
      <c r="I2683" s="7" t="n">
        <v>11</v>
      </c>
      <c r="J2683" s="10" t="n">
        <v>8.039999999999999</v>
      </c>
      <c r="K2683" s="11" t="n">
        <v>0</v>
      </c>
      <c r="L2683" s="10">
        <f>I2683*J2683*(1-K2683)</f>
        <v/>
      </c>
      <c r="M2683" s="10" t="n">
        <v>35.2</v>
      </c>
      <c r="N2683" s="10">
        <f>L2683-M2683</f>
        <v/>
      </c>
    </row>
    <row r="2684">
      <c r="A2684" s="7" t="inlineStr">
        <is>
          <t>ORD-00592</t>
        </is>
      </c>
      <c r="B2684" s="8" t="n">
        <v>45510</v>
      </c>
      <c r="C2684" s="9" t="n">
        <v>45505</v>
      </c>
      <c r="D2684" s="7" t="n">
        <v>2024</v>
      </c>
      <c r="E2684" s="7" t="inlineStr">
        <is>
          <t>South</t>
        </is>
      </c>
      <c r="F2684" s="7" t="inlineStr">
        <is>
          <t>Furniture</t>
        </is>
      </c>
      <c r="G2684" s="7" t="inlineStr">
        <is>
          <t>Office Chair</t>
        </is>
      </c>
      <c r="H2684" s="7" t="inlineStr">
        <is>
          <t>Home Office</t>
        </is>
      </c>
      <c r="I2684" s="7" t="n">
        <v>3</v>
      </c>
      <c r="J2684" s="10" t="n">
        <v>224.28</v>
      </c>
      <c r="K2684" s="11" t="n">
        <v>0.2</v>
      </c>
      <c r="L2684" s="10">
        <f>I2684*J2684*(1-K2684)</f>
        <v/>
      </c>
      <c r="M2684" s="10" t="n">
        <v>541.2</v>
      </c>
      <c r="N2684" s="10">
        <f>L2684-M2684</f>
        <v/>
      </c>
    </row>
    <row r="2685">
      <c r="A2685" s="7" t="inlineStr">
        <is>
          <t>ORD-02072</t>
        </is>
      </c>
      <c r="B2685" s="8" t="n">
        <v>45510</v>
      </c>
      <c r="C2685" s="9" t="n">
        <v>45505</v>
      </c>
      <c r="D2685" s="7" t="n">
        <v>2024</v>
      </c>
      <c r="E2685" s="7" t="inlineStr">
        <is>
          <t>East</t>
        </is>
      </c>
      <c r="F2685" s="7" t="inlineStr">
        <is>
          <t>Office Supplies</t>
        </is>
      </c>
      <c r="G2685" s="7" t="inlineStr">
        <is>
          <t>Stapler</t>
        </is>
      </c>
      <c r="H2685" s="7" t="inlineStr">
        <is>
          <t>Corporate</t>
        </is>
      </c>
      <c r="I2685" s="7" t="n">
        <v>11</v>
      </c>
      <c r="J2685" s="10" t="n">
        <v>15.7</v>
      </c>
      <c r="K2685" s="11" t="n">
        <v>0.2</v>
      </c>
      <c r="L2685" s="10">
        <f>I2685*J2685*(1-K2685)</f>
        <v/>
      </c>
      <c r="M2685" s="10" t="n">
        <v>82.5</v>
      </c>
      <c r="N2685" s="10">
        <f>L2685-M2685</f>
        <v/>
      </c>
    </row>
    <row r="2686">
      <c r="A2686" s="7" t="inlineStr">
        <is>
          <t>ORD-03070</t>
        </is>
      </c>
      <c r="B2686" s="8" t="n">
        <v>45510</v>
      </c>
      <c r="C2686" s="9" t="n">
        <v>45505</v>
      </c>
      <c r="D2686" s="7" t="n">
        <v>2024</v>
      </c>
      <c r="E2686" s="7" t="inlineStr">
        <is>
          <t>East</t>
        </is>
      </c>
      <c r="F2686" s="7" t="inlineStr">
        <is>
          <t>Office Supplies</t>
        </is>
      </c>
      <c r="G2686" s="7" t="inlineStr">
        <is>
          <t>Binder</t>
        </is>
      </c>
      <c r="H2686" s="7" t="inlineStr">
        <is>
          <t>Consumer</t>
        </is>
      </c>
      <c r="I2686" s="7" t="n">
        <v>5</v>
      </c>
      <c r="J2686" s="10" t="n">
        <v>7.86</v>
      </c>
      <c r="K2686" s="11" t="n">
        <v>0</v>
      </c>
      <c r="L2686" s="10">
        <f>I2686*J2686*(1-K2686)</f>
        <v/>
      </c>
      <c r="M2686" s="10" t="n">
        <v>16</v>
      </c>
      <c r="N2686" s="10">
        <f>L2686-M2686</f>
        <v/>
      </c>
    </row>
    <row r="2687">
      <c r="A2687" s="7" t="inlineStr">
        <is>
          <t>ORD-01540</t>
        </is>
      </c>
      <c r="B2687" s="8" t="n">
        <v>45510</v>
      </c>
      <c r="C2687" s="9" t="n">
        <v>45505</v>
      </c>
      <c r="D2687" s="7" t="n">
        <v>2024</v>
      </c>
      <c r="E2687" s="7" t="inlineStr">
        <is>
          <t>West</t>
        </is>
      </c>
      <c r="F2687" s="7" t="inlineStr">
        <is>
          <t>Office Supplies</t>
        </is>
      </c>
      <c r="G2687" s="7" t="inlineStr">
        <is>
          <t>Paper</t>
        </is>
      </c>
      <c r="H2687" s="7" t="inlineStr">
        <is>
          <t>Home Office</t>
        </is>
      </c>
      <c r="I2687" s="7" t="n">
        <v>2</v>
      </c>
      <c r="J2687" s="10" t="n">
        <v>23.87</v>
      </c>
      <c r="K2687" s="11" t="n">
        <v>0</v>
      </c>
      <c r="L2687" s="10">
        <f>I2687*J2687*(1-K2687)</f>
        <v/>
      </c>
      <c r="M2687" s="10" t="n">
        <v>25</v>
      </c>
      <c r="N2687" s="10">
        <f>L2687-M2687</f>
        <v/>
      </c>
    </row>
    <row r="2688">
      <c r="A2688" s="7" t="inlineStr">
        <is>
          <t>ORD-00546</t>
        </is>
      </c>
      <c r="B2688" s="8" t="n">
        <v>45510</v>
      </c>
      <c r="C2688" s="9" t="n">
        <v>45505</v>
      </c>
      <c r="D2688" s="7" t="n">
        <v>2024</v>
      </c>
      <c r="E2688" s="7" t="inlineStr">
        <is>
          <t>North</t>
        </is>
      </c>
      <c r="F2688" s="7" t="inlineStr">
        <is>
          <t>Office Supplies</t>
        </is>
      </c>
      <c r="G2688" s="7" t="inlineStr">
        <is>
          <t>Binder</t>
        </is>
      </c>
      <c r="H2688" s="7" t="inlineStr">
        <is>
          <t>Corporate</t>
        </is>
      </c>
      <c r="I2688" s="7" t="n">
        <v>4</v>
      </c>
      <c r="J2688" s="10" t="n">
        <v>8.32</v>
      </c>
      <c r="K2688" s="11" t="n">
        <v>0.3</v>
      </c>
      <c r="L2688" s="10">
        <f>I2688*J2688*(1-K2688)</f>
        <v/>
      </c>
      <c r="M2688" s="10" t="n">
        <v>12.8</v>
      </c>
      <c r="N2688" s="10">
        <f>L2688-M2688</f>
        <v/>
      </c>
    </row>
    <row r="2689">
      <c r="A2689" s="7" t="inlineStr">
        <is>
          <t>ORD-05216</t>
        </is>
      </c>
      <c r="B2689" s="8" t="n">
        <v>45511</v>
      </c>
      <c r="C2689" s="9" t="n">
        <v>45505</v>
      </c>
      <c r="D2689" s="7" t="n">
        <v>2024</v>
      </c>
      <c r="E2689" s="7" t="inlineStr">
        <is>
          <t>West</t>
        </is>
      </c>
      <c r="F2689" s="7" t="inlineStr">
        <is>
          <t>Office Supplies</t>
        </is>
      </c>
      <c r="G2689" s="7" t="inlineStr">
        <is>
          <t>Pens</t>
        </is>
      </c>
      <c r="H2689" s="7" t="inlineStr">
        <is>
          <t>Corporate</t>
        </is>
      </c>
      <c r="I2689" s="7" t="n">
        <v>11</v>
      </c>
      <c r="J2689" s="10" t="n">
        <v>11.59</v>
      </c>
      <c r="K2689" s="11" t="n">
        <v>0.05</v>
      </c>
      <c r="L2689" s="10">
        <f>I2689*J2689*(1-K2689)</f>
        <v/>
      </c>
      <c r="M2689" s="10" t="n">
        <v>59.4</v>
      </c>
      <c r="N2689" s="10">
        <f>L2689-M2689</f>
        <v/>
      </c>
    </row>
    <row r="2690">
      <c r="A2690" s="7" t="inlineStr">
        <is>
          <t>ORD-01191</t>
        </is>
      </c>
      <c r="B2690" s="8" t="n">
        <v>45511</v>
      </c>
      <c r="C2690" s="9" t="n">
        <v>45505</v>
      </c>
      <c r="D2690" s="7" t="n">
        <v>2024</v>
      </c>
      <c r="E2690" s="7" t="inlineStr">
        <is>
          <t>East</t>
        </is>
      </c>
      <c r="F2690" s="7" t="inlineStr">
        <is>
          <t>Office Supplies</t>
        </is>
      </c>
      <c r="G2690" s="7" t="inlineStr">
        <is>
          <t>Stapler</t>
        </is>
      </c>
      <c r="H2690" s="7" t="inlineStr">
        <is>
          <t>Consumer</t>
        </is>
      </c>
      <c r="I2690" s="7" t="n">
        <v>11</v>
      </c>
      <c r="J2690" s="10" t="n">
        <v>15.07</v>
      </c>
      <c r="K2690" s="11" t="n">
        <v>0.2</v>
      </c>
      <c r="L2690" s="10">
        <f>I2690*J2690*(1-K2690)</f>
        <v/>
      </c>
      <c r="M2690" s="10" t="n">
        <v>82.5</v>
      </c>
      <c r="N2690" s="10">
        <f>L2690-M2690</f>
        <v/>
      </c>
    </row>
    <row r="2691">
      <c r="A2691" s="7" t="inlineStr">
        <is>
          <t>ORD-04213</t>
        </is>
      </c>
      <c r="B2691" s="8" t="n">
        <v>45511</v>
      </c>
      <c r="C2691" s="9" t="n">
        <v>45505</v>
      </c>
      <c r="D2691" s="7" t="n">
        <v>2024</v>
      </c>
      <c r="E2691" s="7" t="inlineStr">
        <is>
          <t>West</t>
        </is>
      </c>
      <c r="F2691" s="7" t="inlineStr">
        <is>
          <t>Technology</t>
        </is>
      </c>
      <c r="G2691" s="7" t="inlineStr">
        <is>
          <t>Headphones</t>
        </is>
      </c>
      <c r="H2691" s="7" t="inlineStr">
        <is>
          <t>Consumer</t>
        </is>
      </c>
      <c r="I2691" s="7" t="n">
        <v>1</v>
      </c>
      <c r="J2691" s="10" t="n">
        <v>122.06</v>
      </c>
      <c r="K2691" s="11" t="n">
        <v>0.2</v>
      </c>
      <c r="L2691" s="10">
        <f>I2691*J2691*(1-K2691)</f>
        <v/>
      </c>
      <c r="M2691" s="10" t="n">
        <v>72</v>
      </c>
      <c r="N2691" s="10">
        <f>L2691-M2691</f>
        <v/>
      </c>
    </row>
    <row r="2692">
      <c r="A2692" s="7" t="inlineStr">
        <is>
          <t>ORD-00107</t>
        </is>
      </c>
      <c r="B2692" s="8" t="n">
        <v>45511</v>
      </c>
      <c r="C2692" s="9" t="n">
        <v>45505</v>
      </c>
      <c r="D2692" s="7" t="n">
        <v>2024</v>
      </c>
      <c r="E2692" s="7" t="inlineStr">
        <is>
          <t>North</t>
        </is>
      </c>
      <c r="F2692" s="7" t="inlineStr">
        <is>
          <t>Technology</t>
        </is>
      </c>
      <c r="G2692" s="7" t="inlineStr">
        <is>
          <t>Monitor</t>
        </is>
      </c>
      <c r="H2692" s="7" t="inlineStr">
        <is>
          <t>Corporate</t>
        </is>
      </c>
      <c r="I2692" s="7" t="n">
        <v>2</v>
      </c>
      <c r="J2692" s="10" t="n">
        <v>238.18</v>
      </c>
      <c r="K2692" s="11" t="n">
        <v>0.05</v>
      </c>
      <c r="L2692" s="10">
        <f>I2692*J2692*(1-K2692)</f>
        <v/>
      </c>
      <c r="M2692" s="10" t="n">
        <v>360</v>
      </c>
      <c r="N2692" s="10">
        <f>L2692-M2692</f>
        <v/>
      </c>
    </row>
    <row r="2693">
      <c r="A2693" s="7" t="inlineStr">
        <is>
          <t>ORD-04209</t>
        </is>
      </c>
      <c r="B2693" s="8" t="n">
        <v>45511</v>
      </c>
      <c r="C2693" s="9" t="n">
        <v>45505</v>
      </c>
      <c r="D2693" s="7" t="n">
        <v>2024</v>
      </c>
      <c r="E2693" s="7" t="inlineStr">
        <is>
          <t>West</t>
        </is>
      </c>
      <c r="F2693" s="7" t="inlineStr">
        <is>
          <t>Technology</t>
        </is>
      </c>
      <c r="G2693" s="7" t="inlineStr">
        <is>
          <t>Laptop</t>
        </is>
      </c>
      <c r="H2693" s="7" t="inlineStr">
        <is>
          <t>Corporate</t>
        </is>
      </c>
      <c r="I2693" s="7" t="n">
        <v>2</v>
      </c>
      <c r="J2693" s="10" t="n">
        <v>909.0700000000001</v>
      </c>
      <c r="K2693" s="11" t="n">
        <v>0</v>
      </c>
      <c r="L2693" s="10">
        <f>I2693*J2693*(1-K2693)</f>
        <v/>
      </c>
      <c r="M2693" s="10" t="n">
        <v>1404</v>
      </c>
      <c r="N2693" s="10">
        <f>L2693-M2693</f>
        <v/>
      </c>
    </row>
    <row r="2694">
      <c r="A2694" s="7" t="inlineStr">
        <is>
          <t>ORD-04054</t>
        </is>
      </c>
      <c r="B2694" s="8" t="n">
        <v>45511</v>
      </c>
      <c r="C2694" s="9" t="n">
        <v>45505</v>
      </c>
      <c r="D2694" s="7" t="n">
        <v>2024</v>
      </c>
      <c r="E2694" s="7" t="inlineStr">
        <is>
          <t>East</t>
        </is>
      </c>
      <c r="F2694" s="7" t="inlineStr">
        <is>
          <t>Technology</t>
        </is>
      </c>
      <c r="G2694" s="7" t="inlineStr">
        <is>
          <t>Keyboard</t>
        </is>
      </c>
      <c r="H2694" s="7" t="inlineStr">
        <is>
          <t>Corporate</t>
        </is>
      </c>
      <c r="I2694" s="7" t="n">
        <v>2</v>
      </c>
      <c r="J2694" s="10" t="n">
        <v>46.71</v>
      </c>
      <c r="K2694" s="11" t="n">
        <v>0</v>
      </c>
      <c r="L2694" s="10">
        <f>I2694*J2694*(1-K2694)</f>
        <v/>
      </c>
      <c r="M2694" s="10" t="n">
        <v>49.5</v>
      </c>
      <c r="N2694" s="10">
        <f>L2694-M2694</f>
        <v/>
      </c>
    </row>
    <row r="2695">
      <c r="A2695" s="7" t="inlineStr">
        <is>
          <t>ORD-00945</t>
        </is>
      </c>
      <c r="B2695" s="8" t="n">
        <v>45512</v>
      </c>
      <c r="C2695" s="9" t="n">
        <v>45505</v>
      </c>
      <c r="D2695" s="7" t="n">
        <v>2024</v>
      </c>
      <c r="E2695" s="7" t="inlineStr">
        <is>
          <t>East</t>
        </is>
      </c>
      <c r="F2695" s="7" t="inlineStr">
        <is>
          <t>Furniture</t>
        </is>
      </c>
      <c r="G2695" s="7" t="inlineStr">
        <is>
          <t>Bookcase</t>
        </is>
      </c>
      <c r="H2695" s="7" t="inlineStr">
        <is>
          <t>Corporate</t>
        </is>
      </c>
      <c r="I2695" s="7" t="n">
        <v>4</v>
      </c>
      <c r="J2695" s="10" t="n">
        <v>182.85</v>
      </c>
      <c r="K2695" s="11" t="n">
        <v>0</v>
      </c>
      <c r="L2695" s="10">
        <f>I2695*J2695*(1-K2695)</f>
        <v/>
      </c>
      <c r="M2695" s="10" t="n">
        <v>576</v>
      </c>
      <c r="N2695" s="10">
        <f>L2695-M2695</f>
        <v/>
      </c>
    </row>
    <row r="2696">
      <c r="A2696" s="7" t="inlineStr">
        <is>
          <t>ORD-01750</t>
        </is>
      </c>
      <c r="B2696" s="8" t="n">
        <v>45512</v>
      </c>
      <c r="C2696" s="9" t="n">
        <v>45505</v>
      </c>
      <c r="D2696" s="7" t="n">
        <v>2024</v>
      </c>
      <c r="E2696" s="7" t="inlineStr">
        <is>
          <t>South</t>
        </is>
      </c>
      <c r="F2696" s="7" t="inlineStr">
        <is>
          <t>Office Supplies</t>
        </is>
      </c>
      <c r="G2696" s="7" t="inlineStr">
        <is>
          <t>Pens</t>
        </is>
      </c>
      <c r="H2696" s="7" t="inlineStr">
        <is>
          <t>Corporate</t>
        </is>
      </c>
      <c r="I2696" s="7" t="n">
        <v>15</v>
      </c>
      <c r="J2696" s="10" t="n">
        <v>11.8</v>
      </c>
      <c r="K2696" s="11" t="n">
        <v>0</v>
      </c>
      <c r="L2696" s="10">
        <f>I2696*J2696*(1-K2696)</f>
        <v/>
      </c>
      <c r="M2696" s="10" t="n">
        <v>81</v>
      </c>
      <c r="N2696" s="10">
        <f>L2696-M2696</f>
        <v/>
      </c>
    </row>
    <row r="2697">
      <c r="A2697" s="7" t="inlineStr">
        <is>
          <t>ORD-01020</t>
        </is>
      </c>
      <c r="B2697" s="8" t="n">
        <v>45512</v>
      </c>
      <c r="C2697" s="9" t="n">
        <v>45505</v>
      </c>
      <c r="D2697" s="7" t="n">
        <v>2024</v>
      </c>
      <c r="E2697" s="7" t="inlineStr">
        <is>
          <t>East</t>
        </is>
      </c>
      <c r="F2697" s="7" t="inlineStr">
        <is>
          <t>Technology</t>
        </is>
      </c>
      <c r="G2697" s="7" t="inlineStr">
        <is>
          <t>Keyboard</t>
        </is>
      </c>
      <c r="H2697" s="7" t="inlineStr">
        <is>
          <t>Consumer</t>
        </is>
      </c>
      <c r="I2697" s="7" t="n">
        <v>2</v>
      </c>
      <c r="J2697" s="10" t="n">
        <v>44.56</v>
      </c>
      <c r="K2697" s="11" t="n">
        <v>0.05</v>
      </c>
      <c r="L2697" s="10">
        <f>I2697*J2697*(1-K2697)</f>
        <v/>
      </c>
      <c r="M2697" s="10" t="n">
        <v>49.5</v>
      </c>
      <c r="N2697" s="10">
        <f>L2697-M2697</f>
        <v/>
      </c>
    </row>
    <row r="2698">
      <c r="A2698" s="7" t="inlineStr">
        <is>
          <t>ORD-03623</t>
        </is>
      </c>
      <c r="B2698" s="8" t="n">
        <v>45513</v>
      </c>
      <c r="C2698" s="9" t="n">
        <v>45505</v>
      </c>
      <c r="D2698" s="7" t="n">
        <v>2024</v>
      </c>
      <c r="E2698" s="7" t="inlineStr">
        <is>
          <t>North</t>
        </is>
      </c>
      <c r="F2698" s="7" t="inlineStr">
        <is>
          <t>Technology</t>
        </is>
      </c>
      <c r="G2698" s="7" t="inlineStr">
        <is>
          <t>Smartphone</t>
        </is>
      </c>
      <c r="H2698" s="7" t="inlineStr">
        <is>
          <t>Consumer</t>
        </is>
      </c>
      <c r="I2698" s="7" t="n">
        <v>2</v>
      </c>
      <c r="J2698" s="10" t="n">
        <v>579.64</v>
      </c>
      <c r="K2698" s="11" t="n">
        <v>0.05</v>
      </c>
      <c r="L2698" s="10">
        <f>I2698*J2698*(1-K2698)</f>
        <v/>
      </c>
      <c r="M2698" s="10" t="n">
        <v>900</v>
      </c>
      <c r="N2698" s="10">
        <f>L2698-M2698</f>
        <v/>
      </c>
    </row>
    <row r="2699">
      <c r="A2699" s="7" t="inlineStr">
        <is>
          <t>ORD-05106</t>
        </is>
      </c>
      <c r="B2699" s="8" t="n">
        <v>45513</v>
      </c>
      <c r="C2699" s="9" t="n">
        <v>45505</v>
      </c>
      <c r="D2699" s="7" t="n">
        <v>2024</v>
      </c>
      <c r="E2699" s="7" t="inlineStr">
        <is>
          <t>West</t>
        </is>
      </c>
      <c r="F2699" s="7" t="inlineStr">
        <is>
          <t>Office Supplies</t>
        </is>
      </c>
      <c r="G2699" s="7" t="inlineStr">
        <is>
          <t>Paper</t>
        </is>
      </c>
      <c r="H2699" s="7" t="inlineStr">
        <is>
          <t>Corporate</t>
        </is>
      </c>
      <c r="I2699" s="7" t="n">
        <v>15</v>
      </c>
      <c r="J2699" s="10" t="n">
        <v>25.93</v>
      </c>
      <c r="K2699" s="11" t="n">
        <v>0.05</v>
      </c>
      <c r="L2699" s="10">
        <f>I2699*J2699*(1-K2699)</f>
        <v/>
      </c>
      <c r="M2699" s="10" t="n">
        <v>187.5</v>
      </c>
      <c r="N2699" s="10">
        <f>L2699-M2699</f>
        <v/>
      </c>
    </row>
    <row r="2700">
      <c r="A2700" s="7" t="inlineStr">
        <is>
          <t>ORD-01289</t>
        </is>
      </c>
      <c r="B2700" s="8" t="n">
        <v>45513</v>
      </c>
      <c r="C2700" s="9" t="n">
        <v>45505</v>
      </c>
      <c r="D2700" s="7" t="n">
        <v>2024</v>
      </c>
      <c r="E2700" s="7" t="inlineStr">
        <is>
          <t>East</t>
        </is>
      </c>
      <c r="F2700" s="7" t="inlineStr">
        <is>
          <t>Furniture</t>
        </is>
      </c>
      <c r="G2700" s="7" t="inlineStr">
        <is>
          <t>Office Chair</t>
        </is>
      </c>
      <c r="H2700" s="7" t="inlineStr">
        <is>
          <t>Corporate</t>
        </is>
      </c>
      <c r="I2700" s="7" t="n">
        <v>4</v>
      </c>
      <c r="J2700" s="10" t="n">
        <v>222.93</v>
      </c>
      <c r="K2700" s="11" t="n">
        <v>0.2</v>
      </c>
      <c r="L2700" s="10">
        <f>I2700*J2700*(1-K2700)</f>
        <v/>
      </c>
      <c r="M2700" s="10" t="n">
        <v>721.6</v>
      </c>
      <c r="N2700" s="10">
        <f>L2700-M2700</f>
        <v/>
      </c>
    </row>
    <row r="2701">
      <c r="A2701" s="7" t="inlineStr">
        <is>
          <t>ORD-04080</t>
        </is>
      </c>
      <c r="B2701" s="8" t="n">
        <v>45513</v>
      </c>
      <c r="C2701" s="9" t="n">
        <v>45505</v>
      </c>
      <c r="D2701" s="7" t="n">
        <v>2024</v>
      </c>
      <c r="E2701" s="7" t="inlineStr">
        <is>
          <t>South</t>
        </is>
      </c>
      <c r="F2701" s="7" t="inlineStr">
        <is>
          <t>Office Supplies</t>
        </is>
      </c>
      <c r="G2701" s="7" t="inlineStr">
        <is>
          <t>Pens</t>
        </is>
      </c>
      <c r="H2701" s="7" t="inlineStr">
        <is>
          <t>Consumer</t>
        </is>
      </c>
      <c r="I2701" s="7" t="n">
        <v>15</v>
      </c>
      <c r="J2701" s="10" t="n">
        <v>11.43</v>
      </c>
      <c r="K2701" s="11" t="n">
        <v>0.05</v>
      </c>
      <c r="L2701" s="10">
        <f>I2701*J2701*(1-K2701)</f>
        <v/>
      </c>
      <c r="M2701" s="10" t="n">
        <v>81</v>
      </c>
      <c r="N2701" s="10">
        <f>L2701-M2701</f>
        <v/>
      </c>
    </row>
    <row r="2702">
      <c r="A2702" s="7" t="inlineStr">
        <is>
          <t>ORD-02589</t>
        </is>
      </c>
      <c r="B2702" s="8" t="n">
        <v>45513</v>
      </c>
      <c r="C2702" s="9" t="n">
        <v>45505</v>
      </c>
      <c r="D2702" s="7" t="n">
        <v>2024</v>
      </c>
      <c r="E2702" s="7" t="inlineStr">
        <is>
          <t>East</t>
        </is>
      </c>
      <c r="F2702" s="7" t="inlineStr">
        <is>
          <t>Technology</t>
        </is>
      </c>
      <c r="G2702" s="7" t="inlineStr">
        <is>
          <t>Laptop</t>
        </is>
      </c>
      <c r="H2702" s="7" t="inlineStr">
        <is>
          <t>Corporate</t>
        </is>
      </c>
      <c r="I2702" s="7" t="n">
        <v>3</v>
      </c>
      <c r="J2702" s="10" t="n">
        <v>940.53</v>
      </c>
      <c r="K2702" s="11" t="n">
        <v>0.05</v>
      </c>
      <c r="L2702" s="10">
        <f>I2702*J2702*(1-K2702)</f>
        <v/>
      </c>
      <c r="M2702" s="10" t="n">
        <v>2106</v>
      </c>
      <c r="N2702" s="10">
        <f>L2702-M2702</f>
        <v/>
      </c>
    </row>
    <row r="2703">
      <c r="A2703" s="7" t="inlineStr">
        <is>
          <t>ORD-04159</t>
        </is>
      </c>
      <c r="B2703" s="8" t="n">
        <v>45513</v>
      </c>
      <c r="C2703" s="9" t="n">
        <v>45505</v>
      </c>
      <c r="D2703" s="7" t="n">
        <v>2024</v>
      </c>
      <c r="E2703" s="7" t="inlineStr">
        <is>
          <t>West</t>
        </is>
      </c>
      <c r="F2703" s="7" t="inlineStr">
        <is>
          <t>Technology</t>
        </is>
      </c>
      <c r="G2703" s="7" t="inlineStr">
        <is>
          <t>Monitor</t>
        </is>
      </c>
      <c r="H2703" s="7" t="inlineStr">
        <is>
          <t>Home Office</t>
        </is>
      </c>
      <c r="I2703" s="7" t="n">
        <v>3</v>
      </c>
      <c r="J2703" s="10" t="n">
        <v>241.75</v>
      </c>
      <c r="K2703" s="11" t="n">
        <v>0</v>
      </c>
      <c r="L2703" s="10">
        <f>I2703*J2703*(1-K2703)</f>
        <v/>
      </c>
      <c r="M2703" s="10" t="n">
        <v>540</v>
      </c>
      <c r="N2703" s="10">
        <f>L2703-M2703</f>
        <v/>
      </c>
    </row>
    <row r="2704">
      <c r="A2704" s="7" t="inlineStr">
        <is>
          <t>ORD-05478</t>
        </is>
      </c>
      <c r="B2704" s="8" t="n">
        <v>45513</v>
      </c>
      <c r="C2704" s="9" t="n">
        <v>45505</v>
      </c>
      <c r="D2704" s="7" t="n">
        <v>2024</v>
      </c>
      <c r="E2704" s="7" t="inlineStr">
        <is>
          <t>North</t>
        </is>
      </c>
      <c r="F2704" s="7" t="inlineStr">
        <is>
          <t>Technology</t>
        </is>
      </c>
      <c r="G2704" s="7" t="inlineStr">
        <is>
          <t>Headphones</t>
        </is>
      </c>
      <c r="H2704" s="7" t="inlineStr">
        <is>
          <t>Corporate</t>
        </is>
      </c>
      <c r="I2704" s="7" t="n">
        <v>3</v>
      </c>
      <c r="J2704" s="10" t="n">
        <v>116.54</v>
      </c>
      <c r="K2704" s="11" t="n">
        <v>0</v>
      </c>
      <c r="L2704" s="10">
        <f>I2704*J2704*(1-K2704)</f>
        <v/>
      </c>
      <c r="M2704" s="10" t="n">
        <v>216</v>
      </c>
      <c r="N2704" s="10">
        <f>L2704-M2704</f>
        <v/>
      </c>
    </row>
    <row r="2705">
      <c r="A2705" s="7" t="inlineStr">
        <is>
          <t>ORD-00010</t>
        </is>
      </c>
      <c r="B2705" s="8" t="n">
        <v>45513</v>
      </c>
      <c r="C2705" s="9" t="n">
        <v>45505</v>
      </c>
      <c r="D2705" s="7" t="n">
        <v>2024</v>
      </c>
      <c r="E2705" s="7" t="inlineStr">
        <is>
          <t>North</t>
        </is>
      </c>
      <c r="F2705" s="7" t="inlineStr">
        <is>
          <t>Technology</t>
        </is>
      </c>
      <c r="G2705" s="7" t="inlineStr">
        <is>
          <t>Monitor</t>
        </is>
      </c>
      <c r="H2705" s="7" t="inlineStr">
        <is>
          <t>Consumer</t>
        </is>
      </c>
      <c r="I2705" s="7" t="n">
        <v>1</v>
      </c>
      <c r="J2705" s="10" t="n">
        <v>250.71</v>
      </c>
      <c r="K2705" s="11" t="n">
        <v>0.1</v>
      </c>
      <c r="L2705" s="10">
        <f>I2705*J2705*(1-K2705)</f>
        <v/>
      </c>
      <c r="M2705" s="10" t="n">
        <v>180</v>
      </c>
      <c r="N2705" s="10">
        <f>L2705-M2705</f>
        <v/>
      </c>
    </row>
    <row r="2706">
      <c r="A2706" s="7" t="inlineStr">
        <is>
          <t>ORD-03753</t>
        </is>
      </c>
      <c r="B2706" s="8" t="n">
        <v>45513</v>
      </c>
      <c r="C2706" s="9" t="n">
        <v>45505</v>
      </c>
      <c r="D2706" s="7" t="n">
        <v>2024</v>
      </c>
      <c r="E2706" s="7" t="inlineStr">
        <is>
          <t>East</t>
        </is>
      </c>
      <c r="F2706" s="7" t="inlineStr">
        <is>
          <t>Office Supplies</t>
        </is>
      </c>
      <c r="G2706" s="7" t="inlineStr">
        <is>
          <t>Printer Ink</t>
        </is>
      </c>
      <c r="H2706" s="7" t="inlineStr">
        <is>
          <t>Consumer</t>
        </is>
      </c>
      <c r="I2706" s="7" t="n">
        <v>4</v>
      </c>
      <c r="J2706" s="10" t="n">
        <v>60.64</v>
      </c>
      <c r="K2706" s="11" t="n">
        <v>0.05</v>
      </c>
      <c r="L2706" s="10">
        <f>I2706*J2706*(1-K2706)</f>
        <v/>
      </c>
      <c r="M2706" s="10" t="n">
        <v>144</v>
      </c>
      <c r="N2706" s="10">
        <f>L2706-M2706</f>
        <v/>
      </c>
    </row>
    <row r="2707">
      <c r="A2707" s="7" t="inlineStr">
        <is>
          <t>ORD-01833</t>
        </is>
      </c>
      <c r="B2707" s="8" t="n">
        <v>45513</v>
      </c>
      <c r="C2707" s="9" t="n">
        <v>45505</v>
      </c>
      <c r="D2707" s="7" t="n">
        <v>2024</v>
      </c>
      <c r="E2707" s="7" t="inlineStr">
        <is>
          <t>West</t>
        </is>
      </c>
      <c r="F2707" s="7" t="inlineStr">
        <is>
          <t>Office Supplies</t>
        </is>
      </c>
      <c r="G2707" s="7" t="inlineStr">
        <is>
          <t>Binder</t>
        </is>
      </c>
      <c r="H2707" s="7" t="inlineStr">
        <is>
          <t>Consumer</t>
        </is>
      </c>
      <c r="I2707" s="7" t="n">
        <v>14</v>
      </c>
      <c r="J2707" s="10" t="n">
        <v>7.7</v>
      </c>
      <c r="K2707" s="11" t="n">
        <v>0</v>
      </c>
      <c r="L2707" s="10">
        <f>I2707*J2707*(1-K2707)</f>
        <v/>
      </c>
      <c r="M2707" s="10" t="n">
        <v>44.8</v>
      </c>
      <c r="N2707" s="10">
        <f>L2707-M2707</f>
        <v/>
      </c>
    </row>
    <row r="2708">
      <c r="A2708" s="7" t="inlineStr">
        <is>
          <t>ORD-03461</t>
        </is>
      </c>
      <c r="B2708" s="8" t="n">
        <v>45513</v>
      </c>
      <c r="C2708" s="9" t="n">
        <v>45505</v>
      </c>
      <c r="D2708" s="7" t="n">
        <v>2024</v>
      </c>
      <c r="E2708" s="7" t="inlineStr">
        <is>
          <t>North</t>
        </is>
      </c>
      <c r="F2708" s="7" t="inlineStr">
        <is>
          <t>Technology</t>
        </is>
      </c>
      <c r="G2708" s="7" t="inlineStr">
        <is>
          <t>Smartphone</t>
        </is>
      </c>
      <c r="H2708" s="7" t="inlineStr">
        <is>
          <t>Corporate</t>
        </is>
      </c>
      <c r="I2708" s="7" t="n">
        <v>3</v>
      </c>
      <c r="J2708" s="10" t="n">
        <v>625.5599999999999</v>
      </c>
      <c r="K2708" s="11" t="n">
        <v>0.1</v>
      </c>
      <c r="L2708" s="10">
        <f>I2708*J2708*(1-K2708)</f>
        <v/>
      </c>
      <c r="M2708" s="10" t="n">
        <v>1350</v>
      </c>
      <c r="N2708" s="10">
        <f>L2708-M2708</f>
        <v/>
      </c>
    </row>
    <row r="2709">
      <c r="A2709" s="7" t="inlineStr">
        <is>
          <t>ORD-03115</t>
        </is>
      </c>
      <c r="B2709" s="8" t="n">
        <v>45514</v>
      </c>
      <c r="C2709" s="9" t="n">
        <v>45505</v>
      </c>
      <c r="D2709" s="7" t="n">
        <v>2024</v>
      </c>
      <c r="E2709" s="7" t="inlineStr">
        <is>
          <t>East</t>
        </is>
      </c>
      <c r="F2709" s="7" t="inlineStr">
        <is>
          <t>Office Supplies</t>
        </is>
      </c>
      <c r="G2709" s="7" t="inlineStr">
        <is>
          <t>Paper</t>
        </is>
      </c>
      <c r="H2709" s="7" t="inlineStr">
        <is>
          <t>Consumer</t>
        </is>
      </c>
      <c r="I2709" s="7" t="n">
        <v>6</v>
      </c>
      <c r="J2709" s="10" t="n">
        <v>25.28</v>
      </c>
      <c r="K2709" s="11" t="n">
        <v>0.05</v>
      </c>
      <c r="L2709" s="10">
        <f>I2709*J2709*(1-K2709)</f>
        <v/>
      </c>
      <c r="M2709" s="10" t="n">
        <v>75</v>
      </c>
      <c r="N2709" s="10">
        <f>L2709-M2709</f>
        <v/>
      </c>
    </row>
    <row r="2710">
      <c r="A2710" s="7" t="inlineStr">
        <is>
          <t>ORD-02832</t>
        </is>
      </c>
      <c r="B2710" s="8" t="n">
        <v>45514</v>
      </c>
      <c r="C2710" s="9" t="n">
        <v>45505</v>
      </c>
      <c r="D2710" s="7" t="n">
        <v>2024</v>
      </c>
      <c r="E2710" s="7" t="inlineStr">
        <is>
          <t>East</t>
        </is>
      </c>
      <c r="F2710" s="7" t="inlineStr">
        <is>
          <t>Technology</t>
        </is>
      </c>
      <c r="G2710" s="7" t="inlineStr">
        <is>
          <t>Smartphone</t>
        </is>
      </c>
      <c r="H2710" s="7" t="inlineStr">
        <is>
          <t>Corporate</t>
        </is>
      </c>
      <c r="I2710" s="7" t="n">
        <v>3</v>
      </c>
      <c r="J2710" s="10" t="n">
        <v>591.62</v>
      </c>
      <c r="K2710" s="11" t="n">
        <v>0.3</v>
      </c>
      <c r="L2710" s="10">
        <f>I2710*J2710*(1-K2710)</f>
        <v/>
      </c>
      <c r="M2710" s="10" t="n">
        <v>1350</v>
      </c>
      <c r="N2710" s="10">
        <f>L2710-M2710</f>
        <v/>
      </c>
    </row>
    <row r="2711">
      <c r="A2711" s="7" t="inlineStr">
        <is>
          <t>ORD-05211</t>
        </is>
      </c>
      <c r="B2711" s="8" t="n">
        <v>45514</v>
      </c>
      <c r="C2711" s="9" t="n">
        <v>45505</v>
      </c>
      <c r="D2711" s="7" t="n">
        <v>2024</v>
      </c>
      <c r="E2711" s="7" t="inlineStr">
        <is>
          <t>South</t>
        </is>
      </c>
      <c r="F2711" s="7" t="inlineStr">
        <is>
          <t>Furniture</t>
        </is>
      </c>
      <c r="G2711" s="7" t="inlineStr">
        <is>
          <t>Sofa</t>
        </is>
      </c>
      <c r="H2711" s="7" t="inlineStr">
        <is>
          <t>Corporate</t>
        </is>
      </c>
      <c r="I2711" s="7" t="n">
        <v>2</v>
      </c>
      <c r="J2711" s="10" t="n">
        <v>666.9400000000001</v>
      </c>
      <c r="K2711" s="11" t="n">
        <v>0.3</v>
      </c>
      <c r="L2711" s="10">
        <f>I2711*J2711*(1-K2711)</f>
        <v/>
      </c>
      <c r="M2711" s="10" t="n">
        <v>1232</v>
      </c>
      <c r="N2711" s="10">
        <f>L2711-M2711</f>
        <v/>
      </c>
    </row>
    <row r="2712">
      <c r="A2712" s="7" t="inlineStr">
        <is>
          <t>ORD-02053</t>
        </is>
      </c>
      <c r="B2712" s="8" t="n">
        <v>45515</v>
      </c>
      <c r="C2712" s="9" t="n">
        <v>45505</v>
      </c>
      <c r="D2712" s="7" t="n">
        <v>2024</v>
      </c>
      <c r="E2712" s="7" t="inlineStr">
        <is>
          <t>North</t>
        </is>
      </c>
      <c r="F2712" s="7" t="inlineStr">
        <is>
          <t>Office Supplies</t>
        </is>
      </c>
      <c r="G2712" s="7" t="inlineStr">
        <is>
          <t>Pens</t>
        </is>
      </c>
      <c r="H2712" s="7" t="inlineStr">
        <is>
          <t>Home Office</t>
        </is>
      </c>
      <c r="I2712" s="7" t="n">
        <v>8</v>
      </c>
      <c r="J2712" s="10" t="n">
        <v>11.49</v>
      </c>
      <c r="K2712" s="11" t="n">
        <v>0</v>
      </c>
      <c r="L2712" s="10">
        <f>I2712*J2712*(1-K2712)</f>
        <v/>
      </c>
      <c r="M2712" s="10" t="n">
        <v>43.2</v>
      </c>
      <c r="N2712" s="10">
        <f>L2712-M2712</f>
        <v/>
      </c>
    </row>
    <row r="2713">
      <c r="A2713" s="7" t="inlineStr">
        <is>
          <t>ORD-04018</t>
        </is>
      </c>
      <c r="B2713" s="8" t="n">
        <v>45515</v>
      </c>
      <c r="C2713" s="9" t="n">
        <v>45505</v>
      </c>
      <c r="D2713" s="7" t="n">
        <v>2024</v>
      </c>
      <c r="E2713" s="7" t="inlineStr">
        <is>
          <t>South</t>
        </is>
      </c>
      <c r="F2713" s="7" t="inlineStr">
        <is>
          <t>Technology</t>
        </is>
      </c>
      <c r="G2713" s="7" t="inlineStr">
        <is>
          <t>Keyboard</t>
        </is>
      </c>
      <c r="H2713" s="7" t="inlineStr">
        <is>
          <t>Corporate</t>
        </is>
      </c>
      <c r="I2713" s="7" t="n">
        <v>2</v>
      </c>
      <c r="J2713" s="10" t="n">
        <v>46.97</v>
      </c>
      <c r="K2713" s="11" t="n">
        <v>0.05</v>
      </c>
      <c r="L2713" s="10">
        <f>I2713*J2713*(1-K2713)</f>
        <v/>
      </c>
      <c r="M2713" s="10" t="n">
        <v>49.5</v>
      </c>
      <c r="N2713" s="10">
        <f>L2713-M2713</f>
        <v/>
      </c>
    </row>
    <row r="2714">
      <c r="A2714" s="7" t="inlineStr">
        <is>
          <t>ORD-05073</t>
        </is>
      </c>
      <c r="B2714" s="8" t="n">
        <v>45515</v>
      </c>
      <c r="C2714" s="9" t="n">
        <v>45505</v>
      </c>
      <c r="D2714" s="7" t="n">
        <v>2024</v>
      </c>
      <c r="E2714" s="7" t="inlineStr">
        <is>
          <t>North</t>
        </is>
      </c>
      <c r="F2714" s="7" t="inlineStr">
        <is>
          <t>Furniture</t>
        </is>
      </c>
      <c r="G2714" s="7" t="inlineStr">
        <is>
          <t>Desk</t>
        </is>
      </c>
      <c r="H2714" s="7" t="inlineStr">
        <is>
          <t>Consumer</t>
        </is>
      </c>
      <c r="I2714" s="7" t="n">
        <v>1</v>
      </c>
      <c r="J2714" s="10" t="n">
        <v>445.36</v>
      </c>
      <c r="K2714" s="11" t="n">
        <v>0.3</v>
      </c>
      <c r="L2714" s="10">
        <f>I2714*J2714*(1-K2714)</f>
        <v/>
      </c>
      <c r="M2714" s="10" t="n">
        <v>382.5</v>
      </c>
      <c r="N2714" s="10">
        <f>L2714-M2714</f>
        <v/>
      </c>
    </row>
    <row r="2715">
      <c r="A2715" s="7" t="inlineStr">
        <is>
          <t>ORD-02655</t>
        </is>
      </c>
      <c r="B2715" s="8" t="n">
        <v>45515</v>
      </c>
      <c r="C2715" s="9" t="n">
        <v>45505</v>
      </c>
      <c r="D2715" s="7" t="n">
        <v>2024</v>
      </c>
      <c r="E2715" s="7" t="inlineStr">
        <is>
          <t>East</t>
        </is>
      </c>
      <c r="F2715" s="7" t="inlineStr">
        <is>
          <t>Office Supplies</t>
        </is>
      </c>
      <c r="G2715" s="7" t="inlineStr">
        <is>
          <t>Paper</t>
        </is>
      </c>
      <c r="H2715" s="7" t="inlineStr">
        <is>
          <t>Consumer</t>
        </is>
      </c>
      <c r="I2715" s="7" t="n">
        <v>3</v>
      </c>
      <c r="J2715" s="10" t="n">
        <v>25.4</v>
      </c>
      <c r="K2715" s="11" t="n">
        <v>0.3</v>
      </c>
      <c r="L2715" s="10">
        <f>I2715*J2715*(1-K2715)</f>
        <v/>
      </c>
      <c r="M2715" s="10" t="n">
        <v>37.5</v>
      </c>
      <c r="N2715" s="10">
        <f>L2715-M2715</f>
        <v/>
      </c>
    </row>
    <row r="2716">
      <c r="A2716" s="7" t="inlineStr">
        <is>
          <t>ORD-02222</t>
        </is>
      </c>
      <c r="B2716" s="8" t="n">
        <v>45515</v>
      </c>
      <c r="C2716" s="9" t="n">
        <v>45505</v>
      </c>
      <c r="D2716" s="7" t="n">
        <v>2024</v>
      </c>
      <c r="E2716" s="7" t="inlineStr">
        <is>
          <t>South</t>
        </is>
      </c>
      <c r="F2716" s="7" t="inlineStr">
        <is>
          <t>Office Supplies</t>
        </is>
      </c>
      <c r="G2716" s="7" t="inlineStr">
        <is>
          <t>Pens</t>
        </is>
      </c>
      <c r="H2716" s="7" t="inlineStr">
        <is>
          <t>Consumer</t>
        </is>
      </c>
      <c r="I2716" s="7" t="n">
        <v>12</v>
      </c>
      <c r="J2716" s="10" t="n">
        <v>12.15</v>
      </c>
      <c r="K2716" s="11" t="n">
        <v>0.3</v>
      </c>
      <c r="L2716" s="10">
        <f>I2716*J2716*(1-K2716)</f>
        <v/>
      </c>
      <c r="M2716" s="10" t="n">
        <v>64.8</v>
      </c>
      <c r="N2716" s="10">
        <f>L2716-M2716</f>
        <v/>
      </c>
    </row>
    <row r="2717">
      <c r="A2717" s="7" t="inlineStr">
        <is>
          <t>ORD-03088</t>
        </is>
      </c>
      <c r="B2717" s="8" t="n">
        <v>45516</v>
      </c>
      <c r="C2717" s="9" t="n">
        <v>45505</v>
      </c>
      <c r="D2717" s="7" t="n">
        <v>2024</v>
      </c>
      <c r="E2717" s="7" t="inlineStr">
        <is>
          <t>South</t>
        </is>
      </c>
      <c r="F2717" s="7" t="inlineStr">
        <is>
          <t>Technology</t>
        </is>
      </c>
      <c r="G2717" s="7" t="inlineStr">
        <is>
          <t>Keyboard</t>
        </is>
      </c>
      <c r="H2717" s="7" t="inlineStr">
        <is>
          <t>Corporate</t>
        </is>
      </c>
      <c r="I2717" s="7" t="n">
        <v>1</v>
      </c>
      <c r="J2717" s="10" t="n">
        <v>45.23</v>
      </c>
      <c r="K2717" s="11" t="n">
        <v>0.1</v>
      </c>
      <c r="L2717" s="10">
        <f>I2717*J2717*(1-K2717)</f>
        <v/>
      </c>
      <c r="M2717" s="10" t="n">
        <v>24.75</v>
      </c>
      <c r="N2717" s="10">
        <f>L2717-M2717</f>
        <v/>
      </c>
    </row>
    <row r="2718">
      <c r="A2718" s="7" t="inlineStr">
        <is>
          <t>ORD-00684</t>
        </is>
      </c>
      <c r="B2718" s="8" t="n">
        <v>45516</v>
      </c>
      <c r="C2718" s="9" t="n">
        <v>45505</v>
      </c>
      <c r="D2718" s="7" t="n">
        <v>2024</v>
      </c>
      <c r="E2718" s="7" t="inlineStr">
        <is>
          <t>North</t>
        </is>
      </c>
      <c r="F2718" s="7" t="inlineStr">
        <is>
          <t>Office Supplies</t>
        </is>
      </c>
      <c r="G2718" s="7" t="inlineStr">
        <is>
          <t>Paper</t>
        </is>
      </c>
      <c r="H2718" s="7" t="inlineStr">
        <is>
          <t>Consumer</t>
        </is>
      </c>
      <c r="I2718" s="7" t="n">
        <v>2</v>
      </c>
      <c r="J2718" s="10" t="n">
        <v>24.22</v>
      </c>
      <c r="K2718" s="11" t="n">
        <v>0.05</v>
      </c>
      <c r="L2718" s="10">
        <f>I2718*J2718*(1-K2718)</f>
        <v/>
      </c>
      <c r="M2718" s="10" t="n">
        <v>25</v>
      </c>
      <c r="N2718" s="10">
        <f>L2718-M2718</f>
        <v/>
      </c>
    </row>
    <row r="2719">
      <c r="A2719" s="7" t="inlineStr">
        <is>
          <t>ORD-03998</t>
        </is>
      </c>
      <c r="B2719" s="8" t="n">
        <v>45516</v>
      </c>
      <c r="C2719" s="9" t="n">
        <v>45505</v>
      </c>
      <c r="D2719" s="7" t="n">
        <v>2024</v>
      </c>
      <c r="E2719" s="7" t="inlineStr">
        <is>
          <t>West</t>
        </is>
      </c>
      <c r="F2719" s="7" t="inlineStr">
        <is>
          <t>Office Supplies</t>
        </is>
      </c>
      <c r="G2719" s="7" t="inlineStr">
        <is>
          <t>Paper</t>
        </is>
      </c>
      <c r="H2719" s="7" t="inlineStr">
        <is>
          <t>Consumer</t>
        </is>
      </c>
      <c r="I2719" s="7" t="n">
        <v>8</v>
      </c>
      <c r="J2719" s="10" t="n">
        <v>25.12</v>
      </c>
      <c r="K2719" s="11" t="n">
        <v>0.05</v>
      </c>
      <c r="L2719" s="10">
        <f>I2719*J2719*(1-K2719)</f>
        <v/>
      </c>
      <c r="M2719" s="10" t="n">
        <v>100</v>
      </c>
      <c r="N2719" s="10">
        <f>L2719-M2719</f>
        <v/>
      </c>
    </row>
    <row r="2720">
      <c r="A2720" s="7" t="inlineStr">
        <is>
          <t>ORD-04688</t>
        </is>
      </c>
      <c r="B2720" s="8" t="n">
        <v>45516</v>
      </c>
      <c r="C2720" s="9" t="n">
        <v>45505</v>
      </c>
      <c r="D2720" s="7" t="n">
        <v>2024</v>
      </c>
      <c r="E2720" s="7" t="inlineStr">
        <is>
          <t>North</t>
        </is>
      </c>
      <c r="F2720" s="7" t="inlineStr">
        <is>
          <t>Office Supplies</t>
        </is>
      </c>
      <c r="G2720" s="7" t="inlineStr">
        <is>
          <t>Stapler</t>
        </is>
      </c>
      <c r="H2720" s="7" t="inlineStr">
        <is>
          <t>Consumer</t>
        </is>
      </c>
      <c r="I2720" s="7" t="n">
        <v>10</v>
      </c>
      <c r="J2720" s="10" t="n">
        <v>15.18</v>
      </c>
      <c r="K2720" s="11" t="n">
        <v>0.2</v>
      </c>
      <c r="L2720" s="10">
        <f>I2720*J2720*(1-K2720)</f>
        <v/>
      </c>
      <c r="M2720" s="10" t="n">
        <v>75</v>
      </c>
      <c r="N2720" s="10">
        <f>L2720-M2720</f>
        <v/>
      </c>
    </row>
    <row r="2721">
      <c r="A2721" s="7" t="inlineStr">
        <is>
          <t>ORD-00253</t>
        </is>
      </c>
      <c r="B2721" s="8" t="n">
        <v>45517</v>
      </c>
      <c r="C2721" s="9" t="n">
        <v>45505</v>
      </c>
      <c r="D2721" s="7" t="n">
        <v>2024</v>
      </c>
      <c r="E2721" s="7" t="inlineStr">
        <is>
          <t>East</t>
        </is>
      </c>
      <c r="F2721" s="7" t="inlineStr">
        <is>
          <t>Office Supplies</t>
        </is>
      </c>
      <c r="G2721" s="7" t="inlineStr">
        <is>
          <t>Paper</t>
        </is>
      </c>
      <c r="H2721" s="7" t="inlineStr">
        <is>
          <t>Corporate</t>
        </is>
      </c>
      <c r="I2721" s="7" t="n">
        <v>11</v>
      </c>
      <c r="J2721" s="10" t="n">
        <v>23.94</v>
      </c>
      <c r="K2721" s="11" t="n">
        <v>0.05</v>
      </c>
      <c r="L2721" s="10">
        <f>I2721*J2721*(1-K2721)</f>
        <v/>
      </c>
      <c r="M2721" s="10" t="n">
        <v>137.5</v>
      </c>
      <c r="N2721" s="10">
        <f>L2721-M2721</f>
        <v/>
      </c>
    </row>
    <row r="2722">
      <c r="A2722" s="7" t="inlineStr">
        <is>
          <t>ORD-00783</t>
        </is>
      </c>
      <c r="B2722" s="8" t="n">
        <v>45517</v>
      </c>
      <c r="C2722" s="9" t="n">
        <v>45505</v>
      </c>
      <c r="D2722" s="7" t="n">
        <v>2024</v>
      </c>
      <c r="E2722" s="7" t="inlineStr">
        <is>
          <t>South</t>
        </is>
      </c>
      <c r="F2722" s="7" t="inlineStr">
        <is>
          <t>Technology</t>
        </is>
      </c>
      <c r="G2722" s="7" t="inlineStr">
        <is>
          <t>Headphones</t>
        </is>
      </c>
      <c r="H2722" s="7" t="inlineStr">
        <is>
          <t>Corporate</t>
        </is>
      </c>
      <c r="I2722" s="7" t="n">
        <v>2</v>
      </c>
      <c r="J2722" s="10" t="n">
        <v>114.53</v>
      </c>
      <c r="K2722" s="11" t="n">
        <v>0</v>
      </c>
      <c r="L2722" s="10">
        <f>I2722*J2722*(1-K2722)</f>
        <v/>
      </c>
      <c r="M2722" s="10" t="n">
        <v>144</v>
      </c>
      <c r="N2722" s="10">
        <f>L2722-M2722</f>
        <v/>
      </c>
    </row>
    <row r="2723">
      <c r="A2723" s="7" t="inlineStr">
        <is>
          <t>ORD-00396</t>
        </is>
      </c>
      <c r="B2723" s="8" t="n">
        <v>45517</v>
      </c>
      <c r="C2723" s="9" t="n">
        <v>45505</v>
      </c>
      <c r="D2723" s="7" t="n">
        <v>2024</v>
      </c>
      <c r="E2723" s="7" t="inlineStr">
        <is>
          <t>South</t>
        </is>
      </c>
      <c r="F2723" s="7" t="inlineStr">
        <is>
          <t>Office Supplies</t>
        </is>
      </c>
      <c r="G2723" s="7" t="inlineStr">
        <is>
          <t>Pens</t>
        </is>
      </c>
      <c r="H2723" s="7" t="inlineStr">
        <is>
          <t>Consumer</t>
        </is>
      </c>
      <c r="I2723" s="7" t="n">
        <v>14</v>
      </c>
      <c r="J2723" s="10" t="n">
        <v>11.66</v>
      </c>
      <c r="K2723" s="11" t="n">
        <v>0</v>
      </c>
      <c r="L2723" s="10">
        <f>I2723*J2723*(1-K2723)</f>
        <v/>
      </c>
      <c r="M2723" s="10" t="n">
        <v>75.59999999999999</v>
      </c>
      <c r="N2723" s="10">
        <f>L2723-M2723</f>
        <v/>
      </c>
    </row>
    <row r="2724">
      <c r="A2724" s="7" t="inlineStr">
        <is>
          <t>ORD-03124</t>
        </is>
      </c>
      <c r="B2724" s="8" t="n">
        <v>45517</v>
      </c>
      <c r="C2724" s="9" t="n">
        <v>45505</v>
      </c>
      <c r="D2724" s="7" t="n">
        <v>2024</v>
      </c>
      <c r="E2724" s="7" t="inlineStr">
        <is>
          <t>East</t>
        </is>
      </c>
      <c r="F2724" s="7" t="inlineStr">
        <is>
          <t>Office Supplies</t>
        </is>
      </c>
      <c r="G2724" s="7" t="inlineStr">
        <is>
          <t>Paper</t>
        </is>
      </c>
      <c r="H2724" s="7" t="inlineStr">
        <is>
          <t>Corporate</t>
        </is>
      </c>
      <c r="I2724" s="7" t="n">
        <v>5</v>
      </c>
      <c r="J2724" s="10" t="n">
        <v>24.58</v>
      </c>
      <c r="K2724" s="11" t="n">
        <v>0.2</v>
      </c>
      <c r="L2724" s="10">
        <f>I2724*J2724*(1-K2724)</f>
        <v/>
      </c>
      <c r="M2724" s="10" t="n">
        <v>62.5</v>
      </c>
      <c r="N2724" s="10">
        <f>L2724-M2724</f>
        <v/>
      </c>
    </row>
    <row r="2725">
      <c r="A2725" s="7" t="inlineStr">
        <is>
          <t>ORD-05550</t>
        </is>
      </c>
      <c r="B2725" s="8" t="n">
        <v>45518</v>
      </c>
      <c r="C2725" s="9" t="n">
        <v>45505</v>
      </c>
      <c r="D2725" s="7" t="n">
        <v>2024</v>
      </c>
      <c r="E2725" s="7" t="inlineStr">
        <is>
          <t>South</t>
        </is>
      </c>
      <c r="F2725" s="7" t="inlineStr">
        <is>
          <t>Furniture</t>
        </is>
      </c>
      <c r="G2725" s="7" t="inlineStr">
        <is>
          <t>Desk</t>
        </is>
      </c>
      <c r="H2725" s="7" t="inlineStr">
        <is>
          <t>Consumer</t>
        </is>
      </c>
      <c r="I2725" s="7" t="n">
        <v>2</v>
      </c>
      <c r="J2725" s="10" t="n">
        <v>437.48</v>
      </c>
      <c r="K2725" s="11" t="n">
        <v>0.3</v>
      </c>
      <c r="L2725" s="10">
        <f>I2725*J2725*(1-K2725)</f>
        <v/>
      </c>
      <c r="M2725" s="10" t="n">
        <v>765</v>
      </c>
      <c r="N2725" s="10">
        <f>L2725-M2725</f>
        <v/>
      </c>
    </row>
    <row r="2726">
      <c r="A2726" s="7" t="inlineStr">
        <is>
          <t>ORD-03379</t>
        </is>
      </c>
      <c r="B2726" s="8" t="n">
        <v>45518</v>
      </c>
      <c r="C2726" s="9" t="n">
        <v>45505</v>
      </c>
      <c r="D2726" s="7" t="n">
        <v>2024</v>
      </c>
      <c r="E2726" s="7" t="inlineStr">
        <is>
          <t>East</t>
        </is>
      </c>
      <c r="F2726" s="7" t="inlineStr">
        <is>
          <t>Office Supplies</t>
        </is>
      </c>
      <c r="G2726" s="7" t="inlineStr">
        <is>
          <t>Paper</t>
        </is>
      </c>
      <c r="H2726" s="7" t="inlineStr">
        <is>
          <t>Consumer</t>
        </is>
      </c>
      <c r="I2726" s="7" t="n">
        <v>12</v>
      </c>
      <c r="J2726" s="10" t="n">
        <v>25.26</v>
      </c>
      <c r="K2726" s="11" t="n">
        <v>0</v>
      </c>
      <c r="L2726" s="10">
        <f>I2726*J2726*(1-K2726)</f>
        <v/>
      </c>
      <c r="M2726" s="10" t="n">
        <v>150</v>
      </c>
      <c r="N2726" s="10">
        <f>L2726-M2726</f>
        <v/>
      </c>
    </row>
    <row r="2727">
      <c r="A2727" s="7" t="inlineStr">
        <is>
          <t>ORD-04663</t>
        </is>
      </c>
      <c r="B2727" s="8" t="n">
        <v>45518</v>
      </c>
      <c r="C2727" s="9" t="n">
        <v>45505</v>
      </c>
      <c r="D2727" s="7" t="n">
        <v>2024</v>
      </c>
      <c r="E2727" s="7" t="inlineStr">
        <is>
          <t>North</t>
        </is>
      </c>
      <c r="F2727" s="7" t="inlineStr">
        <is>
          <t>Office Supplies</t>
        </is>
      </c>
      <c r="G2727" s="7" t="inlineStr">
        <is>
          <t>Pens</t>
        </is>
      </c>
      <c r="H2727" s="7" t="inlineStr">
        <is>
          <t>Consumer</t>
        </is>
      </c>
      <c r="I2727" s="7" t="n">
        <v>2</v>
      </c>
      <c r="J2727" s="10" t="n">
        <v>11.81</v>
      </c>
      <c r="K2727" s="11" t="n">
        <v>0</v>
      </c>
      <c r="L2727" s="10">
        <f>I2727*J2727*(1-K2727)</f>
        <v/>
      </c>
      <c r="M2727" s="10" t="n">
        <v>10.8</v>
      </c>
      <c r="N2727" s="10">
        <f>L2727-M2727</f>
        <v/>
      </c>
    </row>
    <row r="2728">
      <c r="A2728" s="7" t="inlineStr">
        <is>
          <t>ORD-04502</t>
        </is>
      </c>
      <c r="B2728" s="8" t="n">
        <v>45518</v>
      </c>
      <c r="C2728" s="9" t="n">
        <v>45505</v>
      </c>
      <c r="D2728" s="7" t="n">
        <v>2024</v>
      </c>
      <c r="E2728" s="7" t="inlineStr">
        <is>
          <t>West</t>
        </is>
      </c>
      <c r="F2728" s="7" t="inlineStr">
        <is>
          <t>Technology</t>
        </is>
      </c>
      <c r="G2728" s="7" t="inlineStr">
        <is>
          <t>Headphones</t>
        </is>
      </c>
      <c r="H2728" s="7" t="inlineStr">
        <is>
          <t>Consumer</t>
        </is>
      </c>
      <c r="I2728" s="7" t="n">
        <v>2</v>
      </c>
      <c r="J2728" s="10" t="n">
        <v>121.31</v>
      </c>
      <c r="K2728" s="11" t="n">
        <v>0.2</v>
      </c>
      <c r="L2728" s="10">
        <f>I2728*J2728*(1-K2728)</f>
        <v/>
      </c>
      <c r="M2728" s="10" t="n">
        <v>144</v>
      </c>
      <c r="N2728" s="10">
        <f>L2728-M2728</f>
        <v/>
      </c>
    </row>
    <row r="2729">
      <c r="A2729" s="7" t="inlineStr">
        <is>
          <t>ORD-00729</t>
        </is>
      </c>
      <c r="B2729" s="8" t="n">
        <v>45518</v>
      </c>
      <c r="C2729" s="9" t="n">
        <v>45505</v>
      </c>
      <c r="D2729" s="7" t="n">
        <v>2024</v>
      </c>
      <c r="E2729" s="7" t="inlineStr">
        <is>
          <t>South</t>
        </is>
      </c>
      <c r="F2729" s="7" t="inlineStr">
        <is>
          <t>Office Supplies</t>
        </is>
      </c>
      <c r="G2729" s="7" t="inlineStr">
        <is>
          <t>Paper</t>
        </is>
      </c>
      <c r="H2729" s="7" t="inlineStr">
        <is>
          <t>Consumer</t>
        </is>
      </c>
      <c r="I2729" s="7" t="n">
        <v>8</v>
      </c>
      <c r="J2729" s="10" t="n">
        <v>25.91</v>
      </c>
      <c r="K2729" s="11" t="n">
        <v>0.2</v>
      </c>
      <c r="L2729" s="10">
        <f>I2729*J2729*(1-K2729)</f>
        <v/>
      </c>
      <c r="M2729" s="10" t="n">
        <v>100</v>
      </c>
      <c r="N2729" s="10">
        <f>L2729-M2729</f>
        <v/>
      </c>
    </row>
    <row r="2730">
      <c r="A2730" s="7" t="inlineStr">
        <is>
          <t>ORD-05159</t>
        </is>
      </c>
      <c r="B2730" s="8" t="n">
        <v>45518</v>
      </c>
      <c r="C2730" s="9" t="n">
        <v>45505</v>
      </c>
      <c r="D2730" s="7" t="n">
        <v>2024</v>
      </c>
      <c r="E2730" s="7" t="inlineStr">
        <is>
          <t>West</t>
        </is>
      </c>
      <c r="F2730" s="7" t="inlineStr">
        <is>
          <t>Technology</t>
        </is>
      </c>
      <c r="G2730" s="7" t="inlineStr">
        <is>
          <t>Keyboard</t>
        </is>
      </c>
      <c r="H2730" s="7" t="inlineStr">
        <is>
          <t>Home Office</t>
        </is>
      </c>
      <c r="I2730" s="7" t="n">
        <v>3</v>
      </c>
      <c r="J2730" s="10" t="n">
        <v>45.58</v>
      </c>
      <c r="K2730" s="11" t="n">
        <v>0.3</v>
      </c>
      <c r="L2730" s="10">
        <f>I2730*J2730*(1-K2730)</f>
        <v/>
      </c>
      <c r="M2730" s="10" t="n">
        <v>74.25</v>
      </c>
      <c r="N2730" s="10">
        <f>L2730-M2730</f>
        <v/>
      </c>
    </row>
    <row r="2731">
      <c r="A2731" s="7" t="inlineStr">
        <is>
          <t>ORD-02212</t>
        </is>
      </c>
      <c r="B2731" s="8" t="n">
        <v>45518</v>
      </c>
      <c r="C2731" s="9" t="n">
        <v>45505</v>
      </c>
      <c r="D2731" s="7" t="n">
        <v>2024</v>
      </c>
      <c r="E2731" s="7" t="inlineStr">
        <is>
          <t>North</t>
        </is>
      </c>
      <c r="F2731" s="7" t="inlineStr">
        <is>
          <t>Office Supplies</t>
        </is>
      </c>
      <c r="G2731" s="7" t="inlineStr">
        <is>
          <t>Binder</t>
        </is>
      </c>
      <c r="H2731" s="7" t="inlineStr">
        <is>
          <t>Corporate</t>
        </is>
      </c>
      <c r="I2731" s="7" t="n">
        <v>11</v>
      </c>
      <c r="J2731" s="10" t="n">
        <v>8.130000000000001</v>
      </c>
      <c r="K2731" s="11" t="n">
        <v>0.1</v>
      </c>
      <c r="L2731" s="10">
        <f>I2731*J2731*(1-K2731)</f>
        <v/>
      </c>
      <c r="M2731" s="10" t="n">
        <v>35.2</v>
      </c>
      <c r="N2731" s="10">
        <f>L2731-M2731</f>
        <v/>
      </c>
    </row>
    <row r="2732">
      <c r="A2732" s="7" t="inlineStr">
        <is>
          <t>ORD-01942</t>
        </is>
      </c>
      <c r="B2732" s="8" t="n">
        <v>45518</v>
      </c>
      <c r="C2732" s="9" t="n">
        <v>45505</v>
      </c>
      <c r="D2732" s="7" t="n">
        <v>2024</v>
      </c>
      <c r="E2732" s="7" t="inlineStr">
        <is>
          <t>East</t>
        </is>
      </c>
      <c r="F2732" s="7" t="inlineStr">
        <is>
          <t>Office Supplies</t>
        </is>
      </c>
      <c r="G2732" s="7" t="inlineStr">
        <is>
          <t>Binder</t>
        </is>
      </c>
      <c r="H2732" s="7" t="inlineStr">
        <is>
          <t>Consumer</t>
        </is>
      </c>
      <c r="I2732" s="7" t="n">
        <v>8</v>
      </c>
      <c r="J2732" s="10" t="n">
        <v>7.73</v>
      </c>
      <c r="K2732" s="11" t="n">
        <v>0</v>
      </c>
      <c r="L2732" s="10">
        <f>I2732*J2732*(1-K2732)</f>
        <v/>
      </c>
      <c r="M2732" s="10" t="n">
        <v>25.6</v>
      </c>
      <c r="N2732" s="10">
        <f>L2732-M2732</f>
        <v/>
      </c>
    </row>
    <row r="2733">
      <c r="A2733" s="7" t="inlineStr">
        <is>
          <t>ORD-05952</t>
        </is>
      </c>
      <c r="B2733" s="8" t="n">
        <v>45519</v>
      </c>
      <c r="C2733" s="9" t="n">
        <v>45505</v>
      </c>
      <c r="D2733" s="7" t="n">
        <v>2024</v>
      </c>
      <c r="E2733" s="7" t="inlineStr">
        <is>
          <t>East</t>
        </is>
      </c>
      <c r="F2733" s="7" t="inlineStr">
        <is>
          <t>Technology</t>
        </is>
      </c>
      <c r="G2733" s="7" t="inlineStr">
        <is>
          <t>Monitor</t>
        </is>
      </c>
      <c r="H2733" s="7" t="inlineStr">
        <is>
          <t>Corporate</t>
        </is>
      </c>
      <c r="I2733" s="7" t="n">
        <v>3</v>
      </c>
      <c r="J2733" s="10" t="n">
        <v>244.06</v>
      </c>
      <c r="K2733" s="11" t="n">
        <v>0</v>
      </c>
      <c r="L2733" s="10">
        <f>I2733*J2733*(1-K2733)</f>
        <v/>
      </c>
      <c r="M2733" s="10" t="n">
        <v>540</v>
      </c>
      <c r="N2733" s="10">
        <f>L2733-M2733</f>
        <v/>
      </c>
    </row>
    <row r="2734">
      <c r="A2734" s="7" t="inlineStr">
        <is>
          <t>ORD-00111</t>
        </is>
      </c>
      <c r="B2734" s="8" t="n">
        <v>45519</v>
      </c>
      <c r="C2734" s="9" t="n">
        <v>45505</v>
      </c>
      <c r="D2734" s="7" t="n">
        <v>2024</v>
      </c>
      <c r="E2734" s="7" t="inlineStr">
        <is>
          <t>West</t>
        </is>
      </c>
      <c r="F2734" s="7" t="inlineStr">
        <is>
          <t>Office Supplies</t>
        </is>
      </c>
      <c r="G2734" s="7" t="inlineStr">
        <is>
          <t>Binder</t>
        </is>
      </c>
      <c r="H2734" s="7" t="inlineStr">
        <is>
          <t>Consumer</t>
        </is>
      </c>
      <c r="I2734" s="7" t="n">
        <v>5</v>
      </c>
      <c r="J2734" s="10" t="n">
        <v>8.359999999999999</v>
      </c>
      <c r="K2734" s="11" t="n">
        <v>0.2</v>
      </c>
      <c r="L2734" s="10">
        <f>I2734*J2734*(1-K2734)</f>
        <v/>
      </c>
      <c r="M2734" s="10" t="n">
        <v>16</v>
      </c>
      <c r="N2734" s="10">
        <f>L2734-M2734</f>
        <v/>
      </c>
    </row>
    <row r="2735">
      <c r="A2735" s="7" t="inlineStr">
        <is>
          <t>ORD-05389</t>
        </is>
      </c>
      <c r="B2735" s="8" t="n">
        <v>45519</v>
      </c>
      <c r="C2735" s="9" t="n">
        <v>45505</v>
      </c>
      <c r="D2735" s="7" t="n">
        <v>2024</v>
      </c>
      <c r="E2735" s="7" t="inlineStr">
        <is>
          <t>West</t>
        </is>
      </c>
      <c r="F2735" s="7" t="inlineStr">
        <is>
          <t>Furniture</t>
        </is>
      </c>
      <c r="G2735" s="7" t="inlineStr">
        <is>
          <t>Sofa</t>
        </is>
      </c>
      <c r="H2735" s="7" t="inlineStr">
        <is>
          <t>Corporate</t>
        </is>
      </c>
      <c r="I2735" s="7" t="n">
        <v>4</v>
      </c>
      <c r="J2735" s="10" t="n">
        <v>702.73</v>
      </c>
      <c r="K2735" s="11" t="n">
        <v>0.05</v>
      </c>
      <c r="L2735" s="10">
        <f>I2735*J2735*(1-K2735)</f>
        <v/>
      </c>
      <c r="M2735" s="10" t="n">
        <v>2464</v>
      </c>
      <c r="N2735" s="10">
        <f>L2735-M2735</f>
        <v/>
      </c>
    </row>
    <row r="2736">
      <c r="A2736" s="7" t="inlineStr">
        <is>
          <t>ORD-02915</t>
        </is>
      </c>
      <c r="B2736" s="8" t="n">
        <v>45519</v>
      </c>
      <c r="C2736" s="9" t="n">
        <v>45505</v>
      </c>
      <c r="D2736" s="7" t="n">
        <v>2024</v>
      </c>
      <c r="E2736" s="7" t="inlineStr">
        <is>
          <t>East</t>
        </is>
      </c>
      <c r="F2736" s="7" t="inlineStr">
        <is>
          <t>Furniture</t>
        </is>
      </c>
      <c r="G2736" s="7" t="inlineStr">
        <is>
          <t>Bookcase</t>
        </is>
      </c>
      <c r="H2736" s="7" t="inlineStr">
        <is>
          <t>Consumer</t>
        </is>
      </c>
      <c r="I2736" s="7" t="n">
        <v>4</v>
      </c>
      <c r="J2736" s="10" t="n">
        <v>174.29</v>
      </c>
      <c r="K2736" s="11" t="n">
        <v>0.2</v>
      </c>
      <c r="L2736" s="10">
        <f>I2736*J2736*(1-K2736)</f>
        <v/>
      </c>
      <c r="M2736" s="10" t="n">
        <v>576</v>
      </c>
      <c r="N2736" s="10">
        <f>L2736-M2736</f>
        <v/>
      </c>
    </row>
    <row r="2737">
      <c r="A2737" s="7" t="inlineStr">
        <is>
          <t>ORD-02603</t>
        </is>
      </c>
      <c r="B2737" s="8" t="n">
        <v>45520</v>
      </c>
      <c r="C2737" s="9" t="n">
        <v>45505</v>
      </c>
      <c r="D2737" s="7" t="n">
        <v>2024</v>
      </c>
      <c r="E2737" s="7" t="inlineStr">
        <is>
          <t>West</t>
        </is>
      </c>
      <c r="F2737" s="7" t="inlineStr">
        <is>
          <t>Technology</t>
        </is>
      </c>
      <c r="G2737" s="7" t="inlineStr">
        <is>
          <t>Laptop</t>
        </is>
      </c>
      <c r="H2737" s="7" t="inlineStr">
        <is>
          <t>Corporate</t>
        </is>
      </c>
      <c r="I2737" s="7" t="n">
        <v>2</v>
      </c>
      <c r="J2737" s="10" t="n">
        <v>919.87</v>
      </c>
      <c r="K2737" s="11" t="n">
        <v>0</v>
      </c>
      <c r="L2737" s="10">
        <f>I2737*J2737*(1-K2737)</f>
        <v/>
      </c>
      <c r="M2737" s="10" t="n">
        <v>1404</v>
      </c>
      <c r="N2737" s="10">
        <f>L2737-M2737</f>
        <v/>
      </c>
    </row>
    <row r="2738">
      <c r="A2738" s="7" t="inlineStr">
        <is>
          <t>ORD-01090</t>
        </is>
      </c>
      <c r="B2738" s="8" t="n">
        <v>45520</v>
      </c>
      <c r="C2738" s="9" t="n">
        <v>45505</v>
      </c>
      <c r="D2738" s="7" t="n">
        <v>2024</v>
      </c>
      <c r="E2738" s="7" t="inlineStr">
        <is>
          <t>East</t>
        </is>
      </c>
      <c r="F2738" s="7" t="inlineStr">
        <is>
          <t>Office Supplies</t>
        </is>
      </c>
      <c r="G2738" s="7" t="inlineStr">
        <is>
          <t>Paper</t>
        </is>
      </c>
      <c r="H2738" s="7" t="inlineStr">
        <is>
          <t>Home Office</t>
        </is>
      </c>
      <c r="I2738" s="7" t="n">
        <v>9</v>
      </c>
      <c r="J2738" s="10" t="n">
        <v>24.34</v>
      </c>
      <c r="K2738" s="11" t="n">
        <v>0</v>
      </c>
      <c r="L2738" s="10">
        <f>I2738*J2738*(1-K2738)</f>
        <v/>
      </c>
      <c r="M2738" s="10" t="n">
        <v>112.5</v>
      </c>
      <c r="N2738" s="10">
        <f>L2738-M2738</f>
        <v/>
      </c>
    </row>
    <row r="2739">
      <c r="A2739" s="7" t="inlineStr">
        <is>
          <t>ORD-01423</t>
        </is>
      </c>
      <c r="B2739" s="8" t="n">
        <v>45520</v>
      </c>
      <c r="C2739" s="9" t="n">
        <v>45505</v>
      </c>
      <c r="D2739" s="7" t="n">
        <v>2024</v>
      </c>
      <c r="E2739" s="7" t="inlineStr">
        <is>
          <t>West</t>
        </is>
      </c>
      <c r="F2739" s="7" t="inlineStr">
        <is>
          <t>Office Supplies</t>
        </is>
      </c>
      <c r="G2739" s="7" t="inlineStr">
        <is>
          <t>Printer Ink</t>
        </is>
      </c>
      <c r="H2739" s="7" t="inlineStr">
        <is>
          <t>Home Office</t>
        </is>
      </c>
      <c r="I2739" s="7" t="n">
        <v>11</v>
      </c>
      <c r="J2739" s="10" t="n">
        <v>59.89</v>
      </c>
      <c r="K2739" s="11" t="n">
        <v>0</v>
      </c>
      <c r="L2739" s="10">
        <f>I2739*J2739*(1-K2739)</f>
        <v/>
      </c>
      <c r="M2739" s="10" t="n">
        <v>396</v>
      </c>
      <c r="N2739" s="10">
        <f>L2739-M2739</f>
        <v/>
      </c>
    </row>
    <row r="2740">
      <c r="A2740" s="7" t="inlineStr">
        <is>
          <t>ORD-05953</t>
        </is>
      </c>
      <c r="B2740" s="8" t="n">
        <v>45521</v>
      </c>
      <c r="C2740" s="9" t="n">
        <v>45505</v>
      </c>
      <c r="D2740" s="7" t="n">
        <v>2024</v>
      </c>
      <c r="E2740" s="7" t="inlineStr">
        <is>
          <t>West</t>
        </is>
      </c>
      <c r="F2740" s="7" t="inlineStr">
        <is>
          <t>Furniture</t>
        </is>
      </c>
      <c r="G2740" s="7" t="inlineStr">
        <is>
          <t>Bookcase</t>
        </is>
      </c>
      <c r="H2740" s="7" t="inlineStr">
        <is>
          <t>Consumer</t>
        </is>
      </c>
      <c r="I2740" s="7" t="n">
        <v>3</v>
      </c>
      <c r="J2740" s="10" t="n">
        <v>179.78</v>
      </c>
      <c r="K2740" s="11" t="n">
        <v>0.2</v>
      </c>
      <c r="L2740" s="10">
        <f>I2740*J2740*(1-K2740)</f>
        <v/>
      </c>
      <c r="M2740" s="10" t="n">
        <v>432</v>
      </c>
      <c r="N2740" s="10">
        <f>L2740-M2740</f>
        <v/>
      </c>
    </row>
    <row r="2741">
      <c r="A2741" s="7" t="inlineStr">
        <is>
          <t>ORD-02872</t>
        </is>
      </c>
      <c r="B2741" s="8" t="n">
        <v>45521</v>
      </c>
      <c r="C2741" s="9" t="n">
        <v>45505</v>
      </c>
      <c r="D2741" s="7" t="n">
        <v>2024</v>
      </c>
      <c r="E2741" s="7" t="inlineStr">
        <is>
          <t>North</t>
        </is>
      </c>
      <c r="F2741" s="7" t="inlineStr">
        <is>
          <t>Technology</t>
        </is>
      </c>
      <c r="G2741" s="7" t="inlineStr">
        <is>
          <t>Keyboard</t>
        </is>
      </c>
      <c r="H2741" s="7" t="inlineStr">
        <is>
          <t>Home Office</t>
        </is>
      </c>
      <c r="I2741" s="7" t="n">
        <v>3</v>
      </c>
      <c r="J2741" s="10" t="n">
        <v>45.73</v>
      </c>
      <c r="K2741" s="11" t="n">
        <v>0.1</v>
      </c>
      <c r="L2741" s="10">
        <f>I2741*J2741*(1-K2741)</f>
        <v/>
      </c>
      <c r="M2741" s="10" t="n">
        <v>74.25</v>
      </c>
      <c r="N2741" s="10">
        <f>L2741-M2741</f>
        <v/>
      </c>
    </row>
    <row r="2742">
      <c r="A2742" s="7" t="inlineStr">
        <is>
          <t>ORD-02860</t>
        </is>
      </c>
      <c r="B2742" s="8" t="n">
        <v>45521</v>
      </c>
      <c r="C2742" s="9" t="n">
        <v>45505</v>
      </c>
      <c r="D2742" s="7" t="n">
        <v>2024</v>
      </c>
      <c r="E2742" s="7" t="inlineStr">
        <is>
          <t>West</t>
        </is>
      </c>
      <c r="F2742" s="7" t="inlineStr">
        <is>
          <t>Technology</t>
        </is>
      </c>
      <c r="G2742" s="7" t="inlineStr">
        <is>
          <t>Smartphone</t>
        </is>
      </c>
      <c r="H2742" s="7" t="inlineStr">
        <is>
          <t>Consumer</t>
        </is>
      </c>
      <c r="I2742" s="7" t="n">
        <v>1</v>
      </c>
      <c r="J2742" s="10" t="n">
        <v>623.96</v>
      </c>
      <c r="K2742" s="11" t="n">
        <v>0</v>
      </c>
      <c r="L2742" s="10">
        <f>I2742*J2742*(1-K2742)</f>
        <v/>
      </c>
      <c r="M2742" s="10" t="n">
        <v>450</v>
      </c>
      <c r="N2742" s="10">
        <f>L2742-M2742</f>
        <v/>
      </c>
    </row>
    <row r="2743">
      <c r="A2743" s="7" t="inlineStr">
        <is>
          <t>ORD-02263</t>
        </is>
      </c>
      <c r="B2743" s="8" t="n">
        <v>45522</v>
      </c>
      <c r="C2743" s="9" t="n">
        <v>45505</v>
      </c>
      <c r="D2743" s="7" t="n">
        <v>2024</v>
      </c>
      <c r="E2743" s="7" t="inlineStr">
        <is>
          <t>North</t>
        </is>
      </c>
      <c r="F2743" s="7" t="inlineStr">
        <is>
          <t>Technology</t>
        </is>
      </c>
      <c r="G2743" s="7" t="inlineStr">
        <is>
          <t>Keyboard</t>
        </is>
      </c>
      <c r="H2743" s="7" t="inlineStr">
        <is>
          <t>Consumer</t>
        </is>
      </c>
      <c r="I2743" s="7" t="n">
        <v>1</v>
      </c>
      <c r="J2743" s="10" t="n">
        <v>43.52</v>
      </c>
      <c r="K2743" s="11" t="n">
        <v>0.2</v>
      </c>
      <c r="L2743" s="10">
        <f>I2743*J2743*(1-K2743)</f>
        <v/>
      </c>
      <c r="M2743" s="10" t="n">
        <v>24.75</v>
      </c>
      <c r="N2743" s="10">
        <f>L2743-M2743</f>
        <v/>
      </c>
    </row>
    <row r="2744">
      <c r="A2744" s="7" t="inlineStr">
        <is>
          <t>ORD-00399</t>
        </is>
      </c>
      <c r="B2744" s="8" t="n">
        <v>45522</v>
      </c>
      <c r="C2744" s="9" t="n">
        <v>45505</v>
      </c>
      <c r="D2744" s="7" t="n">
        <v>2024</v>
      </c>
      <c r="E2744" s="7" t="inlineStr">
        <is>
          <t>East</t>
        </is>
      </c>
      <c r="F2744" s="7" t="inlineStr">
        <is>
          <t>Office Supplies</t>
        </is>
      </c>
      <c r="G2744" s="7" t="inlineStr">
        <is>
          <t>Printer Ink</t>
        </is>
      </c>
      <c r="H2744" s="7" t="inlineStr">
        <is>
          <t>Consumer</t>
        </is>
      </c>
      <c r="I2744" s="7" t="n">
        <v>12</v>
      </c>
      <c r="J2744" s="10" t="n">
        <v>57.63</v>
      </c>
      <c r="K2744" s="11" t="n">
        <v>0.05</v>
      </c>
      <c r="L2744" s="10">
        <f>I2744*J2744*(1-K2744)</f>
        <v/>
      </c>
      <c r="M2744" s="10" t="n">
        <v>432</v>
      </c>
      <c r="N2744" s="10">
        <f>L2744-M2744</f>
        <v/>
      </c>
    </row>
    <row r="2745">
      <c r="A2745" s="7" t="inlineStr">
        <is>
          <t>ORD-00458</t>
        </is>
      </c>
      <c r="B2745" s="8" t="n">
        <v>45522</v>
      </c>
      <c r="C2745" s="9" t="n">
        <v>45505</v>
      </c>
      <c r="D2745" s="7" t="n">
        <v>2024</v>
      </c>
      <c r="E2745" s="7" t="inlineStr">
        <is>
          <t>South</t>
        </is>
      </c>
      <c r="F2745" s="7" t="inlineStr">
        <is>
          <t>Furniture</t>
        </is>
      </c>
      <c r="G2745" s="7" t="inlineStr">
        <is>
          <t>Office Chair</t>
        </is>
      </c>
      <c r="H2745" s="7" t="inlineStr">
        <is>
          <t>Consumer</t>
        </is>
      </c>
      <c r="I2745" s="7" t="n">
        <v>1</v>
      </c>
      <c r="J2745" s="10" t="n">
        <v>218.35</v>
      </c>
      <c r="K2745" s="11" t="n">
        <v>0.3</v>
      </c>
      <c r="L2745" s="10">
        <f>I2745*J2745*(1-K2745)</f>
        <v/>
      </c>
      <c r="M2745" s="10" t="n">
        <v>180.4</v>
      </c>
      <c r="N2745" s="10">
        <f>L2745-M2745</f>
        <v/>
      </c>
    </row>
    <row r="2746">
      <c r="A2746" s="7" t="inlineStr">
        <is>
          <t>ORD-04446</t>
        </is>
      </c>
      <c r="B2746" s="8" t="n">
        <v>45522</v>
      </c>
      <c r="C2746" s="9" t="n">
        <v>45505</v>
      </c>
      <c r="D2746" s="7" t="n">
        <v>2024</v>
      </c>
      <c r="E2746" s="7" t="inlineStr">
        <is>
          <t>West</t>
        </is>
      </c>
      <c r="F2746" s="7" t="inlineStr">
        <is>
          <t>Technology</t>
        </is>
      </c>
      <c r="G2746" s="7" t="inlineStr">
        <is>
          <t>Keyboard</t>
        </is>
      </c>
      <c r="H2746" s="7" t="inlineStr">
        <is>
          <t>Corporate</t>
        </is>
      </c>
      <c r="I2746" s="7" t="n">
        <v>2</v>
      </c>
      <c r="J2746" s="10" t="n">
        <v>46.23</v>
      </c>
      <c r="K2746" s="11" t="n">
        <v>0</v>
      </c>
      <c r="L2746" s="10">
        <f>I2746*J2746*(1-K2746)</f>
        <v/>
      </c>
      <c r="M2746" s="10" t="n">
        <v>49.5</v>
      </c>
      <c r="N2746" s="10">
        <f>L2746-M2746</f>
        <v/>
      </c>
    </row>
    <row r="2747">
      <c r="A2747" s="7" t="inlineStr">
        <is>
          <t>ORD-01002</t>
        </is>
      </c>
      <c r="B2747" s="8" t="n">
        <v>45522</v>
      </c>
      <c r="C2747" s="9" t="n">
        <v>45505</v>
      </c>
      <c r="D2747" s="7" t="n">
        <v>2024</v>
      </c>
      <c r="E2747" s="7" t="inlineStr">
        <is>
          <t>North</t>
        </is>
      </c>
      <c r="F2747" s="7" t="inlineStr">
        <is>
          <t>Office Supplies</t>
        </is>
      </c>
      <c r="G2747" s="7" t="inlineStr">
        <is>
          <t>Stapler</t>
        </is>
      </c>
      <c r="H2747" s="7" t="inlineStr">
        <is>
          <t>Corporate</t>
        </is>
      </c>
      <c r="I2747" s="7" t="n">
        <v>11</v>
      </c>
      <c r="J2747" s="10" t="n">
        <v>15.45</v>
      </c>
      <c r="K2747" s="11" t="n">
        <v>0.2</v>
      </c>
      <c r="L2747" s="10">
        <f>I2747*J2747*(1-K2747)</f>
        <v/>
      </c>
      <c r="M2747" s="10" t="n">
        <v>82.5</v>
      </c>
      <c r="N2747" s="10">
        <f>L2747-M2747</f>
        <v/>
      </c>
    </row>
    <row r="2748">
      <c r="A2748" s="7" t="inlineStr">
        <is>
          <t>ORD-01508</t>
        </is>
      </c>
      <c r="B2748" s="8" t="n">
        <v>45523</v>
      </c>
      <c r="C2748" s="9" t="n">
        <v>45505</v>
      </c>
      <c r="D2748" s="7" t="n">
        <v>2024</v>
      </c>
      <c r="E2748" s="7" t="inlineStr">
        <is>
          <t>North</t>
        </is>
      </c>
      <c r="F2748" s="7" t="inlineStr">
        <is>
          <t>Office Supplies</t>
        </is>
      </c>
      <c r="G2748" s="7" t="inlineStr">
        <is>
          <t>Binder</t>
        </is>
      </c>
      <c r="H2748" s="7" t="inlineStr">
        <is>
          <t>Corporate</t>
        </is>
      </c>
      <c r="I2748" s="7" t="n">
        <v>11</v>
      </c>
      <c r="J2748" s="10" t="n">
        <v>7.98</v>
      </c>
      <c r="K2748" s="11" t="n">
        <v>0.05</v>
      </c>
      <c r="L2748" s="10">
        <f>I2748*J2748*(1-K2748)</f>
        <v/>
      </c>
      <c r="M2748" s="10" t="n">
        <v>35.2</v>
      </c>
      <c r="N2748" s="10">
        <f>L2748-M2748</f>
        <v/>
      </c>
    </row>
    <row r="2749">
      <c r="A2749" s="7" t="inlineStr">
        <is>
          <t>ORD-00057</t>
        </is>
      </c>
      <c r="B2749" s="8" t="n">
        <v>45523</v>
      </c>
      <c r="C2749" s="9" t="n">
        <v>45505</v>
      </c>
      <c r="D2749" s="7" t="n">
        <v>2024</v>
      </c>
      <c r="E2749" s="7" t="inlineStr">
        <is>
          <t>West</t>
        </is>
      </c>
      <c r="F2749" s="7" t="inlineStr">
        <is>
          <t>Technology</t>
        </is>
      </c>
      <c r="G2749" s="7" t="inlineStr">
        <is>
          <t>Smartphone</t>
        </is>
      </c>
      <c r="H2749" s="7" t="inlineStr">
        <is>
          <t>Consumer</t>
        </is>
      </c>
      <c r="I2749" s="7" t="n">
        <v>2</v>
      </c>
      <c r="J2749" s="10" t="n">
        <v>626.38</v>
      </c>
      <c r="K2749" s="11" t="n">
        <v>0</v>
      </c>
      <c r="L2749" s="10">
        <f>I2749*J2749*(1-K2749)</f>
        <v/>
      </c>
      <c r="M2749" s="10" t="n">
        <v>900</v>
      </c>
      <c r="N2749" s="10">
        <f>L2749-M2749</f>
        <v/>
      </c>
    </row>
    <row r="2750">
      <c r="A2750" s="7" t="inlineStr">
        <is>
          <t>ORD-04170</t>
        </is>
      </c>
      <c r="B2750" s="8" t="n">
        <v>45523</v>
      </c>
      <c r="C2750" s="9" t="n">
        <v>45505</v>
      </c>
      <c r="D2750" s="7" t="n">
        <v>2024</v>
      </c>
      <c r="E2750" s="7" t="inlineStr">
        <is>
          <t>West</t>
        </is>
      </c>
      <c r="F2750" s="7" t="inlineStr">
        <is>
          <t>Furniture</t>
        </is>
      </c>
      <c r="G2750" s="7" t="inlineStr">
        <is>
          <t>Desk</t>
        </is>
      </c>
      <c r="H2750" s="7" t="inlineStr">
        <is>
          <t>Home Office</t>
        </is>
      </c>
      <c r="I2750" s="7" t="n">
        <v>4</v>
      </c>
      <c r="J2750" s="10" t="n">
        <v>440.98</v>
      </c>
      <c r="K2750" s="11" t="n">
        <v>0.1</v>
      </c>
      <c r="L2750" s="10">
        <f>I2750*J2750*(1-K2750)</f>
        <v/>
      </c>
      <c r="M2750" s="10" t="n">
        <v>1530</v>
      </c>
      <c r="N2750" s="10">
        <f>L2750-M2750</f>
        <v/>
      </c>
    </row>
    <row r="2751">
      <c r="A2751" s="7" t="inlineStr">
        <is>
          <t>ORD-04481</t>
        </is>
      </c>
      <c r="B2751" s="8" t="n">
        <v>45523</v>
      </c>
      <c r="C2751" s="9" t="n">
        <v>45505</v>
      </c>
      <c r="D2751" s="7" t="n">
        <v>2024</v>
      </c>
      <c r="E2751" s="7" t="inlineStr">
        <is>
          <t>North</t>
        </is>
      </c>
      <c r="F2751" s="7" t="inlineStr">
        <is>
          <t>Office Supplies</t>
        </is>
      </c>
      <c r="G2751" s="7" t="inlineStr">
        <is>
          <t>Printer Ink</t>
        </is>
      </c>
      <c r="H2751" s="7" t="inlineStr">
        <is>
          <t>Home Office</t>
        </is>
      </c>
      <c r="I2751" s="7" t="n">
        <v>8</v>
      </c>
      <c r="J2751" s="10" t="n">
        <v>58.89</v>
      </c>
      <c r="K2751" s="11" t="n">
        <v>0.1</v>
      </c>
      <c r="L2751" s="10">
        <f>I2751*J2751*(1-K2751)</f>
        <v/>
      </c>
      <c r="M2751" s="10" t="n">
        <v>288</v>
      </c>
      <c r="N2751" s="10">
        <f>L2751-M2751</f>
        <v/>
      </c>
    </row>
    <row r="2752">
      <c r="A2752" s="7" t="inlineStr">
        <is>
          <t>ORD-05204</t>
        </is>
      </c>
      <c r="B2752" s="8" t="n">
        <v>45523</v>
      </c>
      <c r="C2752" s="9" t="n">
        <v>45505</v>
      </c>
      <c r="D2752" s="7" t="n">
        <v>2024</v>
      </c>
      <c r="E2752" s="7" t="inlineStr">
        <is>
          <t>West</t>
        </is>
      </c>
      <c r="F2752" s="7" t="inlineStr">
        <is>
          <t>Office Supplies</t>
        </is>
      </c>
      <c r="G2752" s="7" t="inlineStr">
        <is>
          <t>Paper</t>
        </is>
      </c>
      <c r="H2752" s="7" t="inlineStr">
        <is>
          <t>Consumer</t>
        </is>
      </c>
      <c r="I2752" s="7" t="n">
        <v>11</v>
      </c>
      <c r="J2752" s="10" t="n">
        <v>24.95</v>
      </c>
      <c r="K2752" s="11" t="n">
        <v>0</v>
      </c>
      <c r="L2752" s="10">
        <f>I2752*J2752*(1-K2752)</f>
        <v/>
      </c>
      <c r="M2752" s="10" t="n">
        <v>137.5</v>
      </c>
      <c r="N2752" s="10">
        <f>L2752-M2752</f>
        <v/>
      </c>
    </row>
    <row r="2753">
      <c r="A2753" s="7" t="inlineStr">
        <is>
          <t>ORD-04504</t>
        </is>
      </c>
      <c r="B2753" s="8" t="n">
        <v>45524</v>
      </c>
      <c r="C2753" s="9" t="n">
        <v>45505</v>
      </c>
      <c r="D2753" s="7" t="n">
        <v>2024</v>
      </c>
      <c r="E2753" s="7" t="inlineStr">
        <is>
          <t>South</t>
        </is>
      </c>
      <c r="F2753" s="7" t="inlineStr">
        <is>
          <t>Office Supplies</t>
        </is>
      </c>
      <c r="G2753" s="7" t="inlineStr">
        <is>
          <t>Pens</t>
        </is>
      </c>
      <c r="H2753" s="7" t="inlineStr">
        <is>
          <t>Corporate</t>
        </is>
      </c>
      <c r="I2753" s="7" t="n">
        <v>3</v>
      </c>
      <c r="J2753" s="10" t="n">
        <v>12.19</v>
      </c>
      <c r="K2753" s="11" t="n">
        <v>0.1</v>
      </c>
      <c r="L2753" s="10">
        <f>I2753*J2753*(1-K2753)</f>
        <v/>
      </c>
      <c r="M2753" s="10" t="n">
        <v>16.2</v>
      </c>
      <c r="N2753" s="10">
        <f>L2753-M2753</f>
        <v/>
      </c>
    </row>
    <row r="2754">
      <c r="A2754" s="7" t="inlineStr">
        <is>
          <t>ORD-02736</t>
        </is>
      </c>
      <c r="B2754" s="8" t="n">
        <v>45524</v>
      </c>
      <c r="C2754" s="9" t="n">
        <v>45505</v>
      </c>
      <c r="D2754" s="7" t="n">
        <v>2024</v>
      </c>
      <c r="E2754" s="7" t="inlineStr">
        <is>
          <t>West</t>
        </is>
      </c>
      <c r="F2754" s="7" t="inlineStr">
        <is>
          <t>Office Supplies</t>
        </is>
      </c>
      <c r="G2754" s="7" t="inlineStr">
        <is>
          <t>Binder</t>
        </is>
      </c>
      <c r="H2754" s="7" t="inlineStr">
        <is>
          <t>Consumer</t>
        </is>
      </c>
      <c r="I2754" s="7" t="n">
        <v>12</v>
      </c>
      <c r="J2754" s="10" t="n">
        <v>8.199999999999999</v>
      </c>
      <c r="K2754" s="11" t="n">
        <v>0</v>
      </c>
      <c r="L2754" s="10">
        <f>I2754*J2754*(1-K2754)</f>
        <v/>
      </c>
      <c r="M2754" s="10" t="n">
        <v>38.4</v>
      </c>
      <c r="N2754" s="10">
        <f>L2754-M2754</f>
        <v/>
      </c>
    </row>
    <row r="2755">
      <c r="A2755" s="7" t="inlineStr">
        <is>
          <t>ORD-00760</t>
        </is>
      </c>
      <c r="B2755" s="8" t="n">
        <v>45525</v>
      </c>
      <c r="C2755" s="9" t="n">
        <v>45505</v>
      </c>
      <c r="D2755" s="7" t="n">
        <v>2024</v>
      </c>
      <c r="E2755" s="7" t="inlineStr">
        <is>
          <t>West</t>
        </is>
      </c>
      <c r="F2755" s="7" t="inlineStr">
        <is>
          <t>Technology</t>
        </is>
      </c>
      <c r="G2755" s="7" t="inlineStr">
        <is>
          <t>Keyboard</t>
        </is>
      </c>
      <c r="H2755" s="7" t="inlineStr">
        <is>
          <t>Consumer</t>
        </is>
      </c>
      <c r="I2755" s="7" t="n">
        <v>2</v>
      </c>
      <c r="J2755" s="10" t="n">
        <v>46.85</v>
      </c>
      <c r="K2755" s="11" t="n">
        <v>0.2</v>
      </c>
      <c r="L2755" s="10">
        <f>I2755*J2755*(1-K2755)</f>
        <v/>
      </c>
      <c r="M2755" s="10" t="n">
        <v>49.5</v>
      </c>
      <c r="N2755" s="10">
        <f>L2755-M2755</f>
        <v/>
      </c>
    </row>
    <row r="2756">
      <c r="A2756" s="7" t="inlineStr">
        <is>
          <t>ORD-01137</t>
        </is>
      </c>
      <c r="B2756" s="8" t="n">
        <v>45525</v>
      </c>
      <c r="C2756" s="9" t="n">
        <v>45505</v>
      </c>
      <c r="D2756" s="7" t="n">
        <v>2024</v>
      </c>
      <c r="E2756" s="7" t="inlineStr">
        <is>
          <t>West</t>
        </is>
      </c>
      <c r="F2756" s="7" t="inlineStr">
        <is>
          <t>Office Supplies</t>
        </is>
      </c>
      <c r="G2756" s="7" t="inlineStr">
        <is>
          <t>Printer Ink</t>
        </is>
      </c>
      <c r="H2756" s="7" t="inlineStr">
        <is>
          <t>Consumer</t>
        </is>
      </c>
      <c r="I2756" s="7" t="n">
        <v>6</v>
      </c>
      <c r="J2756" s="10" t="n">
        <v>61.21</v>
      </c>
      <c r="K2756" s="11" t="n">
        <v>0</v>
      </c>
      <c r="L2756" s="10">
        <f>I2756*J2756*(1-K2756)</f>
        <v/>
      </c>
      <c r="M2756" s="10" t="n">
        <v>216</v>
      </c>
      <c r="N2756" s="10">
        <f>L2756-M2756</f>
        <v/>
      </c>
    </row>
    <row r="2757">
      <c r="A2757" s="7" t="inlineStr">
        <is>
          <t>ORD-03047</t>
        </is>
      </c>
      <c r="B2757" s="8" t="n">
        <v>45525</v>
      </c>
      <c r="C2757" s="9" t="n">
        <v>45505</v>
      </c>
      <c r="D2757" s="7" t="n">
        <v>2024</v>
      </c>
      <c r="E2757" s="7" t="inlineStr">
        <is>
          <t>West</t>
        </is>
      </c>
      <c r="F2757" s="7" t="inlineStr">
        <is>
          <t>Office Supplies</t>
        </is>
      </c>
      <c r="G2757" s="7" t="inlineStr">
        <is>
          <t>Paper</t>
        </is>
      </c>
      <c r="H2757" s="7" t="inlineStr">
        <is>
          <t>Consumer</t>
        </is>
      </c>
      <c r="I2757" s="7" t="n">
        <v>6</v>
      </c>
      <c r="J2757" s="10" t="n">
        <v>24.98</v>
      </c>
      <c r="K2757" s="11" t="n">
        <v>0</v>
      </c>
      <c r="L2757" s="10">
        <f>I2757*J2757*(1-K2757)</f>
        <v/>
      </c>
      <c r="M2757" s="10" t="n">
        <v>75</v>
      </c>
      <c r="N2757" s="10">
        <f>L2757-M2757</f>
        <v/>
      </c>
    </row>
    <row r="2758">
      <c r="A2758" s="7" t="inlineStr">
        <is>
          <t>ORD-01010</t>
        </is>
      </c>
      <c r="B2758" s="8" t="n">
        <v>45525</v>
      </c>
      <c r="C2758" s="9" t="n">
        <v>45505</v>
      </c>
      <c r="D2758" s="7" t="n">
        <v>2024</v>
      </c>
      <c r="E2758" s="7" t="inlineStr">
        <is>
          <t>East</t>
        </is>
      </c>
      <c r="F2758" s="7" t="inlineStr">
        <is>
          <t>Office Supplies</t>
        </is>
      </c>
      <c r="G2758" s="7" t="inlineStr">
        <is>
          <t>Binder</t>
        </is>
      </c>
      <c r="H2758" s="7" t="inlineStr">
        <is>
          <t>Consumer</t>
        </is>
      </c>
      <c r="I2758" s="7" t="n">
        <v>7</v>
      </c>
      <c r="J2758" s="10" t="n">
        <v>7.93</v>
      </c>
      <c r="K2758" s="11" t="n">
        <v>0</v>
      </c>
      <c r="L2758" s="10">
        <f>I2758*J2758*(1-K2758)</f>
        <v/>
      </c>
      <c r="M2758" s="10" t="n">
        <v>22.4</v>
      </c>
      <c r="N2758" s="10">
        <f>L2758-M2758</f>
        <v/>
      </c>
    </row>
    <row r="2759">
      <c r="A2759" s="7" t="inlineStr">
        <is>
          <t>ORD-01566</t>
        </is>
      </c>
      <c r="B2759" s="8" t="n">
        <v>45525</v>
      </c>
      <c r="C2759" s="9" t="n">
        <v>45505</v>
      </c>
      <c r="D2759" s="7" t="n">
        <v>2024</v>
      </c>
      <c r="E2759" s="7" t="inlineStr">
        <is>
          <t>North</t>
        </is>
      </c>
      <c r="F2759" s="7" t="inlineStr">
        <is>
          <t>Office Supplies</t>
        </is>
      </c>
      <c r="G2759" s="7" t="inlineStr">
        <is>
          <t>Paper</t>
        </is>
      </c>
      <c r="H2759" s="7" t="inlineStr">
        <is>
          <t>Corporate</t>
        </is>
      </c>
      <c r="I2759" s="7" t="n">
        <v>8</v>
      </c>
      <c r="J2759" s="10" t="n">
        <v>25.75</v>
      </c>
      <c r="K2759" s="11" t="n">
        <v>0</v>
      </c>
      <c r="L2759" s="10">
        <f>I2759*J2759*(1-K2759)</f>
        <v/>
      </c>
      <c r="M2759" s="10" t="n">
        <v>100</v>
      </c>
      <c r="N2759" s="10">
        <f>L2759-M2759</f>
        <v/>
      </c>
    </row>
    <row r="2760">
      <c r="A2760" s="7" t="inlineStr">
        <is>
          <t>ORD-05245</t>
        </is>
      </c>
      <c r="B2760" s="8" t="n">
        <v>45525</v>
      </c>
      <c r="C2760" s="9" t="n">
        <v>45505</v>
      </c>
      <c r="D2760" s="7" t="n">
        <v>2024</v>
      </c>
      <c r="E2760" s="7" t="inlineStr">
        <is>
          <t>North</t>
        </is>
      </c>
      <c r="F2760" s="7" t="inlineStr">
        <is>
          <t>Technology</t>
        </is>
      </c>
      <c r="G2760" s="7" t="inlineStr">
        <is>
          <t>Keyboard</t>
        </is>
      </c>
      <c r="H2760" s="7" t="inlineStr">
        <is>
          <t>Home Office</t>
        </is>
      </c>
      <c r="I2760" s="7" t="n">
        <v>3</v>
      </c>
      <c r="J2760" s="10" t="n">
        <v>43.05</v>
      </c>
      <c r="K2760" s="11" t="n">
        <v>0.1</v>
      </c>
      <c r="L2760" s="10">
        <f>I2760*J2760*(1-K2760)</f>
        <v/>
      </c>
      <c r="M2760" s="10" t="n">
        <v>74.25</v>
      </c>
      <c r="N2760" s="10">
        <f>L2760-M2760</f>
        <v/>
      </c>
    </row>
    <row r="2761">
      <c r="A2761" s="7" t="inlineStr">
        <is>
          <t>ORD-02371</t>
        </is>
      </c>
      <c r="B2761" s="8" t="n">
        <v>45526</v>
      </c>
      <c r="C2761" s="9" t="n">
        <v>45505</v>
      </c>
      <c r="D2761" s="7" t="n">
        <v>2024</v>
      </c>
      <c r="E2761" s="7" t="inlineStr">
        <is>
          <t>East</t>
        </is>
      </c>
      <c r="F2761" s="7" t="inlineStr">
        <is>
          <t>Office Supplies</t>
        </is>
      </c>
      <c r="G2761" s="7" t="inlineStr">
        <is>
          <t>Binder</t>
        </is>
      </c>
      <c r="H2761" s="7" t="inlineStr">
        <is>
          <t>Corporate</t>
        </is>
      </c>
      <c r="I2761" s="7" t="n">
        <v>8</v>
      </c>
      <c r="J2761" s="10" t="n">
        <v>7.79</v>
      </c>
      <c r="K2761" s="11" t="n">
        <v>0.05</v>
      </c>
      <c r="L2761" s="10">
        <f>I2761*J2761*(1-K2761)</f>
        <v/>
      </c>
      <c r="M2761" s="10" t="n">
        <v>25.6</v>
      </c>
      <c r="N2761" s="10">
        <f>L2761-M2761</f>
        <v/>
      </c>
    </row>
    <row r="2762">
      <c r="A2762" s="7" t="inlineStr">
        <is>
          <t>ORD-00088</t>
        </is>
      </c>
      <c r="B2762" s="8" t="n">
        <v>45526</v>
      </c>
      <c r="C2762" s="9" t="n">
        <v>45505</v>
      </c>
      <c r="D2762" s="7" t="n">
        <v>2024</v>
      </c>
      <c r="E2762" s="7" t="inlineStr">
        <is>
          <t>West</t>
        </is>
      </c>
      <c r="F2762" s="7" t="inlineStr">
        <is>
          <t>Office Supplies</t>
        </is>
      </c>
      <c r="G2762" s="7" t="inlineStr">
        <is>
          <t>Printer Ink</t>
        </is>
      </c>
      <c r="H2762" s="7" t="inlineStr">
        <is>
          <t>Consumer</t>
        </is>
      </c>
      <c r="I2762" s="7" t="n">
        <v>4</v>
      </c>
      <c r="J2762" s="10" t="n">
        <v>62.85</v>
      </c>
      <c r="K2762" s="11" t="n">
        <v>0</v>
      </c>
      <c r="L2762" s="10">
        <f>I2762*J2762*(1-K2762)</f>
        <v/>
      </c>
      <c r="M2762" s="10" t="n">
        <v>144</v>
      </c>
      <c r="N2762" s="10">
        <f>L2762-M2762</f>
        <v/>
      </c>
    </row>
    <row r="2763">
      <c r="A2763" s="7" t="inlineStr">
        <is>
          <t>ORD-01365</t>
        </is>
      </c>
      <c r="B2763" s="8" t="n">
        <v>45526</v>
      </c>
      <c r="C2763" s="9" t="n">
        <v>45505</v>
      </c>
      <c r="D2763" s="7" t="n">
        <v>2024</v>
      </c>
      <c r="E2763" s="7" t="inlineStr">
        <is>
          <t>West</t>
        </is>
      </c>
      <c r="F2763" s="7" t="inlineStr">
        <is>
          <t>Technology</t>
        </is>
      </c>
      <c r="G2763" s="7" t="inlineStr">
        <is>
          <t>Smartphone</t>
        </is>
      </c>
      <c r="H2763" s="7" t="inlineStr">
        <is>
          <t>Consumer</t>
        </is>
      </c>
      <c r="I2763" s="7" t="n">
        <v>3</v>
      </c>
      <c r="J2763" s="10" t="n">
        <v>598.95</v>
      </c>
      <c r="K2763" s="11" t="n">
        <v>0.2</v>
      </c>
      <c r="L2763" s="10">
        <f>I2763*J2763*(1-K2763)</f>
        <v/>
      </c>
      <c r="M2763" s="10" t="n">
        <v>1350</v>
      </c>
      <c r="N2763" s="10">
        <f>L2763-M2763</f>
        <v/>
      </c>
    </row>
    <row r="2764">
      <c r="A2764" s="7" t="inlineStr">
        <is>
          <t>ORD-01291</t>
        </is>
      </c>
      <c r="B2764" s="8" t="n">
        <v>45526</v>
      </c>
      <c r="C2764" s="9" t="n">
        <v>45505</v>
      </c>
      <c r="D2764" s="7" t="n">
        <v>2024</v>
      </c>
      <c r="E2764" s="7" t="inlineStr">
        <is>
          <t>East</t>
        </is>
      </c>
      <c r="F2764" s="7" t="inlineStr">
        <is>
          <t>Technology</t>
        </is>
      </c>
      <c r="G2764" s="7" t="inlineStr">
        <is>
          <t>Laptop</t>
        </is>
      </c>
      <c r="H2764" s="7" t="inlineStr">
        <is>
          <t>Corporate</t>
        </is>
      </c>
      <c r="I2764" s="7" t="n">
        <v>3</v>
      </c>
      <c r="J2764" s="10" t="n">
        <v>886.27</v>
      </c>
      <c r="K2764" s="11" t="n">
        <v>0</v>
      </c>
      <c r="L2764" s="10">
        <f>I2764*J2764*(1-K2764)</f>
        <v/>
      </c>
      <c r="M2764" s="10" t="n">
        <v>2106</v>
      </c>
      <c r="N2764" s="10">
        <f>L2764-M2764</f>
        <v/>
      </c>
    </row>
    <row r="2765">
      <c r="A2765" s="7" t="inlineStr">
        <is>
          <t>ORD-05845</t>
        </is>
      </c>
      <c r="B2765" s="8" t="n">
        <v>45526</v>
      </c>
      <c r="C2765" s="9" t="n">
        <v>45505</v>
      </c>
      <c r="D2765" s="7" t="n">
        <v>2024</v>
      </c>
      <c r="E2765" s="7" t="inlineStr">
        <is>
          <t>East</t>
        </is>
      </c>
      <c r="F2765" s="7" t="inlineStr">
        <is>
          <t>Technology</t>
        </is>
      </c>
      <c r="G2765" s="7" t="inlineStr">
        <is>
          <t>Smartphone</t>
        </is>
      </c>
      <c r="H2765" s="7" t="inlineStr">
        <is>
          <t>Corporate</t>
        </is>
      </c>
      <c r="I2765" s="7" t="n">
        <v>1</v>
      </c>
      <c r="J2765" s="10" t="n">
        <v>627.22</v>
      </c>
      <c r="K2765" s="11" t="n">
        <v>0</v>
      </c>
      <c r="L2765" s="10">
        <f>I2765*J2765*(1-K2765)</f>
        <v/>
      </c>
      <c r="M2765" s="10" t="n">
        <v>450</v>
      </c>
      <c r="N2765" s="10">
        <f>L2765-M2765</f>
        <v/>
      </c>
    </row>
    <row r="2766">
      <c r="A2766" s="7" t="inlineStr">
        <is>
          <t>ORD-02511</t>
        </is>
      </c>
      <c r="B2766" s="8" t="n">
        <v>45527</v>
      </c>
      <c r="C2766" s="9" t="n">
        <v>45505</v>
      </c>
      <c r="D2766" s="7" t="n">
        <v>2024</v>
      </c>
      <c r="E2766" s="7" t="inlineStr">
        <is>
          <t>West</t>
        </is>
      </c>
      <c r="F2766" s="7" t="inlineStr">
        <is>
          <t>Technology</t>
        </is>
      </c>
      <c r="G2766" s="7" t="inlineStr">
        <is>
          <t>Headphones</t>
        </is>
      </c>
      <c r="H2766" s="7" t="inlineStr">
        <is>
          <t>Home Office</t>
        </is>
      </c>
      <c r="I2766" s="7" t="n">
        <v>1</v>
      </c>
      <c r="J2766" s="10" t="n">
        <v>121.37</v>
      </c>
      <c r="K2766" s="11" t="n">
        <v>0</v>
      </c>
      <c r="L2766" s="10">
        <f>I2766*J2766*(1-K2766)</f>
        <v/>
      </c>
      <c r="M2766" s="10" t="n">
        <v>72</v>
      </c>
      <c r="N2766" s="10">
        <f>L2766-M2766</f>
        <v/>
      </c>
    </row>
    <row r="2767">
      <c r="A2767" s="7" t="inlineStr">
        <is>
          <t>ORD-00306</t>
        </is>
      </c>
      <c r="B2767" s="8" t="n">
        <v>45527</v>
      </c>
      <c r="C2767" s="9" t="n">
        <v>45505</v>
      </c>
      <c r="D2767" s="7" t="n">
        <v>2024</v>
      </c>
      <c r="E2767" s="7" t="inlineStr">
        <is>
          <t>West</t>
        </is>
      </c>
      <c r="F2767" s="7" t="inlineStr">
        <is>
          <t>Office Supplies</t>
        </is>
      </c>
      <c r="G2767" s="7" t="inlineStr">
        <is>
          <t>Pens</t>
        </is>
      </c>
      <c r="H2767" s="7" t="inlineStr">
        <is>
          <t>Consumer</t>
        </is>
      </c>
      <c r="I2767" s="7" t="n">
        <v>15</v>
      </c>
      <c r="J2767" s="10" t="n">
        <v>12.12</v>
      </c>
      <c r="K2767" s="11" t="n">
        <v>0.05</v>
      </c>
      <c r="L2767" s="10">
        <f>I2767*J2767*(1-K2767)</f>
        <v/>
      </c>
      <c r="M2767" s="10" t="n">
        <v>81</v>
      </c>
      <c r="N2767" s="10">
        <f>L2767-M2767</f>
        <v/>
      </c>
    </row>
    <row r="2768">
      <c r="A2768" s="7" t="inlineStr">
        <is>
          <t>ORD-04857</t>
        </is>
      </c>
      <c r="B2768" s="8" t="n">
        <v>45527</v>
      </c>
      <c r="C2768" s="9" t="n">
        <v>45505</v>
      </c>
      <c r="D2768" s="7" t="n">
        <v>2024</v>
      </c>
      <c r="E2768" s="7" t="inlineStr">
        <is>
          <t>South</t>
        </is>
      </c>
      <c r="F2768" s="7" t="inlineStr">
        <is>
          <t>Technology</t>
        </is>
      </c>
      <c r="G2768" s="7" t="inlineStr">
        <is>
          <t>Monitor</t>
        </is>
      </c>
      <c r="H2768" s="7" t="inlineStr">
        <is>
          <t>Consumer</t>
        </is>
      </c>
      <c r="I2768" s="7" t="n">
        <v>3</v>
      </c>
      <c r="J2768" s="10" t="n">
        <v>260.2</v>
      </c>
      <c r="K2768" s="11" t="n">
        <v>0</v>
      </c>
      <c r="L2768" s="10">
        <f>I2768*J2768*(1-K2768)</f>
        <v/>
      </c>
      <c r="M2768" s="10" t="n">
        <v>540</v>
      </c>
      <c r="N2768" s="10">
        <f>L2768-M2768</f>
        <v/>
      </c>
    </row>
    <row r="2769">
      <c r="A2769" s="7" t="inlineStr">
        <is>
          <t>ORD-05790</t>
        </is>
      </c>
      <c r="B2769" s="8" t="n">
        <v>45527</v>
      </c>
      <c r="C2769" s="9" t="n">
        <v>45505</v>
      </c>
      <c r="D2769" s="7" t="n">
        <v>2024</v>
      </c>
      <c r="E2769" s="7" t="inlineStr">
        <is>
          <t>West</t>
        </is>
      </c>
      <c r="F2769" s="7" t="inlineStr">
        <is>
          <t>Technology</t>
        </is>
      </c>
      <c r="G2769" s="7" t="inlineStr">
        <is>
          <t>Smartphone</t>
        </is>
      </c>
      <c r="H2769" s="7" t="inlineStr">
        <is>
          <t>Consumer</t>
        </is>
      </c>
      <c r="I2769" s="7" t="n">
        <v>3</v>
      </c>
      <c r="J2769" s="10" t="n">
        <v>589.26</v>
      </c>
      <c r="K2769" s="11" t="n">
        <v>0.2</v>
      </c>
      <c r="L2769" s="10">
        <f>I2769*J2769*(1-K2769)</f>
        <v/>
      </c>
      <c r="M2769" s="10" t="n">
        <v>1350</v>
      </c>
      <c r="N2769" s="10">
        <f>L2769-M2769</f>
        <v/>
      </c>
    </row>
    <row r="2770">
      <c r="A2770" s="7" t="inlineStr">
        <is>
          <t>ORD-04804</t>
        </is>
      </c>
      <c r="B2770" s="8" t="n">
        <v>45527</v>
      </c>
      <c r="C2770" s="9" t="n">
        <v>45505</v>
      </c>
      <c r="D2770" s="7" t="n">
        <v>2024</v>
      </c>
      <c r="E2770" s="7" t="inlineStr">
        <is>
          <t>West</t>
        </is>
      </c>
      <c r="F2770" s="7" t="inlineStr">
        <is>
          <t>Office Supplies</t>
        </is>
      </c>
      <c r="G2770" s="7" t="inlineStr">
        <is>
          <t>Printer Ink</t>
        </is>
      </c>
      <c r="H2770" s="7" t="inlineStr">
        <is>
          <t>Corporate</t>
        </is>
      </c>
      <c r="I2770" s="7" t="n">
        <v>14</v>
      </c>
      <c r="J2770" s="10" t="n">
        <v>59.44</v>
      </c>
      <c r="K2770" s="11" t="n">
        <v>0</v>
      </c>
      <c r="L2770" s="10">
        <f>I2770*J2770*(1-K2770)</f>
        <v/>
      </c>
      <c r="M2770" s="10" t="n">
        <v>504</v>
      </c>
      <c r="N2770" s="10">
        <f>L2770-M2770</f>
        <v/>
      </c>
    </row>
    <row r="2771">
      <c r="A2771" s="7" t="inlineStr">
        <is>
          <t>ORD-02833</t>
        </is>
      </c>
      <c r="B2771" s="8" t="n">
        <v>45527</v>
      </c>
      <c r="C2771" s="9" t="n">
        <v>45505</v>
      </c>
      <c r="D2771" s="7" t="n">
        <v>2024</v>
      </c>
      <c r="E2771" s="7" t="inlineStr">
        <is>
          <t>West</t>
        </is>
      </c>
      <c r="F2771" s="7" t="inlineStr">
        <is>
          <t>Technology</t>
        </is>
      </c>
      <c r="G2771" s="7" t="inlineStr">
        <is>
          <t>Headphones</t>
        </is>
      </c>
      <c r="H2771" s="7" t="inlineStr">
        <is>
          <t>Home Office</t>
        </is>
      </c>
      <c r="I2771" s="7" t="n">
        <v>3</v>
      </c>
      <c r="J2771" s="10" t="n">
        <v>123.08</v>
      </c>
      <c r="K2771" s="11" t="n">
        <v>0</v>
      </c>
      <c r="L2771" s="10">
        <f>I2771*J2771*(1-K2771)</f>
        <v/>
      </c>
      <c r="M2771" s="10" t="n">
        <v>216</v>
      </c>
      <c r="N2771" s="10">
        <f>L2771-M2771</f>
        <v/>
      </c>
    </row>
    <row r="2772">
      <c r="A2772" s="7" t="inlineStr">
        <is>
          <t>ORD-01977</t>
        </is>
      </c>
      <c r="B2772" s="8" t="n">
        <v>45528</v>
      </c>
      <c r="C2772" s="9" t="n">
        <v>45505</v>
      </c>
      <c r="D2772" s="7" t="n">
        <v>2024</v>
      </c>
      <c r="E2772" s="7" t="inlineStr">
        <is>
          <t>North</t>
        </is>
      </c>
      <c r="F2772" s="7" t="inlineStr">
        <is>
          <t>Office Supplies</t>
        </is>
      </c>
      <c r="G2772" s="7" t="inlineStr">
        <is>
          <t>Binder</t>
        </is>
      </c>
      <c r="H2772" s="7" t="inlineStr">
        <is>
          <t>Consumer</t>
        </is>
      </c>
      <c r="I2772" s="7" t="n">
        <v>8</v>
      </c>
      <c r="J2772" s="10" t="n">
        <v>7.98</v>
      </c>
      <c r="K2772" s="11" t="n">
        <v>0.2</v>
      </c>
      <c r="L2772" s="10">
        <f>I2772*J2772*(1-K2772)</f>
        <v/>
      </c>
      <c r="M2772" s="10" t="n">
        <v>25.6</v>
      </c>
      <c r="N2772" s="10">
        <f>L2772-M2772</f>
        <v/>
      </c>
    </row>
    <row r="2773">
      <c r="A2773" s="7" t="inlineStr">
        <is>
          <t>ORD-01358</t>
        </is>
      </c>
      <c r="B2773" s="8" t="n">
        <v>45528</v>
      </c>
      <c r="C2773" s="9" t="n">
        <v>45505</v>
      </c>
      <c r="D2773" s="7" t="n">
        <v>2024</v>
      </c>
      <c r="E2773" s="7" t="inlineStr">
        <is>
          <t>West</t>
        </is>
      </c>
      <c r="F2773" s="7" t="inlineStr">
        <is>
          <t>Technology</t>
        </is>
      </c>
      <c r="G2773" s="7" t="inlineStr">
        <is>
          <t>Laptop</t>
        </is>
      </c>
      <c r="H2773" s="7" t="inlineStr">
        <is>
          <t>Consumer</t>
        </is>
      </c>
      <c r="I2773" s="7" t="n">
        <v>1</v>
      </c>
      <c r="J2773" s="10" t="n">
        <v>940.76</v>
      </c>
      <c r="K2773" s="11" t="n">
        <v>0</v>
      </c>
      <c r="L2773" s="10">
        <f>I2773*J2773*(1-K2773)</f>
        <v/>
      </c>
      <c r="M2773" s="10" t="n">
        <v>702</v>
      </c>
      <c r="N2773" s="10">
        <f>L2773-M2773</f>
        <v/>
      </c>
    </row>
    <row r="2774">
      <c r="A2774" s="7" t="inlineStr">
        <is>
          <t>ORD-02559</t>
        </is>
      </c>
      <c r="B2774" s="8" t="n">
        <v>45528</v>
      </c>
      <c r="C2774" s="9" t="n">
        <v>45505</v>
      </c>
      <c r="D2774" s="7" t="n">
        <v>2024</v>
      </c>
      <c r="E2774" s="7" t="inlineStr">
        <is>
          <t>West</t>
        </is>
      </c>
      <c r="F2774" s="7" t="inlineStr">
        <is>
          <t>Office Supplies</t>
        </is>
      </c>
      <c r="G2774" s="7" t="inlineStr">
        <is>
          <t>Binder</t>
        </is>
      </c>
      <c r="H2774" s="7" t="inlineStr">
        <is>
          <t>Consumer</t>
        </is>
      </c>
      <c r="I2774" s="7" t="n">
        <v>6</v>
      </c>
      <c r="J2774" s="10" t="n">
        <v>8</v>
      </c>
      <c r="K2774" s="11" t="n">
        <v>0.05</v>
      </c>
      <c r="L2774" s="10">
        <f>I2774*J2774*(1-K2774)</f>
        <v/>
      </c>
      <c r="M2774" s="10" t="n">
        <v>19.2</v>
      </c>
      <c r="N2774" s="10">
        <f>L2774-M2774</f>
        <v/>
      </c>
    </row>
    <row r="2775">
      <c r="A2775" s="7" t="inlineStr">
        <is>
          <t>ORD-05394</t>
        </is>
      </c>
      <c r="B2775" s="8" t="n">
        <v>45528</v>
      </c>
      <c r="C2775" s="9" t="n">
        <v>45505</v>
      </c>
      <c r="D2775" s="7" t="n">
        <v>2024</v>
      </c>
      <c r="E2775" s="7" t="inlineStr">
        <is>
          <t>East</t>
        </is>
      </c>
      <c r="F2775" s="7" t="inlineStr">
        <is>
          <t>Technology</t>
        </is>
      </c>
      <c r="G2775" s="7" t="inlineStr">
        <is>
          <t>Laptop</t>
        </is>
      </c>
      <c r="H2775" s="7" t="inlineStr">
        <is>
          <t>Consumer</t>
        </is>
      </c>
      <c r="I2775" s="7" t="n">
        <v>1</v>
      </c>
      <c r="J2775" s="10" t="n">
        <v>862.58</v>
      </c>
      <c r="K2775" s="11" t="n">
        <v>0</v>
      </c>
      <c r="L2775" s="10">
        <f>I2775*J2775*(1-K2775)</f>
        <v/>
      </c>
      <c r="M2775" s="10" t="n">
        <v>702</v>
      </c>
      <c r="N2775" s="10">
        <f>L2775-M2775</f>
        <v/>
      </c>
    </row>
    <row r="2776">
      <c r="A2776" s="7" t="inlineStr">
        <is>
          <t>ORD-04650</t>
        </is>
      </c>
      <c r="B2776" s="8" t="n">
        <v>45528</v>
      </c>
      <c r="C2776" s="9" t="n">
        <v>45505</v>
      </c>
      <c r="D2776" s="7" t="n">
        <v>2024</v>
      </c>
      <c r="E2776" s="7" t="inlineStr">
        <is>
          <t>West</t>
        </is>
      </c>
      <c r="F2776" s="7" t="inlineStr">
        <is>
          <t>Technology</t>
        </is>
      </c>
      <c r="G2776" s="7" t="inlineStr">
        <is>
          <t>Headphones</t>
        </is>
      </c>
      <c r="H2776" s="7" t="inlineStr">
        <is>
          <t>Home Office</t>
        </is>
      </c>
      <c r="I2776" s="7" t="n">
        <v>3</v>
      </c>
      <c r="J2776" s="10" t="n">
        <v>120.1</v>
      </c>
      <c r="K2776" s="11" t="n">
        <v>0.1</v>
      </c>
      <c r="L2776" s="10">
        <f>I2776*J2776*(1-K2776)</f>
        <v/>
      </c>
      <c r="M2776" s="10" t="n">
        <v>216</v>
      </c>
      <c r="N2776" s="10">
        <f>L2776-M2776</f>
        <v/>
      </c>
    </row>
    <row r="2777">
      <c r="A2777" s="7" t="inlineStr">
        <is>
          <t>ORD-03884</t>
        </is>
      </c>
      <c r="B2777" s="8" t="n">
        <v>45528</v>
      </c>
      <c r="C2777" s="9" t="n">
        <v>45505</v>
      </c>
      <c r="D2777" s="7" t="n">
        <v>2024</v>
      </c>
      <c r="E2777" s="7" t="inlineStr">
        <is>
          <t>East</t>
        </is>
      </c>
      <c r="F2777" s="7" t="inlineStr">
        <is>
          <t>Office Supplies</t>
        </is>
      </c>
      <c r="G2777" s="7" t="inlineStr">
        <is>
          <t>Pens</t>
        </is>
      </c>
      <c r="H2777" s="7" t="inlineStr">
        <is>
          <t>Home Office</t>
        </is>
      </c>
      <c r="I2777" s="7" t="n">
        <v>10</v>
      </c>
      <c r="J2777" s="10" t="n">
        <v>11.45</v>
      </c>
      <c r="K2777" s="11" t="n">
        <v>0</v>
      </c>
      <c r="L2777" s="10">
        <f>I2777*J2777*(1-K2777)</f>
        <v/>
      </c>
      <c r="M2777" s="10" t="n">
        <v>54</v>
      </c>
      <c r="N2777" s="10">
        <f>L2777-M2777</f>
        <v/>
      </c>
    </row>
    <row r="2778">
      <c r="A2778" s="7" t="inlineStr">
        <is>
          <t>ORD-01646</t>
        </is>
      </c>
      <c r="B2778" s="8" t="n">
        <v>45528</v>
      </c>
      <c r="C2778" s="9" t="n">
        <v>45505</v>
      </c>
      <c r="D2778" s="7" t="n">
        <v>2024</v>
      </c>
      <c r="E2778" s="7" t="inlineStr">
        <is>
          <t>West</t>
        </is>
      </c>
      <c r="F2778" s="7" t="inlineStr">
        <is>
          <t>Office Supplies</t>
        </is>
      </c>
      <c r="G2778" s="7" t="inlineStr">
        <is>
          <t>Binder</t>
        </is>
      </c>
      <c r="H2778" s="7" t="inlineStr">
        <is>
          <t>Corporate</t>
        </is>
      </c>
      <c r="I2778" s="7" t="n">
        <v>12</v>
      </c>
      <c r="J2778" s="10" t="n">
        <v>8.25</v>
      </c>
      <c r="K2778" s="11" t="n">
        <v>0</v>
      </c>
      <c r="L2778" s="10">
        <f>I2778*J2778*(1-K2778)</f>
        <v/>
      </c>
      <c r="M2778" s="10" t="n">
        <v>38.4</v>
      </c>
      <c r="N2778" s="10">
        <f>L2778-M2778</f>
        <v/>
      </c>
    </row>
    <row r="2779">
      <c r="A2779" s="7" t="inlineStr">
        <is>
          <t>ORD-01177</t>
        </is>
      </c>
      <c r="B2779" s="8" t="n">
        <v>45529</v>
      </c>
      <c r="C2779" s="9" t="n">
        <v>45505</v>
      </c>
      <c r="D2779" s="7" t="n">
        <v>2024</v>
      </c>
      <c r="E2779" s="7" t="inlineStr">
        <is>
          <t>West</t>
        </is>
      </c>
      <c r="F2779" s="7" t="inlineStr">
        <is>
          <t>Office Supplies</t>
        </is>
      </c>
      <c r="G2779" s="7" t="inlineStr">
        <is>
          <t>Binder</t>
        </is>
      </c>
      <c r="H2779" s="7" t="inlineStr">
        <is>
          <t>Corporate</t>
        </is>
      </c>
      <c r="I2779" s="7" t="n">
        <v>9</v>
      </c>
      <c r="J2779" s="10" t="n">
        <v>8.01</v>
      </c>
      <c r="K2779" s="11" t="n">
        <v>0.1</v>
      </c>
      <c r="L2779" s="10">
        <f>I2779*J2779*(1-K2779)</f>
        <v/>
      </c>
      <c r="M2779" s="10" t="n">
        <v>28.8</v>
      </c>
      <c r="N2779" s="10">
        <f>L2779-M2779</f>
        <v/>
      </c>
    </row>
    <row r="2780">
      <c r="A2780" s="7" t="inlineStr">
        <is>
          <t>ORD-05905</t>
        </is>
      </c>
      <c r="B2780" s="8" t="n">
        <v>45529</v>
      </c>
      <c r="C2780" s="9" t="n">
        <v>45505</v>
      </c>
      <c r="D2780" s="7" t="n">
        <v>2024</v>
      </c>
      <c r="E2780" s="7" t="inlineStr">
        <is>
          <t>West</t>
        </is>
      </c>
      <c r="F2780" s="7" t="inlineStr">
        <is>
          <t>Office Supplies</t>
        </is>
      </c>
      <c r="G2780" s="7" t="inlineStr">
        <is>
          <t>Printer Ink</t>
        </is>
      </c>
      <c r="H2780" s="7" t="inlineStr">
        <is>
          <t>Corporate</t>
        </is>
      </c>
      <c r="I2780" s="7" t="n">
        <v>3</v>
      </c>
      <c r="J2780" s="10" t="n">
        <v>60.63</v>
      </c>
      <c r="K2780" s="11" t="n">
        <v>0</v>
      </c>
      <c r="L2780" s="10">
        <f>I2780*J2780*(1-K2780)</f>
        <v/>
      </c>
      <c r="M2780" s="10" t="n">
        <v>108</v>
      </c>
      <c r="N2780" s="10">
        <f>L2780-M2780</f>
        <v/>
      </c>
    </row>
    <row r="2781">
      <c r="A2781" s="7" t="inlineStr">
        <is>
          <t>ORD-03755</t>
        </is>
      </c>
      <c r="B2781" s="8" t="n">
        <v>45529</v>
      </c>
      <c r="C2781" s="9" t="n">
        <v>45505</v>
      </c>
      <c r="D2781" s="7" t="n">
        <v>2024</v>
      </c>
      <c r="E2781" s="7" t="inlineStr">
        <is>
          <t>South</t>
        </is>
      </c>
      <c r="F2781" s="7" t="inlineStr">
        <is>
          <t>Office Supplies</t>
        </is>
      </c>
      <c r="G2781" s="7" t="inlineStr">
        <is>
          <t>Binder</t>
        </is>
      </c>
      <c r="H2781" s="7" t="inlineStr">
        <is>
          <t>Consumer</t>
        </is>
      </c>
      <c r="I2781" s="7" t="n">
        <v>10</v>
      </c>
      <c r="J2781" s="10" t="n">
        <v>8.02</v>
      </c>
      <c r="K2781" s="11" t="n">
        <v>0</v>
      </c>
      <c r="L2781" s="10">
        <f>I2781*J2781*(1-K2781)</f>
        <v/>
      </c>
      <c r="M2781" s="10" t="n">
        <v>32</v>
      </c>
      <c r="N2781" s="10">
        <f>L2781-M2781</f>
        <v/>
      </c>
    </row>
    <row r="2782">
      <c r="A2782" s="7" t="inlineStr">
        <is>
          <t>ORD-02637</t>
        </is>
      </c>
      <c r="B2782" s="8" t="n">
        <v>45529</v>
      </c>
      <c r="C2782" s="9" t="n">
        <v>45505</v>
      </c>
      <c r="D2782" s="7" t="n">
        <v>2024</v>
      </c>
      <c r="E2782" s="7" t="inlineStr">
        <is>
          <t>West</t>
        </is>
      </c>
      <c r="F2782" s="7" t="inlineStr">
        <is>
          <t>Technology</t>
        </is>
      </c>
      <c r="G2782" s="7" t="inlineStr">
        <is>
          <t>Headphones</t>
        </is>
      </c>
      <c r="H2782" s="7" t="inlineStr">
        <is>
          <t>Corporate</t>
        </is>
      </c>
      <c r="I2782" s="7" t="n">
        <v>2</v>
      </c>
      <c r="J2782" s="10" t="n">
        <v>116.21</v>
      </c>
      <c r="K2782" s="11" t="n">
        <v>0</v>
      </c>
      <c r="L2782" s="10">
        <f>I2782*J2782*(1-K2782)</f>
        <v/>
      </c>
      <c r="M2782" s="10" t="n">
        <v>144</v>
      </c>
      <c r="N2782" s="10">
        <f>L2782-M2782</f>
        <v/>
      </c>
    </row>
    <row r="2783">
      <c r="A2783" s="7" t="inlineStr">
        <is>
          <t>ORD-03095</t>
        </is>
      </c>
      <c r="B2783" s="8" t="n">
        <v>45530</v>
      </c>
      <c r="C2783" s="9" t="n">
        <v>45505</v>
      </c>
      <c r="D2783" s="7" t="n">
        <v>2024</v>
      </c>
      <c r="E2783" s="7" t="inlineStr">
        <is>
          <t>West</t>
        </is>
      </c>
      <c r="F2783" s="7" t="inlineStr">
        <is>
          <t>Office Supplies</t>
        </is>
      </c>
      <c r="G2783" s="7" t="inlineStr">
        <is>
          <t>Paper</t>
        </is>
      </c>
      <c r="H2783" s="7" t="inlineStr">
        <is>
          <t>Corporate</t>
        </is>
      </c>
      <c r="I2783" s="7" t="n">
        <v>5</v>
      </c>
      <c r="J2783" s="10" t="n">
        <v>24.77</v>
      </c>
      <c r="K2783" s="11" t="n">
        <v>0.05</v>
      </c>
      <c r="L2783" s="10">
        <f>I2783*J2783*(1-K2783)</f>
        <v/>
      </c>
      <c r="M2783" s="10" t="n">
        <v>62.5</v>
      </c>
      <c r="N2783" s="10">
        <f>L2783-M2783</f>
        <v/>
      </c>
    </row>
    <row r="2784">
      <c r="A2784" s="7" t="inlineStr">
        <is>
          <t>ORD-05783</t>
        </is>
      </c>
      <c r="B2784" s="8" t="n">
        <v>45530</v>
      </c>
      <c r="C2784" s="9" t="n">
        <v>45505</v>
      </c>
      <c r="D2784" s="7" t="n">
        <v>2024</v>
      </c>
      <c r="E2784" s="7" t="inlineStr">
        <is>
          <t>East</t>
        </is>
      </c>
      <c r="F2784" s="7" t="inlineStr">
        <is>
          <t>Technology</t>
        </is>
      </c>
      <c r="G2784" s="7" t="inlineStr">
        <is>
          <t>Keyboard</t>
        </is>
      </c>
      <c r="H2784" s="7" t="inlineStr">
        <is>
          <t>Consumer</t>
        </is>
      </c>
      <c r="I2784" s="7" t="n">
        <v>2</v>
      </c>
      <c r="J2784" s="10" t="n">
        <v>47.04</v>
      </c>
      <c r="K2784" s="11" t="n">
        <v>0.1</v>
      </c>
      <c r="L2784" s="10">
        <f>I2784*J2784*(1-K2784)</f>
        <v/>
      </c>
      <c r="M2784" s="10" t="n">
        <v>49.5</v>
      </c>
      <c r="N2784" s="10">
        <f>L2784-M2784</f>
        <v/>
      </c>
    </row>
    <row r="2785">
      <c r="A2785" s="7" t="inlineStr">
        <is>
          <t>ORD-04912</t>
        </is>
      </c>
      <c r="B2785" s="8" t="n">
        <v>45530</v>
      </c>
      <c r="C2785" s="9" t="n">
        <v>45505</v>
      </c>
      <c r="D2785" s="7" t="n">
        <v>2024</v>
      </c>
      <c r="E2785" s="7" t="inlineStr">
        <is>
          <t>East</t>
        </is>
      </c>
      <c r="F2785" s="7" t="inlineStr">
        <is>
          <t>Furniture</t>
        </is>
      </c>
      <c r="G2785" s="7" t="inlineStr">
        <is>
          <t>Desk</t>
        </is>
      </c>
      <c r="H2785" s="7" t="inlineStr">
        <is>
          <t>Consumer</t>
        </is>
      </c>
      <c r="I2785" s="7" t="n">
        <v>1</v>
      </c>
      <c r="J2785" s="10" t="n">
        <v>457.49</v>
      </c>
      <c r="K2785" s="11" t="n">
        <v>0.1</v>
      </c>
      <c r="L2785" s="10">
        <f>I2785*J2785*(1-K2785)</f>
        <v/>
      </c>
      <c r="M2785" s="10" t="n">
        <v>382.5</v>
      </c>
      <c r="N2785" s="10">
        <f>L2785-M2785</f>
        <v/>
      </c>
    </row>
    <row r="2786">
      <c r="A2786" s="7" t="inlineStr">
        <is>
          <t>ORD-01322</t>
        </is>
      </c>
      <c r="B2786" s="8" t="n">
        <v>45530</v>
      </c>
      <c r="C2786" s="9" t="n">
        <v>45505</v>
      </c>
      <c r="D2786" s="7" t="n">
        <v>2024</v>
      </c>
      <c r="E2786" s="7" t="inlineStr">
        <is>
          <t>West</t>
        </is>
      </c>
      <c r="F2786" s="7" t="inlineStr">
        <is>
          <t>Office Supplies</t>
        </is>
      </c>
      <c r="G2786" s="7" t="inlineStr">
        <is>
          <t>Paper</t>
        </is>
      </c>
      <c r="H2786" s="7" t="inlineStr">
        <is>
          <t>Consumer</t>
        </is>
      </c>
      <c r="I2786" s="7" t="n">
        <v>6</v>
      </c>
      <c r="J2786" s="10" t="n">
        <v>25.73</v>
      </c>
      <c r="K2786" s="11" t="n">
        <v>0</v>
      </c>
      <c r="L2786" s="10">
        <f>I2786*J2786*(1-K2786)</f>
        <v/>
      </c>
      <c r="M2786" s="10" t="n">
        <v>75</v>
      </c>
      <c r="N2786" s="10">
        <f>L2786-M2786</f>
        <v/>
      </c>
    </row>
    <row r="2787">
      <c r="A2787" s="7" t="inlineStr">
        <is>
          <t>ORD-04258</t>
        </is>
      </c>
      <c r="B2787" s="8" t="n">
        <v>45530</v>
      </c>
      <c r="C2787" s="9" t="n">
        <v>45505</v>
      </c>
      <c r="D2787" s="7" t="n">
        <v>2024</v>
      </c>
      <c r="E2787" s="7" t="inlineStr">
        <is>
          <t>East</t>
        </is>
      </c>
      <c r="F2787" s="7" t="inlineStr">
        <is>
          <t>Technology</t>
        </is>
      </c>
      <c r="G2787" s="7" t="inlineStr">
        <is>
          <t>Keyboard</t>
        </is>
      </c>
      <c r="H2787" s="7" t="inlineStr">
        <is>
          <t>Consumer</t>
        </is>
      </c>
      <c r="I2787" s="7" t="n">
        <v>1</v>
      </c>
      <c r="J2787" s="10" t="n">
        <v>43.8</v>
      </c>
      <c r="K2787" s="11" t="n">
        <v>0.1</v>
      </c>
      <c r="L2787" s="10">
        <f>I2787*J2787*(1-K2787)</f>
        <v/>
      </c>
      <c r="M2787" s="10" t="n">
        <v>24.75</v>
      </c>
      <c r="N2787" s="10">
        <f>L2787-M2787</f>
        <v/>
      </c>
    </row>
    <row r="2788">
      <c r="A2788" s="7" t="inlineStr">
        <is>
          <t>ORD-04977</t>
        </is>
      </c>
      <c r="B2788" s="8" t="n">
        <v>45530</v>
      </c>
      <c r="C2788" s="9" t="n">
        <v>45505</v>
      </c>
      <c r="D2788" s="7" t="n">
        <v>2024</v>
      </c>
      <c r="E2788" s="7" t="inlineStr">
        <is>
          <t>East</t>
        </is>
      </c>
      <c r="F2788" s="7" t="inlineStr">
        <is>
          <t>Technology</t>
        </is>
      </c>
      <c r="G2788" s="7" t="inlineStr">
        <is>
          <t>Keyboard</t>
        </is>
      </c>
      <c r="H2788" s="7" t="inlineStr">
        <is>
          <t>Consumer</t>
        </is>
      </c>
      <c r="I2788" s="7" t="n">
        <v>1</v>
      </c>
      <c r="J2788" s="10" t="n">
        <v>45.22</v>
      </c>
      <c r="K2788" s="11" t="n">
        <v>0.05</v>
      </c>
      <c r="L2788" s="10">
        <f>I2788*J2788*(1-K2788)</f>
        <v/>
      </c>
      <c r="M2788" s="10" t="n">
        <v>24.75</v>
      </c>
      <c r="N2788" s="10">
        <f>L2788-M2788</f>
        <v/>
      </c>
    </row>
    <row r="2789">
      <c r="A2789" s="7" t="inlineStr">
        <is>
          <t>ORD-02827</t>
        </is>
      </c>
      <c r="B2789" s="8" t="n">
        <v>45530</v>
      </c>
      <c r="C2789" s="9" t="n">
        <v>45505</v>
      </c>
      <c r="D2789" s="7" t="n">
        <v>2024</v>
      </c>
      <c r="E2789" s="7" t="inlineStr">
        <is>
          <t>South</t>
        </is>
      </c>
      <c r="F2789" s="7" t="inlineStr">
        <is>
          <t>Office Supplies</t>
        </is>
      </c>
      <c r="G2789" s="7" t="inlineStr">
        <is>
          <t>Pens</t>
        </is>
      </c>
      <c r="H2789" s="7" t="inlineStr">
        <is>
          <t>Home Office</t>
        </is>
      </c>
      <c r="I2789" s="7" t="n">
        <v>5</v>
      </c>
      <c r="J2789" s="10" t="n">
        <v>12.55</v>
      </c>
      <c r="K2789" s="11" t="n">
        <v>0.05</v>
      </c>
      <c r="L2789" s="10">
        <f>I2789*J2789*(1-K2789)</f>
        <v/>
      </c>
      <c r="M2789" s="10" t="n">
        <v>27</v>
      </c>
      <c r="N2789" s="10">
        <f>L2789-M2789</f>
        <v/>
      </c>
    </row>
    <row r="2790">
      <c r="A2790" s="7" t="inlineStr">
        <is>
          <t>ORD-00624</t>
        </is>
      </c>
      <c r="B2790" s="8" t="n">
        <v>45530</v>
      </c>
      <c r="C2790" s="9" t="n">
        <v>45505</v>
      </c>
      <c r="D2790" s="7" t="n">
        <v>2024</v>
      </c>
      <c r="E2790" s="7" t="inlineStr">
        <is>
          <t>East</t>
        </is>
      </c>
      <c r="F2790" s="7" t="inlineStr">
        <is>
          <t>Office Supplies</t>
        </is>
      </c>
      <c r="G2790" s="7" t="inlineStr">
        <is>
          <t>Paper</t>
        </is>
      </c>
      <c r="H2790" s="7" t="inlineStr">
        <is>
          <t>Corporate</t>
        </is>
      </c>
      <c r="I2790" s="7" t="n">
        <v>15</v>
      </c>
      <c r="J2790" s="10" t="n">
        <v>23.98</v>
      </c>
      <c r="K2790" s="11" t="n">
        <v>0</v>
      </c>
      <c r="L2790" s="10">
        <f>I2790*J2790*(1-K2790)</f>
        <v/>
      </c>
      <c r="M2790" s="10" t="n">
        <v>187.5</v>
      </c>
      <c r="N2790" s="10">
        <f>L2790-M2790</f>
        <v/>
      </c>
    </row>
    <row r="2791">
      <c r="A2791" s="7" t="inlineStr">
        <is>
          <t>ORD-00977</t>
        </is>
      </c>
      <c r="B2791" s="8" t="n">
        <v>45530</v>
      </c>
      <c r="C2791" s="9" t="n">
        <v>45505</v>
      </c>
      <c r="D2791" s="7" t="n">
        <v>2024</v>
      </c>
      <c r="E2791" s="7" t="inlineStr">
        <is>
          <t>North</t>
        </is>
      </c>
      <c r="F2791" s="7" t="inlineStr">
        <is>
          <t>Technology</t>
        </is>
      </c>
      <c r="G2791" s="7" t="inlineStr">
        <is>
          <t>Monitor</t>
        </is>
      </c>
      <c r="H2791" s="7" t="inlineStr">
        <is>
          <t>Corporate</t>
        </is>
      </c>
      <c r="I2791" s="7" t="n">
        <v>2</v>
      </c>
      <c r="J2791" s="10" t="n">
        <v>255.03</v>
      </c>
      <c r="K2791" s="11" t="n">
        <v>0.05</v>
      </c>
      <c r="L2791" s="10">
        <f>I2791*J2791*(1-K2791)</f>
        <v/>
      </c>
      <c r="M2791" s="10" t="n">
        <v>360</v>
      </c>
      <c r="N2791" s="10">
        <f>L2791-M2791</f>
        <v/>
      </c>
    </row>
    <row r="2792">
      <c r="A2792" s="7" t="inlineStr">
        <is>
          <t>ORD-02090</t>
        </is>
      </c>
      <c r="B2792" s="8" t="n">
        <v>45531</v>
      </c>
      <c r="C2792" s="9" t="n">
        <v>45505</v>
      </c>
      <c r="D2792" s="7" t="n">
        <v>2024</v>
      </c>
      <c r="E2792" s="7" t="inlineStr">
        <is>
          <t>West</t>
        </is>
      </c>
      <c r="F2792" s="7" t="inlineStr">
        <is>
          <t>Furniture</t>
        </is>
      </c>
      <c r="G2792" s="7" t="inlineStr">
        <is>
          <t>Desk</t>
        </is>
      </c>
      <c r="H2792" s="7" t="inlineStr">
        <is>
          <t>Consumer</t>
        </is>
      </c>
      <c r="I2792" s="7" t="n">
        <v>1</v>
      </c>
      <c r="J2792" s="10" t="n">
        <v>464.27</v>
      </c>
      <c r="K2792" s="11" t="n">
        <v>0.3</v>
      </c>
      <c r="L2792" s="10">
        <f>I2792*J2792*(1-K2792)</f>
        <v/>
      </c>
      <c r="M2792" s="10" t="n">
        <v>382.5</v>
      </c>
      <c r="N2792" s="10">
        <f>L2792-M2792</f>
        <v/>
      </c>
    </row>
    <row r="2793">
      <c r="A2793" s="7" t="inlineStr">
        <is>
          <t>ORD-00355</t>
        </is>
      </c>
      <c r="B2793" s="8" t="n">
        <v>45531</v>
      </c>
      <c r="C2793" s="9" t="n">
        <v>45505</v>
      </c>
      <c r="D2793" s="7" t="n">
        <v>2024</v>
      </c>
      <c r="E2793" s="7" t="inlineStr">
        <is>
          <t>West</t>
        </is>
      </c>
      <c r="F2793" s="7" t="inlineStr">
        <is>
          <t>Furniture</t>
        </is>
      </c>
      <c r="G2793" s="7" t="inlineStr">
        <is>
          <t>Office Chair</t>
        </is>
      </c>
      <c r="H2793" s="7" t="inlineStr">
        <is>
          <t>Consumer</t>
        </is>
      </c>
      <c r="I2793" s="7" t="n">
        <v>1</v>
      </c>
      <c r="J2793" s="10" t="n">
        <v>222.95</v>
      </c>
      <c r="K2793" s="11" t="n">
        <v>0.2</v>
      </c>
      <c r="L2793" s="10">
        <f>I2793*J2793*(1-K2793)</f>
        <v/>
      </c>
      <c r="M2793" s="10" t="n">
        <v>180.4</v>
      </c>
      <c r="N2793" s="10">
        <f>L2793-M2793</f>
        <v/>
      </c>
    </row>
    <row r="2794">
      <c r="A2794" s="7" t="inlineStr">
        <is>
          <t>ORD-04614</t>
        </is>
      </c>
      <c r="B2794" s="8" t="n">
        <v>45532</v>
      </c>
      <c r="C2794" s="9" t="n">
        <v>45505</v>
      </c>
      <c r="D2794" s="7" t="n">
        <v>2024</v>
      </c>
      <c r="E2794" s="7" t="inlineStr">
        <is>
          <t>West</t>
        </is>
      </c>
      <c r="F2794" s="7" t="inlineStr">
        <is>
          <t>Office Supplies</t>
        </is>
      </c>
      <c r="G2794" s="7" t="inlineStr">
        <is>
          <t>Printer Ink</t>
        </is>
      </c>
      <c r="H2794" s="7" t="inlineStr">
        <is>
          <t>Corporate</t>
        </is>
      </c>
      <c r="I2794" s="7" t="n">
        <v>10</v>
      </c>
      <c r="J2794" s="10" t="n">
        <v>57.76</v>
      </c>
      <c r="K2794" s="11" t="n">
        <v>0</v>
      </c>
      <c r="L2794" s="10">
        <f>I2794*J2794*(1-K2794)</f>
        <v/>
      </c>
      <c r="M2794" s="10" t="n">
        <v>360</v>
      </c>
      <c r="N2794" s="10">
        <f>L2794-M2794</f>
        <v/>
      </c>
    </row>
    <row r="2795">
      <c r="A2795" s="7" t="inlineStr">
        <is>
          <t>ORD-00237</t>
        </is>
      </c>
      <c r="B2795" s="8" t="n">
        <v>45532</v>
      </c>
      <c r="C2795" s="9" t="n">
        <v>45505</v>
      </c>
      <c r="D2795" s="7" t="n">
        <v>2024</v>
      </c>
      <c r="E2795" s="7" t="inlineStr">
        <is>
          <t>East</t>
        </is>
      </c>
      <c r="F2795" s="7" t="inlineStr">
        <is>
          <t>Office Supplies</t>
        </is>
      </c>
      <c r="G2795" s="7" t="inlineStr">
        <is>
          <t>Binder</t>
        </is>
      </c>
      <c r="H2795" s="7" t="inlineStr">
        <is>
          <t>Corporate</t>
        </is>
      </c>
      <c r="I2795" s="7" t="n">
        <v>13</v>
      </c>
      <c r="J2795" s="10" t="n">
        <v>7.66</v>
      </c>
      <c r="K2795" s="11" t="n">
        <v>0.05</v>
      </c>
      <c r="L2795" s="10">
        <f>I2795*J2795*(1-K2795)</f>
        <v/>
      </c>
      <c r="M2795" s="10" t="n">
        <v>41.6</v>
      </c>
      <c r="N2795" s="10">
        <f>L2795-M2795</f>
        <v/>
      </c>
    </row>
    <row r="2796">
      <c r="A2796" s="7" t="inlineStr">
        <is>
          <t>ORD-02670</t>
        </is>
      </c>
      <c r="B2796" s="8" t="n">
        <v>45532</v>
      </c>
      <c r="C2796" s="9" t="n">
        <v>45505</v>
      </c>
      <c r="D2796" s="7" t="n">
        <v>2024</v>
      </c>
      <c r="E2796" s="7" t="inlineStr">
        <is>
          <t>North</t>
        </is>
      </c>
      <c r="F2796" s="7" t="inlineStr">
        <is>
          <t>Furniture</t>
        </is>
      </c>
      <c r="G2796" s="7" t="inlineStr">
        <is>
          <t>Bookcase</t>
        </is>
      </c>
      <c r="H2796" s="7" t="inlineStr">
        <is>
          <t>Consumer</t>
        </is>
      </c>
      <c r="I2796" s="7" t="n">
        <v>4</v>
      </c>
      <c r="J2796" s="10" t="n">
        <v>171.47</v>
      </c>
      <c r="K2796" s="11" t="n">
        <v>0.3</v>
      </c>
      <c r="L2796" s="10">
        <f>I2796*J2796*(1-K2796)</f>
        <v/>
      </c>
      <c r="M2796" s="10" t="n">
        <v>576</v>
      </c>
      <c r="N2796" s="10">
        <f>L2796-M2796</f>
        <v/>
      </c>
    </row>
    <row r="2797">
      <c r="A2797" s="7" t="inlineStr">
        <is>
          <t>ORD-03988</t>
        </is>
      </c>
      <c r="B2797" s="8" t="n">
        <v>45532</v>
      </c>
      <c r="C2797" s="9" t="n">
        <v>45505</v>
      </c>
      <c r="D2797" s="7" t="n">
        <v>2024</v>
      </c>
      <c r="E2797" s="7" t="inlineStr">
        <is>
          <t>South</t>
        </is>
      </c>
      <c r="F2797" s="7" t="inlineStr">
        <is>
          <t>Technology</t>
        </is>
      </c>
      <c r="G2797" s="7" t="inlineStr">
        <is>
          <t>Monitor</t>
        </is>
      </c>
      <c r="H2797" s="7" t="inlineStr">
        <is>
          <t>Corporate</t>
        </is>
      </c>
      <c r="I2797" s="7" t="n">
        <v>3</v>
      </c>
      <c r="J2797" s="10" t="n">
        <v>260.06</v>
      </c>
      <c r="K2797" s="11" t="n">
        <v>0.1</v>
      </c>
      <c r="L2797" s="10">
        <f>I2797*J2797*(1-K2797)</f>
        <v/>
      </c>
      <c r="M2797" s="10" t="n">
        <v>540</v>
      </c>
      <c r="N2797" s="10">
        <f>L2797-M2797</f>
        <v/>
      </c>
    </row>
    <row r="2798">
      <c r="A2798" s="7" t="inlineStr">
        <is>
          <t>ORD-01545</t>
        </is>
      </c>
      <c r="B2798" s="8" t="n">
        <v>45532</v>
      </c>
      <c r="C2798" s="9" t="n">
        <v>45505</v>
      </c>
      <c r="D2798" s="7" t="n">
        <v>2024</v>
      </c>
      <c r="E2798" s="7" t="inlineStr">
        <is>
          <t>East</t>
        </is>
      </c>
      <c r="F2798" s="7" t="inlineStr">
        <is>
          <t>Technology</t>
        </is>
      </c>
      <c r="G2798" s="7" t="inlineStr">
        <is>
          <t>Headphones</t>
        </is>
      </c>
      <c r="H2798" s="7" t="inlineStr">
        <is>
          <t>Consumer</t>
        </is>
      </c>
      <c r="I2798" s="7" t="n">
        <v>1</v>
      </c>
      <c r="J2798" s="10" t="n">
        <v>118.2</v>
      </c>
      <c r="K2798" s="11" t="n">
        <v>0.05</v>
      </c>
      <c r="L2798" s="10">
        <f>I2798*J2798*(1-K2798)</f>
        <v/>
      </c>
      <c r="M2798" s="10" t="n">
        <v>72</v>
      </c>
      <c r="N2798" s="10">
        <f>L2798-M2798</f>
        <v/>
      </c>
    </row>
    <row r="2799">
      <c r="A2799" s="7" t="inlineStr">
        <is>
          <t>ORD-00027</t>
        </is>
      </c>
      <c r="B2799" s="8" t="n">
        <v>45532</v>
      </c>
      <c r="C2799" s="9" t="n">
        <v>45505</v>
      </c>
      <c r="D2799" s="7" t="n">
        <v>2024</v>
      </c>
      <c r="E2799" s="7" t="inlineStr">
        <is>
          <t>West</t>
        </is>
      </c>
      <c r="F2799" s="7" t="inlineStr">
        <is>
          <t>Office Supplies</t>
        </is>
      </c>
      <c r="G2799" s="7" t="inlineStr">
        <is>
          <t>Paper</t>
        </is>
      </c>
      <c r="H2799" s="7" t="inlineStr">
        <is>
          <t>Home Office</t>
        </is>
      </c>
      <c r="I2799" s="7" t="n">
        <v>13</v>
      </c>
      <c r="J2799" s="10" t="n">
        <v>25.8</v>
      </c>
      <c r="K2799" s="11" t="n">
        <v>0.1</v>
      </c>
      <c r="L2799" s="10">
        <f>I2799*J2799*(1-K2799)</f>
        <v/>
      </c>
      <c r="M2799" s="10" t="n">
        <v>162.5</v>
      </c>
      <c r="N2799" s="10">
        <f>L2799-M2799</f>
        <v/>
      </c>
    </row>
    <row r="2800">
      <c r="A2800" s="7" t="inlineStr">
        <is>
          <t>ORD-04405</t>
        </is>
      </c>
      <c r="B2800" s="8" t="n">
        <v>45533</v>
      </c>
      <c r="C2800" s="9" t="n">
        <v>45505</v>
      </c>
      <c r="D2800" s="7" t="n">
        <v>2024</v>
      </c>
      <c r="E2800" s="7" t="inlineStr">
        <is>
          <t>West</t>
        </is>
      </c>
      <c r="F2800" s="7" t="inlineStr">
        <is>
          <t>Furniture</t>
        </is>
      </c>
      <c r="G2800" s="7" t="inlineStr">
        <is>
          <t>Bookcase</t>
        </is>
      </c>
      <c r="H2800" s="7" t="inlineStr">
        <is>
          <t>Consumer</t>
        </is>
      </c>
      <c r="I2800" s="7" t="n">
        <v>3</v>
      </c>
      <c r="J2800" s="10" t="n">
        <v>181.17</v>
      </c>
      <c r="K2800" s="11" t="n">
        <v>0.3</v>
      </c>
      <c r="L2800" s="10">
        <f>I2800*J2800*(1-K2800)</f>
        <v/>
      </c>
      <c r="M2800" s="10" t="n">
        <v>432</v>
      </c>
      <c r="N2800" s="10">
        <f>L2800-M2800</f>
        <v/>
      </c>
    </row>
    <row r="2801">
      <c r="A2801" s="7" t="inlineStr">
        <is>
          <t>ORD-05513</t>
        </is>
      </c>
      <c r="B2801" s="8" t="n">
        <v>45533</v>
      </c>
      <c r="C2801" s="9" t="n">
        <v>45505</v>
      </c>
      <c r="D2801" s="7" t="n">
        <v>2024</v>
      </c>
      <c r="E2801" s="7" t="inlineStr">
        <is>
          <t>East</t>
        </is>
      </c>
      <c r="F2801" s="7" t="inlineStr">
        <is>
          <t>Office Supplies</t>
        </is>
      </c>
      <c r="G2801" s="7" t="inlineStr">
        <is>
          <t>Paper</t>
        </is>
      </c>
      <c r="H2801" s="7" t="inlineStr">
        <is>
          <t>Corporate</t>
        </is>
      </c>
      <c r="I2801" s="7" t="n">
        <v>2</v>
      </c>
      <c r="J2801" s="10" t="n">
        <v>24.72</v>
      </c>
      <c r="K2801" s="11" t="n">
        <v>0</v>
      </c>
      <c r="L2801" s="10">
        <f>I2801*J2801*(1-K2801)</f>
        <v/>
      </c>
      <c r="M2801" s="10" t="n">
        <v>25</v>
      </c>
      <c r="N2801" s="10">
        <f>L2801-M2801</f>
        <v/>
      </c>
    </row>
    <row r="2802">
      <c r="A2802" s="7" t="inlineStr">
        <is>
          <t>ORD-00884</t>
        </is>
      </c>
      <c r="B2802" s="8" t="n">
        <v>45533</v>
      </c>
      <c r="C2802" s="9" t="n">
        <v>45505</v>
      </c>
      <c r="D2802" s="7" t="n">
        <v>2024</v>
      </c>
      <c r="E2802" s="7" t="inlineStr">
        <is>
          <t>South</t>
        </is>
      </c>
      <c r="F2802" s="7" t="inlineStr">
        <is>
          <t>Office Supplies</t>
        </is>
      </c>
      <c r="G2802" s="7" t="inlineStr">
        <is>
          <t>Paper</t>
        </is>
      </c>
      <c r="H2802" s="7" t="inlineStr">
        <is>
          <t>Home Office</t>
        </is>
      </c>
      <c r="I2802" s="7" t="n">
        <v>5</v>
      </c>
      <c r="J2802" s="10" t="n">
        <v>24.99</v>
      </c>
      <c r="K2802" s="11" t="n">
        <v>0</v>
      </c>
      <c r="L2802" s="10">
        <f>I2802*J2802*(1-K2802)</f>
        <v/>
      </c>
      <c r="M2802" s="10" t="n">
        <v>62.5</v>
      </c>
      <c r="N2802" s="10">
        <f>L2802-M2802</f>
        <v/>
      </c>
    </row>
    <row r="2803">
      <c r="A2803" s="7" t="inlineStr">
        <is>
          <t>ORD-01780</t>
        </is>
      </c>
      <c r="B2803" s="8" t="n">
        <v>45533</v>
      </c>
      <c r="C2803" s="9" t="n">
        <v>45505</v>
      </c>
      <c r="D2803" s="7" t="n">
        <v>2024</v>
      </c>
      <c r="E2803" s="7" t="inlineStr">
        <is>
          <t>South</t>
        </is>
      </c>
      <c r="F2803" s="7" t="inlineStr">
        <is>
          <t>Technology</t>
        </is>
      </c>
      <c r="G2803" s="7" t="inlineStr">
        <is>
          <t>Headphones</t>
        </is>
      </c>
      <c r="H2803" s="7" t="inlineStr">
        <is>
          <t>Corporate</t>
        </is>
      </c>
      <c r="I2803" s="7" t="n">
        <v>1</v>
      </c>
      <c r="J2803" s="10" t="n">
        <v>114.1</v>
      </c>
      <c r="K2803" s="11" t="n">
        <v>0.2</v>
      </c>
      <c r="L2803" s="10">
        <f>I2803*J2803*(1-K2803)</f>
        <v/>
      </c>
      <c r="M2803" s="10" t="n">
        <v>72</v>
      </c>
      <c r="N2803" s="10">
        <f>L2803-M2803</f>
        <v/>
      </c>
    </row>
    <row r="2804">
      <c r="A2804" s="7" t="inlineStr">
        <is>
          <t>ORD-01831</t>
        </is>
      </c>
      <c r="B2804" s="8" t="n">
        <v>45533</v>
      </c>
      <c r="C2804" s="9" t="n">
        <v>45505</v>
      </c>
      <c r="D2804" s="7" t="n">
        <v>2024</v>
      </c>
      <c r="E2804" s="7" t="inlineStr">
        <is>
          <t>North</t>
        </is>
      </c>
      <c r="F2804" s="7" t="inlineStr">
        <is>
          <t>Office Supplies</t>
        </is>
      </c>
      <c r="G2804" s="7" t="inlineStr">
        <is>
          <t>Binder</t>
        </is>
      </c>
      <c r="H2804" s="7" t="inlineStr">
        <is>
          <t>Consumer</t>
        </is>
      </c>
      <c r="I2804" s="7" t="n">
        <v>14</v>
      </c>
      <c r="J2804" s="10" t="n">
        <v>7.76</v>
      </c>
      <c r="K2804" s="11" t="n">
        <v>0.3</v>
      </c>
      <c r="L2804" s="10">
        <f>I2804*J2804*(1-K2804)</f>
        <v/>
      </c>
      <c r="M2804" s="10" t="n">
        <v>44.8</v>
      </c>
      <c r="N2804" s="10">
        <f>L2804-M2804</f>
        <v/>
      </c>
    </row>
    <row r="2805">
      <c r="A2805" s="7" t="inlineStr">
        <is>
          <t>ORD-01643</t>
        </is>
      </c>
      <c r="B2805" s="8" t="n">
        <v>45533</v>
      </c>
      <c r="C2805" s="9" t="n">
        <v>45505</v>
      </c>
      <c r="D2805" s="7" t="n">
        <v>2024</v>
      </c>
      <c r="E2805" s="7" t="inlineStr">
        <is>
          <t>East</t>
        </is>
      </c>
      <c r="F2805" s="7" t="inlineStr">
        <is>
          <t>Technology</t>
        </is>
      </c>
      <c r="G2805" s="7" t="inlineStr">
        <is>
          <t>Keyboard</t>
        </is>
      </c>
      <c r="H2805" s="7" t="inlineStr">
        <is>
          <t>Consumer</t>
        </is>
      </c>
      <c r="I2805" s="7" t="n">
        <v>2</v>
      </c>
      <c r="J2805" s="10" t="n">
        <v>43.09</v>
      </c>
      <c r="K2805" s="11" t="n">
        <v>0.2</v>
      </c>
      <c r="L2805" s="10">
        <f>I2805*J2805*(1-K2805)</f>
        <v/>
      </c>
      <c r="M2805" s="10" t="n">
        <v>49.5</v>
      </c>
      <c r="N2805" s="10">
        <f>L2805-M2805</f>
        <v/>
      </c>
    </row>
    <row r="2806">
      <c r="A2806" s="7" t="inlineStr">
        <is>
          <t>ORD-00984</t>
        </is>
      </c>
      <c r="B2806" s="8" t="n">
        <v>45534</v>
      </c>
      <c r="C2806" s="9" t="n">
        <v>45505</v>
      </c>
      <c r="D2806" s="7" t="n">
        <v>2024</v>
      </c>
      <c r="E2806" s="7" t="inlineStr">
        <is>
          <t>South</t>
        </is>
      </c>
      <c r="F2806" s="7" t="inlineStr">
        <is>
          <t>Technology</t>
        </is>
      </c>
      <c r="G2806" s="7" t="inlineStr">
        <is>
          <t>Laptop</t>
        </is>
      </c>
      <c r="H2806" s="7" t="inlineStr">
        <is>
          <t>Corporate</t>
        </is>
      </c>
      <c r="I2806" s="7" t="n">
        <v>1</v>
      </c>
      <c r="J2806" s="10" t="n">
        <v>931.5700000000001</v>
      </c>
      <c r="K2806" s="11" t="n">
        <v>0.3</v>
      </c>
      <c r="L2806" s="10">
        <f>I2806*J2806*(1-K2806)</f>
        <v/>
      </c>
      <c r="M2806" s="10" t="n">
        <v>702</v>
      </c>
      <c r="N2806" s="10">
        <f>L2806-M2806</f>
        <v/>
      </c>
    </row>
    <row r="2807">
      <c r="A2807" s="7" t="inlineStr">
        <is>
          <t>ORD-05416</t>
        </is>
      </c>
      <c r="B2807" s="8" t="n">
        <v>45534</v>
      </c>
      <c r="C2807" s="9" t="n">
        <v>45505</v>
      </c>
      <c r="D2807" s="7" t="n">
        <v>2024</v>
      </c>
      <c r="E2807" s="7" t="inlineStr">
        <is>
          <t>South</t>
        </is>
      </c>
      <c r="F2807" s="7" t="inlineStr">
        <is>
          <t>Technology</t>
        </is>
      </c>
      <c r="G2807" s="7" t="inlineStr">
        <is>
          <t>Headphones</t>
        </is>
      </c>
      <c r="H2807" s="7" t="inlineStr">
        <is>
          <t>Consumer</t>
        </is>
      </c>
      <c r="I2807" s="7" t="n">
        <v>2</v>
      </c>
      <c r="J2807" s="10" t="n">
        <v>120.52</v>
      </c>
      <c r="K2807" s="11" t="n">
        <v>0.1</v>
      </c>
      <c r="L2807" s="10">
        <f>I2807*J2807*(1-K2807)</f>
        <v/>
      </c>
      <c r="M2807" s="10" t="n">
        <v>144</v>
      </c>
      <c r="N2807" s="10">
        <f>L2807-M2807</f>
        <v/>
      </c>
    </row>
    <row r="2808">
      <c r="A2808" s="7" t="inlineStr">
        <is>
          <t>ORD-02971</t>
        </is>
      </c>
      <c r="B2808" s="8" t="n">
        <v>45534</v>
      </c>
      <c r="C2808" s="9" t="n">
        <v>45505</v>
      </c>
      <c r="D2808" s="7" t="n">
        <v>2024</v>
      </c>
      <c r="E2808" s="7" t="inlineStr">
        <is>
          <t>North</t>
        </is>
      </c>
      <c r="F2808" s="7" t="inlineStr">
        <is>
          <t>Office Supplies</t>
        </is>
      </c>
      <c r="G2808" s="7" t="inlineStr">
        <is>
          <t>Stapler</t>
        </is>
      </c>
      <c r="H2808" s="7" t="inlineStr">
        <is>
          <t>Corporate</t>
        </is>
      </c>
      <c r="I2808" s="7" t="n">
        <v>5</v>
      </c>
      <c r="J2808" s="10" t="n">
        <v>15.6</v>
      </c>
      <c r="K2808" s="11" t="n">
        <v>0.05</v>
      </c>
      <c r="L2808" s="10">
        <f>I2808*J2808*(1-K2808)</f>
        <v/>
      </c>
      <c r="M2808" s="10" t="n">
        <v>37.5</v>
      </c>
      <c r="N2808" s="10">
        <f>L2808-M2808</f>
        <v/>
      </c>
    </row>
    <row r="2809">
      <c r="A2809" s="7" t="inlineStr">
        <is>
          <t>ORD-01488</t>
        </is>
      </c>
      <c r="B2809" s="8" t="n">
        <v>45534</v>
      </c>
      <c r="C2809" s="9" t="n">
        <v>45505</v>
      </c>
      <c r="D2809" s="7" t="n">
        <v>2024</v>
      </c>
      <c r="E2809" s="7" t="inlineStr">
        <is>
          <t>West</t>
        </is>
      </c>
      <c r="F2809" s="7" t="inlineStr">
        <is>
          <t>Office Supplies</t>
        </is>
      </c>
      <c r="G2809" s="7" t="inlineStr">
        <is>
          <t>Binder</t>
        </is>
      </c>
      <c r="H2809" s="7" t="inlineStr">
        <is>
          <t>Consumer</t>
        </is>
      </c>
      <c r="I2809" s="7" t="n">
        <v>9</v>
      </c>
      <c r="J2809" s="10" t="n">
        <v>8.01</v>
      </c>
      <c r="K2809" s="11" t="n">
        <v>0.1</v>
      </c>
      <c r="L2809" s="10">
        <f>I2809*J2809*(1-K2809)</f>
        <v/>
      </c>
      <c r="M2809" s="10" t="n">
        <v>28.8</v>
      </c>
      <c r="N2809" s="10">
        <f>L2809-M2809</f>
        <v/>
      </c>
    </row>
    <row r="2810">
      <c r="A2810" s="7" t="inlineStr">
        <is>
          <t>ORD-00901</t>
        </is>
      </c>
      <c r="B2810" s="8" t="n">
        <v>45534</v>
      </c>
      <c r="C2810" s="9" t="n">
        <v>45505</v>
      </c>
      <c r="D2810" s="7" t="n">
        <v>2024</v>
      </c>
      <c r="E2810" s="7" t="inlineStr">
        <is>
          <t>East</t>
        </is>
      </c>
      <c r="F2810" s="7" t="inlineStr">
        <is>
          <t>Office Supplies</t>
        </is>
      </c>
      <c r="G2810" s="7" t="inlineStr">
        <is>
          <t>Binder</t>
        </is>
      </c>
      <c r="H2810" s="7" t="inlineStr">
        <is>
          <t>Consumer</t>
        </is>
      </c>
      <c r="I2810" s="7" t="n">
        <v>6</v>
      </c>
      <c r="J2810" s="10" t="n">
        <v>7.71</v>
      </c>
      <c r="K2810" s="11" t="n">
        <v>0.1</v>
      </c>
      <c r="L2810" s="10">
        <f>I2810*J2810*(1-K2810)</f>
        <v/>
      </c>
      <c r="M2810" s="10" t="n">
        <v>19.2</v>
      </c>
      <c r="N2810" s="10">
        <f>L2810-M2810</f>
        <v/>
      </c>
    </row>
    <row r="2811">
      <c r="A2811" s="7" t="inlineStr">
        <is>
          <t>ORD-02706</t>
        </is>
      </c>
      <c r="B2811" s="8" t="n">
        <v>45534</v>
      </c>
      <c r="C2811" s="9" t="n">
        <v>45505</v>
      </c>
      <c r="D2811" s="7" t="n">
        <v>2024</v>
      </c>
      <c r="E2811" s="7" t="inlineStr">
        <is>
          <t>East</t>
        </is>
      </c>
      <c r="F2811" s="7" t="inlineStr">
        <is>
          <t>Office Supplies</t>
        </is>
      </c>
      <c r="G2811" s="7" t="inlineStr">
        <is>
          <t>Pens</t>
        </is>
      </c>
      <c r="H2811" s="7" t="inlineStr">
        <is>
          <t>Consumer</t>
        </is>
      </c>
      <c r="I2811" s="7" t="n">
        <v>12</v>
      </c>
      <c r="J2811" s="10" t="n">
        <v>11.44</v>
      </c>
      <c r="K2811" s="11" t="n">
        <v>0.05</v>
      </c>
      <c r="L2811" s="10">
        <f>I2811*J2811*(1-K2811)</f>
        <v/>
      </c>
      <c r="M2811" s="10" t="n">
        <v>64.8</v>
      </c>
      <c r="N2811" s="10">
        <f>L2811-M2811</f>
        <v/>
      </c>
    </row>
    <row r="2812">
      <c r="A2812" s="7" t="inlineStr">
        <is>
          <t>ORD-03861</t>
        </is>
      </c>
      <c r="B2812" s="8" t="n">
        <v>45535</v>
      </c>
      <c r="C2812" s="9" t="n">
        <v>45505</v>
      </c>
      <c r="D2812" s="7" t="n">
        <v>2024</v>
      </c>
      <c r="E2812" s="7" t="inlineStr">
        <is>
          <t>West</t>
        </is>
      </c>
      <c r="F2812" s="7" t="inlineStr">
        <is>
          <t>Office Supplies</t>
        </is>
      </c>
      <c r="G2812" s="7" t="inlineStr">
        <is>
          <t>Binder</t>
        </is>
      </c>
      <c r="H2812" s="7" t="inlineStr">
        <is>
          <t>Consumer</t>
        </is>
      </c>
      <c r="I2812" s="7" t="n">
        <v>8</v>
      </c>
      <c r="J2812" s="10" t="n">
        <v>7.69</v>
      </c>
      <c r="K2812" s="11" t="n">
        <v>0</v>
      </c>
      <c r="L2812" s="10">
        <f>I2812*J2812*(1-K2812)</f>
        <v/>
      </c>
      <c r="M2812" s="10" t="n">
        <v>25.6</v>
      </c>
      <c r="N2812" s="10">
        <f>L2812-M2812</f>
        <v/>
      </c>
    </row>
    <row r="2813">
      <c r="A2813" s="7" t="inlineStr">
        <is>
          <t>ORD-01227</t>
        </is>
      </c>
      <c r="B2813" s="8" t="n">
        <v>45535</v>
      </c>
      <c r="C2813" s="9" t="n">
        <v>45505</v>
      </c>
      <c r="D2813" s="7" t="n">
        <v>2024</v>
      </c>
      <c r="E2813" s="7" t="inlineStr">
        <is>
          <t>West</t>
        </is>
      </c>
      <c r="F2813" s="7" t="inlineStr">
        <is>
          <t>Technology</t>
        </is>
      </c>
      <c r="G2813" s="7" t="inlineStr">
        <is>
          <t>Laptop</t>
        </is>
      </c>
      <c r="H2813" s="7" t="inlineStr">
        <is>
          <t>Corporate</t>
        </is>
      </c>
      <c r="I2813" s="7" t="n">
        <v>3</v>
      </c>
      <c r="J2813" s="10" t="n">
        <v>920.72</v>
      </c>
      <c r="K2813" s="11" t="n">
        <v>0.2</v>
      </c>
      <c r="L2813" s="10">
        <f>I2813*J2813*(1-K2813)</f>
        <v/>
      </c>
      <c r="M2813" s="10" t="n">
        <v>2106</v>
      </c>
      <c r="N2813" s="10">
        <f>L2813-M2813</f>
        <v/>
      </c>
    </row>
    <row r="2814">
      <c r="A2814" s="7" t="inlineStr">
        <is>
          <t>ORD-00551</t>
        </is>
      </c>
      <c r="B2814" s="8" t="n">
        <v>45535</v>
      </c>
      <c r="C2814" s="9" t="n">
        <v>45505</v>
      </c>
      <c r="D2814" s="7" t="n">
        <v>2024</v>
      </c>
      <c r="E2814" s="7" t="inlineStr">
        <is>
          <t>North</t>
        </is>
      </c>
      <c r="F2814" s="7" t="inlineStr">
        <is>
          <t>Office Supplies</t>
        </is>
      </c>
      <c r="G2814" s="7" t="inlineStr">
        <is>
          <t>Binder</t>
        </is>
      </c>
      <c r="H2814" s="7" t="inlineStr">
        <is>
          <t>Corporate</t>
        </is>
      </c>
      <c r="I2814" s="7" t="n">
        <v>9</v>
      </c>
      <c r="J2814" s="10" t="n">
        <v>8.130000000000001</v>
      </c>
      <c r="K2814" s="11" t="n">
        <v>0</v>
      </c>
      <c r="L2814" s="10">
        <f>I2814*J2814*(1-K2814)</f>
        <v/>
      </c>
      <c r="M2814" s="10" t="n">
        <v>28.8</v>
      </c>
      <c r="N2814" s="10">
        <f>L2814-M2814</f>
        <v/>
      </c>
    </row>
    <row r="2815">
      <c r="A2815" s="7" t="inlineStr">
        <is>
          <t>ORD-00856</t>
        </is>
      </c>
      <c r="B2815" s="8" t="n">
        <v>45535</v>
      </c>
      <c r="C2815" s="9" t="n">
        <v>45505</v>
      </c>
      <c r="D2815" s="7" t="n">
        <v>2024</v>
      </c>
      <c r="E2815" s="7" t="inlineStr">
        <is>
          <t>East</t>
        </is>
      </c>
      <c r="F2815" s="7" t="inlineStr">
        <is>
          <t>Office Supplies</t>
        </is>
      </c>
      <c r="G2815" s="7" t="inlineStr">
        <is>
          <t>Paper</t>
        </is>
      </c>
      <c r="H2815" s="7" t="inlineStr">
        <is>
          <t>Corporate</t>
        </is>
      </c>
      <c r="I2815" s="7" t="n">
        <v>7</v>
      </c>
      <c r="J2815" s="10" t="n">
        <v>24.04</v>
      </c>
      <c r="K2815" s="11" t="n">
        <v>0.05</v>
      </c>
      <c r="L2815" s="10">
        <f>I2815*J2815*(1-K2815)</f>
        <v/>
      </c>
      <c r="M2815" s="10" t="n">
        <v>87.5</v>
      </c>
      <c r="N2815" s="10">
        <f>L2815-M2815</f>
        <v/>
      </c>
    </row>
    <row r="2816">
      <c r="A2816" s="7" t="inlineStr">
        <is>
          <t>ORD-05765</t>
        </is>
      </c>
      <c r="B2816" s="8" t="n">
        <v>45535</v>
      </c>
      <c r="C2816" s="9" t="n">
        <v>45505</v>
      </c>
      <c r="D2816" s="7" t="n">
        <v>2024</v>
      </c>
      <c r="E2816" s="7" t="inlineStr">
        <is>
          <t>North</t>
        </is>
      </c>
      <c r="F2816" s="7" t="inlineStr">
        <is>
          <t>Technology</t>
        </is>
      </c>
      <c r="G2816" s="7" t="inlineStr">
        <is>
          <t>Keyboard</t>
        </is>
      </c>
      <c r="H2816" s="7" t="inlineStr">
        <is>
          <t>Consumer</t>
        </is>
      </c>
      <c r="I2816" s="7" t="n">
        <v>1</v>
      </c>
      <c r="J2816" s="10" t="n">
        <v>43.6</v>
      </c>
      <c r="K2816" s="11" t="n">
        <v>0</v>
      </c>
      <c r="L2816" s="10">
        <f>I2816*J2816*(1-K2816)</f>
        <v/>
      </c>
      <c r="M2816" s="10" t="n">
        <v>24.75</v>
      </c>
      <c r="N2816" s="10">
        <f>L2816-M2816</f>
        <v/>
      </c>
    </row>
    <row r="2817">
      <c r="A2817" s="7" t="inlineStr">
        <is>
          <t>ORD-03834</t>
        </is>
      </c>
      <c r="B2817" s="8" t="n">
        <v>45536</v>
      </c>
      <c r="C2817" s="9" t="n">
        <v>45536</v>
      </c>
      <c r="D2817" s="7" t="n">
        <v>2024</v>
      </c>
      <c r="E2817" s="7" t="inlineStr">
        <is>
          <t>South</t>
        </is>
      </c>
      <c r="F2817" s="7" t="inlineStr">
        <is>
          <t>Technology</t>
        </is>
      </c>
      <c r="G2817" s="7" t="inlineStr">
        <is>
          <t>Keyboard</t>
        </is>
      </c>
      <c r="H2817" s="7" t="inlineStr">
        <is>
          <t>Corporate</t>
        </is>
      </c>
      <c r="I2817" s="7" t="n">
        <v>2</v>
      </c>
      <c r="J2817" s="10" t="n">
        <v>43.11</v>
      </c>
      <c r="K2817" s="11" t="n">
        <v>0.2</v>
      </c>
      <c r="L2817" s="10">
        <f>I2817*J2817*(1-K2817)</f>
        <v/>
      </c>
      <c r="M2817" s="10" t="n">
        <v>49.5</v>
      </c>
      <c r="N2817" s="10">
        <f>L2817-M2817</f>
        <v/>
      </c>
    </row>
    <row r="2818">
      <c r="A2818" s="7" t="inlineStr">
        <is>
          <t>ORD-03546</t>
        </is>
      </c>
      <c r="B2818" s="8" t="n">
        <v>45536</v>
      </c>
      <c r="C2818" s="9" t="n">
        <v>45536</v>
      </c>
      <c r="D2818" s="7" t="n">
        <v>2024</v>
      </c>
      <c r="E2818" s="7" t="inlineStr">
        <is>
          <t>West</t>
        </is>
      </c>
      <c r="F2818" s="7" t="inlineStr">
        <is>
          <t>Technology</t>
        </is>
      </c>
      <c r="G2818" s="7" t="inlineStr">
        <is>
          <t>Laptop</t>
        </is>
      </c>
      <c r="H2818" s="7" t="inlineStr">
        <is>
          <t>Consumer</t>
        </is>
      </c>
      <c r="I2818" s="7" t="n">
        <v>1</v>
      </c>
      <c r="J2818" s="10" t="n">
        <v>881.4299999999999</v>
      </c>
      <c r="K2818" s="11" t="n">
        <v>0.05</v>
      </c>
      <c r="L2818" s="10">
        <f>I2818*J2818*(1-K2818)</f>
        <v/>
      </c>
      <c r="M2818" s="10" t="n">
        <v>702</v>
      </c>
      <c r="N2818" s="10">
        <f>L2818-M2818</f>
        <v/>
      </c>
    </row>
    <row r="2819">
      <c r="A2819" s="7" t="inlineStr">
        <is>
          <t>ORD-02674</t>
        </is>
      </c>
      <c r="B2819" s="8" t="n">
        <v>45537</v>
      </c>
      <c r="C2819" s="9" t="n">
        <v>45536</v>
      </c>
      <c r="D2819" s="7" t="n">
        <v>2024</v>
      </c>
      <c r="E2819" s="7" t="inlineStr">
        <is>
          <t>West</t>
        </is>
      </c>
      <c r="F2819" s="7" t="inlineStr">
        <is>
          <t>Technology</t>
        </is>
      </c>
      <c r="G2819" s="7" t="inlineStr">
        <is>
          <t>Laptop</t>
        </is>
      </c>
      <c r="H2819" s="7" t="inlineStr">
        <is>
          <t>Consumer</t>
        </is>
      </c>
      <c r="I2819" s="7" t="n">
        <v>1</v>
      </c>
      <c r="J2819" s="10" t="n">
        <v>863.95</v>
      </c>
      <c r="K2819" s="11" t="n">
        <v>0.1</v>
      </c>
      <c r="L2819" s="10">
        <f>I2819*J2819*(1-K2819)</f>
        <v/>
      </c>
      <c r="M2819" s="10" t="n">
        <v>702</v>
      </c>
      <c r="N2819" s="10">
        <f>L2819-M2819</f>
        <v/>
      </c>
    </row>
    <row r="2820">
      <c r="A2820" s="7" t="inlineStr">
        <is>
          <t>ORD-02303</t>
        </is>
      </c>
      <c r="B2820" s="8" t="n">
        <v>45537</v>
      </c>
      <c r="C2820" s="9" t="n">
        <v>45536</v>
      </c>
      <c r="D2820" s="7" t="n">
        <v>2024</v>
      </c>
      <c r="E2820" s="7" t="inlineStr">
        <is>
          <t>West</t>
        </is>
      </c>
      <c r="F2820" s="7" t="inlineStr">
        <is>
          <t>Office Supplies</t>
        </is>
      </c>
      <c r="G2820" s="7" t="inlineStr">
        <is>
          <t>Paper</t>
        </is>
      </c>
      <c r="H2820" s="7" t="inlineStr">
        <is>
          <t>Corporate</t>
        </is>
      </c>
      <c r="I2820" s="7" t="n">
        <v>7</v>
      </c>
      <c r="J2820" s="10" t="n">
        <v>24.29</v>
      </c>
      <c r="K2820" s="11" t="n">
        <v>0.05</v>
      </c>
      <c r="L2820" s="10">
        <f>I2820*J2820*(1-K2820)</f>
        <v/>
      </c>
      <c r="M2820" s="10" t="n">
        <v>87.5</v>
      </c>
      <c r="N2820" s="10">
        <f>L2820-M2820</f>
        <v/>
      </c>
    </row>
    <row r="2821">
      <c r="A2821" s="7" t="inlineStr">
        <is>
          <t>ORD-04384</t>
        </is>
      </c>
      <c r="B2821" s="8" t="n">
        <v>45537</v>
      </c>
      <c r="C2821" s="9" t="n">
        <v>45536</v>
      </c>
      <c r="D2821" s="7" t="n">
        <v>2024</v>
      </c>
      <c r="E2821" s="7" t="inlineStr">
        <is>
          <t>South</t>
        </is>
      </c>
      <c r="F2821" s="7" t="inlineStr">
        <is>
          <t>Office Supplies</t>
        </is>
      </c>
      <c r="G2821" s="7" t="inlineStr">
        <is>
          <t>Binder</t>
        </is>
      </c>
      <c r="H2821" s="7" t="inlineStr">
        <is>
          <t>Consumer</t>
        </is>
      </c>
      <c r="I2821" s="7" t="n">
        <v>14</v>
      </c>
      <c r="J2821" s="10" t="n">
        <v>8.220000000000001</v>
      </c>
      <c r="K2821" s="11" t="n">
        <v>0.2</v>
      </c>
      <c r="L2821" s="10">
        <f>I2821*J2821*(1-K2821)</f>
        <v/>
      </c>
      <c r="M2821" s="10" t="n">
        <v>44.8</v>
      </c>
      <c r="N2821" s="10">
        <f>L2821-M2821</f>
        <v/>
      </c>
    </row>
    <row r="2822">
      <c r="A2822" s="7" t="inlineStr">
        <is>
          <t>ORD-04998</t>
        </is>
      </c>
      <c r="B2822" s="8" t="n">
        <v>45537</v>
      </c>
      <c r="C2822" s="9" t="n">
        <v>45536</v>
      </c>
      <c r="D2822" s="7" t="n">
        <v>2024</v>
      </c>
      <c r="E2822" s="7" t="inlineStr">
        <is>
          <t>South</t>
        </is>
      </c>
      <c r="F2822" s="7" t="inlineStr">
        <is>
          <t>Office Supplies</t>
        </is>
      </c>
      <c r="G2822" s="7" t="inlineStr">
        <is>
          <t>Pens</t>
        </is>
      </c>
      <c r="H2822" s="7" t="inlineStr">
        <is>
          <t>Corporate</t>
        </is>
      </c>
      <c r="I2822" s="7" t="n">
        <v>12</v>
      </c>
      <c r="J2822" s="10" t="n">
        <v>12.07</v>
      </c>
      <c r="K2822" s="11" t="n">
        <v>0.3</v>
      </c>
      <c r="L2822" s="10">
        <f>I2822*J2822*(1-K2822)</f>
        <v/>
      </c>
      <c r="M2822" s="10" t="n">
        <v>64.8</v>
      </c>
      <c r="N2822" s="10">
        <f>L2822-M2822</f>
        <v/>
      </c>
    </row>
    <row r="2823">
      <c r="A2823" s="7" t="inlineStr">
        <is>
          <t>ORD-00062</t>
        </is>
      </c>
      <c r="B2823" s="8" t="n">
        <v>45537</v>
      </c>
      <c r="C2823" s="9" t="n">
        <v>45536</v>
      </c>
      <c r="D2823" s="7" t="n">
        <v>2024</v>
      </c>
      <c r="E2823" s="7" t="inlineStr">
        <is>
          <t>East</t>
        </is>
      </c>
      <c r="F2823" s="7" t="inlineStr">
        <is>
          <t>Technology</t>
        </is>
      </c>
      <c r="G2823" s="7" t="inlineStr">
        <is>
          <t>Laptop</t>
        </is>
      </c>
      <c r="H2823" s="7" t="inlineStr">
        <is>
          <t>Corporate</t>
        </is>
      </c>
      <c r="I2823" s="7" t="n">
        <v>2</v>
      </c>
      <c r="J2823" s="10" t="n">
        <v>930.05</v>
      </c>
      <c r="K2823" s="11" t="n">
        <v>0.1</v>
      </c>
      <c r="L2823" s="10">
        <f>I2823*J2823*(1-K2823)</f>
        <v/>
      </c>
      <c r="M2823" s="10" t="n">
        <v>1404</v>
      </c>
      <c r="N2823" s="10">
        <f>L2823-M2823</f>
        <v/>
      </c>
    </row>
    <row r="2824">
      <c r="A2824" s="7" t="inlineStr">
        <is>
          <t>ORD-04691</t>
        </is>
      </c>
      <c r="B2824" s="8" t="n">
        <v>45537</v>
      </c>
      <c r="C2824" s="9" t="n">
        <v>45536</v>
      </c>
      <c r="D2824" s="7" t="n">
        <v>2024</v>
      </c>
      <c r="E2824" s="7" t="inlineStr">
        <is>
          <t>North</t>
        </is>
      </c>
      <c r="F2824" s="7" t="inlineStr">
        <is>
          <t>Office Supplies</t>
        </is>
      </c>
      <c r="G2824" s="7" t="inlineStr">
        <is>
          <t>Binder</t>
        </is>
      </c>
      <c r="H2824" s="7" t="inlineStr">
        <is>
          <t>Consumer</t>
        </is>
      </c>
      <c r="I2824" s="7" t="n">
        <v>8</v>
      </c>
      <c r="J2824" s="10" t="n">
        <v>7.66</v>
      </c>
      <c r="K2824" s="11" t="n">
        <v>0</v>
      </c>
      <c r="L2824" s="10">
        <f>I2824*J2824*(1-K2824)</f>
        <v/>
      </c>
      <c r="M2824" s="10" t="n">
        <v>25.6</v>
      </c>
      <c r="N2824" s="10">
        <f>L2824-M2824</f>
        <v/>
      </c>
    </row>
    <row r="2825">
      <c r="A2825" s="7" t="inlineStr">
        <is>
          <t>ORD-02936</t>
        </is>
      </c>
      <c r="B2825" s="8" t="n">
        <v>45537</v>
      </c>
      <c r="C2825" s="9" t="n">
        <v>45536</v>
      </c>
      <c r="D2825" s="7" t="n">
        <v>2024</v>
      </c>
      <c r="E2825" s="7" t="inlineStr">
        <is>
          <t>North</t>
        </is>
      </c>
      <c r="F2825" s="7" t="inlineStr">
        <is>
          <t>Office Supplies</t>
        </is>
      </c>
      <c r="G2825" s="7" t="inlineStr">
        <is>
          <t>Binder</t>
        </is>
      </c>
      <c r="H2825" s="7" t="inlineStr">
        <is>
          <t>Consumer</t>
        </is>
      </c>
      <c r="I2825" s="7" t="n">
        <v>11</v>
      </c>
      <c r="J2825" s="10" t="n">
        <v>8.18</v>
      </c>
      <c r="K2825" s="11" t="n">
        <v>0.1</v>
      </c>
      <c r="L2825" s="10">
        <f>I2825*J2825*(1-K2825)</f>
        <v/>
      </c>
      <c r="M2825" s="10" t="n">
        <v>35.2</v>
      </c>
      <c r="N2825" s="10">
        <f>L2825-M2825</f>
        <v/>
      </c>
    </row>
    <row r="2826">
      <c r="A2826" s="7" t="inlineStr">
        <is>
          <t>ORD-04301</t>
        </is>
      </c>
      <c r="B2826" s="8" t="n">
        <v>45537</v>
      </c>
      <c r="C2826" s="9" t="n">
        <v>45536</v>
      </c>
      <c r="D2826" s="7" t="n">
        <v>2024</v>
      </c>
      <c r="E2826" s="7" t="inlineStr">
        <is>
          <t>West</t>
        </is>
      </c>
      <c r="F2826" s="7" t="inlineStr">
        <is>
          <t>Office Supplies</t>
        </is>
      </c>
      <c r="G2826" s="7" t="inlineStr">
        <is>
          <t>Pens</t>
        </is>
      </c>
      <c r="H2826" s="7" t="inlineStr">
        <is>
          <t>Consumer</t>
        </is>
      </c>
      <c r="I2826" s="7" t="n">
        <v>2</v>
      </c>
      <c r="J2826" s="10" t="n">
        <v>12.26</v>
      </c>
      <c r="K2826" s="11" t="n">
        <v>0</v>
      </c>
      <c r="L2826" s="10">
        <f>I2826*J2826*(1-K2826)</f>
        <v/>
      </c>
      <c r="M2826" s="10" t="n">
        <v>10.8</v>
      </c>
      <c r="N2826" s="10">
        <f>L2826-M2826</f>
        <v/>
      </c>
    </row>
    <row r="2827">
      <c r="A2827" s="7" t="inlineStr">
        <is>
          <t>ORD-02677</t>
        </is>
      </c>
      <c r="B2827" s="8" t="n">
        <v>45538</v>
      </c>
      <c r="C2827" s="9" t="n">
        <v>45536</v>
      </c>
      <c r="D2827" s="7" t="n">
        <v>2024</v>
      </c>
      <c r="E2827" s="7" t="inlineStr">
        <is>
          <t>South</t>
        </is>
      </c>
      <c r="F2827" s="7" t="inlineStr">
        <is>
          <t>Office Supplies</t>
        </is>
      </c>
      <c r="G2827" s="7" t="inlineStr">
        <is>
          <t>Printer Ink</t>
        </is>
      </c>
      <c r="H2827" s="7" t="inlineStr">
        <is>
          <t>Corporate</t>
        </is>
      </c>
      <c r="I2827" s="7" t="n">
        <v>10</v>
      </c>
      <c r="J2827" s="10" t="n">
        <v>59.94</v>
      </c>
      <c r="K2827" s="11" t="n">
        <v>0.1</v>
      </c>
      <c r="L2827" s="10">
        <f>I2827*J2827*(1-K2827)</f>
        <v/>
      </c>
      <c r="M2827" s="10" t="n">
        <v>360</v>
      </c>
      <c r="N2827" s="10">
        <f>L2827-M2827</f>
        <v/>
      </c>
    </row>
    <row r="2828">
      <c r="A2828" s="7" t="inlineStr">
        <is>
          <t>ORD-03250</t>
        </is>
      </c>
      <c r="B2828" s="8" t="n">
        <v>45538</v>
      </c>
      <c r="C2828" s="9" t="n">
        <v>45536</v>
      </c>
      <c r="D2828" s="7" t="n">
        <v>2024</v>
      </c>
      <c r="E2828" s="7" t="inlineStr">
        <is>
          <t>North</t>
        </is>
      </c>
      <c r="F2828" s="7" t="inlineStr">
        <is>
          <t>Office Supplies</t>
        </is>
      </c>
      <c r="G2828" s="7" t="inlineStr">
        <is>
          <t>Pens</t>
        </is>
      </c>
      <c r="H2828" s="7" t="inlineStr">
        <is>
          <t>Consumer</t>
        </is>
      </c>
      <c r="I2828" s="7" t="n">
        <v>9</v>
      </c>
      <c r="J2828" s="10" t="n">
        <v>12.37</v>
      </c>
      <c r="K2828" s="11" t="n">
        <v>0.05</v>
      </c>
      <c r="L2828" s="10">
        <f>I2828*J2828*(1-K2828)</f>
        <v/>
      </c>
      <c r="M2828" s="10" t="n">
        <v>48.6</v>
      </c>
      <c r="N2828" s="10">
        <f>L2828-M2828</f>
        <v/>
      </c>
    </row>
    <row r="2829">
      <c r="A2829" s="7" t="inlineStr">
        <is>
          <t>ORD-01969</t>
        </is>
      </c>
      <c r="B2829" s="8" t="n">
        <v>45538</v>
      </c>
      <c r="C2829" s="9" t="n">
        <v>45536</v>
      </c>
      <c r="D2829" s="7" t="n">
        <v>2024</v>
      </c>
      <c r="E2829" s="7" t="inlineStr">
        <is>
          <t>West</t>
        </is>
      </c>
      <c r="F2829" s="7" t="inlineStr">
        <is>
          <t>Office Supplies</t>
        </is>
      </c>
      <c r="G2829" s="7" t="inlineStr">
        <is>
          <t>Binder</t>
        </is>
      </c>
      <c r="H2829" s="7" t="inlineStr">
        <is>
          <t>Consumer</t>
        </is>
      </c>
      <c r="I2829" s="7" t="n">
        <v>13</v>
      </c>
      <c r="J2829" s="10" t="n">
        <v>7.76</v>
      </c>
      <c r="K2829" s="11" t="n">
        <v>0.2</v>
      </c>
      <c r="L2829" s="10">
        <f>I2829*J2829*(1-K2829)</f>
        <v/>
      </c>
      <c r="M2829" s="10" t="n">
        <v>41.6</v>
      </c>
      <c r="N2829" s="10">
        <f>L2829-M2829</f>
        <v/>
      </c>
    </row>
    <row r="2830">
      <c r="A2830" s="7" t="inlineStr">
        <is>
          <t>ORD-01013</t>
        </is>
      </c>
      <c r="B2830" s="8" t="n">
        <v>45538</v>
      </c>
      <c r="C2830" s="9" t="n">
        <v>45536</v>
      </c>
      <c r="D2830" s="7" t="n">
        <v>2024</v>
      </c>
      <c r="E2830" s="7" t="inlineStr">
        <is>
          <t>West</t>
        </is>
      </c>
      <c r="F2830" s="7" t="inlineStr">
        <is>
          <t>Office Supplies</t>
        </is>
      </c>
      <c r="G2830" s="7" t="inlineStr">
        <is>
          <t>Paper</t>
        </is>
      </c>
      <c r="H2830" s="7" t="inlineStr">
        <is>
          <t>Home Office</t>
        </is>
      </c>
      <c r="I2830" s="7" t="n">
        <v>15</v>
      </c>
      <c r="J2830" s="10" t="n">
        <v>25.1</v>
      </c>
      <c r="K2830" s="11" t="n">
        <v>0.1</v>
      </c>
      <c r="L2830" s="10">
        <f>I2830*J2830*(1-K2830)</f>
        <v/>
      </c>
      <c r="M2830" s="10" t="n">
        <v>187.5</v>
      </c>
      <c r="N2830" s="10">
        <f>L2830-M2830</f>
        <v/>
      </c>
    </row>
    <row r="2831">
      <c r="A2831" s="7" t="inlineStr">
        <is>
          <t>ORD-01818</t>
        </is>
      </c>
      <c r="B2831" s="8" t="n">
        <v>45538</v>
      </c>
      <c r="C2831" s="9" t="n">
        <v>45536</v>
      </c>
      <c r="D2831" s="7" t="n">
        <v>2024</v>
      </c>
      <c r="E2831" s="7" t="inlineStr">
        <is>
          <t>South</t>
        </is>
      </c>
      <c r="F2831" s="7" t="inlineStr">
        <is>
          <t>Furniture</t>
        </is>
      </c>
      <c r="G2831" s="7" t="inlineStr">
        <is>
          <t>Bookcase</t>
        </is>
      </c>
      <c r="H2831" s="7" t="inlineStr">
        <is>
          <t>Home Office</t>
        </is>
      </c>
      <c r="I2831" s="7" t="n">
        <v>2</v>
      </c>
      <c r="J2831" s="10" t="n">
        <v>183.33</v>
      </c>
      <c r="K2831" s="11" t="n">
        <v>0.2</v>
      </c>
      <c r="L2831" s="10">
        <f>I2831*J2831*(1-K2831)</f>
        <v/>
      </c>
      <c r="M2831" s="10" t="n">
        <v>288</v>
      </c>
      <c r="N2831" s="10">
        <f>L2831-M2831</f>
        <v/>
      </c>
    </row>
    <row r="2832">
      <c r="A2832" s="7" t="inlineStr">
        <is>
          <t>ORD-05839</t>
        </is>
      </c>
      <c r="B2832" s="8" t="n">
        <v>45539</v>
      </c>
      <c r="C2832" s="9" t="n">
        <v>45536</v>
      </c>
      <c r="D2832" s="7" t="n">
        <v>2024</v>
      </c>
      <c r="E2832" s="7" t="inlineStr">
        <is>
          <t>South</t>
        </is>
      </c>
      <c r="F2832" s="7" t="inlineStr">
        <is>
          <t>Office Supplies</t>
        </is>
      </c>
      <c r="G2832" s="7" t="inlineStr">
        <is>
          <t>Binder</t>
        </is>
      </c>
      <c r="H2832" s="7" t="inlineStr">
        <is>
          <t>Consumer</t>
        </is>
      </c>
      <c r="I2832" s="7" t="n">
        <v>7</v>
      </c>
      <c r="J2832" s="10" t="n">
        <v>8</v>
      </c>
      <c r="K2832" s="11" t="n">
        <v>0.05</v>
      </c>
      <c r="L2832" s="10">
        <f>I2832*J2832*(1-K2832)</f>
        <v/>
      </c>
      <c r="M2832" s="10" t="n">
        <v>22.4</v>
      </c>
      <c r="N2832" s="10">
        <f>L2832-M2832</f>
        <v/>
      </c>
    </row>
    <row r="2833">
      <c r="A2833" s="7" t="inlineStr">
        <is>
          <t>ORD-04643</t>
        </is>
      </c>
      <c r="B2833" s="8" t="n">
        <v>45539</v>
      </c>
      <c r="C2833" s="9" t="n">
        <v>45536</v>
      </c>
      <c r="D2833" s="7" t="n">
        <v>2024</v>
      </c>
      <c r="E2833" s="7" t="inlineStr">
        <is>
          <t>South</t>
        </is>
      </c>
      <c r="F2833" s="7" t="inlineStr">
        <is>
          <t>Office Supplies</t>
        </is>
      </c>
      <c r="G2833" s="7" t="inlineStr">
        <is>
          <t>Paper</t>
        </is>
      </c>
      <c r="H2833" s="7" t="inlineStr">
        <is>
          <t>Consumer</t>
        </is>
      </c>
      <c r="I2833" s="7" t="n">
        <v>9</v>
      </c>
      <c r="J2833" s="10" t="n">
        <v>25.45</v>
      </c>
      <c r="K2833" s="11" t="n">
        <v>0.3</v>
      </c>
      <c r="L2833" s="10">
        <f>I2833*J2833*(1-K2833)</f>
        <v/>
      </c>
      <c r="M2833" s="10" t="n">
        <v>112.5</v>
      </c>
      <c r="N2833" s="10">
        <f>L2833-M2833</f>
        <v/>
      </c>
    </row>
    <row r="2834">
      <c r="A2834" s="7" t="inlineStr">
        <is>
          <t>ORD-00145</t>
        </is>
      </c>
      <c r="B2834" s="8" t="n">
        <v>45539</v>
      </c>
      <c r="C2834" s="9" t="n">
        <v>45536</v>
      </c>
      <c r="D2834" s="7" t="n">
        <v>2024</v>
      </c>
      <c r="E2834" s="7" t="inlineStr">
        <is>
          <t>South</t>
        </is>
      </c>
      <c r="F2834" s="7" t="inlineStr">
        <is>
          <t>Office Supplies</t>
        </is>
      </c>
      <c r="G2834" s="7" t="inlineStr">
        <is>
          <t>Pens</t>
        </is>
      </c>
      <c r="H2834" s="7" t="inlineStr">
        <is>
          <t>Consumer</t>
        </is>
      </c>
      <c r="I2834" s="7" t="n">
        <v>15</v>
      </c>
      <c r="J2834" s="10" t="n">
        <v>12.43</v>
      </c>
      <c r="K2834" s="11" t="n">
        <v>0.3</v>
      </c>
      <c r="L2834" s="10">
        <f>I2834*J2834*(1-K2834)</f>
        <v/>
      </c>
      <c r="M2834" s="10" t="n">
        <v>81</v>
      </c>
      <c r="N2834" s="10">
        <f>L2834-M2834</f>
        <v/>
      </c>
    </row>
    <row r="2835">
      <c r="A2835" s="7" t="inlineStr">
        <is>
          <t>ORD-03533</t>
        </is>
      </c>
      <c r="B2835" s="8" t="n">
        <v>45539</v>
      </c>
      <c r="C2835" s="9" t="n">
        <v>45536</v>
      </c>
      <c r="D2835" s="7" t="n">
        <v>2024</v>
      </c>
      <c r="E2835" s="7" t="inlineStr">
        <is>
          <t>North</t>
        </is>
      </c>
      <c r="F2835" s="7" t="inlineStr">
        <is>
          <t>Office Supplies</t>
        </is>
      </c>
      <c r="G2835" s="7" t="inlineStr">
        <is>
          <t>Binder</t>
        </is>
      </c>
      <c r="H2835" s="7" t="inlineStr">
        <is>
          <t>Consumer</t>
        </is>
      </c>
      <c r="I2835" s="7" t="n">
        <v>13</v>
      </c>
      <c r="J2835" s="10" t="n">
        <v>8.119999999999999</v>
      </c>
      <c r="K2835" s="11" t="n">
        <v>0.3</v>
      </c>
      <c r="L2835" s="10">
        <f>I2835*J2835*(1-K2835)</f>
        <v/>
      </c>
      <c r="M2835" s="10" t="n">
        <v>41.6</v>
      </c>
      <c r="N2835" s="10">
        <f>L2835-M2835</f>
        <v/>
      </c>
    </row>
    <row r="2836">
      <c r="A2836" s="7" t="inlineStr">
        <is>
          <t>ORD-00472</t>
        </is>
      </c>
      <c r="B2836" s="8" t="n">
        <v>45540</v>
      </c>
      <c r="C2836" s="9" t="n">
        <v>45536</v>
      </c>
      <c r="D2836" s="7" t="n">
        <v>2024</v>
      </c>
      <c r="E2836" s="7" t="inlineStr">
        <is>
          <t>South</t>
        </is>
      </c>
      <c r="F2836" s="7" t="inlineStr">
        <is>
          <t>Office Supplies</t>
        </is>
      </c>
      <c r="G2836" s="7" t="inlineStr">
        <is>
          <t>Pens</t>
        </is>
      </c>
      <c r="H2836" s="7" t="inlineStr">
        <is>
          <t>Consumer</t>
        </is>
      </c>
      <c r="I2836" s="7" t="n">
        <v>8</v>
      </c>
      <c r="J2836" s="10" t="n">
        <v>12.13</v>
      </c>
      <c r="K2836" s="11" t="n">
        <v>0</v>
      </c>
      <c r="L2836" s="10">
        <f>I2836*J2836*(1-K2836)</f>
        <v/>
      </c>
      <c r="M2836" s="10" t="n">
        <v>43.2</v>
      </c>
      <c r="N2836" s="10">
        <f>L2836-M2836</f>
        <v/>
      </c>
    </row>
    <row r="2837">
      <c r="A2837" s="7" t="inlineStr">
        <is>
          <t>ORD-04925</t>
        </is>
      </c>
      <c r="B2837" s="8" t="n">
        <v>45540</v>
      </c>
      <c r="C2837" s="9" t="n">
        <v>45536</v>
      </c>
      <c r="D2837" s="7" t="n">
        <v>2024</v>
      </c>
      <c r="E2837" s="7" t="inlineStr">
        <is>
          <t>West</t>
        </is>
      </c>
      <c r="F2837" s="7" t="inlineStr">
        <is>
          <t>Office Supplies</t>
        </is>
      </c>
      <c r="G2837" s="7" t="inlineStr">
        <is>
          <t>Paper</t>
        </is>
      </c>
      <c r="H2837" s="7" t="inlineStr">
        <is>
          <t>Corporate</t>
        </is>
      </c>
      <c r="I2837" s="7" t="n">
        <v>14</v>
      </c>
      <c r="J2837" s="10" t="n">
        <v>24.09</v>
      </c>
      <c r="K2837" s="11" t="n">
        <v>0.05</v>
      </c>
      <c r="L2837" s="10">
        <f>I2837*J2837*(1-K2837)</f>
        <v/>
      </c>
      <c r="M2837" s="10" t="n">
        <v>175</v>
      </c>
      <c r="N2837" s="10">
        <f>L2837-M2837</f>
        <v/>
      </c>
    </row>
    <row r="2838">
      <c r="A2838" s="7" t="inlineStr">
        <is>
          <t>ORD-01705</t>
        </is>
      </c>
      <c r="B2838" s="8" t="n">
        <v>45540</v>
      </c>
      <c r="C2838" s="9" t="n">
        <v>45536</v>
      </c>
      <c r="D2838" s="7" t="n">
        <v>2024</v>
      </c>
      <c r="E2838" s="7" t="inlineStr">
        <is>
          <t>East</t>
        </is>
      </c>
      <c r="F2838" s="7" t="inlineStr">
        <is>
          <t>Furniture</t>
        </is>
      </c>
      <c r="G2838" s="7" t="inlineStr">
        <is>
          <t>Bookcase</t>
        </is>
      </c>
      <c r="H2838" s="7" t="inlineStr">
        <is>
          <t>Consumer</t>
        </is>
      </c>
      <c r="I2838" s="7" t="n">
        <v>4</v>
      </c>
      <c r="J2838" s="10" t="n">
        <v>184.78</v>
      </c>
      <c r="K2838" s="11" t="n">
        <v>0</v>
      </c>
      <c r="L2838" s="10">
        <f>I2838*J2838*(1-K2838)</f>
        <v/>
      </c>
      <c r="M2838" s="10" t="n">
        <v>576</v>
      </c>
      <c r="N2838" s="10">
        <f>L2838-M2838</f>
        <v/>
      </c>
    </row>
    <row r="2839">
      <c r="A2839" s="7" t="inlineStr">
        <is>
          <t>ORD-00487</t>
        </is>
      </c>
      <c r="B2839" s="8" t="n">
        <v>45540</v>
      </c>
      <c r="C2839" s="9" t="n">
        <v>45536</v>
      </c>
      <c r="D2839" s="7" t="n">
        <v>2024</v>
      </c>
      <c r="E2839" s="7" t="inlineStr">
        <is>
          <t>West</t>
        </is>
      </c>
      <c r="F2839" s="7" t="inlineStr">
        <is>
          <t>Office Supplies</t>
        </is>
      </c>
      <c r="G2839" s="7" t="inlineStr">
        <is>
          <t>Printer Ink</t>
        </is>
      </c>
      <c r="H2839" s="7" t="inlineStr">
        <is>
          <t>Consumer</t>
        </is>
      </c>
      <c r="I2839" s="7" t="n">
        <v>7</v>
      </c>
      <c r="J2839" s="10" t="n">
        <v>57.98</v>
      </c>
      <c r="K2839" s="11" t="n">
        <v>0.1</v>
      </c>
      <c r="L2839" s="10">
        <f>I2839*J2839*(1-K2839)</f>
        <v/>
      </c>
      <c r="M2839" s="10" t="n">
        <v>252</v>
      </c>
      <c r="N2839" s="10">
        <f>L2839-M2839</f>
        <v/>
      </c>
    </row>
    <row r="2840">
      <c r="A2840" s="7" t="inlineStr">
        <is>
          <t>ORD-04334</t>
        </is>
      </c>
      <c r="B2840" s="8" t="n">
        <v>45540</v>
      </c>
      <c r="C2840" s="9" t="n">
        <v>45536</v>
      </c>
      <c r="D2840" s="7" t="n">
        <v>2024</v>
      </c>
      <c r="E2840" s="7" t="inlineStr">
        <is>
          <t>West</t>
        </is>
      </c>
      <c r="F2840" s="7" t="inlineStr">
        <is>
          <t>Office Supplies</t>
        </is>
      </c>
      <c r="G2840" s="7" t="inlineStr">
        <is>
          <t>Paper</t>
        </is>
      </c>
      <c r="H2840" s="7" t="inlineStr">
        <is>
          <t>Corporate</t>
        </is>
      </c>
      <c r="I2840" s="7" t="n">
        <v>15</v>
      </c>
      <c r="J2840" s="10" t="n">
        <v>23.9</v>
      </c>
      <c r="K2840" s="11" t="n">
        <v>0.05</v>
      </c>
      <c r="L2840" s="10">
        <f>I2840*J2840*(1-K2840)</f>
        <v/>
      </c>
      <c r="M2840" s="10" t="n">
        <v>187.5</v>
      </c>
      <c r="N2840" s="10">
        <f>L2840-M2840</f>
        <v/>
      </c>
    </row>
    <row r="2841">
      <c r="A2841" s="7" t="inlineStr">
        <is>
          <t>ORD-04145</t>
        </is>
      </c>
      <c r="B2841" s="8" t="n">
        <v>45540</v>
      </c>
      <c r="C2841" s="9" t="n">
        <v>45536</v>
      </c>
      <c r="D2841" s="7" t="n">
        <v>2024</v>
      </c>
      <c r="E2841" s="7" t="inlineStr">
        <is>
          <t>East</t>
        </is>
      </c>
      <c r="F2841" s="7" t="inlineStr">
        <is>
          <t>Office Supplies</t>
        </is>
      </c>
      <c r="G2841" s="7" t="inlineStr">
        <is>
          <t>Printer Ink</t>
        </is>
      </c>
      <c r="H2841" s="7" t="inlineStr">
        <is>
          <t>Corporate</t>
        </is>
      </c>
      <c r="I2841" s="7" t="n">
        <v>9</v>
      </c>
      <c r="J2841" s="10" t="n">
        <v>61.15</v>
      </c>
      <c r="K2841" s="11" t="n">
        <v>0.05</v>
      </c>
      <c r="L2841" s="10">
        <f>I2841*J2841*(1-K2841)</f>
        <v/>
      </c>
      <c r="M2841" s="10" t="n">
        <v>324</v>
      </c>
      <c r="N2841" s="10">
        <f>L2841-M2841</f>
        <v/>
      </c>
    </row>
    <row r="2842">
      <c r="A2842" s="7" t="inlineStr">
        <is>
          <t>ORD-05153</t>
        </is>
      </c>
      <c r="B2842" s="8" t="n">
        <v>45540</v>
      </c>
      <c r="C2842" s="9" t="n">
        <v>45536</v>
      </c>
      <c r="D2842" s="7" t="n">
        <v>2024</v>
      </c>
      <c r="E2842" s="7" t="inlineStr">
        <is>
          <t>West</t>
        </is>
      </c>
      <c r="F2842" s="7" t="inlineStr">
        <is>
          <t>Furniture</t>
        </is>
      </c>
      <c r="G2842" s="7" t="inlineStr">
        <is>
          <t>Sofa</t>
        </is>
      </c>
      <c r="H2842" s="7" t="inlineStr">
        <is>
          <t>Corporate</t>
        </is>
      </c>
      <c r="I2842" s="7" t="n">
        <v>1</v>
      </c>
      <c r="J2842" s="10" t="n">
        <v>714.64</v>
      </c>
      <c r="K2842" s="11" t="n">
        <v>0.2</v>
      </c>
      <c r="L2842" s="10">
        <f>I2842*J2842*(1-K2842)</f>
        <v/>
      </c>
      <c r="M2842" s="10" t="n">
        <v>616</v>
      </c>
      <c r="N2842" s="10">
        <f>L2842-M2842</f>
        <v/>
      </c>
    </row>
    <row r="2843">
      <c r="A2843" s="7" t="inlineStr">
        <is>
          <t>ORD-04154</t>
        </is>
      </c>
      <c r="B2843" s="8" t="n">
        <v>45540</v>
      </c>
      <c r="C2843" s="9" t="n">
        <v>45536</v>
      </c>
      <c r="D2843" s="7" t="n">
        <v>2024</v>
      </c>
      <c r="E2843" s="7" t="inlineStr">
        <is>
          <t>East</t>
        </is>
      </c>
      <c r="F2843" s="7" t="inlineStr">
        <is>
          <t>Office Supplies</t>
        </is>
      </c>
      <c r="G2843" s="7" t="inlineStr">
        <is>
          <t>Pens</t>
        </is>
      </c>
      <c r="H2843" s="7" t="inlineStr">
        <is>
          <t>Consumer</t>
        </is>
      </c>
      <c r="I2843" s="7" t="n">
        <v>5</v>
      </c>
      <c r="J2843" s="10" t="n">
        <v>11.8</v>
      </c>
      <c r="K2843" s="11" t="n">
        <v>0</v>
      </c>
      <c r="L2843" s="10">
        <f>I2843*J2843*(1-K2843)</f>
        <v/>
      </c>
      <c r="M2843" s="10" t="n">
        <v>27</v>
      </c>
      <c r="N2843" s="10">
        <f>L2843-M2843</f>
        <v/>
      </c>
    </row>
    <row r="2844">
      <c r="A2844" s="7" t="inlineStr">
        <is>
          <t>ORD-03912</t>
        </is>
      </c>
      <c r="B2844" s="8" t="n">
        <v>45540</v>
      </c>
      <c r="C2844" s="9" t="n">
        <v>45536</v>
      </c>
      <c r="D2844" s="7" t="n">
        <v>2024</v>
      </c>
      <c r="E2844" s="7" t="inlineStr">
        <is>
          <t>South</t>
        </is>
      </c>
      <c r="F2844" s="7" t="inlineStr">
        <is>
          <t>Office Supplies</t>
        </is>
      </c>
      <c r="G2844" s="7" t="inlineStr">
        <is>
          <t>Binder</t>
        </is>
      </c>
      <c r="H2844" s="7" t="inlineStr">
        <is>
          <t>Corporate</t>
        </is>
      </c>
      <c r="I2844" s="7" t="n">
        <v>15</v>
      </c>
      <c r="J2844" s="10" t="n">
        <v>8.17</v>
      </c>
      <c r="K2844" s="11" t="n">
        <v>0.05</v>
      </c>
      <c r="L2844" s="10">
        <f>I2844*J2844*(1-K2844)</f>
        <v/>
      </c>
      <c r="M2844" s="10" t="n">
        <v>48</v>
      </c>
      <c r="N2844" s="10">
        <f>L2844-M2844</f>
        <v/>
      </c>
    </row>
    <row r="2845">
      <c r="A2845" s="7" t="inlineStr">
        <is>
          <t>ORD-03023</t>
        </is>
      </c>
      <c r="B2845" s="8" t="n">
        <v>45540</v>
      </c>
      <c r="C2845" s="9" t="n">
        <v>45536</v>
      </c>
      <c r="D2845" s="7" t="n">
        <v>2024</v>
      </c>
      <c r="E2845" s="7" t="inlineStr">
        <is>
          <t>North</t>
        </is>
      </c>
      <c r="F2845" s="7" t="inlineStr">
        <is>
          <t>Technology</t>
        </is>
      </c>
      <c r="G2845" s="7" t="inlineStr">
        <is>
          <t>Monitor</t>
        </is>
      </c>
      <c r="H2845" s="7" t="inlineStr">
        <is>
          <t>Corporate</t>
        </is>
      </c>
      <c r="I2845" s="7" t="n">
        <v>2</v>
      </c>
      <c r="J2845" s="10" t="n">
        <v>249.62</v>
      </c>
      <c r="K2845" s="11" t="n">
        <v>0</v>
      </c>
      <c r="L2845" s="10">
        <f>I2845*J2845*(1-K2845)</f>
        <v/>
      </c>
      <c r="M2845" s="10" t="n">
        <v>360</v>
      </c>
      <c r="N2845" s="10">
        <f>L2845-M2845</f>
        <v/>
      </c>
    </row>
    <row r="2846">
      <c r="A2846" s="7" t="inlineStr">
        <is>
          <t>ORD-01937</t>
        </is>
      </c>
      <c r="B2846" s="8" t="n">
        <v>45541</v>
      </c>
      <c r="C2846" s="9" t="n">
        <v>45536</v>
      </c>
      <c r="D2846" s="7" t="n">
        <v>2024</v>
      </c>
      <c r="E2846" s="7" t="inlineStr">
        <is>
          <t>West</t>
        </is>
      </c>
      <c r="F2846" s="7" t="inlineStr">
        <is>
          <t>Office Supplies</t>
        </is>
      </c>
      <c r="G2846" s="7" t="inlineStr">
        <is>
          <t>Paper</t>
        </is>
      </c>
      <c r="H2846" s="7" t="inlineStr">
        <is>
          <t>Home Office</t>
        </is>
      </c>
      <c r="I2846" s="7" t="n">
        <v>6</v>
      </c>
      <c r="J2846" s="10" t="n">
        <v>26.21</v>
      </c>
      <c r="K2846" s="11" t="n">
        <v>0</v>
      </c>
      <c r="L2846" s="10">
        <f>I2846*J2846*(1-K2846)</f>
        <v/>
      </c>
      <c r="M2846" s="10" t="n">
        <v>75</v>
      </c>
      <c r="N2846" s="10">
        <f>L2846-M2846</f>
        <v/>
      </c>
    </row>
    <row r="2847">
      <c r="A2847" s="7" t="inlineStr">
        <is>
          <t>ORD-00038</t>
        </is>
      </c>
      <c r="B2847" s="8" t="n">
        <v>45541</v>
      </c>
      <c r="C2847" s="9" t="n">
        <v>45536</v>
      </c>
      <c r="D2847" s="7" t="n">
        <v>2024</v>
      </c>
      <c r="E2847" s="7" t="inlineStr">
        <is>
          <t>West</t>
        </is>
      </c>
      <c r="F2847" s="7" t="inlineStr">
        <is>
          <t>Office Supplies</t>
        </is>
      </c>
      <c r="G2847" s="7" t="inlineStr">
        <is>
          <t>Binder</t>
        </is>
      </c>
      <c r="H2847" s="7" t="inlineStr">
        <is>
          <t>Corporate</t>
        </is>
      </c>
      <c r="I2847" s="7" t="n">
        <v>5</v>
      </c>
      <c r="J2847" s="10" t="n">
        <v>7.78</v>
      </c>
      <c r="K2847" s="11" t="n">
        <v>0</v>
      </c>
      <c r="L2847" s="10">
        <f>I2847*J2847*(1-K2847)</f>
        <v/>
      </c>
      <c r="M2847" s="10" t="n">
        <v>16</v>
      </c>
      <c r="N2847" s="10">
        <f>L2847-M2847</f>
        <v/>
      </c>
    </row>
    <row r="2848">
      <c r="A2848" s="7" t="inlineStr">
        <is>
          <t>ORD-04367</t>
        </is>
      </c>
      <c r="B2848" s="8" t="n">
        <v>45541</v>
      </c>
      <c r="C2848" s="9" t="n">
        <v>45536</v>
      </c>
      <c r="D2848" s="7" t="n">
        <v>2024</v>
      </c>
      <c r="E2848" s="7" t="inlineStr">
        <is>
          <t>South</t>
        </is>
      </c>
      <c r="F2848" s="7" t="inlineStr">
        <is>
          <t>Furniture</t>
        </is>
      </c>
      <c r="G2848" s="7" t="inlineStr">
        <is>
          <t>Sofa</t>
        </is>
      </c>
      <c r="H2848" s="7" t="inlineStr">
        <is>
          <t>Consumer</t>
        </is>
      </c>
      <c r="I2848" s="7" t="n">
        <v>4</v>
      </c>
      <c r="J2848" s="10" t="n">
        <v>715.99</v>
      </c>
      <c r="K2848" s="11" t="n">
        <v>0.1</v>
      </c>
      <c r="L2848" s="10">
        <f>I2848*J2848*(1-K2848)</f>
        <v/>
      </c>
      <c r="M2848" s="10" t="n">
        <v>2464</v>
      </c>
      <c r="N2848" s="10">
        <f>L2848-M2848</f>
        <v/>
      </c>
    </row>
    <row r="2849">
      <c r="A2849" s="7" t="inlineStr">
        <is>
          <t>ORD-02058</t>
        </is>
      </c>
      <c r="B2849" s="8" t="n">
        <v>45541</v>
      </c>
      <c r="C2849" s="9" t="n">
        <v>45536</v>
      </c>
      <c r="D2849" s="7" t="n">
        <v>2024</v>
      </c>
      <c r="E2849" s="7" t="inlineStr">
        <is>
          <t>West</t>
        </is>
      </c>
      <c r="F2849" s="7" t="inlineStr">
        <is>
          <t>Office Supplies</t>
        </is>
      </c>
      <c r="G2849" s="7" t="inlineStr">
        <is>
          <t>Stapler</t>
        </is>
      </c>
      <c r="H2849" s="7" t="inlineStr">
        <is>
          <t>Consumer</t>
        </is>
      </c>
      <c r="I2849" s="7" t="n">
        <v>5</v>
      </c>
      <c r="J2849" s="10" t="n">
        <v>14.7</v>
      </c>
      <c r="K2849" s="11" t="n">
        <v>0</v>
      </c>
      <c r="L2849" s="10">
        <f>I2849*J2849*(1-K2849)</f>
        <v/>
      </c>
      <c r="M2849" s="10" t="n">
        <v>37.5</v>
      </c>
      <c r="N2849" s="10">
        <f>L2849-M2849</f>
        <v/>
      </c>
    </row>
    <row r="2850">
      <c r="A2850" s="7" t="inlineStr">
        <is>
          <t>ORD-03720</t>
        </is>
      </c>
      <c r="B2850" s="8" t="n">
        <v>45541</v>
      </c>
      <c r="C2850" s="9" t="n">
        <v>45536</v>
      </c>
      <c r="D2850" s="7" t="n">
        <v>2024</v>
      </c>
      <c r="E2850" s="7" t="inlineStr">
        <is>
          <t>West</t>
        </is>
      </c>
      <c r="F2850" s="7" t="inlineStr">
        <is>
          <t>Office Supplies</t>
        </is>
      </c>
      <c r="G2850" s="7" t="inlineStr">
        <is>
          <t>Paper</t>
        </is>
      </c>
      <c r="H2850" s="7" t="inlineStr">
        <is>
          <t>Corporate</t>
        </is>
      </c>
      <c r="I2850" s="7" t="n">
        <v>11</v>
      </c>
      <c r="J2850" s="10" t="n">
        <v>24.06</v>
      </c>
      <c r="K2850" s="11" t="n">
        <v>0.1</v>
      </c>
      <c r="L2850" s="10">
        <f>I2850*J2850*(1-K2850)</f>
        <v/>
      </c>
      <c r="M2850" s="10" t="n">
        <v>137.5</v>
      </c>
      <c r="N2850" s="10">
        <f>L2850-M2850</f>
        <v/>
      </c>
    </row>
    <row r="2851">
      <c r="A2851" s="7" t="inlineStr">
        <is>
          <t>ORD-01995</t>
        </is>
      </c>
      <c r="B2851" s="8" t="n">
        <v>45541</v>
      </c>
      <c r="C2851" s="9" t="n">
        <v>45536</v>
      </c>
      <c r="D2851" s="7" t="n">
        <v>2024</v>
      </c>
      <c r="E2851" s="7" t="inlineStr">
        <is>
          <t>West</t>
        </is>
      </c>
      <c r="F2851" s="7" t="inlineStr">
        <is>
          <t>Office Supplies</t>
        </is>
      </c>
      <c r="G2851" s="7" t="inlineStr">
        <is>
          <t>Printer Ink</t>
        </is>
      </c>
      <c r="H2851" s="7" t="inlineStr">
        <is>
          <t>Consumer</t>
        </is>
      </c>
      <c r="I2851" s="7" t="n">
        <v>5</v>
      </c>
      <c r="J2851" s="10" t="n">
        <v>59.93</v>
      </c>
      <c r="K2851" s="11" t="n">
        <v>0</v>
      </c>
      <c r="L2851" s="10">
        <f>I2851*J2851*(1-K2851)</f>
        <v/>
      </c>
      <c r="M2851" s="10" t="n">
        <v>180</v>
      </c>
      <c r="N2851" s="10">
        <f>L2851-M2851</f>
        <v/>
      </c>
    </row>
    <row r="2852">
      <c r="A2852" s="7" t="inlineStr">
        <is>
          <t>ORD-05600</t>
        </is>
      </c>
      <c r="B2852" s="8" t="n">
        <v>45541</v>
      </c>
      <c r="C2852" s="9" t="n">
        <v>45536</v>
      </c>
      <c r="D2852" s="7" t="n">
        <v>2024</v>
      </c>
      <c r="E2852" s="7" t="inlineStr">
        <is>
          <t>West</t>
        </is>
      </c>
      <c r="F2852" s="7" t="inlineStr">
        <is>
          <t>Office Supplies</t>
        </is>
      </c>
      <c r="G2852" s="7" t="inlineStr">
        <is>
          <t>Paper</t>
        </is>
      </c>
      <c r="H2852" s="7" t="inlineStr">
        <is>
          <t>Consumer</t>
        </is>
      </c>
      <c r="I2852" s="7" t="n">
        <v>15</v>
      </c>
      <c r="J2852" s="10" t="n">
        <v>25.57</v>
      </c>
      <c r="K2852" s="11" t="n">
        <v>0.3</v>
      </c>
      <c r="L2852" s="10">
        <f>I2852*J2852*(1-K2852)</f>
        <v/>
      </c>
      <c r="M2852" s="10" t="n">
        <v>187.5</v>
      </c>
      <c r="N2852" s="10">
        <f>L2852-M2852</f>
        <v/>
      </c>
    </row>
    <row r="2853">
      <c r="A2853" s="7" t="inlineStr">
        <is>
          <t>ORD-01490</t>
        </is>
      </c>
      <c r="B2853" s="8" t="n">
        <v>45541</v>
      </c>
      <c r="C2853" s="9" t="n">
        <v>45536</v>
      </c>
      <c r="D2853" s="7" t="n">
        <v>2024</v>
      </c>
      <c r="E2853" s="7" t="inlineStr">
        <is>
          <t>West</t>
        </is>
      </c>
      <c r="F2853" s="7" t="inlineStr">
        <is>
          <t>Office Supplies</t>
        </is>
      </c>
      <c r="G2853" s="7" t="inlineStr">
        <is>
          <t>Printer Ink</t>
        </is>
      </c>
      <c r="H2853" s="7" t="inlineStr">
        <is>
          <t>Home Office</t>
        </is>
      </c>
      <c r="I2853" s="7" t="n">
        <v>4</v>
      </c>
      <c r="J2853" s="10" t="n">
        <v>58.92</v>
      </c>
      <c r="K2853" s="11" t="n">
        <v>0.2</v>
      </c>
      <c r="L2853" s="10">
        <f>I2853*J2853*(1-K2853)</f>
        <v/>
      </c>
      <c r="M2853" s="10" t="n">
        <v>144</v>
      </c>
      <c r="N2853" s="10">
        <f>L2853-M2853</f>
        <v/>
      </c>
    </row>
    <row r="2854">
      <c r="A2854" s="7" t="inlineStr">
        <is>
          <t>ORD-03831</t>
        </is>
      </c>
      <c r="B2854" s="8" t="n">
        <v>45542</v>
      </c>
      <c r="C2854" s="9" t="n">
        <v>45536</v>
      </c>
      <c r="D2854" s="7" t="n">
        <v>2024</v>
      </c>
      <c r="E2854" s="7" t="inlineStr">
        <is>
          <t>South</t>
        </is>
      </c>
      <c r="F2854" s="7" t="inlineStr">
        <is>
          <t>Technology</t>
        </is>
      </c>
      <c r="G2854" s="7" t="inlineStr">
        <is>
          <t>Laptop</t>
        </is>
      </c>
      <c r="H2854" s="7" t="inlineStr">
        <is>
          <t>Corporate</t>
        </is>
      </c>
      <c r="I2854" s="7" t="n">
        <v>1</v>
      </c>
      <c r="J2854" s="10" t="n">
        <v>920.97</v>
      </c>
      <c r="K2854" s="11" t="n">
        <v>0.05</v>
      </c>
      <c r="L2854" s="10">
        <f>I2854*J2854*(1-K2854)</f>
        <v/>
      </c>
      <c r="M2854" s="10" t="n">
        <v>702</v>
      </c>
      <c r="N2854" s="10">
        <f>L2854-M2854</f>
        <v/>
      </c>
    </row>
    <row r="2855">
      <c r="A2855" s="7" t="inlineStr">
        <is>
          <t>ORD-04243</t>
        </is>
      </c>
      <c r="B2855" s="8" t="n">
        <v>45542</v>
      </c>
      <c r="C2855" s="9" t="n">
        <v>45536</v>
      </c>
      <c r="D2855" s="7" t="n">
        <v>2024</v>
      </c>
      <c r="E2855" s="7" t="inlineStr">
        <is>
          <t>West</t>
        </is>
      </c>
      <c r="F2855" s="7" t="inlineStr">
        <is>
          <t>Technology</t>
        </is>
      </c>
      <c r="G2855" s="7" t="inlineStr">
        <is>
          <t>Headphones</t>
        </is>
      </c>
      <c r="H2855" s="7" t="inlineStr">
        <is>
          <t>Home Office</t>
        </is>
      </c>
      <c r="I2855" s="7" t="n">
        <v>3</v>
      </c>
      <c r="J2855" s="10" t="n">
        <v>121.95</v>
      </c>
      <c r="K2855" s="11" t="n">
        <v>0</v>
      </c>
      <c r="L2855" s="10">
        <f>I2855*J2855*(1-K2855)</f>
        <v/>
      </c>
      <c r="M2855" s="10" t="n">
        <v>216</v>
      </c>
      <c r="N2855" s="10">
        <f>L2855-M2855</f>
        <v/>
      </c>
    </row>
    <row r="2856">
      <c r="A2856" s="7" t="inlineStr">
        <is>
          <t>ORD-00710</t>
        </is>
      </c>
      <c r="B2856" s="8" t="n">
        <v>45542</v>
      </c>
      <c r="C2856" s="9" t="n">
        <v>45536</v>
      </c>
      <c r="D2856" s="7" t="n">
        <v>2024</v>
      </c>
      <c r="E2856" s="7" t="inlineStr">
        <is>
          <t>West</t>
        </is>
      </c>
      <c r="F2856" s="7" t="inlineStr">
        <is>
          <t>Office Supplies</t>
        </is>
      </c>
      <c r="G2856" s="7" t="inlineStr">
        <is>
          <t>Pens</t>
        </is>
      </c>
      <c r="H2856" s="7" t="inlineStr">
        <is>
          <t>Consumer</t>
        </is>
      </c>
      <c r="I2856" s="7" t="n">
        <v>15</v>
      </c>
      <c r="J2856" s="10" t="n">
        <v>11.92</v>
      </c>
      <c r="K2856" s="11" t="n">
        <v>0.2</v>
      </c>
      <c r="L2856" s="10">
        <f>I2856*J2856*(1-K2856)</f>
        <v/>
      </c>
      <c r="M2856" s="10" t="n">
        <v>81</v>
      </c>
      <c r="N2856" s="10">
        <f>L2856-M2856</f>
        <v/>
      </c>
    </row>
    <row r="2857">
      <c r="A2857" s="7" t="inlineStr">
        <is>
          <t>ORD-01749</t>
        </is>
      </c>
      <c r="B2857" s="8" t="n">
        <v>45542</v>
      </c>
      <c r="C2857" s="9" t="n">
        <v>45536</v>
      </c>
      <c r="D2857" s="7" t="n">
        <v>2024</v>
      </c>
      <c r="E2857" s="7" t="inlineStr">
        <is>
          <t>West</t>
        </is>
      </c>
      <c r="F2857" s="7" t="inlineStr">
        <is>
          <t>Furniture</t>
        </is>
      </c>
      <c r="G2857" s="7" t="inlineStr">
        <is>
          <t>Office Chair</t>
        </is>
      </c>
      <c r="H2857" s="7" t="inlineStr">
        <is>
          <t>Consumer</t>
        </is>
      </c>
      <c r="I2857" s="7" t="n">
        <v>2</v>
      </c>
      <c r="J2857" s="10" t="n">
        <v>226.16</v>
      </c>
      <c r="K2857" s="11" t="n">
        <v>0.3</v>
      </c>
      <c r="L2857" s="10">
        <f>I2857*J2857*(1-K2857)</f>
        <v/>
      </c>
      <c r="M2857" s="10" t="n">
        <v>360.8</v>
      </c>
      <c r="N2857" s="10">
        <f>L2857-M2857</f>
        <v/>
      </c>
    </row>
    <row r="2858">
      <c r="A2858" s="7" t="inlineStr">
        <is>
          <t>ORD-01228</t>
        </is>
      </c>
      <c r="B2858" s="8" t="n">
        <v>45542</v>
      </c>
      <c r="C2858" s="9" t="n">
        <v>45536</v>
      </c>
      <c r="D2858" s="7" t="n">
        <v>2024</v>
      </c>
      <c r="E2858" s="7" t="inlineStr">
        <is>
          <t>West</t>
        </is>
      </c>
      <c r="F2858" s="7" t="inlineStr">
        <is>
          <t>Furniture</t>
        </is>
      </c>
      <c r="G2858" s="7" t="inlineStr">
        <is>
          <t>Desk</t>
        </is>
      </c>
      <c r="H2858" s="7" t="inlineStr">
        <is>
          <t>Corporate</t>
        </is>
      </c>
      <c r="I2858" s="7" t="n">
        <v>2</v>
      </c>
      <c r="J2858" s="10" t="n">
        <v>428.42</v>
      </c>
      <c r="K2858" s="11" t="n">
        <v>0</v>
      </c>
      <c r="L2858" s="10">
        <f>I2858*J2858*(1-K2858)</f>
        <v/>
      </c>
      <c r="M2858" s="10" t="n">
        <v>765</v>
      </c>
      <c r="N2858" s="10">
        <f>L2858-M2858</f>
        <v/>
      </c>
    </row>
    <row r="2859">
      <c r="A2859" s="7" t="inlineStr">
        <is>
          <t>ORD-01923</t>
        </is>
      </c>
      <c r="B2859" s="8" t="n">
        <v>45543</v>
      </c>
      <c r="C2859" s="9" t="n">
        <v>45536</v>
      </c>
      <c r="D2859" s="7" t="n">
        <v>2024</v>
      </c>
      <c r="E2859" s="7" t="inlineStr">
        <is>
          <t>South</t>
        </is>
      </c>
      <c r="F2859" s="7" t="inlineStr">
        <is>
          <t>Office Supplies</t>
        </is>
      </c>
      <c r="G2859" s="7" t="inlineStr">
        <is>
          <t>Pens</t>
        </is>
      </c>
      <c r="H2859" s="7" t="inlineStr">
        <is>
          <t>Consumer</t>
        </is>
      </c>
      <c r="I2859" s="7" t="n">
        <v>9</v>
      </c>
      <c r="J2859" s="10" t="n">
        <v>11.89</v>
      </c>
      <c r="K2859" s="11" t="n">
        <v>0.05</v>
      </c>
      <c r="L2859" s="10">
        <f>I2859*J2859*(1-K2859)</f>
        <v/>
      </c>
      <c r="M2859" s="10" t="n">
        <v>48.6</v>
      </c>
      <c r="N2859" s="10">
        <f>L2859-M2859</f>
        <v/>
      </c>
    </row>
    <row r="2860">
      <c r="A2860" s="7" t="inlineStr">
        <is>
          <t>ORD-03264</t>
        </is>
      </c>
      <c r="B2860" s="8" t="n">
        <v>45543</v>
      </c>
      <c r="C2860" s="9" t="n">
        <v>45536</v>
      </c>
      <c r="D2860" s="7" t="n">
        <v>2024</v>
      </c>
      <c r="E2860" s="7" t="inlineStr">
        <is>
          <t>North</t>
        </is>
      </c>
      <c r="F2860" s="7" t="inlineStr">
        <is>
          <t>Technology</t>
        </is>
      </c>
      <c r="G2860" s="7" t="inlineStr">
        <is>
          <t>Headphones</t>
        </is>
      </c>
      <c r="H2860" s="7" t="inlineStr">
        <is>
          <t>Consumer</t>
        </is>
      </c>
      <c r="I2860" s="7" t="n">
        <v>3</v>
      </c>
      <c r="J2860" s="10" t="n">
        <v>115.89</v>
      </c>
      <c r="K2860" s="11" t="n">
        <v>0</v>
      </c>
      <c r="L2860" s="10">
        <f>I2860*J2860*(1-K2860)</f>
        <v/>
      </c>
      <c r="M2860" s="10" t="n">
        <v>216</v>
      </c>
      <c r="N2860" s="10">
        <f>L2860-M2860</f>
        <v/>
      </c>
    </row>
    <row r="2861">
      <c r="A2861" s="7" t="inlineStr">
        <is>
          <t>ORD-01569</t>
        </is>
      </c>
      <c r="B2861" s="8" t="n">
        <v>45543</v>
      </c>
      <c r="C2861" s="9" t="n">
        <v>45536</v>
      </c>
      <c r="D2861" s="7" t="n">
        <v>2024</v>
      </c>
      <c r="E2861" s="7" t="inlineStr">
        <is>
          <t>North</t>
        </is>
      </c>
      <c r="F2861" s="7" t="inlineStr">
        <is>
          <t>Office Supplies</t>
        </is>
      </c>
      <c r="G2861" s="7" t="inlineStr">
        <is>
          <t>Stapler</t>
        </is>
      </c>
      <c r="H2861" s="7" t="inlineStr">
        <is>
          <t>Consumer</t>
        </is>
      </c>
      <c r="I2861" s="7" t="n">
        <v>7</v>
      </c>
      <c r="J2861" s="10" t="n">
        <v>14.64</v>
      </c>
      <c r="K2861" s="11" t="n">
        <v>0</v>
      </c>
      <c r="L2861" s="10">
        <f>I2861*J2861*(1-K2861)</f>
        <v/>
      </c>
      <c r="M2861" s="10" t="n">
        <v>52.5</v>
      </c>
      <c r="N2861" s="10">
        <f>L2861-M2861</f>
        <v/>
      </c>
    </row>
    <row r="2862">
      <c r="A2862" s="7" t="inlineStr">
        <is>
          <t>ORD-00601</t>
        </is>
      </c>
      <c r="B2862" s="8" t="n">
        <v>45543</v>
      </c>
      <c r="C2862" s="9" t="n">
        <v>45536</v>
      </c>
      <c r="D2862" s="7" t="n">
        <v>2024</v>
      </c>
      <c r="E2862" s="7" t="inlineStr">
        <is>
          <t>West</t>
        </is>
      </c>
      <c r="F2862" s="7" t="inlineStr">
        <is>
          <t>Office Supplies</t>
        </is>
      </c>
      <c r="G2862" s="7" t="inlineStr">
        <is>
          <t>Printer Ink</t>
        </is>
      </c>
      <c r="H2862" s="7" t="inlineStr">
        <is>
          <t>Corporate</t>
        </is>
      </c>
      <c r="I2862" s="7" t="n">
        <v>5</v>
      </c>
      <c r="J2862" s="10" t="n">
        <v>61.61</v>
      </c>
      <c r="K2862" s="11" t="n">
        <v>0</v>
      </c>
      <c r="L2862" s="10">
        <f>I2862*J2862*(1-K2862)</f>
        <v/>
      </c>
      <c r="M2862" s="10" t="n">
        <v>180</v>
      </c>
      <c r="N2862" s="10">
        <f>L2862-M2862</f>
        <v/>
      </c>
    </row>
    <row r="2863">
      <c r="A2863" s="7" t="inlineStr">
        <is>
          <t>ORD-05876</t>
        </is>
      </c>
      <c r="B2863" s="8" t="n">
        <v>45544</v>
      </c>
      <c r="C2863" s="9" t="n">
        <v>45536</v>
      </c>
      <c r="D2863" s="7" t="n">
        <v>2024</v>
      </c>
      <c r="E2863" s="7" t="inlineStr">
        <is>
          <t>East</t>
        </is>
      </c>
      <c r="F2863" s="7" t="inlineStr">
        <is>
          <t>Office Supplies</t>
        </is>
      </c>
      <c r="G2863" s="7" t="inlineStr">
        <is>
          <t>Printer Ink</t>
        </is>
      </c>
      <c r="H2863" s="7" t="inlineStr">
        <is>
          <t>Consumer</t>
        </is>
      </c>
      <c r="I2863" s="7" t="n">
        <v>11</v>
      </c>
      <c r="J2863" s="10" t="n">
        <v>57.42</v>
      </c>
      <c r="K2863" s="11" t="n">
        <v>0</v>
      </c>
      <c r="L2863" s="10">
        <f>I2863*J2863*(1-K2863)</f>
        <v/>
      </c>
      <c r="M2863" s="10" t="n">
        <v>396</v>
      </c>
      <c r="N2863" s="10">
        <f>L2863-M2863</f>
        <v/>
      </c>
    </row>
    <row r="2864">
      <c r="A2864" s="7" t="inlineStr">
        <is>
          <t>ORD-01480</t>
        </is>
      </c>
      <c r="B2864" s="8" t="n">
        <v>45544</v>
      </c>
      <c r="C2864" s="9" t="n">
        <v>45536</v>
      </c>
      <c r="D2864" s="7" t="n">
        <v>2024</v>
      </c>
      <c r="E2864" s="7" t="inlineStr">
        <is>
          <t>North</t>
        </is>
      </c>
      <c r="F2864" s="7" t="inlineStr">
        <is>
          <t>Office Supplies</t>
        </is>
      </c>
      <c r="G2864" s="7" t="inlineStr">
        <is>
          <t>Paper</t>
        </is>
      </c>
      <c r="H2864" s="7" t="inlineStr">
        <is>
          <t>Home Office</t>
        </is>
      </c>
      <c r="I2864" s="7" t="n">
        <v>6</v>
      </c>
      <c r="J2864" s="10" t="n">
        <v>24.34</v>
      </c>
      <c r="K2864" s="11" t="n">
        <v>0.1</v>
      </c>
      <c r="L2864" s="10">
        <f>I2864*J2864*(1-K2864)</f>
        <v/>
      </c>
      <c r="M2864" s="10" t="n">
        <v>75</v>
      </c>
      <c r="N2864" s="10">
        <f>L2864-M2864</f>
        <v/>
      </c>
    </row>
    <row r="2865">
      <c r="A2865" s="7" t="inlineStr">
        <is>
          <t>ORD-05134</t>
        </is>
      </c>
      <c r="B2865" s="8" t="n">
        <v>45544</v>
      </c>
      <c r="C2865" s="9" t="n">
        <v>45536</v>
      </c>
      <c r="D2865" s="7" t="n">
        <v>2024</v>
      </c>
      <c r="E2865" s="7" t="inlineStr">
        <is>
          <t>North</t>
        </is>
      </c>
      <c r="F2865" s="7" t="inlineStr">
        <is>
          <t>Office Supplies</t>
        </is>
      </c>
      <c r="G2865" s="7" t="inlineStr">
        <is>
          <t>Binder</t>
        </is>
      </c>
      <c r="H2865" s="7" t="inlineStr">
        <is>
          <t>Consumer</t>
        </is>
      </c>
      <c r="I2865" s="7" t="n">
        <v>3</v>
      </c>
      <c r="J2865" s="10" t="n">
        <v>8.15</v>
      </c>
      <c r="K2865" s="11" t="n">
        <v>0</v>
      </c>
      <c r="L2865" s="10">
        <f>I2865*J2865*(1-K2865)</f>
        <v/>
      </c>
      <c r="M2865" s="10" t="n">
        <v>9.6</v>
      </c>
      <c r="N2865" s="10">
        <f>L2865-M2865</f>
        <v/>
      </c>
    </row>
    <row r="2866">
      <c r="A2866" s="7" t="inlineStr">
        <is>
          <t>ORD-01528</t>
        </is>
      </c>
      <c r="B2866" s="8" t="n">
        <v>45544</v>
      </c>
      <c r="C2866" s="9" t="n">
        <v>45536</v>
      </c>
      <c r="D2866" s="7" t="n">
        <v>2024</v>
      </c>
      <c r="E2866" s="7" t="inlineStr">
        <is>
          <t>South</t>
        </is>
      </c>
      <c r="F2866" s="7" t="inlineStr">
        <is>
          <t>Office Supplies</t>
        </is>
      </c>
      <c r="G2866" s="7" t="inlineStr">
        <is>
          <t>Binder</t>
        </is>
      </c>
      <c r="H2866" s="7" t="inlineStr">
        <is>
          <t>Consumer</t>
        </is>
      </c>
      <c r="I2866" s="7" t="n">
        <v>13</v>
      </c>
      <c r="J2866" s="10" t="n">
        <v>8.34</v>
      </c>
      <c r="K2866" s="11" t="n">
        <v>0.1</v>
      </c>
      <c r="L2866" s="10">
        <f>I2866*J2866*(1-K2866)</f>
        <v/>
      </c>
      <c r="M2866" s="10" t="n">
        <v>41.6</v>
      </c>
      <c r="N2866" s="10">
        <f>L2866-M2866</f>
        <v/>
      </c>
    </row>
    <row r="2867">
      <c r="A2867" s="7" t="inlineStr">
        <is>
          <t>ORD-02363</t>
        </is>
      </c>
      <c r="B2867" s="8" t="n">
        <v>45544</v>
      </c>
      <c r="C2867" s="9" t="n">
        <v>45536</v>
      </c>
      <c r="D2867" s="7" t="n">
        <v>2024</v>
      </c>
      <c r="E2867" s="7" t="inlineStr">
        <is>
          <t>East</t>
        </is>
      </c>
      <c r="F2867" s="7" t="inlineStr">
        <is>
          <t>Office Supplies</t>
        </is>
      </c>
      <c r="G2867" s="7" t="inlineStr">
        <is>
          <t>Printer Ink</t>
        </is>
      </c>
      <c r="H2867" s="7" t="inlineStr">
        <is>
          <t>Home Office</t>
        </is>
      </c>
      <c r="I2867" s="7" t="n">
        <v>7</v>
      </c>
      <c r="J2867" s="10" t="n">
        <v>59.31</v>
      </c>
      <c r="K2867" s="11" t="n">
        <v>0</v>
      </c>
      <c r="L2867" s="10">
        <f>I2867*J2867*(1-K2867)</f>
        <v/>
      </c>
      <c r="M2867" s="10" t="n">
        <v>252</v>
      </c>
      <c r="N2867" s="10">
        <f>L2867-M2867</f>
        <v/>
      </c>
    </row>
    <row r="2868">
      <c r="A2868" s="7" t="inlineStr">
        <is>
          <t>ORD-00311</t>
        </is>
      </c>
      <c r="B2868" s="8" t="n">
        <v>45544</v>
      </c>
      <c r="C2868" s="9" t="n">
        <v>45536</v>
      </c>
      <c r="D2868" s="7" t="n">
        <v>2024</v>
      </c>
      <c r="E2868" s="7" t="inlineStr">
        <is>
          <t>West</t>
        </is>
      </c>
      <c r="F2868" s="7" t="inlineStr">
        <is>
          <t>Furniture</t>
        </is>
      </c>
      <c r="G2868" s="7" t="inlineStr">
        <is>
          <t>Office Chair</t>
        </is>
      </c>
      <c r="H2868" s="7" t="inlineStr">
        <is>
          <t>Home Office</t>
        </is>
      </c>
      <c r="I2868" s="7" t="n">
        <v>3</v>
      </c>
      <c r="J2868" s="10" t="n">
        <v>218.06</v>
      </c>
      <c r="K2868" s="11" t="n">
        <v>0.1</v>
      </c>
      <c r="L2868" s="10">
        <f>I2868*J2868*(1-K2868)</f>
        <v/>
      </c>
      <c r="M2868" s="10" t="n">
        <v>541.2</v>
      </c>
      <c r="N2868" s="10">
        <f>L2868-M2868</f>
        <v/>
      </c>
    </row>
    <row r="2869">
      <c r="A2869" s="7" t="inlineStr">
        <is>
          <t>ORD-04698</t>
        </is>
      </c>
      <c r="B2869" s="8" t="n">
        <v>45544</v>
      </c>
      <c r="C2869" s="9" t="n">
        <v>45536</v>
      </c>
      <c r="D2869" s="7" t="n">
        <v>2024</v>
      </c>
      <c r="E2869" s="7" t="inlineStr">
        <is>
          <t>South</t>
        </is>
      </c>
      <c r="F2869" s="7" t="inlineStr">
        <is>
          <t>Technology</t>
        </is>
      </c>
      <c r="G2869" s="7" t="inlineStr">
        <is>
          <t>Laptop</t>
        </is>
      </c>
      <c r="H2869" s="7" t="inlineStr">
        <is>
          <t>Consumer</t>
        </is>
      </c>
      <c r="I2869" s="7" t="n">
        <v>1</v>
      </c>
      <c r="J2869" s="10" t="n">
        <v>941.3200000000001</v>
      </c>
      <c r="K2869" s="11" t="n">
        <v>0.2</v>
      </c>
      <c r="L2869" s="10">
        <f>I2869*J2869*(1-K2869)</f>
        <v/>
      </c>
      <c r="M2869" s="10" t="n">
        <v>702</v>
      </c>
      <c r="N2869" s="10">
        <f>L2869-M2869</f>
        <v/>
      </c>
    </row>
    <row r="2870">
      <c r="A2870" s="7" t="inlineStr">
        <is>
          <t>ORD-04272</t>
        </is>
      </c>
      <c r="B2870" s="8" t="n">
        <v>45544</v>
      </c>
      <c r="C2870" s="9" t="n">
        <v>45536</v>
      </c>
      <c r="D2870" s="7" t="n">
        <v>2024</v>
      </c>
      <c r="E2870" s="7" t="inlineStr">
        <is>
          <t>North</t>
        </is>
      </c>
      <c r="F2870" s="7" t="inlineStr">
        <is>
          <t>Technology</t>
        </is>
      </c>
      <c r="G2870" s="7" t="inlineStr">
        <is>
          <t>Keyboard</t>
        </is>
      </c>
      <c r="H2870" s="7" t="inlineStr">
        <is>
          <t>Home Office</t>
        </is>
      </c>
      <c r="I2870" s="7" t="n">
        <v>1</v>
      </c>
      <c r="J2870" s="10" t="n">
        <v>45.15</v>
      </c>
      <c r="K2870" s="11" t="n">
        <v>0.05</v>
      </c>
      <c r="L2870" s="10">
        <f>I2870*J2870*(1-K2870)</f>
        <v/>
      </c>
      <c r="M2870" s="10" t="n">
        <v>24.75</v>
      </c>
      <c r="N2870" s="10">
        <f>L2870-M2870</f>
        <v/>
      </c>
    </row>
    <row r="2871">
      <c r="A2871" s="7" t="inlineStr">
        <is>
          <t>ORD-05251</t>
        </is>
      </c>
      <c r="B2871" s="8" t="n">
        <v>45545</v>
      </c>
      <c r="C2871" s="9" t="n">
        <v>45536</v>
      </c>
      <c r="D2871" s="7" t="n">
        <v>2024</v>
      </c>
      <c r="E2871" s="7" t="inlineStr">
        <is>
          <t>East</t>
        </is>
      </c>
      <c r="F2871" s="7" t="inlineStr">
        <is>
          <t>Furniture</t>
        </is>
      </c>
      <c r="G2871" s="7" t="inlineStr">
        <is>
          <t>Office Chair</t>
        </is>
      </c>
      <c r="H2871" s="7" t="inlineStr">
        <is>
          <t>Corporate</t>
        </is>
      </c>
      <c r="I2871" s="7" t="n">
        <v>3</v>
      </c>
      <c r="J2871" s="10" t="n">
        <v>227.78</v>
      </c>
      <c r="K2871" s="11" t="n">
        <v>0</v>
      </c>
      <c r="L2871" s="10">
        <f>I2871*J2871*(1-K2871)</f>
        <v/>
      </c>
      <c r="M2871" s="10" t="n">
        <v>541.2</v>
      </c>
      <c r="N2871" s="10">
        <f>L2871-M2871</f>
        <v/>
      </c>
    </row>
    <row r="2872">
      <c r="A2872" s="7" t="inlineStr">
        <is>
          <t>ORD-03299</t>
        </is>
      </c>
      <c r="B2872" s="8" t="n">
        <v>45545</v>
      </c>
      <c r="C2872" s="9" t="n">
        <v>45536</v>
      </c>
      <c r="D2872" s="7" t="n">
        <v>2024</v>
      </c>
      <c r="E2872" s="7" t="inlineStr">
        <is>
          <t>South</t>
        </is>
      </c>
      <c r="F2872" s="7" t="inlineStr">
        <is>
          <t>Office Supplies</t>
        </is>
      </c>
      <c r="G2872" s="7" t="inlineStr">
        <is>
          <t>Binder</t>
        </is>
      </c>
      <c r="H2872" s="7" t="inlineStr">
        <is>
          <t>Consumer</t>
        </is>
      </c>
      <c r="I2872" s="7" t="n">
        <v>10</v>
      </c>
      <c r="J2872" s="10" t="n">
        <v>7.78</v>
      </c>
      <c r="K2872" s="11" t="n">
        <v>0.2</v>
      </c>
      <c r="L2872" s="10">
        <f>I2872*J2872*(1-K2872)</f>
        <v/>
      </c>
      <c r="M2872" s="10" t="n">
        <v>32</v>
      </c>
      <c r="N2872" s="10">
        <f>L2872-M2872</f>
        <v/>
      </c>
    </row>
    <row r="2873">
      <c r="A2873" s="7" t="inlineStr">
        <is>
          <t>ORD-01631</t>
        </is>
      </c>
      <c r="B2873" s="8" t="n">
        <v>45545</v>
      </c>
      <c r="C2873" s="9" t="n">
        <v>45536</v>
      </c>
      <c r="D2873" s="7" t="n">
        <v>2024</v>
      </c>
      <c r="E2873" s="7" t="inlineStr">
        <is>
          <t>East</t>
        </is>
      </c>
      <c r="F2873" s="7" t="inlineStr">
        <is>
          <t>Office Supplies</t>
        </is>
      </c>
      <c r="G2873" s="7" t="inlineStr">
        <is>
          <t>Pens</t>
        </is>
      </c>
      <c r="H2873" s="7" t="inlineStr">
        <is>
          <t>Consumer</t>
        </is>
      </c>
      <c r="I2873" s="7" t="n">
        <v>13</v>
      </c>
      <c r="J2873" s="10" t="n">
        <v>12.27</v>
      </c>
      <c r="K2873" s="11" t="n">
        <v>0</v>
      </c>
      <c r="L2873" s="10">
        <f>I2873*J2873*(1-K2873)</f>
        <v/>
      </c>
      <c r="M2873" s="10" t="n">
        <v>70.2</v>
      </c>
      <c r="N2873" s="10">
        <f>L2873-M2873</f>
        <v/>
      </c>
    </row>
    <row r="2874">
      <c r="A2874" s="7" t="inlineStr">
        <is>
          <t>ORD-04798</t>
        </is>
      </c>
      <c r="B2874" s="8" t="n">
        <v>45545</v>
      </c>
      <c r="C2874" s="9" t="n">
        <v>45536</v>
      </c>
      <c r="D2874" s="7" t="n">
        <v>2024</v>
      </c>
      <c r="E2874" s="7" t="inlineStr">
        <is>
          <t>West</t>
        </is>
      </c>
      <c r="F2874" s="7" t="inlineStr">
        <is>
          <t>Office Supplies</t>
        </is>
      </c>
      <c r="G2874" s="7" t="inlineStr">
        <is>
          <t>Pens</t>
        </is>
      </c>
      <c r="H2874" s="7" t="inlineStr">
        <is>
          <t>Consumer</t>
        </is>
      </c>
      <c r="I2874" s="7" t="n">
        <v>12</v>
      </c>
      <c r="J2874" s="10" t="n">
        <v>11.77</v>
      </c>
      <c r="K2874" s="11" t="n">
        <v>0</v>
      </c>
      <c r="L2874" s="10">
        <f>I2874*J2874*(1-K2874)</f>
        <v/>
      </c>
      <c r="M2874" s="10" t="n">
        <v>64.8</v>
      </c>
      <c r="N2874" s="10">
        <f>L2874-M2874</f>
        <v/>
      </c>
    </row>
    <row r="2875">
      <c r="A2875" s="7" t="inlineStr">
        <is>
          <t>ORD-04497</t>
        </is>
      </c>
      <c r="B2875" s="8" t="n">
        <v>45545</v>
      </c>
      <c r="C2875" s="9" t="n">
        <v>45536</v>
      </c>
      <c r="D2875" s="7" t="n">
        <v>2024</v>
      </c>
      <c r="E2875" s="7" t="inlineStr">
        <is>
          <t>East</t>
        </is>
      </c>
      <c r="F2875" s="7" t="inlineStr">
        <is>
          <t>Office Supplies</t>
        </is>
      </c>
      <c r="G2875" s="7" t="inlineStr">
        <is>
          <t>Paper</t>
        </is>
      </c>
      <c r="H2875" s="7" t="inlineStr">
        <is>
          <t>Corporate</t>
        </is>
      </c>
      <c r="I2875" s="7" t="n">
        <v>15</v>
      </c>
      <c r="J2875" s="10" t="n">
        <v>24.46</v>
      </c>
      <c r="K2875" s="11" t="n">
        <v>0</v>
      </c>
      <c r="L2875" s="10">
        <f>I2875*J2875*(1-K2875)</f>
        <v/>
      </c>
      <c r="M2875" s="10" t="n">
        <v>187.5</v>
      </c>
      <c r="N2875" s="10">
        <f>L2875-M2875</f>
        <v/>
      </c>
    </row>
    <row r="2876">
      <c r="A2876" s="7" t="inlineStr">
        <is>
          <t>ORD-00384</t>
        </is>
      </c>
      <c r="B2876" s="8" t="n">
        <v>45545</v>
      </c>
      <c r="C2876" s="9" t="n">
        <v>45536</v>
      </c>
      <c r="D2876" s="7" t="n">
        <v>2024</v>
      </c>
      <c r="E2876" s="7" t="inlineStr">
        <is>
          <t>South</t>
        </is>
      </c>
      <c r="F2876" s="7" t="inlineStr">
        <is>
          <t>Office Supplies</t>
        </is>
      </c>
      <c r="G2876" s="7" t="inlineStr">
        <is>
          <t>Binder</t>
        </is>
      </c>
      <c r="H2876" s="7" t="inlineStr">
        <is>
          <t>Consumer</t>
        </is>
      </c>
      <c r="I2876" s="7" t="n">
        <v>5</v>
      </c>
      <c r="J2876" s="10" t="n">
        <v>7.7</v>
      </c>
      <c r="K2876" s="11" t="n">
        <v>0.3</v>
      </c>
      <c r="L2876" s="10">
        <f>I2876*J2876*(1-K2876)</f>
        <v/>
      </c>
      <c r="M2876" s="10" t="n">
        <v>16</v>
      </c>
      <c r="N2876" s="10">
        <f>L2876-M2876</f>
        <v/>
      </c>
    </row>
    <row r="2877">
      <c r="A2877" s="7" t="inlineStr">
        <is>
          <t>ORD-04128</t>
        </is>
      </c>
      <c r="B2877" s="8" t="n">
        <v>45545</v>
      </c>
      <c r="C2877" s="9" t="n">
        <v>45536</v>
      </c>
      <c r="D2877" s="7" t="n">
        <v>2024</v>
      </c>
      <c r="E2877" s="7" t="inlineStr">
        <is>
          <t>North</t>
        </is>
      </c>
      <c r="F2877" s="7" t="inlineStr">
        <is>
          <t>Furniture</t>
        </is>
      </c>
      <c r="G2877" s="7" t="inlineStr">
        <is>
          <t>Office Chair</t>
        </is>
      </c>
      <c r="H2877" s="7" t="inlineStr">
        <is>
          <t>Consumer</t>
        </is>
      </c>
      <c r="I2877" s="7" t="n">
        <v>2</v>
      </c>
      <c r="J2877" s="10" t="n">
        <v>229.02</v>
      </c>
      <c r="K2877" s="11" t="n">
        <v>0.3</v>
      </c>
      <c r="L2877" s="10">
        <f>I2877*J2877*(1-K2877)</f>
        <v/>
      </c>
      <c r="M2877" s="10" t="n">
        <v>360.8</v>
      </c>
      <c r="N2877" s="10">
        <f>L2877-M2877</f>
        <v/>
      </c>
    </row>
    <row r="2878">
      <c r="A2878" s="7" t="inlineStr">
        <is>
          <t>ORD-03547</t>
        </is>
      </c>
      <c r="B2878" s="8" t="n">
        <v>45546</v>
      </c>
      <c r="C2878" s="9" t="n">
        <v>45536</v>
      </c>
      <c r="D2878" s="7" t="n">
        <v>2024</v>
      </c>
      <c r="E2878" s="7" t="inlineStr">
        <is>
          <t>South</t>
        </is>
      </c>
      <c r="F2878" s="7" t="inlineStr">
        <is>
          <t>Office Supplies</t>
        </is>
      </c>
      <c r="G2878" s="7" t="inlineStr">
        <is>
          <t>Stapler</t>
        </is>
      </c>
      <c r="H2878" s="7" t="inlineStr">
        <is>
          <t>Corporate</t>
        </is>
      </c>
      <c r="I2878" s="7" t="n">
        <v>4</v>
      </c>
      <c r="J2878" s="10" t="n">
        <v>15.19</v>
      </c>
      <c r="K2878" s="11" t="n">
        <v>0.1</v>
      </c>
      <c r="L2878" s="10">
        <f>I2878*J2878*(1-K2878)</f>
        <v/>
      </c>
      <c r="M2878" s="10" t="n">
        <v>30</v>
      </c>
      <c r="N2878" s="10">
        <f>L2878-M2878</f>
        <v/>
      </c>
    </row>
    <row r="2879">
      <c r="A2879" s="7" t="inlineStr">
        <is>
          <t>ORD-04029</t>
        </is>
      </c>
      <c r="B2879" s="8" t="n">
        <v>45546</v>
      </c>
      <c r="C2879" s="9" t="n">
        <v>45536</v>
      </c>
      <c r="D2879" s="7" t="n">
        <v>2024</v>
      </c>
      <c r="E2879" s="7" t="inlineStr">
        <is>
          <t>North</t>
        </is>
      </c>
      <c r="F2879" s="7" t="inlineStr">
        <is>
          <t>Office Supplies</t>
        </is>
      </c>
      <c r="G2879" s="7" t="inlineStr">
        <is>
          <t>Pens</t>
        </is>
      </c>
      <c r="H2879" s="7" t="inlineStr">
        <is>
          <t>Corporate</t>
        </is>
      </c>
      <c r="I2879" s="7" t="n">
        <v>11</v>
      </c>
      <c r="J2879" s="10" t="n">
        <v>12.28</v>
      </c>
      <c r="K2879" s="11" t="n">
        <v>0</v>
      </c>
      <c r="L2879" s="10">
        <f>I2879*J2879*(1-K2879)</f>
        <v/>
      </c>
      <c r="M2879" s="10" t="n">
        <v>59.4</v>
      </c>
      <c r="N2879" s="10">
        <f>L2879-M2879</f>
        <v/>
      </c>
    </row>
    <row r="2880">
      <c r="A2880" s="7" t="inlineStr">
        <is>
          <t>ORD-02056</t>
        </is>
      </c>
      <c r="B2880" s="8" t="n">
        <v>45546</v>
      </c>
      <c r="C2880" s="9" t="n">
        <v>45536</v>
      </c>
      <c r="D2880" s="7" t="n">
        <v>2024</v>
      </c>
      <c r="E2880" s="7" t="inlineStr">
        <is>
          <t>East</t>
        </is>
      </c>
      <c r="F2880" s="7" t="inlineStr">
        <is>
          <t>Technology</t>
        </is>
      </c>
      <c r="G2880" s="7" t="inlineStr">
        <is>
          <t>Laptop</t>
        </is>
      </c>
      <c r="H2880" s="7" t="inlineStr">
        <is>
          <t>Consumer</t>
        </is>
      </c>
      <c r="I2880" s="7" t="n">
        <v>3</v>
      </c>
      <c r="J2880" s="10" t="n">
        <v>891.45</v>
      </c>
      <c r="K2880" s="11" t="n">
        <v>0</v>
      </c>
      <c r="L2880" s="10">
        <f>I2880*J2880*(1-K2880)</f>
        <v/>
      </c>
      <c r="M2880" s="10" t="n">
        <v>2106</v>
      </c>
      <c r="N2880" s="10">
        <f>L2880-M2880</f>
        <v/>
      </c>
    </row>
    <row r="2881">
      <c r="A2881" s="7" t="inlineStr">
        <is>
          <t>ORD-00754</t>
        </is>
      </c>
      <c r="B2881" s="8" t="n">
        <v>45546</v>
      </c>
      <c r="C2881" s="9" t="n">
        <v>45536</v>
      </c>
      <c r="D2881" s="7" t="n">
        <v>2024</v>
      </c>
      <c r="E2881" s="7" t="inlineStr">
        <is>
          <t>North</t>
        </is>
      </c>
      <c r="F2881" s="7" t="inlineStr">
        <is>
          <t>Technology</t>
        </is>
      </c>
      <c r="G2881" s="7" t="inlineStr">
        <is>
          <t>Laptop</t>
        </is>
      </c>
      <c r="H2881" s="7" t="inlineStr">
        <is>
          <t>Consumer</t>
        </is>
      </c>
      <c r="I2881" s="7" t="n">
        <v>1</v>
      </c>
      <c r="J2881" s="10" t="n">
        <v>936.37</v>
      </c>
      <c r="K2881" s="11" t="n">
        <v>0</v>
      </c>
      <c r="L2881" s="10">
        <f>I2881*J2881*(1-K2881)</f>
        <v/>
      </c>
      <c r="M2881" s="10" t="n">
        <v>702</v>
      </c>
      <c r="N2881" s="10">
        <f>L2881-M2881</f>
        <v/>
      </c>
    </row>
    <row r="2882">
      <c r="A2882" s="7" t="inlineStr">
        <is>
          <t>ORD-01536</t>
        </is>
      </c>
      <c r="B2882" s="8" t="n">
        <v>45547</v>
      </c>
      <c r="C2882" s="9" t="n">
        <v>45536</v>
      </c>
      <c r="D2882" s="7" t="n">
        <v>2024</v>
      </c>
      <c r="E2882" s="7" t="inlineStr">
        <is>
          <t>North</t>
        </is>
      </c>
      <c r="F2882" s="7" t="inlineStr">
        <is>
          <t>Office Supplies</t>
        </is>
      </c>
      <c r="G2882" s="7" t="inlineStr">
        <is>
          <t>Pens</t>
        </is>
      </c>
      <c r="H2882" s="7" t="inlineStr">
        <is>
          <t>Consumer</t>
        </is>
      </c>
      <c r="I2882" s="7" t="n">
        <v>15</v>
      </c>
      <c r="J2882" s="10" t="n">
        <v>11.47</v>
      </c>
      <c r="K2882" s="11" t="n">
        <v>0</v>
      </c>
      <c r="L2882" s="10">
        <f>I2882*J2882*(1-K2882)</f>
        <v/>
      </c>
      <c r="M2882" s="10" t="n">
        <v>81</v>
      </c>
      <c r="N2882" s="10">
        <f>L2882-M2882</f>
        <v/>
      </c>
    </row>
    <row r="2883">
      <c r="A2883" s="7" t="inlineStr">
        <is>
          <t>ORD-02445</t>
        </is>
      </c>
      <c r="B2883" s="8" t="n">
        <v>45547</v>
      </c>
      <c r="C2883" s="9" t="n">
        <v>45536</v>
      </c>
      <c r="D2883" s="7" t="n">
        <v>2024</v>
      </c>
      <c r="E2883" s="7" t="inlineStr">
        <is>
          <t>North</t>
        </is>
      </c>
      <c r="F2883" s="7" t="inlineStr">
        <is>
          <t>Technology</t>
        </is>
      </c>
      <c r="G2883" s="7" t="inlineStr">
        <is>
          <t>Headphones</t>
        </is>
      </c>
      <c r="H2883" s="7" t="inlineStr">
        <is>
          <t>Corporate</t>
        </is>
      </c>
      <c r="I2883" s="7" t="n">
        <v>2</v>
      </c>
      <c r="J2883" s="10" t="n">
        <v>120.01</v>
      </c>
      <c r="K2883" s="11" t="n">
        <v>0</v>
      </c>
      <c r="L2883" s="10">
        <f>I2883*J2883*(1-K2883)</f>
        <v/>
      </c>
      <c r="M2883" s="10" t="n">
        <v>144</v>
      </c>
      <c r="N2883" s="10">
        <f>L2883-M2883</f>
        <v/>
      </c>
    </row>
    <row r="2884">
      <c r="A2884" s="7" t="inlineStr">
        <is>
          <t>ORD-01089</t>
        </is>
      </c>
      <c r="B2884" s="8" t="n">
        <v>45547</v>
      </c>
      <c r="C2884" s="9" t="n">
        <v>45536</v>
      </c>
      <c r="D2884" s="7" t="n">
        <v>2024</v>
      </c>
      <c r="E2884" s="7" t="inlineStr">
        <is>
          <t>West</t>
        </is>
      </c>
      <c r="F2884" s="7" t="inlineStr">
        <is>
          <t>Furniture</t>
        </is>
      </c>
      <c r="G2884" s="7" t="inlineStr">
        <is>
          <t>Office Chair</t>
        </is>
      </c>
      <c r="H2884" s="7" t="inlineStr">
        <is>
          <t>Home Office</t>
        </is>
      </c>
      <c r="I2884" s="7" t="n">
        <v>3</v>
      </c>
      <c r="J2884" s="10" t="n">
        <v>218.55</v>
      </c>
      <c r="K2884" s="11" t="n">
        <v>0.1</v>
      </c>
      <c r="L2884" s="10">
        <f>I2884*J2884*(1-K2884)</f>
        <v/>
      </c>
      <c r="M2884" s="10" t="n">
        <v>541.2</v>
      </c>
      <c r="N2884" s="10">
        <f>L2884-M2884</f>
        <v/>
      </c>
    </row>
    <row r="2885">
      <c r="A2885" s="7" t="inlineStr">
        <is>
          <t>ORD-04896</t>
        </is>
      </c>
      <c r="B2885" s="8" t="n">
        <v>45547</v>
      </c>
      <c r="C2885" s="9" t="n">
        <v>45536</v>
      </c>
      <c r="D2885" s="7" t="n">
        <v>2024</v>
      </c>
      <c r="E2885" s="7" t="inlineStr">
        <is>
          <t>North</t>
        </is>
      </c>
      <c r="F2885" s="7" t="inlineStr">
        <is>
          <t>Furniture</t>
        </is>
      </c>
      <c r="G2885" s="7" t="inlineStr">
        <is>
          <t>Desk</t>
        </is>
      </c>
      <c r="H2885" s="7" t="inlineStr">
        <is>
          <t>Corporate</t>
        </is>
      </c>
      <c r="I2885" s="7" t="n">
        <v>3</v>
      </c>
      <c r="J2885" s="10" t="n">
        <v>430.04</v>
      </c>
      <c r="K2885" s="11" t="n">
        <v>0</v>
      </c>
      <c r="L2885" s="10">
        <f>I2885*J2885*(1-K2885)</f>
        <v/>
      </c>
      <c r="M2885" s="10" t="n">
        <v>1147.5</v>
      </c>
      <c r="N2885" s="10">
        <f>L2885-M2885</f>
        <v/>
      </c>
    </row>
    <row r="2886">
      <c r="A2886" s="7" t="inlineStr">
        <is>
          <t>ORD-05225</t>
        </is>
      </c>
      <c r="B2886" s="8" t="n">
        <v>45547</v>
      </c>
      <c r="C2886" s="9" t="n">
        <v>45536</v>
      </c>
      <c r="D2886" s="7" t="n">
        <v>2024</v>
      </c>
      <c r="E2886" s="7" t="inlineStr">
        <is>
          <t>West</t>
        </is>
      </c>
      <c r="F2886" s="7" t="inlineStr">
        <is>
          <t>Technology</t>
        </is>
      </c>
      <c r="G2886" s="7" t="inlineStr">
        <is>
          <t>Laptop</t>
        </is>
      </c>
      <c r="H2886" s="7" t="inlineStr">
        <is>
          <t>Corporate</t>
        </is>
      </c>
      <c r="I2886" s="7" t="n">
        <v>1</v>
      </c>
      <c r="J2886" s="10" t="n">
        <v>897.49</v>
      </c>
      <c r="K2886" s="11" t="n">
        <v>0</v>
      </c>
      <c r="L2886" s="10">
        <f>I2886*J2886*(1-K2886)</f>
        <v/>
      </c>
      <c r="M2886" s="10" t="n">
        <v>702</v>
      </c>
      <c r="N2886" s="10">
        <f>L2886-M2886</f>
        <v/>
      </c>
    </row>
    <row r="2887">
      <c r="A2887" s="7" t="inlineStr">
        <is>
          <t>ORD-03358</t>
        </is>
      </c>
      <c r="B2887" s="8" t="n">
        <v>45547</v>
      </c>
      <c r="C2887" s="9" t="n">
        <v>45536</v>
      </c>
      <c r="D2887" s="7" t="n">
        <v>2024</v>
      </c>
      <c r="E2887" s="7" t="inlineStr">
        <is>
          <t>South</t>
        </is>
      </c>
      <c r="F2887" s="7" t="inlineStr">
        <is>
          <t>Office Supplies</t>
        </is>
      </c>
      <c r="G2887" s="7" t="inlineStr">
        <is>
          <t>Binder</t>
        </is>
      </c>
      <c r="H2887" s="7" t="inlineStr">
        <is>
          <t>Consumer</t>
        </is>
      </c>
      <c r="I2887" s="7" t="n">
        <v>10</v>
      </c>
      <c r="J2887" s="10" t="n">
        <v>7.89</v>
      </c>
      <c r="K2887" s="11" t="n">
        <v>0</v>
      </c>
      <c r="L2887" s="10">
        <f>I2887*J2887*(1-K2887)</f>
        <v/>
      </c>
      <c r="M2887" s="10" t="n">
        <v>32</v>
      </c>
      <c r="N2887" s="10">
        <f>L2887-M2887</f>
        <v/>
      </c>
    </row>
    <row r="2888">
      <c r="A2888" s="7" t="inlineStr">
        <is>
          <t>ORD-04045</t>
        </is>
      </c>
      <c r="B2888" s="8" t="n">
        <v>45547</v>
      </c>
      <c r="C2888" s="9" t="n">
        <v>45536</v>
      </c>
      <c r="D2888" s="7" t="n">
        <v>2024</v>
      </c>
      <c r="E2888" s="7" t="inlineStr">
        <is>
          <t>East</t>
        </is>
      </c>
      <c r="F2888" s="7" t="inlineStr">
        <is>
          <t>Office Supplies</t>
        </is>
      </c>
      <c r="G2888" s="7" t="inlineStr">
        <is>
          <t>Pens</t>
        </is>
      </c>
      <c r="H2888" s="7" t="inlineStr">
        <is>
          <t>Corporate</t>
        </is>
      </c>
      <c r="I2888" s="7" t="n">
        <v>10</v>
      </c>
      <c r="J2888" s="10" t="n">
        <v>11.76</v>
      </c>
      <c r="K2888" s="11" t="n">
        <v>0.3</v>
      </c>
      <c r="L2888" s="10">
        <f>I2888*J2888*(1-K2888)</f>
        <v/>
      </c>
      <c r="M2888" s="10" t="n">
        <v>54</v>
      </c>
      <c r="N2888" s="10">
        <f>L2888-M2888</f>
        <v/>
      </c>
    </row>
    <row r="2889">
      <c r="A2889" s="7" t="inlineStr">
        <is>
          <t>ORD-00966</t>
        </is>
      </c>
      <c r="B2889" s="8" t="n">
        <v>45548</v>
      </c>
      <c r="C2889" s="9" t="n">
        <v>45536</v>
      </c>
      <c r="D2889" s="7" t="n">
        <v>2024</v>
      </c>
      <c r="E2889" s="7" t="inlineStr">
        <is>
          <t>East</t>
        </is>
      </c>
      <c r="F2889" s="7" t="inlineStr">
        <is>
          <t>Office Supplies</t>
        </is>
      </c>
      <c r="G2889" s="7" t="inlineStr">
        <is>
          <t>Stapler</t>
        </is>
      </c>
      <c r="H2889" s="7" t="inlineStr">
        <is>
          <t>Corporate</t>
        </is>
      </c>
      <c r="I2889" s="7" t="n">
        <v>5</v>
      </c>
      <c r="J2889" s="10" t="n">
        <v>15.53</v>
      </c>
      <c r="K2889" s="11" t="n">
        <v>0</v>
      </c>
      <c r="L2889" s="10">
        <f>I2889*J2889*(1-K2889)</f>
        <v/>
      </c>
      <c r="M2889" s="10" t="n">
        <v>37.5</v>
      </c>
      <c r="N2889" s="10">
        <f>L2889-M2889</f>
        <v/>
      </c>
    </row>
    <row r="2890">
      <c r="A2890" s="7" t="inlineStr">
        <is>
          <t>ORD-01343</t>
        </is>
      </c>
      <c r="B2890" s="8" t="n">
        <v>45548</v>
      </c>
      <c r="C2890" s="9" t="n">
        <v>45536</v>
      </c>
      <c r="D2890" s="7" t="n">
        <v>2024</v>
      </c>
      <c r="E2890" s="7" t="inlineStr">
        <is>
          <t>North</t>
        </is>
      </c>
      <c r="F2890" s="7" t="inlineStr">
        <is>
          <t>Furniture</t>
        </is>
      </c>
      <c r="G2890" s="7" t="inlineStr">
        <is>
          <t>Bookcase</t>
        </is>
      </c>
      <c r="H2890" s="7" t="inlineStr">
        <is>
          <t>Consumer</t>
        </is>
      </c>
      <c r="I2890" s="7" t="n">
        <v>2</v>
      </c>
      <c r="J2890" s="10" t="n">
        <v>176.6</v>
      </c>
      <c r="K2890" s="11" t="n">
        <v>0.1</v>
      </c>
      <c r="L2890" s="10">
        <f>I2890*J2890*(1-K2890)</f>
        <v/>
      </c>
      <c r="M2890" s="10" t="n">
        <v>288</v>
      </c>
      <c r="N2890" s="10">
        <f>L2890-M2890</f>
        <v/>
      </c>
    </row>
    <row r="2891">
      <c r="A2891" s="7" t="inlineStr">
        <is>
          <t>ORD-02214</t>
        </is>
      </c>
      <c r="B2891" s="8" t="n">
        <v>45548</v>
      </c>
      <c r="C2891" s="9" t="n">
        <v>45536</v>
      </c>
      <c r="D2891" s="7" t="n">
        <v>2024</v>
      </c>
      <c r="E2891" s="7" t="inlineStr">
        <is>
          <t>South</t>
        </is>
      </c>
      <c r="F2891" s="7" t="inlineStr">
        <is>
          <t>Office Supplies</t>
        </is>
      </c>
      <c r="G2891" s="7" t="inlineStr">
        <is>
          <t>Printer Ink</t>
        </is>
      </c>
      <c r="H2891" s="7" t="inlineStr">
        <is>
          <t>Consumer</t>
        </is>
      </c>
      <c r="I2891" s="7" t="n">
        <v>13</v>
      </c>
      <c r="J2891" s="10" t="n">
        <v>57.36</v>
      </c>
      <c r="K2891" s="11" t="n">
        <v>0.05</v>
      </c>
      <c r="L2891" s="10">
        <f>I2891*J2891*(1-K2891)</f>
        <v/>
      </c>
      <c r="M2891" s="10" t="n">
        <v>468</v>
      </c>
      <c r="N2891" s="10">
        <f>L2891-M2891</f>
        <v/>
      </c>
    </row>
    <row r="2892">
      <c r="A2892" s="7" t="inlineStr">
        <is>
          <t>ORD-00904</t>
        </is>
      </c>
      <c r="B2892" s="8" t="n">
        <v>45548</v>
      </c>
      <c r="C2892" s="9" t="n">
        <v>45536</v>
      </c>
      <c r="D2892" s="7" t="n">
        <v>2024</v>
      </c>
      <c r="E2892" s="7" t="inlineStr">
        <is>
          <t>West</t>
        </is>
      </c>
      <c r="F2892" s="7" t="inlineStr">
        <is>
          <t>Office Supplies</t>
        </is>
      </c>
      <c r="G2892" s="7" t="inlineStr">
        <is>
          <t>Pens</t>
        </is>
      </c>
      <c r="H2892" s="7" t="inlineStr">
        <is>
          <t>Home Office</t>
        </is>
      </c>
      <c r="I2892" s="7" t="n">
        <v>13</v>
      </c>
      <c r="J2892" s="10" t="n">
        <v>11.54</v>
      </c>
      <c r="K2892" s="11" t="n">
        <v>0.2</v>
      </c>
      <c r="L2892" s="10">
        <f>I2892*J2892*(1-K2892)</f>
        <v/>
      </c>
      <c r="M2892" s="10" t="n">
        <v>70.2</v>
      </c>
      <c r="N2892" s="10">
        <f>L2892-M2892</f>
        <v/>
      </c>
    </row>
    <row r="2893">
      <c r="A2893" s="7" t="inlineStr">
        <is>
          <t>ORD-04534</t>
        </is>
      </c>
      <c r="B2893" s="8" t="n">
        <v>45548</v>
      </c>
      <c r="C2893" s="9" t="n">
        <v>45536</v>
      </c>
      <c r="D2893" s="7" t="n">
        <v>2024</v>
      </c>
      <c r="E2893" s="7" t="inlineStr">
        <is>
          <t>South</t>
        </is>
      </c>
      <c r="F2893" s="7" t="inlineStr">
        <is>
          <t>Technology</t>
        </is>
      </c>
      <c r="G2893" s="7" t="inlineStr">
        <is>
          <t>Laptop</t>
        </is>
      </c>
      <c r="H2893" s="7" t="inlineStr">
        <is>
          <t>Home Office</t>
        </is>
      </c>
      <c r="I2893" s="7" t="n">
        <v>3</v>
      </c>
      <c r="J2893" s="10" t="n">
        <v>901.62</v>
      </c>
      <c r="K2893" s="11" t="n">
        <v>0.2</v>
      </c>
      <c r="L2893" s="10">
        <f>I2893*J2893*(1-K2893)</f>
        <v/>
      </c>
      <c r="M2893" s="10" t="n">
        <v>2106</v>
      </c>
      <c r="N2893" s="10">
        <f>L2893-M2893</f>
        <v/>
      </c>
    </row>
    <row r="2894">
      <c r="A2894" s="7" t="inlineStr">
        <is>
          <t>ORD-00138</t>
        </is>
      </c>
      <c r="B2894" s="8" t="n">
        <v>45548</v>
      </c>
      <c r="C2894" s="9" t="n">
        <v>45536</v>
      </c>
      <c r="D2894" s="7" t="n">
        <v>2024</v>
      </c>
      <c r="E2894" s="7" t="inlineStr">
        <is>
          <t>West</t>
        </is>
      </c>
      <c r="F2894" s="7" t="inlineStr">
        <is>
          <t>Office Supplies</t>
        </is>
      </c>
      <c r="G2894" s="7" t="inlineStr">
        <is>
          <t>Stapler</t>
        </is>
      </c>
      <c r="H2894" s="7" t="inlineStr">
        <is>
          <t>Corporate</t>
        </is>
      </c>
      <c r="I2894" s="7" t="n">
        <v>2</v>
      </c>
      <c r="J2894" s="10" t="n">
        <v>14.99</v>
      </c>
      <c r="K2894" s="11" t="n">
        <v>0</v>
      </c>
      <c r="L2894" s="10">
        <f>I2894*J2894*(1-K2894)</f>
        <v/>
      </c>
      <c r="M2894" s="10" t="n">
        <v>15</v>
      </c>
      <c r="N2894" s="10">
        <f>L2894-M2894</f>
        <v/>
      </c>
    </row>
    <row r="2895">
      <c r="A2895" s="7" t="inlineStr">
        <is>
          <t>ORD-01828</t>
        </is>
      </c>
      <c r="B2895" s="8" t="n">
        <v>45548</v>
      </c>
      <c r="C2895" s="9" t="n">
        <v>45536</v>
      </c>
      <c r="D2895" s="7" t="n">
        <v>2024</v>
      </c>
      <c r="E2895" s="7" t="inlineStr">
        <is>
          <t>West</t>
        </is>
      </c>
      <c r="F2895" s="7" t="inlineStr">
        <is>
          <t>Technology</t>
        </is>
      </c>
      <c r="G2895" s="7" t="inlineStr">
        <is>
          <t>Headphones</t>
        </is>
      </c>
      <c r="H2895" s="7" t="inlineStr">
        <is>
          <t>Corporate</t>
        </is>
      </c>
      <c r="I2895" s="7" t="n">
        <v>2</v>
      </c>
      <c r="J2895" s="10" t="n">
        <v>120.85</v>
      </c>
      <c r="K2895" s="11" t="n">
        <v>0.3</v>
      </c>
      <c r="L2895" s="10">
        <f>I2895*J2895*(1-K2895)</f>
        <v/>
      </c>
      <c r="M2895" s="10" t="n">
        <v>144</v>
      </c>
      <c r="N2895" s="10">
        <f>L2895-M2895</f>
        <v/>
      </c>
    </row>
    <row r="2896">
      <c r="A2896" s="7" t="inlineStr">
        <is>
          <t>ORD-05990</t>
        </is>
      </c>
      <c r="B2896" s="8" t="n">
        <v>45549</v>
      </c>
      <c r="C2896" s="9" t="n">
        <v>45536</v>
      </c>
      <c r="D2896" s="7" t="n">
        <v>2024</v>
      </c>
      <c r="E2896" s="7" t="inlineStr">
        <is>
          <t>South</t>
        </is>
      </c>
      <c r="F2896" s="7" t="inlineStr">
        <is>
          <t>Office Supplies</t>
        </is>
      </c>
      <c r="G2896" s="7" t="inlineStr">
        <is>
          <t>Pens</t>
        </is>
      </c>
      <c r="H2896" s="7" t="inlineStr">
        <is>
          <t>Home Office</t>
        </is>
      </c>
      <c r="I2896" s="7" t="n">
        <v>4</v>
      </c>
      <c r="J2896" s="10" t="n">
        <v>11.61</v>
      </c>
      <c r="K2896" s="11" t="n">
        <v>0.05</v>
      </c>
      <c r="L2896" s="10">
        <f>I2896*J2896*(1-K2896)</f>
        <v/>
      </c>
      <c r="M2896" s="10" t="n">
        <v>21.6</v>
      </c>
      <c r="N2896" s="10">
        <f>L2896-M2896</f>
        <v/>
      </c>
    </row>
    <row r="2897">
      <c r="A2897" s="7" t="inlineStr">
        <is>
          <t>ORD-00573</t>
        </is>
      </c>
      <c r="B2897" s="8" t="n">
        <v>45549</v>
      </c>
      <c r="C2897" s="9" t="n">
        <v>45536</v>
      </c>
      <c r="D2897" s="7" t="n">
        <v>2024</v>
      </c>
      <c r="E2897" s="7" t="inlineStr">
        <is>
          <t>South</t>
        </is>
      </c>
      <c r="F2897" s="7" t="inlineStr">
        <is>
          <t>Furniture</t>
        </is>
      </c>
      <c r="G2897" s="7" t="inlineStr">
        <is>
          <t>Sofa</t>
        </is>
      </c>
      <c r="H2897" s="7" t="inlineStr">
        <is>
          <t>Corporate</t>
        </is>
      </c>
      <c r="I2897" s="7" t="n">
        <v>2</v>
      </c>
      <c r="J2897" s="10" t="n">
        <v>722.4400000000001</v>
      </c>
      <c r="K2897" s="11" t="n">
        <v>0.1</v>
      </c>
      <c r="L2897" s="10">
        <f>I2897*J2897*(1-K2897)</f>
        <v/>
      </c>
      <c r="M2897" s="10" t="n">
        <v>1232</v>
      </c>
      <c r="N2897" s="10">
        <f>L2897-M2897</f>
        <v/>
      </c>
    </row>
    <row r="2898">
      <c r="A2898" s="7" t="inlineStr">
        <is>
          <t>ORD-03568</t>
        </is>
      </c>
      <c r="B2898" s="8" t="n">
        <v>45549</v>
      </c>
      <c r="C2898" s="9" t="n">
        <v>45536</v>
      </c>
      <c r="D2898" s="7" t="n">
        <v>2024</v>
      </c>
      <c r="E2898" s="7" t="inlineStr">
        <is>
          <t>South</t>
        </is>
      </c>
      <c r="F2898" s="7" t="inlineStr">
        <is>
          <t>Office Supplies</t>
        </is>
      </c>
      <c r="G2898" s="7" t="inlineStr">
        <is>
          <t>Binder</t>
        </is>
      </c>
      <c r="H2898" s="7" t="inlineStr">
        <is>
          <t>Corporate</t>
        </is>
      </c>
      <c r="I2898" s="7" t="n">
        <v>15</v>
      </c>
      <c r="J2898" s="10" t="n">
        <v>7.96</v>
      </c>
      <c r="K2898" s="11" t="n">
        <v>0.3</v>
      </c>
      <c r="L2898" s="10">
        <f>I2898*J2898*(1-K2898)</f>
        <v/>
      </c>
      <c r="M2898" s="10" t="n">
        <v>48</v>
      </c>
      <c r="N2898" s="10">
        <f>L2898-M2898</f>
        <v/>
      </c>
    </row>
    <row r="2899">
      <c r="A2899" s="7" t="inlineStr">
        <is>
          <t>ORD-01422</t>
        </is>
      </c>
      <c r="B2899" s="8" t="n">
        <v>45549</v>
      </c>
      <c r="C2899" s="9" t="n">
        <v>45536</v>
      </c>
      <c r="D2899" s="7" t="n">
        <v>2024</v>
      </c>
      <c r="E2899" s="7" t="inlineStr">
        <is>
          <t>West</t>
        </is>
      </c>
      <c r="F2899" s="7" t="inlineStr">
        <is>
          <t>Office Supplies</t>
        </is>
      </c>
      <c r="G2899" s="7" t="inlineStr">
        <is>
          <t>Pens</t>
        </is>
      </c>
      <c r="H2899" s="7" t="inlineStr">
        <is>
          <t>Corporate</t>
        </is>
      </c>
      <c r="I2899" s="7" t="n">
        <v>13</v>
      </c>
      <c r="J2899" s="10" t="n">
        <v>11.48</v>
      </c>
      <c r="K2899" s="11" t="n">
        <v>0</v>
      </c>
      <c r="L2899" s="10">
        <f>I2899*J2899*(1-K2899)</f>
        <v/>
      </c>
      <c r="M2899" s="10" t="n">
        <v>70.2</v>
      </c>
      <c r="N2899" s="10">
        <f>L2899-M2899</f>
        <v/>
      </c>
    </row>
    <row r="2900">
      <c r="A2900" s="7" t="inlineStr">
        <is>
          <t>ORD-04754</t>
        </is>
      </c>
      <c r="B2900" s="8" t="n">
        <v>45549</v>
      </c>
      <c r="C2900" s="9" t="n">
        <v>45536</v>
      </c>
      <c r="D2900" s="7" t="n">
        <v>2024</v>
      </c>
      <c r="E2900" s="7" t="inlineStr">
        <is>
          <t>West</t>
        </is>
      </c>
      <c r="F2900" s="7" t="inlineStr">
        <is>
          <t>Office Supplies</t>
        </is>
      </c>
      <c r="G2900" s="7" t="inlineStr">
        <is>
          <t>Paper</t>
        </is>
      </c>
      <c r="H2900" s="7" t="inlineStr">
        <is>
          <t>Corporate</t>
        </is>
      </c>
      <c r="I2900" s="7" t="n">
        <v>8</v>
      </c>
      <c r="J2900" s="10" t="n">
        <v>25.89</v>
      </c>
      <c r="K2900" s="11" t="n">
        <v>0.05</v>
      </c>
      <c r="L2900" s="10">
        <f>I2900*J2900*(1-K2900)</f>
        <v/>
      </c>
      <c r="M2900" s="10" t="n">
        <v>100</v>
      </c>
      <c r="N2900" s="10">
        <f>L2900-M2900</f>
        <v/>
      </c>
    </row>
    <row r="2901">
      <c r="A2901" s="7" t="inlineStr">
        <is>
          <t>ORD-03588</t>
        </is>
      </c>
      <c r="B2901" s="8" t="n">
        <v>45550</v>
      </c>
      <c r="C2901" s="9" t="n">
        <v>45536</v>
      </c>
      <c r="D2901" s="7" t="n">
        <v>2024</v>
      </c>
      <c r="E2901" s="7" t="inlineStr">
        <is>
          <t>East</t>
        </is>
      </c>
      <c r="F2901" s="7" t="inlineStr">
        <is>
          <t>Technology</t>
        </is>
      </c>
      <c r="G2901" s="7" t="inlineStr">
        <is>
          <t>Smartphone</t>
        </is>
      </c>
      <c r="H2901" s="7" t="inlineStr">
        <is>
          <t>Consumer</t>
        </is>
      </c>
      <c r="I2901" s="7" t="n">
        <v>1</v>
      </c>
      <c r="J2901" s="10" t="n">
        <v>584.62</v>
      </c>
      <c r="K2901" s="11" t="n">
        <v>0</v>
      </c>
      <c r="L2901" s="10">
        <f>I2901*J2901*(1-K2901)</f>
        <v/>
      </c>
      <c r="M2901" s="10" t="n">
        <v>450</v>
      </c>
      <c r="N2901" s="10">
        <f>L2901-M2901</f>
        <v/>
      </c>
    </row>
    <row r="2902">
      <c r="A2902" s="7" t="inlineStr">
        <is>
          <t>ORD-04120</t>
        </is>
      </c>
      <c r="B2902" s="8" t="n">
        <v>45550</v>
      </c>
      <c r="C2902" s="9" t="n">
        <v>45536</v>
      </c>
      <c r="D2902" s="7" t="n">
        <v>2024</v>
      </c>
      <c r="E2902" s="7" t="inlineStr">
        <is>
          <t>West</t>
        </is>
      </c>
      <c r="F2902" s="7" t="inlineStr">
        <is>
          <t>Office Supplies</t>
        </is>
      </c>
      <c r="G2902" s="7" t="inlineStr">
        <is>
          <t>Paper</t>
        </is>
      </c>
      <c r="H2902" s="7" t="inlineStr">
        <is>
          <t>Home Office</t>
        </is>
      </c>
      <c r="I2902" s="7" t="n">
        <v>8</v>
      </c>
      <c r="J2902" s="10" t="n">
        <v>25.71</v>
      </c>
      <c r="K2902" s="11" t="n">
        <v>0.05</v>
      </c>
      <c r="L2902" s="10">
        <f>I2902*J2902*(1-K2902)</f>
        <v/>
      </c>
      <c r="M2902" s="10" t="n">
        <v>100</v>
      </c>
      <c r="N2902" s="10">
        <f>L2902-M2902</f>
        <v/>
      </c>
    </row>
    <row r="2903">
      <c r="A2903" s="7" t="inlineStr">
        <is>
          <t>ORD-05148</t>
        </is>
      </c>
      <c r="B2903" s="8" t="n">
        <v>45550</v>
      </c>
      <c r="C2903" s="9" t="n">
        <v>45536</v>
      </c>
      <c r="D2903" s="7" t="n">
        <v>2024</v>
      </c>
      <c r="E2903" s="7" t="inlineStr">
        <is>
          <t>West</t>
        </is>
      </c>
      <c r="F2903" s="7" t="inlineStr">
        <is>
          <t>Office Supplies</t>
        </is>
      </c>
      <c r="G2903" s="7" t="inlineStr">
        <is>
          <t>Pens</t>
        </is>
      </c>
      <c r="H2903" s="7" t="inlineStr">
        <is>
          <t>Consumer</t>
        </is>
      </c>
      <c r="I2903" s="7" t="n">
        <v>6</v>
      </c>
      <c r="J2903" s="10" t="n">
        <v>12.34</v>
      </c>
      <c r="K2903" s="11" t="n">
        <v>0</v>
      </c>
      <c r="L2903" s="10">
        <f>I2903*J2903*(1-K2903)</f>
        <v/>
      </c>
      <c r="M2903" s="10" t="n">
        <v>32.4</v>
      </c>
      <c r="N2903" s="10">
        <f>L2903-M2903</f>
        <v/>
      </c>
    </row>
    <row r="2904">
      <c r="A2904" s="7" t="inlineStr">
        <is>
          <t>ORD-03277</t>
        </is>
      </c>
      <c r="B2904" s="8" t="n">
        <v>45550</v>
      </c>
      <c r="C2904" s="9" t="n">
        <v>45536</v>
      </c>
      <c r="D2904" s="7" t="n">
        <v>2024</v>
      </c>
      <c r="E2904" s="7" t="inlineStr">
        <is>
          <t>North</t>
        </is>
      </c>
      <c r="F2904" s="7" t="inlineStr">
        <is>
          <t>Technology</t>
        </is>
      </c>
      <c r="G2904" s="7" t="inlineStr">
        <is>
          <t>Smartphone</t>
        </is>
      </c>
      <c r="H2904" s="7" t="inlineStr">
        <is>
          <t>Consumer</t>
        </is>
      </c>
      <c r="I2904" s="7" t="n">
        <v>2</v>
      </c>
      <c r="J2904" s="10" t="n">
        <v>604.1799999999999</v>
      </c>
      <c r="K2904" s="11" t="n">
        <v>0.05</v>
      </c>
      <c r="L2904" s="10">
        <f>I2904*J2904*(1-K2904)</f>
        <v/>
      </c>
      <c r="M2904" s="10" t="n">
        <v>900</v>
      </c>
      <c r="N2904" s="10">
        <f>L2904-M2904</f>
        <v/>
      </c>
    </row>
    <row r="2905">
      <c r="A2905" s="7" t="inlineStr">
        <is>
          <t>ORD-03230</t>
        </is>
      </c>
      <c r="B2905" s="8" t="n">
        <v>45550</v>
      </c>
      <c r="C2905" s="9" t="n">
        <v>45536</v>
      </c>
      <c r="D2905" s="7" t="n">
        <v>2024</v>
      </c>
      <c r="E2905" s="7" t="inlineStr">
        <is>
          <t>East</t>
        </is>
      </c>
      <c r="F2905" s="7" t="inlineStr">
        <is>
          <t>Furniture</t>
        </is>
      </c>
      <c r="G2905" s="7" t="inlineStr">
        <is>
          <t>Office Chair</t>
        </is>
      </c>
      <c r="H2905" s="7" t="inlineStr">
        <is>
          <t>Corporate</t>
        </is>
      </c>
      <c r="I2905" s="7" t="n">
        <v>4</v>
      </c>
      <c r="J2905" s="10" t="n">
        <v>213.2</v>
      </c>
      <c r="K2905" s="11" t="n">
        <v>0.1</v>
      </c>
      <c r="L2905" s="10">
        <f>I2905*J2905*(1-K2905)</f>
        <v/>
      </c>
      <c r="M2905" s="10" t="n">
        <v>721.6</v>
      </c>
      <c r="N2905" s="10">
        <f>L2905-M2905</f>
        <v/>
      </c>
    </row>
    <row r="2906">
      <c r="A2906" s="7" t="inlineStr">
        <is>
          <t>ORD-04184</t>
        </is>
      </c>
      <c r="B2906" s="8" t="n">
        <v>45551</v>
      </c>
      <c r="C2906" s="9" t="n">
        <v>45536</v>
      </c>
      <c r="D2906" s="7" t="n">
        <v>2024</v>
      </c>
      <c r="E2906" s="7" t="inlineStr">
        <is>
          <t>West</t>
        </is>
      </c>
      <c r="F2906" s="7" t="inlineStr">
        <is>
          <t>Technology</t>
        </is>
      </c>
      <c r="G2906" s="7" t="inlineStr">
        <is>
          <t>Headphones</t>
        </is>
      </c>
      <c r="H2906" s="7" t="inlineStr">
        <is>
          <t>Consumer</t>
        </is>
      </c>
      <c r="I2906" s="7" t="n">
        <v>3</v>
      </c>
      <c r="J2906" s="10" t="n">
        <v>117.42</v>
      </c>
      <c r="K2906" s="11" t="n">
        <v>0.3</v>
      </c>
      <c r="L2906" s="10">
        <f>I2906*J2906*(1-K2906)</f>
        <v/>
      </c>
      <c r="M2906" s="10" t="n">
        <v>216</v>
      </c>
      <c r="N2906" s="10">
        <f>L2906-M2906</f>
        <v/>
      </c>
    </row>
    <row r="2907">
      <c r="A2907" s="7" t="inlineStr">
        <is>
          <t>ORD-04928</t>
        </is>
      </c>
      <c r="B2907" s="8" t="n">
        <v>45551</v>
      </c>
      <c r="C2907" s="9" t="n">
        <v>45536</v>
      </c>
      <c r="D2907" s="7" t="n">
        <v>2024</v>
      </c>
      <c r="E2907" s="7" t="inlineStr">
        <is>
          <t>North</t>
        </is>
      </c>
      <c r="F2907" s="7" t="inlineStr">
        <is>
          <t>Office Supplies</t>
        </is>
      </c>
      <c r="G2907" s="7" t="inlineStr">
        <is>
          <t>Binder</t>
        </is>
      </c>
      <c r="H2907" s="7" t="inlineStr">
        <is>
          <t>Consumer</t>
        </is>
      </c>
      <c r="I2907" s="7" t="n">
        <v>15</v>
      </c>
      <c r="J2907" s="10" t="n">
        <v>7.85</v>
      </c>
      <c r="K2907" s="11" t="n">
        <v>0.05</v>
      </c>
      <c r="L2907" s="10">
        <f>I2907*J2907*(1-K2907)</f>
        <v/>
      </c>
      <c r="M2907" s="10" t="n">
        <v>48</v>
      </c>
      <c r="N2907" s="10">
        <f>L2907-M2907</f>
        <v/>
      </c>
    </row>
    <row r="2908">
      <c r="A2908" s="7" t="inlineStr">
        <is>
          <t>ORD-03530</t>
        </is>
      </c>
      <c r="B2908" s="8" t="n">
        <v>45551</v>
      </c>
      <c r="C2908" s="9" t="n">
        <v>45536</v>
      </c>
      <c r="D2908" s="7" t="n">
        <v>2024</v>
      </c>
      <c r="E2908" s="7" t="inlineStr">
        <is>
          <t>West</t>
        </is>
      </c>
      <c r="F2908" s="7" t="inlineStr">
        <is>
          <t>Office Supplies</t>
        </is>
      </c>
      <c r="G2908" s="7" t="inlineStr">
        <is>
          <t>Paper</t>
        </is>
      </c>
      <c r="H2908" s="7" t="inlineStr">
        <is>
          <t>Consumer</t>
        </is>
      </c>
      <c r="I2908" s="7" t="n">
        <v>13</v>
      </c>
      <c r="J2908" s="10" t="n">
        <v>23.86</v>
      </c>
      <c r="K2908" s="11" t="n">
        <v>0</v>
      </c>
      <c r="L2908" s="10">
        <f>I2908*J2908*(1-K2908)</f>
        <v/>
      </c>
      <c r="M2908" s="10" t="n">
        <v>162.5</v>
      </c>
      <c r="N2908" s="10">
        <f>L2908-M2908</f>
        <v/>
      </c>
    </row>
    <row r="2909">
      <c r="A2909" s="7" t="inlineStr">
        <is>
          <t>ORD-02304</t>
        </is>
      </c>
      <c r="B2909" s="8" t="n">
        <v>45552</v>
      </c>
      <c r="C2909" s="9" t="n">
        <v>45536</v>
      </c>
      <c r="D2909" s="7" t="n">
        <v>2024</v>
      </c>
      <c r="E2909" s="7" t="inlineStr">
        <is>
          <t>East</t>
        </is>
      </c>
      <c r="F2909" s="7" t="inlineStr">
        <is>
          <t>Office Supplies</t>
        </is>
      </c>
      <c r="G2909" s="7" t="inlineStr">
        <is>
          <t>Stapler</t>
        </is>
      </c>
      <c r="H2909" s="7" t="inlineStr">
        <is>
          <t>Consumer</t>
        </is>
      </c>
      <c r="I2909" s="7" t="n">
        <v>3</v>
      </c>
      <c r="J2909" s="10" t="n">
        <v>14.94</v>
      </c>
      <c r="K2909" s="11" t="n">
        <v>0</v>
      </c>
      <c r="L2909" s="10">
        <f>I2909*J2909*(1-K2909)</f>
        <v/>
      </c>
      <c r="M2909" s="10" t="n">
        <v>22.5</v>
      </c>
      <c r="N2909" s="10">
        <f>L2909-M2909</f>
        <v/>
      </c>
    </row>
    <row r="2910">
      <c r="A2910" s="7" t="inlineStr">
        <is>
          <t>ORD-04359</t>
        </is>
      </c>
      <c r="B2910" s="8" t="n">
        <v>45552</v>
      </c>
      <c r="C2910" s="9" t="n">
        <v>45536</v>
      </c>
      <c r="D2910" s="7" t="n">
        <v>2024</v>
      </c>
      <c r="E2910" s="7" t="inlineStr">
        <is>
          <t>South</t>
        </is>
      </c>
      <c r="F2910" s="7" t="inlineStr">
        <is>
          <t>Office Supplies</t>
        </is>
      </c>
      <c r="G2910" s="7" t="inlineStr">
        <is>
          <t>Binder</t>
        </is>
      </c>
      <c r="H2910" s="7" t="inlineStr">
        <is>
          <t>Corporate</t>
        </is>
      </c>
      <c r="I2910" s="7" t="n">
        <v>14</v>
      </c>
      <c r="J2910" s="10" t="n">
        <v>7.69</v>
      </c>
      <c r="K2910" s="11" t="n">
        <v>0</v>
      </c>
      <c r="L2910" s="10">
        <f>I2910*J2910*(1-K2910)</f>
        <v/>
      </c>
      <c r="M2910" s="10" t="n">
        <v>44.8</v>
      </c>
      <c r="N2910" s="10">
        <f>L2910-M2910</f>
        <v/>
      </c>
    </row>
    <row r="2911">
      <c r="A2911" s="7" t="inlineStr">
        <is>
          <t>ORD-05018</t>
        </is>
      </c>
      <c r="B2911" s="8" t="n">
        <v>45553</v>
      </c>
      <c r="C2911" s="9" t="n">
        <v>45536</v>
      </c>
      <c r="D2911" s="7" t="n">
        <v>2024</v>
      </c>
      <c r="E2911" s="7" t="inlineStr">
        <is>
          <t>East</t>
        </is>
      </c>
      <c r="F2911" s="7" t="inlineStr">
        <is>
          <t>Office Supplies</t>
        </is>
      </c>
      <c r="G2911" s="7" t="inlineStr">
        <is>
          <t>Binder</t>
        </is>
      </c>
      <c r="H2911" s="7" t="inlineStr">
        <is>
          <t>Consumer</t>
        </is>
      </c>
      <c r="I2911" s="7" t="n">
        <v>10</v>
      </c>
      <c r="J2911" s="10" t="n">
        <v>8.15</v>
      </c>
      <c r="K2911" s="11" t="n">
        <v>0.05</v>
      </c>
      <c r="L2911" s="10">
        <f>I2911*J2911*(1-K2911)</f>
        <v/>
      </c>
      <c r="M2911" s="10" t="n">
        <v>32</v>
      </c>
      <c r="N2911" s="10">
        <f>L2911-M2911</f>
        <v/>
      </c>
    </row>
    <row r="2912">
      <c r="A2912" s="7" t="inlineStr">
        <is>
          <t>ORD-03295</t>
        </is>
      </c>
      <c r="B2912" s="8" t="n">
        <v>45553</v>
      </c>
      <c r="C2912" s="9" t="n">
        <v>45536</v>
      </c>
      <c r="D2912" s="7" t="n">
        <v>2024</v>
      </c>
      <c r="E2912" s="7" t="inlineStr">
        <is>
          <t>West</t>
        </is>
      </c>
      <c r="F2912" s="7" t="inlineStr">
        <is>
          <t>Office Supplies</t>
        </is>
      </c>
      <c r="G2912" s="7" t="inlineStr">
        <is>
          <t>Binder</t>
        </is>
      </c>
      <c r="H2912" s="7" t="inlineStr">
        <is>
          <t>Home Office</t>
        </is>
      </c>
      <c r="I2912" s="7" t="n">
        <v>15</v>
      </c>
      <c r="J2912" s="10" t="n">
        <v>7.78</v>
      </c>
      <c r="K2912" s="11" t="n">
        <v>0.3</v>
      </c>
      <c r="L2912" s="10">
        <f>I2912*J2912*(1-K2912)</f>
        <v/>
      </c>
      <c r="M2912" s="10" t="n">
        <v>48</v>
      </c>
      <c r="N2912" s="10">
        <f>L2912-M2912</f>
        <v/>
      </c>
    </row>
    <row r="2913">
      <c r="A2913" s="7" t="inlineStr">
        <is>
          <t>ORD-03684</t>
        </is>
      </c>
      <c r="B2913" s="8" t="n">
        <v>45553</v>
      </c>
      <c r="C2913" s="9" t="n">
        <v>45536</v>
      </c>
      <c r="D2913" s="7" t="n">
        <v>2024</v>
      </c>
      <c r="E2913" s="7" t="inlineStr">
        <is>
          <t>West</t>
        </is>
      </c>
      <c r="F2913" s="7" t="inlineStr">
        <is>
          <t>Office Supplies</t>
        </is>
      </c>
      <c r="G2913" s="7" t="inlineStr">
        <is>
          <t>Pens</t>
        </is>
      </c>
      <c r="H2913" s="7" t="inlineStr">
        <is>
          <t>Home Office</t>
        </is>
      </c>
      <c r="I2913" s="7" t="n">
        <v>12</v>
      </c>
      <c r="J2913" s="10" t="n">
        <v>11.86</v>
      </c>
      <c r="K2913" s="11" t="n">
        <v>0.05</v>
      </c>
      <c r="L2913" s="10">
        <f>I2913*J2913*(1-K2913)</f>
        <v/>
      </c>
      <c r="M2913" s="10" t="n">
        <v>64.8</v>
      </c>
      <c r="N2913" s="10">
        <f>L2913-M2913</f>
        <v/>
      </c>
    </row>
    <row r="2914">
      <c r="A2914" s="7" t="inlineStr">
        <is>
          <t>ORD-01479</t>
        </is>
      </c>
      <c r="B2914" s="8" t="n">
        <v>45553</v>
      </c>
      <c r="C2914" s="9" t="n">
        <v>45536</v>
      </c>
      <c r="D2914" s="7" t="n">
        <v>2024</v>
      </c>
      <c r="E2914" s="7" t="inlineStr">
        <is>
          <t>East</t>
        </is>
      </c>
      <c r="F2914" s="7" t="inlineStr">
        <is>
          <t>Technology</t>
        </is>
      </c>
      <c r="G2914" s="7" t="inlineStr">
        <is>
          <t>Keyboard</t>
        </is>
      </c>
      <c r="H2914" s="7" t="inlineStr">
        <is>
          <t>Corporate</t>
        </is>
      </c>
      <c r="I2914" s="7" t="n">
        <v>3</v>
      </c>
      <c r="J2914" s="10" t="n">
        <v>46.63</v>
      </c>
      <c r="K2914" s="11" t="n">
        <v>0.1</v>
      </c>
      <c r="L2914" s="10">
        <f>I2914*J2914*(1-K2914)</f>
        <v/>
      </c>
      <c r="M2914" s="10" t="n">
        <v>74.25</v>
      </c>
      <c r="N2914" s="10">
        <f>L2914-M2914</f>
        <v/>
      </c>
    </row>
    <row r="2915">
      <c r="A2915" s="7" t="inlineStr">
        <is>
          <t>ORD-04963</t>
        </is>
      </c>
      <c r="B2915" s="8" t="n">
        <v>45553</v>
      </c>
      <c r="C2915" s="9" t="n">
        <v>45536</v>
      </c>
      <c r="D2915" s="7" t="n">
        <v>2024</v>
      </c>
      <c r="E2915" s="7" t="inlineStr">
        <is>
          <t>North</t>
        </is>
      </c>
      <c r="F2915" s="7" t="inlineStr">
        <is>
          <t>Furniture</t>
        </is>
      </c>
      <c r="G2915" s="7" t="inlineStr">
        <is>
          <t>Bookcase</t>
        </is>
      </c>
      <c r="H2915" s="7" t="inlineStr">
        <is>
          <t>Consumer</t>
        </is>
      </c>
      <c r="I2915" s="7" t="n">
        <v>2</v>
      </c>
      <c r="J2915" s="10" t="n">
        <v>175.01</v>
      </c>
      <c r="K2915" s="11" t="n">
        <v>0.1</v>
      </c>
      <c r="L2915" s="10">
        <f>I2915*J2915*(1-K2915)</f>
        <v/>
      </c>
      <c r="M2915" s="10" t="n">
        <v>288</v>
      </c>
      <c r="N2915" s="10">
        <f>L2915-M2915</f>
        <v/>
      </c>
    </row>
    <row r="2916">
      <c r="A2916" s="7" t="inlineStr">
        <is>
          <t>ORD-00141</t>
        </is>
      </c>
      <c r="B2916" s="8" t="n">
        <v>45553</v>
      </c>
      <c r="C2916" s="9" t="n">
        <v>45536</v>
      </c>
      <c r="D2916" s="7" t="n">
        <v>2024</v>
      </c>
      <c r="E2916" s="7" t="inlineStr">
        <is>
          <t>West</t>
        </is>
      </c>
      <c r="F2916" s="7" t="inlineStr">
        <is>
          <t>Office Supplies</t>
        </is>
      </c>
      <c r="G2916" s="7" t="inlineStr">
        <is>
          <t>Binder</t>
        </is>
      </c>
      <c r="H2916" s="7" t="inlineStr">
        <is>
          <t>Consumer</t>
        </is>
      </c>
      <c r="I2916" s="7" t="n">
        <v>10</v>
      </c>
      <c r="J2916" s="10" t="n">
        <v>8.07</v>
      </c>
      <c r="K2916" s="11" t="n">
        <v>0.2</v>
      </c>
      <c r="L2916" s="10">
        <f>I2916*J2916*(1-K2916)</f>
        <v/>
      </c>
      <c r="M2916" s="10" t="n">
        <v>32</v>
      </c>
      <c r="N2916" s="10">
        <f>L2916-M2916</f>
        <v/>
      </c>
    </row>
    <row r="2917">
      <c r="A2917" s="7" t="inlineStr">
        <is>
          <t>ORD-01208</t>
        </is>
      </c>
      <c r="B2917" s="8" t="n">
        <v>45553</v>
      </c>
      <c r="C2917" s="9" t="n">
        <v>45536</v>
      </c>
      <c r="D2917" s="7" t="n">
        <v>2024</v>
      </c>
      <c r="E2917" s="7" t="inlineStr">
        <is>
          <t>West</t>
        </is>
      </c>
      <c r="F2917" s="7" t="inlineStr">
        <is>
          <t>Office Supplies</t>
        </is>
      </c>
      <c r="G2917" s="7" t="inlineStr">
        <is>
          <t>Pens</t>
        </is>
      </c>
      <c r="H2917" s="7" t="inlineStr">
        <is>
          <t>Home Office</t>
        </is>
      </c>
      <c r="I2917" s="7" t="n">
        <v>8</v>
      </c>
      <c r="J2917" s="10" t="n">
        <v>11.98</v>
      </c>
      <c r="K2917" s="11" t="n">
        <v>0.3</v>
      </c>
      <c r="L2917" s="10">
        <f>I2917*J2917*(1-K2917)</f>
        <v/>
      </c>
      <c r="M2917" s="10" t="n">
        <v>43.2</v>
      </c>
      <c r="N2917" s="10">
        <f>L2917-M2917</f>
        <v/>
      </c>
    </row>
    <row r="2918">
      <c r="A2918" s="7" t="inlineStr">
        <is>
          <t>ORD-05077</t>
        </is>
      </c>
      <c r="B2918" s="8" t="n">
        <v>45554</v>
      </c>
      <c r="C2918" s="9" t="n">
        <v>45536</v>
      </c>
      <c r="D2918" s="7" t="n">
        <v>2024</v>
      </c>
      <c r="E2918" s="7" t="inlineStr">
        <is>
          <t>West</t>
        </is>
      </c>
      <c r="F2918" s="7" t="inlineStr">
        <is>
          <t>Office Supplies</t>
        </is>
      </c>
      <c r="G2918" s="7" t="inlineStr">
        <is>
          <t>Pens</t>
        </is>
      </c>
      <c r="H2918" s="7" t="inlineStr">
        <is>
          <t>Consumer</t>
        </is>
      </c>
      <c r="I2918" s="7" t="n">
        <v>3</v>
      </c>
      <c r="J2918" s="10" t="n">
        <v>12.06</v>
      </c>
      <c r="K2918" s="11" t="n">
        <v>0.1</v>
      </c>
      <c r="L2918" s="10">
        <f>I2918*J2918*(1-K2918)</f>
        <v/>
      </c>
      <c r="M2918" s="10" t="n">
        <v>16.2</v>
      </c>
      <c r="N2918" s="10">
        <f>L2918-M2918</f>
        <v/>
      </c>
    </row>
    <row r="2919">
      <c r="A2919" s="7" t="inlineStr">
        <is>
          <t>ORD-02415</t>
        </is>
      </c>
      <c r="B2919" s="8" t="n">
        <v>45554</v>
      </c>
      <c r="C2919" s="9" t="n">
        <v>45536</v>
      </c>
      <c r="D2919" s="7" t="n">
        <v>2024</v>
      </c>
      <c r="E2919" s="7" t="inlineStr">
        <is>
          <t>West</t>
        </is>
      </c>
      <c r="F2919" s="7" t="inlineStr">
        <is>
          <t>Technology</t>
        </is>
      </c>
      <c r="G2919" s="7" t="inlineStr">
        <is>
          <t>Keyboard</t>
        </is>
      </c>
      <c r="H2919" s="7" t="inlineStr">
        <is>
          <t>Consumer</t>
        </is>
      </c>
      <c r="I2919" s="7" t="n">
        <v>2</v>
      </c>
      <c r="J2919" s="10" t="n">
        <v>42.75</v>
      </c>
      <c r="K2919" s="11" t="n">
        <v>0.05</v>
      </c>
      <c r="L2919" s="10">
        <f>I2919*J2919*(1-K2919)</f>
        <v/>
      </c>
      <c r="M2919" s="10" t="n">
        <v>49.5</v>
      </c>
      <c r="N2919" s="10">
        <f>L2919-M2919</f>
        <v/>
      </c>
    </row>
    <row r="2920">
      <c r="A2920" s="7" t="inlineStr">
        <is>
          <t>ORD-00222</t>
        </is>
      </c>
      <c r="B2920" s="8" t="n">
        <v>45555</v>
      </c>
      <c r="C2920" s="9" t="n">
        <v>45536</v>
      </c>
      <c r="D2920" s="7" t="n">
        <v>2024</v>
      </c>
      <c r="E2920" s="7" t="inlineStr">
        <is>
          <t>West</t>
        </is>
      </c>
      <c r="F2920" s="7" t="inlineStr">
        <is>
          <t>Office Supplies</t>
        </is>
      </c>
      <c r="G2920" s="7" t="inlineStr">
        <is>
          <t>Pens</t>
        </is>
      </c>
      <c r="H2920" s="7" t="inlineStr">
        <is>
          <t>Corporate</t>
        </is>
      </c>
      <c r="I2920" s="7" t="n">
        <v>6</v>
      </c>
      <c r="J2920" s="10" t="n">
        <v>12.53</v>
      </c>
      <c r="K2920" s="11" t="n">
        <v>0.1</v>
      </c>
      <c r="L2920" s="10">
        <f>I2920*J2920*(1-K2920)</f>
        <v/>
      </c>
      <c r="M2920" s="10" t="n">
        <v>32.4</v>
      </c>
      <c r="N2920" s="10">
        <f>L2920-M2920</f>
        <v/>
      </c>
    </row>
    <row r="2921">
      <c r="A2921" s="7" t="inlineStr">
        <is>
          <t>ORD-02357</t>
        </is>
      </c>
      <c r="B2921" s="8" t="n">
        <v>45555</v>
      </c>
      <c r="C2921" s="9" t="n">
        <v>45536</v>
      </c>
      <c r="D2921" s="7" t="n">
        <v>2024</v>
      </c>
      <c r="E2921" s="7" t="inlineStr">
        <is>
          <t>South</t>
        </is>
      </c>
      <c r="F2921" s="7" t="inlineStr">
        <is>
          <t>Technology</t>
        </is>
      </c>
      <c r="G2921" s="7" t="inlineStr">
        <is>
          <t>Headphones</t>
        </is>
      </c>
      <c r="H2921" s="7" t="inlineStr">
        <is>
          <t>Consumer</t>
        </is>
      </c>
      <c r="I2921" s="7" t="n">
        <v>3</v>
      </c>
      <c r="J2921" s="10" t="n">
        <v>115.76</v>
      </c>
      <c r="K2921" s="11" t="n">
        <v>0.3</v>
      </c>
      <c r="L2921" s="10">
        <f>I2921*J2921*(1-K2921)</f>
        <v/>
      </c>
      <c r="M2921" s="10" t="n">
        <v>216</v>
      </c>
      <c r="N2921" s="10">
        <f>L2921-M2921</f>
        <v/>
      </c>
    </row>
    <row r="2922">
      <c r="A2922" s="7" t="inlineStr">
        <is>
          <t>ORD-03254</t>
        </is>
      </c>
      <c r="B2922" s="8" t="n">
        <v>45555</v>
      </c>
      <c r="C2922" s="9" t="n">
        <v>45536</v>
      </c>
      <c r="D2922" s="7" t="n">
        <v>2024</v>
      </c>
      <c r="E2922" s="7" t="inlineStr">
        <is>
          <t>South</t>
        </is>
      </c>
      <c r="F2922" s="7" t="inlineStr">
        <is>
          <t>Furniture</t>
        </is>
      </c>
      <c r="G2922" s="7" t="inlineStr">
        <is>
          <t>Bookcase</t>
        </is>
      </c>
      <c r="H2922" s="7" t="inlineStr">
        <is>
          <t>Consumer</t>
        </is>
      </c>
      <c r="I2922" s="7" t="n">
        <v>2</v>
      </c>
      <c r="J2922" s="10" t="n">
        <v>171.26</v>
      </c>
      <c r="K2922" s="11" t="n">
        <v>0.2</v>
      </c>
      <c r="L2922" s="10">
        <f>I2922*J2922*(1-K2922)</f>
        <v/>
      </c>
      <c r="M2922" s="10" t="n">
        <v>288</v>
      </c>
      <c r="N2922" s="10">
        <f>L2922-M2922</f>
        <v/>
      </c>
    </row>
    <row r="2923">
      <c r="A2923" s="7" t="inlineStr">
        <is>
          <t>ORD-00746</t>
        </is>
      </c>
      <c r="B2923" s="8" t="n">
        <v>45556</v>
      </c>
      <c r="C2923" s="9" t="n">
        <v>45536</v>
      </c>
      <c r="D2923" s="7" t="n">
        <v>2024</v>
      </c>
      <c r="E2923" s="7" t="inlineStr">
        <is>
          <t>West</t>
        </is>
      </c>
      <c r="F2923" s="7" t="inlineStr">
        <is>
          <t>Office Supplies</t>
        </is>
      </c>
      <c r="G2923" s="7" t="inlineStr">
        <is>
          <t>Printer Ink</t>
        </is>
      </c>
      <c r="H2923" s="7" t="inlineStr">
        <is>
          <t>Consumer</t>
        </is>
      </c>
      <c r="I2923" s="7" t="n">
        <v>7</v>
      </c>
      <c r="J2923" s="10" t="n">
        <v>61.47</v>
      </c>
      <c r="K2923" s="11" t="n">
        <v>0</v>
      </c>
      <c r="L2923" s="10">
        <f>I2923*J2923*(1-K2923)</f>
        <v/>
      </c>
      <c r="M2923" s="10" t="n">
        <v>252</v>
      </c>
      <c r="N2923" s="10">
        <f>L2923-M2923</f>
        <v/>
      </c>
    </row>
    <row r="2924">
      <c r="A2924" s="7" t="inlineStr">
        <is>
          <t>ORD-04579</t>
        </is>
      </c>
      <c r="B2924" s="8" t="n">
        <v>45556</v>
      </c>
      <c r="C2924" s="9" t="n">
        <v>45536</v>
      </c>
      <c r="D2924" s="7" t="n">
        <v>2024</v>
      </c>
      <c r="E2924" s="7" t="inlineStr">
        <is>
          <t>West</t>
        </is>
      </c>
      <c r="F2924" s="7" t="inlineStr">
        <is>
          <t>Technology</t>
        </is>
      </c>
      <c r="G2924" s="7" t="inlineStr">
        <is>
          <t>Laptop</t>
        </is>
      </c>
      <c r="H2924" s="7" t="inlineStr">
        <is>
          <t>Consumer</t>
        </is>
      </c>
      <c r="I2924" s="7" t="n">
        <v>2</v>
      </c>
      <c r="J2924" s="10" t="n">
        <v>916.98</v>
      </c>
      <c r="K2924" s="11" t="n">
        <v>0.3</v>
      </c>
      <c r="L2924" s="10">
        <f>I2924*J2924*(1-K2924)</f>
        <v/>
      </c>
      <c r="M2924" s="10" t="n">
        <v>1404</v>
      </c>
      <c r="N2924" s="10">
        <f>L2924-M2924</f>
        <v/>
      </c>
    </row>
    <row r="2925">
      <c r="A2925" s="7" t="inlineStr">
        <is>
          <t>ORD-05589</t>
        </is>
      </c>
      <c r="B2925" s="8" t="n">
        <v>45556</v>
      </c>
      <c r="C2925" s="9" t="n">
        <v>45536</v>
      </c>
      <c r="D2925" s="7" t="n">
        <v>2024</v>
      </c>
      <c r="E2925" s="7" t="inlineStr">
        <is>
          <t>West</t>
        </is>
      </c>
      <c r="F2925" s="7" t="inlineStr">
        <is>
          <t>Technology</t>
        </is>
      </c>
      <c r="G2925" s="7" t="inlineStr">
        <is>
          <t>Keyboard</t>
        </is>
      </c>
      <c r="H2925" s="7" t="inlineStr">
        <is>
          <t>Corporate</t>
        </is>
      </c>
      <c r="I2925" s="7" t="n">
        <v>1</v>
      </c>
      <c r="J2925" s="10" t="n">
        <v>44.82</v>
      </c>
      <c r="K2925" s="11" t="n">
        <v>0</v>
      </c>
      <c r="L2925" s="10">
        <f>I2925*J2925*(1-K2925)</f>
        <v/>
      </c>
      <c r="M2925" s="10" t="n">
        <v>24.75</v>
      </c>
      <c r="N2925" s="10">
        <f>L2925-M2925</f>
        <v/>
      </c>
    </row>
    <row r="2926">
      <c r="A2926" s="7" t="inlineStr">
        <is>
          <t>ORD-02007</t>
        </is>
      </c>
      <c r="B2926" s="8" t="n">
        <v>45556</v>
      </c>
      <c r="C2926" s="9" t="n">
        <v>45536</v>
      </c>
      <c r="D2926" s="7" t="n">
        <v>2024</v>
      </c>
      <c r="E2926" s="7" t="inlineStr">
        <is>
          <t>East</t>
        </is>
      </c>
      <c r="F2926" s="7" t="inlineStr">
        <is>
          <t>Office Supplies</t>
        </is>
      </c>
      <c r="G2926" s="7" t="inlineStr">
        <is>
          <t>Binder</t>
        </is>
      </c>
      <c r="H2926" s="7" t="inlineStr">
        <is>
          <t>Home Office</t>
        </is>
      </c>
      <c r="I2926" s="7" t="n">
        <v>6</v>
      </c>
      <c r="J2926" s="10" t="n">
        <v>8.359999999999999</v>
      </c>
      <c r="K2926" s="11" t="n">
        <v>0.2</v>
      </c>
      <c r="L2926" s="10">
        <f>I2926*J2926*(1-K2926)</f>
        <v/>
      </c>
      <c r="M2926" s="10" t="n">
        <v>19.2</v>
      </c>
      <c r="N2926" s="10">
        <f>L2926-M2926</f>
        <v/>
      </c>
    </row>
    <row r="2927">
      <c r="A2927" s="7" t="inlineStr">
        <is>
          <t>ORD-00622</t>
        </is>
      </c>
      <c r="B2927" s="8" t="n">
        <v>45556</v>
      </c>
      <c r="C2927" s="9" t="n">
        <v>45536</v>
      </c>
      <c r="D2927" s="7" t="n">
        <v>2024</v>
      </c>
      <c r="E2927" s="7" t="inlineStr">
        <is>
          <t>West</t>
        </is>
      </c>
      <c r="F2927" s="7" t="inlineStr">
        <is>
          <t>Office Supplies</t>
        </is>
      </c>
      <c r="G2927" s="7" t="inlineStr">
        <is>
          <t>Pens</t>
        </is>
      </c>
      <c r="H2927" s="7" t="inlineStr">
        <is>
          <t>Corporate</t>
        </is>
      </c>
      <c r="I2927" s="7" t="n">
        <v>12</v>
      </c>
      <c r="J2927" s="10" t="n">
        <v>12.27</v>
      </c>
      <c r="K2927" s="11" t="n">
        <v>0.05</v>
      </c>
      <c r="L2927" s="10">
        <f>I2927*J2927*(1-K2927)</f>
        <v/>
      </c>
      <c r="M2927" s="10" t="n">
        <v>64.8</v>
      </c>
      <c r="N2927" s="10">
        <f>L2927-M2927</f>
        <v/>
      </c>
    </row>
    <row r="2928">
      <c r="A2928" s="7" t="inlineStr">
        <is>
          <t>ORD-04448</t>
        </is>
      </c>
      <c r="B2928" s="8" t="n">
        <v>45556</v>
      </c>
      <c r="C2928" s="9" t="n">
        <v>45536</v>
      </c>
      <c r="D2928" s="7" t="n">
        <v>2024</v>
      </c>
      <c r="E2928" s="7" t="inlineStr">
        <is>
          <t>West</t>
        </is>
      </c>
      <c r="F2928" s="7" t="inlineStr">
        <is>
          <t>Office Supplies</t>
        </is>
      </c>
      <c r="G2928" s="7" t="inlineStr">
        <is>
          <t>Pens</t>
        </is>
      </c>
      <c r="H2928" s="7" t="inlineStr">
        <is>
          <t>Consumer</t>
        </is>
      </c>
      <c r="I2928" s="7" t="n">
        <v>4</v>
      </c>
      <c r="J2928" s="10" t="n">
        <v>12.09</v>
      </c>
      <c r="K2928" s="11" t="n">
        <v>0</v>
      </c>
      <c r="L2928" s="10">
        <f>I2928*J2928*(1-K2928)</f>
        <v/>
      </c>
      <c r="M2928" s="10" t="n">
        <v>21.6</v>
      </c>
      <c r="N2928" s="10">
        <f>L2928-M2928</f>
        <v/>
      </c>
    </row>
    <row r="2929">
      <c r="A2929" s="7" t="inlineStr">
        <is>
          <t>ORD-01078</t>
        </is>
      </c>
      <c r="B2929" s="8" t="n">
        <v>45556</v>
      </c>
      <c r="C2929" s="9" t="n">
        <v>45536</v>
      </c>
      <c r="D2929" s="7" t="n">
        <v>2024</v>
      </c>
      <c r="E2929" s="7" t="inlineStr">
        <is>
          <t>North</t>
        </is>
      </c>
      <c r="F2929" s="7" t="inlineStr">
        <is>
          <t>Office Supplies</t>
        </is>
      </c>
      <c r="G2929" s="7" t="inlineStr">
        <is>
          <t>Pens</t>
        </is>
      </c>
      <c r="H2929" s="7" t="inlineStr">
        <is>
          <t>Corporate</t>
        </is>
      </c>
      <c r="I2929" s="7" t="n">
        <v>6</v>
      </c>
      <c r="J2929" s="10" t="n">
        <v>11.81</v>
      </c>
      <c r="K2929" s="11" t="n">
        <v>0</v>
      </c>
      <c r="L2929" s="10">
        <f>I2929*J2929*(1-K2929)</f>
        <v/>
      </c>
      <c r="M2929" s="10" t="n">
        <v>32.4</v>
      </c>
      <c r="N2929" s="10">
        <f>L2929-M2929</f>
        <v/>
      </c>
    </row>
    <row r="2930">
      <c r="A2930" s="7" t="inlineStr">
        <is>
          <t>ORD-05422</t>
        </is>
      </c>
      <c r="B2930" s="8" t="n">
        <v>45556</v>
      </c>
      <c r="C2930" s="9" t="n">
        <v>45536</v>
      </c>
      <c r="D2930" s="7" t="n">
        <v>2024</v>
      </c>
      <c r="E2930" s="7" t="inlineStr">
        <is>
          <t>West</t>
        </is>
      </c>
      <c r="F2930" s="7" t="inlineStr">
        <is>
          <t>Technology</t>
        </is>
      </c>
      <c r="G2930" s="7" t="inlineStr">
        <is>
          <t>Laptop</t>
        </is>
      </c>
      <c r="H2930" s="7" t="inlineStr">
        <is>
          <t>Corporate</t>
        </is>
      </c>
      <c r="I2930" s="7" t="n">
        <v>1</v>
      </c>
      <c r="J2930" s="10" t="n">
        <v>872.3200000000001</v>
      </c>
      <c r="K2930" s="11" t="n">
        <v>0</v>
      </c>
      <c r="L2930" s="10">
        <f>I2930*J2930*(1-K2930)</f>
        <v/>
      </c>
      <c r="M2930" s="10" t="n">
        <v>702</v>
      </c>
      <c r="N2930" s="10">
        <f>L2930-M2930</f>
        <v/>
      </c>
    </row>
    <row r="2931">
      <c r="A2931" s="7" t="inlineStr">
        <is>
          <t>ORD-00142</t>
        </is>
      </c>
      <c r="B2931" s="8" t="n">
        <v>45557</v>
      </c>
      <c r="C2931" s="9" t="n">
        <v>45536</v>
      </c>
      <c r="D2931" s="7" t="n">
        <v>2024</v>
      </c>
      <c r="E2931" s="7" t="inlineStr">
        <is>
          <t>West</t>
        </is>
      </c>
      <c r="F2931" s="7" t="inlineStr">
        <is>
          <t>Office Supplies</t>
        </is>
      </c>
      <c r="G2931" s="7" t="inlineStr">
        <is>
          <t>Paper</t>
        </is>
      </c>
      <c r="H2931" s="7" t="inlineStr">
        <is>
          <t>Corporate</t>
        </is>
      </c>
      <c r="I2931" s="7" t="n">
        <v>10</v>
      </c>
      <c r="J2931" s="10" t="n">
        <v>25.54</v>
      </c>
      <c r="K2931" s="11" t="n">
        <v>0</v>
      </c>
      <c r="L2931" s="10">
        <f>I2931*J2931*(1-K2931)</f>
        <v/>
      </c>
      <c r="M2931" s="10" t="n">
        <v>125</v>
      </c>
      <c r="N2931" s="10">
        <f>L2931-M2931</f>
        <v/>
      </c>
    </row>
    <row r="2932">
      <c r="A2932" s="7" t="inlineStr">
        <is>
          <t>ORD-00959</t>
        </is>
      </c>
      <c r="B2932" s="8" t="n">
        <v>45557</v>
      </c>
      <c r="C2932" s="9" t="n">
        <v>45536</v>
      </c>
      <c r="D2932" s="7" t="n">
        <v>2024</v>
      </c>
      <c r="E2932" s="7" t="inlineStr">
        <is>
          <t>East</t>
        </is>
      </c>
      <c r="F2932" s="7" t="inlineStr">
        <is>
          <t>Office Supplies</t>
        </is>
      </c>
      <c r="G2932" s="7" t="inlineStr">
        <is>
          <t>Binder</t>
        </is>
      </c>
      <c r="H2932" s="7" t="inlineStr">
        <is>
          <t>Home Office</t>
        </is>
      </c>
      <c r="I2932" s="7" t="n">
        <v>9</v>
      </c>
      <c r="J2932" s="10" t="n">
        <v>8.06</v>
      </c>
      <c r="K2932" s="11" t="n">
        <v>0</v>
      </c>
      <c r="L2932" s="10">
        <f>I2932*J2932*(1-K2932)</f>
        <v/>
      </c>
      <c r="M2932" s="10" t="n">
        <v>28.8</v>
      </c>
      <c r="N2932" s="10">
        <f>L2932-M2932</f>
        <v/>
      </c>
    </row>
    <row r="2933">
      <c r="A2933" s="7" t="inlineStr">
        <is>
          <t>ORD-05270</t>
        </is>
      </c>
      <c r="B2933" s="8" t="n">
        <v>45557</v>
      </c>
      <c r="C2933" s="9" t="n">
        <v>45536</v>
      </c>
      <c r="D2933" s="7" t="n">
        <v>2024</v>
      </c>
      <c r="E2933" s="7" t="inlineStr">
        <is>
          <t>West</t>
        </is>
      </c>
      <c r="F2933" s="7" t="inlineStr">
        <is>
          <t>Office Supplies</t>
        </is>
      </c>
      <c r="G2933" s="7" t="inlineStr">
        <is>
          <t>Stapler</t>
        </is>
      </c>
      <c r="H2933" s="7" t="inlineStr">
        <is>
          <t>Corporate</t>
        </is>
      </c>
      <c r="I2933" s="7" t="n">
        <v>5</v>
      </c>
      <c r="J2933" s="10" t="n">
        <v>15.09</v>
      </c>
      <c r="K2933" s="11" t="n">
        <v>0</v>
      </c>
      <c r="L2933" s="10">
        <f>I2933*J2933*(1-K2933)</f>
        <v/>
      </c>
      <c r="M2933" s="10" t="n">
        <v>37.5</v>
      </c>
      <c r="N2933" s="10">
        <f>L2933-M2933</f>
        <v/>
      </c>
    </row>
    <row r="2934">
      <c r="A2934" s="7" t="inlineStr">
        <is>
          <t>ORD-00558</t>
        </is>
      </c>
      <c r="B2934" s="8" t="n">
        <v>45557</v>
      </c>
      <c r="C2934" s="9" t="n">
        <v>45536</v>
      </c>
      <c r="D2934" s="7" t="n">
        <v>2024</v>
      </c>
      <c r="E2934" s="7" t="inlineStr">
        <is>
          <t>West</t>
        </is>
      </c>
      <c r="F2934" s="7" t="inlineStr">
        <is>
          <t>Technology</t>
        </is>
      </c>
      <c r="G2934" s="7" t="inlineStr">
        <is>
          <t>Keyboard</t>
        </is>
      </c>
      <c r="H2934" s="7" t="inlineStr">
        <is>
          <t>Consumer</t>
        </is>
      </c>
      <c r="I2934" s="7" t="n">
        <v>3</v>
      </c>
      <c r="J2934" s="10" t="n">
        <v>45.96</v>
      </c>
      <c r="K2934" s="11" t="n">
        <v>0</v>
      </c>
      <c r="L2934" s="10">
        <f>I2934*J2934*(1-K2934)</f>
        <v/>
      </c>
      <c r="M2934" s="10" t="n">
        <v>74.25</v>
      </c>
      <c r="N2934" s="10">
        <f>L2934-M2934</f>
        <v/>
      </c>
    </row>
    <row r="2935">
      <c r="A2935" s="7" t="inlineStr">
        <is>
          <t>ORD-03183</t>
        </is>
      </c>
      <c r="B2935" s="8" t="n">
        <v>45558</v>
      </c>
      <c r="C2935" s="9" t="n">
        <v>45536</v>
      </c>
      <c r="D2935" s="7" t="n">
        <v>2024</v>
      </c>
      <c r="E2935" s="7" t="inlineStr">
        <is>
          <t>East</t>
        </is>
      </c>
      <c r="F2935" s="7" t="inlineStr">
        <is>
          <t>Office Supplies</t>
        </is>
      </c>
      <c r="G2935" s="7" t="inlineStr">
        <is>
          <t>Pens</t>
        </is>
      </c>
      <c r="H2935" s="7" t="inlineStr">
        <is>
          <t>Corporate</t>
        </is>
      </c>
      <c r="I2935" s="7" t="n">
        <v>7</v>
      </c>
      <c r="J2935" s="10" t="n">
        <v>11.53</v>
      </c>
      <c r="K2935" s="11" t="n">
        <v>0.05</v>
      </c>
      <c r="L2935" s="10">
        <f>I2935*J2935*(1-K2935)</f>
        <v/>
      </c>
      <c r="M2935" s="10" t="n">
        <v>37.8</v>
      </c>
      <c r="N2935" s="10">
        <f>L2935-M2935</f>
        <v/>
      </c>
    </row>
    <row r="2936">
      <c r="A2936" s="7" t="inlineStr">
        <is>
          <t>ORD-01822</t>
        </is>
      </c>
      <c r="B2936" s="8" t="n">
        <v>45558</v>
      </c>
      <c r="C2936" s="9" t="n">
        <v>45536</v>
      </c>
      <c r="D2936" s="7" t="n">
        <v>2024</v>
      </c>
      <c r="E2936" s="7" t="inlineStr">
        <is>
          <t>East</t>
        </is>
      </c>
      <c r="F2936" s="7" t="inlineStr">
        <is>
          <t>Technology</t>
        </is>
      </c>
      <c r="G2936" s="7" t="inlineStr">
        <is>
          <t>Headphones</t>
        </is>
      </c>
      <c r="H2936" s="7" t="inlineStr">
        <is>
          <t>Home Office</t>
        </is>
      </c>
      <c r="I2936" s="7" t="n">
        <v>2</v>
      </c>
      <c r="J2936" s="10" t="n">
        <v>123.14</v>
      </c>
      <c r="K2936" s="11" t="n">
        <v>0</v>
      </c>
      <c r="L2936" s="10">
        <f>I2936*J2936*(1-K2936)</f>
        <v/>
      </c>
      <c r="M2936" s="10" t="n">
        <v>144</v>
      </c>
      <c r="N2936" s="10">
        <f>L2936-M2936</f>
        <v/>
      </c>
    </row>
    <row r="2937">
      <c r="A2937" s="7" t="inlineStr">
        <is>
          <t>ORD-03294</t>
        </is>
      </c>
      <c r="B2937" s="8" t="n">
        <v>45558</v>
      </c>
      <c r="C2937" s="9" t="n">
        <v>45536</v>
      </c>
      <c r="D2937" s="7" t="n">
        <v>2024</v>
      </c>
      <c r="E2937" s="7" t="inlineStr">
        <is>
          <t>West</t>
        </is>
      </c>
      <c r="F2937" s="7" t="inlineStr">
        <is>
          <t>Technology</t>
        </is>
      </c>
      <c r="G2937" s="7" t="inlineStr">
        <is>
          <t>Smartphone</t>
        </is>
      </c>
      <c r="H2937" s="7" t="inlineStr">
        <is>
          <t>Corporate</t>
        </is>
      </c>
      <c r="I2937" s="7" t="n">
        <v>2</v>
      </c>
      <c r="J2937" s="10" t="n">
        <v>595.67</v>
      </c>
      <c r="K2937" s="11" t="n">
        <v>0</v>
      </c>
      <c r="L2937" s="10">
        <f>I2937*J2937*(1-K2937)</f>
        <v/>
      </c>
      <c r="M2937" s="10" t="n">
        <v>900</v>
      </c>
      <c r="N2937" s="10">
        <f>L2937-M2937</f>
        <v/>
      </c>
    </row>
    <row r="2938">
      <c r="A2938" s="7" t="inlineStr">
        <is>
          <t>ORD-03776</t>
        </is>
      </c>
      <c r="B2938" s="8" t="n">
        <v>45558</v>
      </c>
      <c r="C2938" s="9" t="n">
        <v>45536</v>
      </c>
      <c r="D2938" s="7" t="n">
        <v>2024</v>
      </c>
      <c r="E2938" s="7" t="inlineStr">
        <is>
          <t>West</t>
        </is>
      </c>
      <c r="F2938" s="7" t="inlineStr">
        <is>
          <t>Technology</t>
        </is>
      </c>
      <c r="G2938" s="7" t="inlineStr">
        <is>
          <t>Smartphone</t>
        </is>
      </c>
      <c r="H2938" s="7" t="inlineStr">
        <is>
          <t>Home Office</t>
        </is>
      </c>
      <c r="I2938" s="7" t="n">
        <v>2</v>
      </c>
      <c r="J2938" s="10" t="n">
        <v>576.0599999999999</v>
      </c>
      <c r="K2938" s="11" t="n">
        <v>0.05</v>
      </c>
      <c r="L2938" s="10">
        <f>I2938*J2938*(1-K2938)</f>
        <v/>
      </c>
      <c r="M2938" s="10" t="n">
        <v>900</v>
      </c>
      <c r="N2938" s="10">
        <f>L2938-M2938</f>
        <v/>
      </c>
    </row>
    <row r="2939">
      <c r="A2939" s="7" t="inlineStr">
        <is>
          <t>ORD-01149</t>
        </is>
      </c>
      <c r="B2939" s="8" t="n">
        <v>45558</v>
      </c>
      <c r="C2939" s="9" t="n">
        <v>45536</v>
      </c>
      <c r="D2939" s="7" t="n">
        <v>2024</v>
      </c>
      <c r="E2939" s="7" t="inlineStr">
        <is>
          <t>South</t>
        </is>
      </c>
      <c r="F2939" s="7" t="inlineStr">
        <is>
          <t>Furniture</t>
        </is>
      </c>
      <c r="G2939" s="7" t="inlineStr">
        <is>
          <t>Desk</t>
        </is>
      </c>
      <c r="H2939" s="7" t="inlineStr">
        <is>
          <t>Corporate</t>
        </is>
      </c>
      <c r="I2939" s="7" t="n">
        <v>4</v>
      </c>
      <c r="J2939" s="10" t="n">
        <v>433.51</v>
      </c>
      <c r="K2939" s="11" t="n">
        <v>0.05</v>
      </c>
      <c r="L2939" s="10">
        <f>I2939*J2939*(1-K2939)</f>
        <v/>
      </c>
      <c r="M2939" s="10" t="n">
        <v>1530</v>
      </c>
      <c r="N2939" s="10">
        <f>L2939-M2939</f>
        <v/>
      </c>
    </row>
    <row r="2940">
      <c r="A2940" s="7" t="inlineStr">
        <is>
          <t>ORD-02665</t>
        </is>
      </c>
      <c r="B2940" s="8" t="n">
        <v>45558</v>
      </c>
      <c r="C2940" s="9" t="n">
        <v>45536</v>
      </c>
      <c r="D2940" s="7" t="n">
        <v>2024</v>
      </c>
      <c r="E2940" s="7" t="inlineStr">
        <is>
          <t>West</t>
        </is>
      </c>
      <c r="F2940" s="7" t="inlineStr">
        <is>
          <t>Office Supplies</t>
        </is>
      </c>
      <c r="G2940" s="7" t="inlineStr">
        <is>
          <t>Printer Ink</t>
        </is>
      </c>
      <c r="H2940" s="7" t="inlineStr">
        <is>
          <t>Consumer</t>
        </is>
      </c>
      <c r="I2940" s="7" t="n">
        <v>2</v>
      </c>
      <c r="J2940" s="10" t="n">
        <v>58.12</v>
      </c>
      <c r="K2940" s="11" t="n">
        <v>0.1</v>
      </c>
      <c r="L2940" s="10">
        <f>I2940*J2940*(1-K2940)</f>
        <v/>
      </c>
      <c r="M2940" s="10" t="n">
        <v>72</v>
      </c>
      <c r="N2940" s="10">
        <f>L2940-M2940</f>
        <v/>
      </c>
    </row>
    <row r="2941">
      <c r="A2941" s="7" t="inlineStr">
        <is>
          <t>ORD-04791</t>
        </is>
      </c>
      <c r="B2941" s="8" t="n">
        <v>45558</v>
      </c>
      <c r="C2941" s="9" t="n">
        <v>45536</v>
      </c>
      <c r="D2941" s="7" t="n">
        <v>2024</v>
      </c>
      <c r="E2941" s="7" t="inlineStr">
        <is>
          <t>North</t>
        </is>
      </c>
      <c r="F2941" s="7" t="inlineStr">
        <is>
          <t>Office Supplies</t>
        </is>
      </c>
      <c r="G2941" s="7" t="inlineStr">
        <is>
          <t>Paper</t>
        </is>
      </c>
      <c r="H2941" s="7" t="inlineStr">
        <is>
          <t>Corporate</t>
        </is>
      </c>
      <c r="I2941" s="7" t="n">
        <v>4</v>
      </c>
      <c r="J2941" s="10" t="n">
        <v>24.83</v>
      </c>
      <c r="K2941" s="11" t="n">
        <v>0.1</v>
      </c>
      <c r="L2941" s="10">
        <f>I2941*J2941*(1-K2941)</f>
        <v/>
      </c>
      <c r="M2941" s="10" t="n">
        <v>50</v>
      </c>
      <c r="N2941" s="10">
        <f>L2941-M2941</f>
        <v/>
      </c>
    </row>
    <row r="2942">
      <c r="A2942" s="7" t="inlineStr">
        <is>
          <t>ORD-05885</t>
        </is>
      </c>
      <c r="B2942" s="8" t="n">
        <v>45559</v>
      </c>
      <c r="C2942" s="9" t="n">
        <v>45536</v>
      </c>
      <c r="D2942" s="7" t="n">
        <v>2024</v>
      </c>
      <c r="E2942" s="7" t="inlineStr">
        <is>
          <t>West</t>
        </is>
      </c>
      <c r="F2942" s="7" t="inlineStr">
        <is>
          <t>Office Supplies</t>
        </is>
      </c>
      <c r="G2942" s="7" t="inlineStr">
        <is>
          <t>Pens</t>
        </is>
      </c>
      <c r="H2942" s="7" t="inlineStr">
        <is>
          <t>Consumer</t>
        </is>
      </c>
      <c r="I2942" s="7" t="n">
        <v>8</v>
      </c>
      <c r="J2942" s="10" t="n">
        <v>12.52</v>
      </c>
      <c r="K2942" s="11" t="n">
        <v>0.05</v>
      </c>
      <c r="L2942" s="10">
        <f>I2942*J2942*(1-K2942)</f>
        <v/>
      </c>
      <c r="M2942" s="10" t="n">
        <v>43.2</v>
      </c>
      <c r="N2942" s="10">
        <f>L2942-M2942</f>
        <v/>
      </c>
    </row>
    <row r="2943">
      <c r="A2943" s="7" t="inlineStr">
        <is>
          <t>ORD-00359</t>
        </is>
      </c>
      <c r="B2943" s="8" t="n">
        <v>45559</v>
      </c>
      <c r="C2943" s="9" t="n">
        <v>45536</v>
      </c>
      <c r="D2943" s="7" t="n">
        <v>2024</v>
      </c>
      <c r="E2943" s="7" t="inlineStr">
        <is>
          <t>East</t>
        </is>
      </c>
      <c r="F2943" s="7" t="inlineStr">
        <is>
          <t>Technology</t>
        </is>
      </c>
      <c r="G2943" s="7" t="inlineStr">
        <is>
          <t>Monitor</t>
        </is>
      </c>
      <c r="H2943" s="7" t="inlineStr">
        <is>
          <t>Home Office</t>
        </is>
      </c>
      <c r="I2943" s="7" t="n">
        <v>2</v>
      </c>
      <c r="J2943" s="10" t="n">
        <v>251.03</v>
      </c>
      <c r="K2943" s="11" t="n">
        <v>0</v>
      </c>
      <c r="L2943" s="10">
        <f>I2943*J2943*(1-K2943)</f>
        <v/>
      </c>
      <c r="M2943" s="10" t="n">
        <v>360</v>
      </c>
      <c r="N2943" s="10">
        <f>L2943-M2943</f>
        <v/>
      </c>
    </row>
    <row r="2944">
      <c r="A2944" s="7" t="inlineStr">
        <is>
          <t>ORD-02802</t>
        </is>
      </c>
      <c r="B2944" s="8" t="n">
        <v>45559</v>
      </c>
      <c r="C2944" s="9" t="n">
        <v>45536</v>
      </c>
      <c r="D2944" s="7" t="n">
        <v>2024</v>
      </c>
      <c r="E2944" s="7" t="inlineStr">
        <is>
          <t>West</t>
        </is>
      </c>
      <c r="F2944" s="7" t="inlineStr">
        <is>
          <t>Office Supplies</t>
        </is>
      </c>
      <c r="G2944" s="7" t="inlineStr">
        <is>
          <t>Stapler</t>
        </is>
      </c>
      <c r="H2944" s="7" t="inlineStr">
        <is>
          <t>Corporate</t>
        </is>
      </c>
      <c r="I2944" s="7" t="n">
        <v>7</v>
      </c>
      <c r="J2944" s="10" t="n">
        <v>15</v>
      </c>
      <c r="K2944" s="11" t="n">
        <v>0</v>
      </c>
      <c r="L2944" s="10">
        <f>I2944*J2944*(1-K2944)</f>
        <v/>
      </c>
      <c r="M2944" s="10" t="n">
        <v>52.5</v>
      </c>
      <c r="N2944" s="10">
        <f>L2944-M2944</f>
        <v/>
      </c>
    </row>
    <row r="2945">
      <c r="A2945" s="7" t="inlineStr">
        <is>
          <t>ORD-04544</t>
        </is>
      </c>
      <c r="B2945" s="8" t="n">
        <v>45560</v>
      </c>
      <c r="C2945" s="9" t="n">
        <v>45536</v>
      </c>
      <c r="D2945" s="7" t="n">
        <v>2024</v>
      </c>
      <c r="E2945" s="7" t="inlineStr">
        <is>
          <t>South</t>
        </is>
      </c>
      <c r="F2945" s="7" t="inlineStr">
        <is>
          <t>Technology</t>
        </is>
      </c>
      <c r="G2945" s="7" t="inlineStr">
        <is>
          <t>Keyboard</t>
        </is>
      </c>
      <c r="H2945" s="7" t="inlineStr">
        <is>
          <t>Home Office</t>
        </is>
      </c>
      <c r="I2945" s="7" t="n">
        <v>2</v>
      </c>
      <c r="J2945" s="10" t="n">
        <v>46.27</v>
      </c>
      <c r="K2945" s="11" t="n">
        <v>0.3</v>
      </c>
      <c r="L2945" s="10">
        <f>I2945*J2945*(1-K2945)</f>
        <v/>
      </c>
      <c r="M2945" s="10" t="n">
        <v>49.5</v>
      </c>
      <c r="N2945" s="10">
        <f>L2945-M2945</f>
        <v/>
      </c>
    </row>
    <row r="2946">
      <c r="A2946" s="7" t="inlineStr">
        <is>
          <t>ORD-05758</t>
        </is>
      </c>
      <c r="B2946" s="8" t="n">
        <v>45560</v>
      </c>
      <c r="C2946" s="9" t="n">
        <v>45536</v>
      </c>
      <c r="D2946" s="7" t="n">
        <v>2024</v>
      </c>
      <c r="E2946" s="7" t="inlineStr">
        <is>
          <t>East</t>
        </is>
      </c>
      <c r="F2946" s="7" t="inlineStr">
        <is>
          <t>Technology</t>
        </is>
      </c>
      <c r="G2946" s="7" t="inlineStr">
        <is>
          <t>Smartphone</t>
        </is>
      </c>
      <c r="H2946" s="7" t="inlineStr">
        <is>
          <t>Home Office</t>
        </is>
      </c>
      <c r="I2946" s="7" t="n">
        <v>2</v>
      </c>
      <c r="J2946" s="10" t="n">
        <v>628.02</v>
      </c>
      <c r="K2946" s="11" t="n">
        <v>0</v>
      </c>
      <c r="L2946" s="10">
        <f>I2946*J2946*(1-K2946)</f>
        <v/>
      </c>
      <c r="M2946" s="10" t="n">
        <v>900</v>
      </c>
      <c r="N2946" s="10">
        <f>L2946-M2946</f>
        <v/>
      </c>
    </row>
    <row r="2947">
      <c r="A2947" s="7" t="inlineStr">
        <is>
          <t>ORD-04190</t>
        </is>
      </c>
      <c r="B2947" s="8" t="n">
        <v>45560</v>
      </c>
      <c r="C2947" s="9" t="n">
        <v>45536</v>
      </c>
      <c r="D2947" s="7" t="n">
        <v>2024</v>
      </c>
      <c r="E2947" s="7" t="inlineStr">
        <is>
          <t>West</t>
        </is>
      </c>
      <c r="F2947" s="7" t="inlineStr">
        <is>
          <t>Office Supplies</t>
        </is>
      </c>
      <c r="G2947" s="7" t="inlineStr">
        <is>
          <t>Binder</t>
        </is>
      </c>
      <c r="H2947" s="7" t="inlineStr">
        <is>
          <t>Consumer</t>
        </is>
      </c>
      <c r="I2947" s="7" t="n">
        <v>12</v>
      </c>
      <c r="J2947" s="10" t="n">
        <v>8.17</v>
      </c>
      <c r="K2947" s="11" t="n">
        <v>0.1</v>
      </c>
      <c r="L2947" s="10">
        <f>I2947*J2947*(1-K2947)</f>
        <v/>
      </c>
      <c r="M2947" s="10" t="n">
        <v>38.4</v>
      </c>
      <c r="N2947" s="10">
        <f>L2947-M2947</f>
        <v/>
      </c>
    </row>
    <row r="2948">
      <c r="A2948" s="7" t="inlineStr">
        <is>
          <t>ORD-03979</t>
        </is>
      </c>
      <c r="B2948" s="8" t="n">
        <v>45560</v>
      </c>
      <c r="C2948" s="9" t="n">
        <v>45536</v>
      </c>
      <c r="D2948" s="7" t="n">
        <v>2024</v>
      </c>
      <c r="E2948" s="7" t="inlineStr">
        <is>
          <t>West</t>
        </is>
      </c>
      <c r="F2948" s="7" t="inlineStr">
        <is>
          <t>Technology</t>
        </is>
      </c>
      <c r="G2948" s="7" t="inlineStr">
        <is>
          <t>Laptop</t>
        </is>
      </c>
      <c r="H2948" s="7" t="inlineStr">
        <is>
          <t>Consumer</t>
        </is>
      </c>
      <c r="I2948" s="7" t="n">
        <v>1</v>
      </c>
      <c r="J2948" s="10" t="n">
        <v>873.49</v>
      </c>
      <c r="K2948" s="11" t="n">
        <v>0.05</v>
      </c>
      <c r="L2948" s="10">
        <f>I2948*J2948*(1-K2948)</f>
        <v/>
      </c>
      <c r="M2948" s="10" t="n">
        <v>702</v>
      </c>
      <c r="N2948" s="10">
        <f>L2948-M2948</f>
        <v/>
      </c>
    </row>
    <row r="2949">
      <c r="A2949" s="7" t="inlineStr">
        <is>
          <t>ORD-02613</t>
        </is>
      </c>
      <c r="B2949" s="8" t="n">
        <v>45560</v>
      </c>
      <c r="C2949" s="9" t="n">
        <v>45536</v>
      </c>
      <c r="D2949" s="7" t="n">
        <v>2024</v>
      </c>
      <c r="E2949" s="7" t="inlineStr">
        <is>
          <t>South</t>
        </is>
      </c>
      <c r="F2949" s="7" t="inlineStr">
        <is>
          <t>Furniture</t>
        </is>
      </c>
      <c r="G2949" s="7" t="inlineStr">
        <is>
          <t>Office Chair</t>
        </is>
      </c>
      <c r="H2949" s="7" t="inlineStr">
        <is>
          <t>Consumer</t>
        </is>
      </c>
      <c r="I2949" s="7" t="n">
        <v>4</v>
      </c>
      <c r="J2949" s="10" t="n">
        <v>217.07</v>
      </c>
      <c r="K2949" s="11" t="n">
        <v>0.1</v>
      </c>
      <c r="L2949" s="10">
        <f>I2949*J2949*(1-K2949)</f>
        <v/>
      </c>
      <c r="M2949" s="10" t="n">
        <v>721.6</v>
      </c>
      <c r="N2949" s="10">
        <f>L2949-M2949</f>
        <v/>
      </c>
    </row>
    <row r="2950">
      <c r="A2950" s="7" t="inlineStr">
        <is>
          <t>ORD-01830</t>
        </is>
      </c>
      <c r="B2950" s="8" t="n">
        <v>45560</v>
      </c>
      <c r="C2950" s="9" t="n">
        <v>45536</v>
      </c>
      <c r="D2950" s="7" t="n">
        <v>2024</v>
      </c>
      <c r="E2950" s="7" t="inlineStr">
        <is>
          <t>West</t>
        </is>
      </c>
      <c r="F2950" s="7" t="inlineStr">
        <is>
          <t>Office Supplies</t>
        </is>
      </c>
      <c r="G2950" s="7" t="inlineStr">
        <is>
          <t>Printer Ink</t>
        </is>
      </c>
      <c r="H2950" s="7" t="inlineStr">
        <is>
          <t>Consumer</t>
        </is>
      </c>
      <c r="I2950" s="7" t="n">
        <v>6</v>
      </c>
      <c r="J2950" s="10" t="n">
        <v>57.58</v>
      </c>
      <c r="K2950" s="11" t="n">
        <v>0</v>
      </c>
      <c r="L2950" s="10">
        <f>I2950*J2950*(1-K2950)</f>
        <v/>
      </c>
      <c r="M2950" s="10" t="n">
        <v>216</v>
      </c>
      <c r="N2950" s="10">
        <f>L2950-M2950</f>
        <v/>
      </c>
    </row>
    <row r="2951">
      <c r="A2951" s="7" t="inlineStr">
        <is>
          <t>ORD-00560</t>
        </is>
      </c>
      <c r="B2951" s="8" t="n">
        <v>45560</v>
      </c>
      <c r="C2951" s="9" t="n">
        <v>45536</v>
      </c>
      <c r="D2951" s="7" t="n">
        <v>2024</v>
      </c>
      <c r="E2951" s="7" t="inlineStr">
        <is>
          <t>West</t>
        </is>
      </c>
      <c r="F2951" s="7" t="inlineStr">
        <is>
          <t>Office Supplies</t>
        </is>
      </c>
      <c r="G2951" s="7" t="inlineStr">
        <is>
          <t>Pens</t>
        </is>
      </c>
      <c r="H2951" s="7" t="inlineStr">
        <is>
          <t>Consumer</t>
        </is>
      </c>
      <c r="I2951" s="7" t="n">
        <v>5</v>
      </c>
      <c r="J2951" s="10" t="n">
        <v>12.32</v>
      </c>
      <c r="K2951" s="11" t="n">
        <v>0</v>
      </c>
      <c r="L2951" s="10">
        <f>I2951*J2951*(1-K2951)</f>
        <v/>
      </c>
      <c r="M2951" s="10" t="n">
        <v>27</v>
      </c>
      <c r="N2951" s="10">
        <f>L2951-M2951</f>
        <v/>
      </c>
    </row>
    <row r="2952">
      <c r="A2952" s="7" t="inlineStr">
        <is>
          <t>ORD-01570</t>
        </is>
      </c>
      <c r="B2952" s="8" t="n">
        <v>45561</v>
      </c>
      <c r="C2952" s="9" t="n">
        <v>45536</v>
      </c>
      <c r="D2952" s="7" t="n">
        <v>2024</v>
      </c>
      <c r="E2952" s="7" t="inlineStr">
        <is>
          <t>North</t>
        </is>
      </c>
      <c r="F2952" s="7" t="inlineStr">
        <is>
          <t>Office Supplies</t>
        </is>
      </c>
      <c r="G2952" s="7" t="inlineStr">
        <is>
          <t>Printer Ink</t>
        </is>
      </c>
      <c r="H2952" s="7" t="inlineStr">
        <is>
          <t>Home Office</t>
        </is>
      </c>
      <c r="I2952" s="7" t="n">
        <v>10</v>
      </c>
      <c r="J2952" s="10" t="n">
        <v>58.42</v>
      </c>
      <c r="K2952" s="11" t="n">
        <v>0.2</v>
      </c>
      <c r="L2952" s="10">
        <f>I2952*J2952*(1-K2952)</f>
        <v/>
      </c>
      <c r="M2952" s="10" t="n">
        <v>360</v>
      </c>
      <c r="N2952" s="10">
        <f>L2952-M2952</f>
        <v/>
      </c>
    </row>
    <row r="2953">
      <c r="A2953" s="7" t="inlineStr">
        <is>
          <t>ORD-01921</t>
        </is>
      </c>
      <c r="B2953" s="8" t="n">
        <v>45561</v>
      </c>
      <c r="C2953" s="9" t="n">
        <v>45536</v>
      </c>
      <c r="D2953" s="7" t="n">
        <v>2024</v>
      </c>
      <c r="E2953" s="7" t="inlineStr">
        <is>
          <t>South</t>
        </is>
      </c>
      <c r="F2953" s="7" t="inlineStr">
        <is>
          <t>Technology</t>
        </is>
      </c>
      <c r="G2953" s="7" t="inlineStr">
        <is>
          <t>Smartphone</t>
        </is>
      </c>
      <c r="H2953" s="7" t="inlineStr">
        <is>
          <t>Corporate</t>
        </is>
      </c>
      <c r="I2953" s="7" t="n">
        <v>3</v>
      </c>
      <c r="J2953" s="10" t="n">
        <v>574</v>
      </c>
      <c r="K2953" s="11" t="n">
        <v>0</v>
      </c>
      <c r="L2953" s="10">
        <f>I2953*J2953*(1-K2953)</f>
        <v/>
      </c>
      <c r="M2953" s="10" t="n">
        <v>1350</v>
      </c>
      <c r="N2953" s="10">
        <f>L2953-M2953</f>
        <v/>
      </c>
    </row>
    <row r="2954">
      <c r="A2954" s="7" t="inlineStr">
        <is>
          <t>ORD-02616</t>
        </is>
      </c>
      <c r="B2954" s="8" t="n">
        <v>45561</v>
      </c>
      <c r="C2954" s="9" t="n">
        <v>45536</v>
      </c>
      <c r="D2954" s="7" t="n">
        <v>2024</v>
      </c>
      <c r="E2954" s="7" t="inlineStr">
        <is>
          <t>South</t>
        </is>
      </c>
      <c r="F2954" s="7" t="inlineStr">
        <is>
          <t>Technology</t>
        </is>
      </c>
      <c r="G2954" s="7" t="inlineStr">
        <is>
          <t>Keyboard</t>
        </is>
      </c>
      <c r="H2954" s="7" t="inlineStr">
        <is>
          <t>Consumer</t>
        </is>
      </c>
      <c r="I2954" s="7" t="n">
        <v>3</v>
      </c>
      <c r="J2954" s="10" t="n">
        <v>43.81</v>
      </c>
      <c r="K2954" s="11" t="n">
        <v>0.1</v>
      </c>
      <c r="L2954" s="10">
        <f>I2954*J2954*(1-K2954)</f>
        <v/>
      </c>
      <c r="M2954" s="10" t="n">
        <v>74.25</v>
      </c>
      <c r="N2954" s="10">
        <f>L2954-M2954</f>
        <v/>
      </c>
    </row>
    <row r="2955">
      <c r="A2955" s="7" t="inlineStr">
        <is>
          <t>ORD-04498</t>
        </is>
      </c>
      <c r="B2955" s="8" t="n">
        <v>45561</v>
      </c>
      <c r="C2955" s="9" t="n">
        <v>45536</v>
      </c>
      <c r="D2955" s="7" t="n">
        <v>2024</v>
      </c>
      <c r="E2955" s="7" t="inlineStr">
        <is>
          <t>South</t>
        </is>
      </c>
      <c r="F2955" s="7" t="inlineStr">
        <is>
          <t>Office Supplies</t>
        </is>
      </c>
      <c r="G2955" s="7" t="inlineStr">
        <is>
          <t>Binder</t>
        </is>
      </c>
      <c r="H2955" s="7" t="inlineStr">
        <is>
          <t>Corporate</t>
        </is>
      </c>
      <c r="I2955" s="7" t="n">
        <v>4</v>
      </c>
      <c r="J2955" s="10" t="n">
        <v>7.78</v>
      </c>
      <c r="K2955" s="11" t="n">
        <v>0.2</v>
      </c>
      <c r="L2955" s="10">
        <f>I2955*J2955*(1-K2955)</f>
        <v/>
      </c>
      <c r="M2955" s="10" t="n">
        <v>12.8</v>
      </c>
      <c r="N2955" s="10">
        <f>L2955-M2955</f>
        <v/>
      </c>
    </row>
    <row r="2956">
      <c r="A2956" s="7" t="inlineStr">
        <is>
          <t>ORD-03355</t>
        </is>
      </c>
      <c r="B2956" s="8" t="n">
        <v>45562</v>
      </c>
      <c r="C2956" s="9" t="n">
        <v>45536</v>
      </c>
      <c r="D2956" s="7" t="n">
        <v>2024</v>
      </c>
      <c r="E2956" s="7" t="inlineStr">
        <is>
          <t>South</t>
        </is>
      </c>
      <c r="F2956" s="7" t="inlineStr">
        <is>
          <t>Technology</t>
        </is>
      </c>
      <c r="G2956" s="7" t="inlineStr">
        <is>
          <t>Laptop</t>
        </is>
      </c>
      <c r="H2956" s="7" t="inlineStr">
        <is>
          <t>Consumer</t>
        </is>
      </c>
      <c r="I2956" s="7" t="n">
        <v>2</v>
      </c>
      <c r="J2956" s="10" t="n">
        <v>857.36</v>
      </c>
      <c r="K2956" s="11" t="n">
        <v>0.05</v>
      </c>
      <c r="L2956" s="10">
        <f>I2956*J2956*(1-K2956)</f>
        <v/>
      </c>
      <c r="M2956" s="10" t="n">
        <v>1404</v>
      </c>
      <c r="N2956" s="10">
        <f>L2956-M2956</f>
        <v/>
      </c>
    </row>
    <row r="2957">
      <c r="A2957" s="7" t="inlineStr">
        <is>
          <t>ORD-04007</t>
        </is>
      </c>
      <c r="B2957" s="8" t="n">
        <v>45562</v>
      </c>
      <c r="C2957" s="9" t="n">
        <v>45536</v>
      </c>
      <c r="D2957" s="7" t="n">
        <v>2024</v>
      </c>
      <c r="E2957" s="7" t="inlineStr">
        <is>
          <t>East</t>
        </is>
      </c>
      <c r="F2957" s="7" t="inlineStr">
        <is>
          <t>Office Supplies</t>
        </is>
      </c>
      <c r="G2957" s="7" t="inlineStr">
        <is>
          <t>Binder</t>
        </is>
      </c>
      <c r="H2957" s="7" t="inlineStr">
        <is>
          <t>Corporate</t>
        </is>
      </c>
      <c r="I2957" s="7" t="n">
        <v>11</v>
      </c>
      <c r="J2957" s="10" t="n">
        <v>8.140000000000001</v>
      </c>
      <c r="K2957" s="11" t="n">
        <v>0.2</v>
      </c>
      <c r="L2957" s="10">
        <f>I2957*J2957*(1-K2957)</f>
        <v/>
      </c>
      <c r="M2957" s="10" t="n">
        <v>35.2</v>
      </c>
      <c r="N2957" s="10">
        <f>L2957-M2957</f>
        <v/>
      </c>
    </row>
    <row r="2958">
      <c r="A2958" s="7" t="inlineStr">
        <is>
          <t>ORD-00907</t>
        </is>
      </c>
      <c r="B2958" s="8" t="n">
        <v>45562</v>
      </c>
      <c r="C2958" s="9" t="n">
        <v>45536</v>
      </c>
      <c r="D2958" s="7" t="n">
        <v>2024</v>
      </c>
      <c r="E2958" s="7" t="inlineStr">
        <is>
          <t>South</t>
        </is>
      </c>
      <c r="F2958" s="7" t="inlineStr">
        <is>
          <t>Technology</t>
        </is>
      </c>
      <c r="G2958" s="7" t="inlineStr">
        <is>
          <t>Laptop</t>
        </is>
      </c>
      <c r="H2958" s="7" t="inlineStr">
        <is>
          <t>Corporate</t>
        </is>
      </c>
      <c r="I2958" s="7" t="n">
        <v>3</v>
      </c>
      <c r="J2958" s="10" t="n">
        <v>921.4400000000001</v>
      </c>
      <c r="K2958" s="11" t="n">
        <v>0.3</v>
      </c>
      <c r="L2958" s="10">
        <f>I2958*J2958*(1-K2958)</f>
        <v/>
      </c>
      <c r="M2958" s="10" t="n">
        <v>2106</v>
      </c>
      <c r="N2958" s="10">
        <f>L2958-M2958</f>
        <v/>
      </c>
    </row>
    <row r="2959">
      <c r="A2959" s="7" t="inlineStr">
        <is>
          <t>ORD-01725</t>
        </is>
      </c>
      <c r="B2959" s="8" t="n">
        <v>45562</v>
      </c>
      <c r="C2959" s="9" t="n">
        <v>45536</v>
      </c>
      <c r="D2959" s="7" t="n">
        <v>2024</v>
      </c>
      <c r="E2959" s="7" t="inlineStr">
        <is>
          <t>North</t>
        </is>
      </c>
      <c r="F2959" s="7" t="inlineStr">
        <is>
          <t>Technology</t>
        </is>
      </c>
      <c r="G2959" s="7" t="inlineStr">
        <is>
          <t>Keyboard</t>
        </is>
      </c>
      <c r="H2959" s="7" t="inlineStr">
        <is>
          <t>Home Office</t>
        </is>
      </c>
      <c r="I2959" s="7" t="n">
        <v>1</v>
      </c>
      <c r="J2959" s="10" t="n">
        <v>46.56</v>
      </c>
      <c r="K2959" s="11" t="n">
        <v>0</v>
      </c>
      <c r="L2959" s="10">
        <f>I2959*J2959*(1-K2959)</f>
        <v/>
      </c>
      <c r="M2959" s="10" t="n">
        <v>24.75</v>
      </c>
      <c r="N2959" s="10">
        <f>L2959-M2959</f>
        <v/>
      </c>
    </row>
    <row r="2960">
      <c r="A2960" s="7" t="inlineStr">
        <is>
          <t>ORD-03056</t>
        </is>
      </c>
      <c r="B2960" s="8" t="n">
        <v>45562</v>
      </c>
      <c r="C2960" s="9" t="n">
        <v>45536</v>
      </c>
      <c r="D2960" s="7" t="n">
        <v>2024</v>
      </c>
      <c r="E2960" s="7" t="inlineStr">
        <is>
          <t>North</t>
        </is>
      </c>
      <c r="F2960" s="7" t="inlineStr">
        <is>
          <t>Furniture</t>
        </is>
      </c>
      <c r="G2960" s="7" t="inlineStr">
        <is>
          <t>Desk</t>
        </is>
      </c>
      <c r="H2960" s="7" t="inlineStr">
        <is>
          <t>Home Office</t>
        </is>
      </c>
      <c r="I2960" s="7" t="n">
        <v>3</v>
      </c>
      <c r="J2960" s="10" t="n">
        <v>440.02</v>
      </c>
      <c r="K2960" s="11" t="n">
        <v>0.05</v>
      </c>
      <c r="L2960" s="10">
        <f>I2960*J2960*(1-K2960)</f>
        <v/>
      </c>
      <c r="M2960" s="10" t="n">
        <v>1147.5</v>
      </c>
      <c r="N2960" s="10">
        <f>L2960-M2960</f>
        <v/>
      </c>
    </row>
    <row r="2961">
      <c r="A2961" s="7" t="inlineStr">
        <is>
          <t>ORD-03507</t>
        </is>
      </c>
      <c r="B2961" s="8" t="n">
        <v>45563</v>
      </c>
      <c r="C2961" s="9" t="n">
        <v>45536</v>
      </c>
      <c r="D2961" s="7" t="n">
        <v>2024</v>
      </c>
      <c r="E2961" s="7" t="inlineStr">
        <is>
          <t>East</t>
        </is>
      </c>
      <c r="F2961" s="7" t="inlineStr">
        <is>
          <t>Furniture</t>
        </is>
      </c>
      <c r="G2961" s="7" t="inlineStr">
        <is>
          <t>Desk</t>
        </is>
      </c>
      <c r="H2961" s="7" t="inlineStr">
        <is>
          <t>Home Office</t>
        </is>
      </c>
      <c r="I2961" s="7" t="n">
        <v>2</v>
      </c>
      <c r="J2961" s="10" t="n">
        <v>429.69</v>
      </c>
      <c r="K2961" s="11" t="n">
        <v>0</v>
      </c>
      <c r="L2961" s="10">
        <f>I2961*J2961*(1-K2961)</f>
        <v/>
      </c>
      <c r="M2961" s="10" t="n">
        <v>765</v>
      </c>
      <c r="N2961" s="10">
        <f>L2961-M2961</f>
        <v/>
      </c>
    </row>
    <row r="2962">
      <c r="A2962" s="7" t="inlineStr">
        <is>
          <t>ORD-04475</t>
        </is>
      </c>
      <c r="B2962" s="8" t="n">
        <v>45563</v>
      </c>
      <c r="C2962" s="9" t="n">
        <v>45536</v>
      </c>
      <c r="D2962" s="7" t="n">
        <v>2024</v>
      </c>
      <c r="E2962" s="7" t="inlineStr">
        <is>
          <t>East</t>
        </is>
      </c>
      <c r="F2962" s="7" t="inlineStr">
        <is>
          <t>Office Supplies</t>
        </is>
      </c>
      <c r="G2962" s="7" t="inlineStr">
        <is>
          <t>Binder</t>
        </is>
      </c>
      <c r="H2962" s="7" t="inlineStr">
        <is>
          <t>Corporate</t>
        </is>
      </c>
      <c r="I2962" s="7" t="n">
        <v>11</v>
      </c>
      <c r="J2962" s="10" t="n">
        <v>7.99</v>
      </c>
      <c r="K2962" s="11" t="n">
        <v>0</v>
      </c>
      <c r="L2962" s="10">
        <f>I2962*J2962*(1-K2962)</f>
        <v/>
      </c>
      <c r="M2962" s="10" t="n">
        <v>35.2</v>
      </c>
      <c r="N2962" s="10">
        <f>L2962-M2962</f>
        <v/>
      </c>
    </row>
    <row r="2963">
      <c r="A2963" s="7" t="inlineStr">
        <is>
          <t>ORD-02632</t>
        </is>
      </c>
      <c r="B2963" s="8" t="n">
        <v>45563</v>
      </c>
      <c r="C2963" s="9" t="n">
        <v>45536</v>
      </c>
      <c r="D2963" s="7" t="n">
        <v>2024</v>
      </c>
      <c r="E2963" s="7" t="inlineStr">
        <is>
          <t>East</t>
        </is>
      </c>
      <c r="F2963" s="7" t="inlineStr">
        <is>
          <t>Office Supplies</t>
        </is>
      </c>
      <c r="G2963" s="7" t="inlineStr">
        <is>
          <t>Paper</t>
        </is>
      </c>
      <c r="H2963" s="7" t="inlineStr">
        <is>
          <t>Consumer</t>
        </is>
      </c>
      <c r="I2963" s="7" t="n">
        <v>8</v>
      </c>
      <c r="J2963" s="10" t="n">
        <v>26.1</v>
      </c>
      <c r="K2963" s="11" t="n">
        <v>0</v>
      </c>
      <c r="L2963" s="10">
        <f>I2963*J2963*(1-K2963)</f>
        <v/>
      </c>
      <c r="M2963" s="10" t="n">
        <v>100</v>
      </c>
      <c r="N2963" s="10">
        <f>L2963-M2963</f>
        <v/>
      </c>
    </row>
    <row r="2964">
      <c r="A2964" s="7" t="inlineStr">
        <is>
          <t>ORD-02319</t>
        </is>
      </c>
      <c r="B2964" s="8" t="n">
        <v>45563</v>
      </c>
      <c r="C2964" s="9" t="n">
        <v>45536</v>
      </c>
      <c r="D2964" s="7" t="n">
        <v>2024</v>
      </c>
      <c r="E2964" s="7" t="inlineStr">
        <is>
          <t>West</t>
        </is>
      </c>
      <c r="F2964" s="7" t="inlineStr">
        <is>
          <t>Office Supplies</t>
        </is>
      </c>
      <c r="G2964" s="7" t="inlineStr">
        <is>
          <t>Paper</t>
        </is>
      </c>
      <c r="H2964" s="7" t="inlineStr">
        <is>
          <t>Corporate</t>
        </is>
      </c>
      <c r="I2964" s="7" t="n">
        <v>11</v>
      </c>
      <c r="J2964" s="10" t="n">
        <v>26.21</v>
      </c>
      <c r="K2964" s="11" t="n">
        <v>0.2</v>
      </c>
      <c r="L2964" s="10">
        <f>I2964*J2964*(1-K2964)</f>
        <v/>
      </c>
      <c r="M2964" s="10" t="n">
        <v>137.5</v>
      </c>
      <c r="N2964" s="10">
        <f>L2964-M2964</f>
        <v/>
      </c>
    </row>
    <row r="2965">
      <c r="A2965" s="7" t="inlineStr">
        <is>
          <t>ORD-01321</t>
        </is>
      </c>
      <c r="B2965" s="8" t="n">
        <v>45563</v>
      </c>
      <c r="C2965" s="9" t="n">
        <v>45536</v>
      </c>
      <c r="D2965" s="7" t="n">
        <v>2024</v>
      </c>
      <c r="E2965" s="7" t="inlineStr">
        <is>
          <t>West</t>
        </is>
      </c>
      <c r="F2965" s="7" t="inlineStr">
        <is>
          <t>Technology</t>
        </is>
      </c>
      <c r="G2965" s="7" t="inlineStr">
        <is>
          <t>Keyboard</t>
        </is>
      </c>
      <c r="H2965" s="7" t="inlineStr">
        <is>
          <t>Consumer</t>
        </is>
      </c>
      <c r="I2965" s="7" t="n">
        <v>2</v>
      </c>
      <c r="J2965" s="10" t="n">
        <v>44.12</v>
      </c>
      <c r="K2965" s="11" t="n">
        <v>0.1</v>
      </c>
      <c r="L2965" s="10">
        <f>I2965*J2965*(1-K2965)</f>
        <v/>
      </c>
      <c r="M2965" s="10" t="n">
        <v>49.5</v>
      </c>
      <c r="N2965" s="10">
        <f>L2965-M2965</f>
        <v/>
      </c>
    </row>
    <row r="2966">
      <c r="A2966" s="7" t="inlineStr">
        <is>
          <t>ORD-04592</t>
        </is>
      </c>
      <c r="B2966" s="8" t="n">
        <v>45564</v>
      </c>
      <c r="C2966" s="9" t="n">
        <v>45536</v>
      </c>
      <c r="D2966" s="7" t="n">
        <v>2024</v>
      </c>
      <c r="E2966" s="7" t="inlineStr">
        <is>
          <t>South</t>
        </is>
      </c>
      <c r="F2966" s="7" t="inlineStr">
        <is>
          <t>Office Supplies</t>
        </is>
      </c>
      <c r="G2966" s="7" t="inlineStr">
        <is>
          <t>Paper</t>
        </is>
      </c>
      <c r="H2966" s="7" t="inlineStr">
        <is>
          <t>Corporate</t>
        </is>
      </c>
      <c r="I2966" s="7" t="n">
        <v>12</v>
      </c>
      <c r="J2966" s="10" t="n">
        <v>24.11</v>
      </c>
      <c r="K2966" s="11" t="n">
        <v>0</v>
      </c>
      <c r="L2966" s="10">
        <f>I2966*J2966*(1-K2966)</f>
        <v/>
      </c>
      <c r="M2966" s="10" t="n">
        <v>150</v>
      </c>
      <c r="N2966" s="10">
        <f>L2966-M2966</f>
        <v/>
      </c>
    </row>
    <row r="2967">
      <c r="A2967" s="7" t="inlineStr">
        <is>
          <t>ORD-01332</t>
        </is>
      </c>
      <c r="B2967" s="8" t="n">
        <v>45564</v>
      </c>
      <c r="C2967" s="9" t="n">
        <v>45536</v>
      </c>
      <c r="D2967" s="7" t="n">
        <v>2024</v>
      </c>
      <c r="E2967" s="7" t="inlineStr">
        <is>
          <t>North</t>
        </is>
      </c>
      <c r="F2967" s="7" t="inlineStr">
        <is>
          <t>Office Supplies</t>
        </is>
      </c>
      <c r="G2967" s="7" t="inlineStr">
        <is>
          <t>Binder</t>
        </is>
      </c>
      <c r="H2967" s="7" t="inlineStr">
        <is>
          <t>Consumer</t>
        </is>
      </c>
      <c r="I2967" s="7" t="n">
        <v>2</v>
      </c>
      <c r="J2967" s="10" t="n">
        <v>8.369999999999999</v>
      </c>
      <c r="K2967" s="11" t="n">
        <v>0</v>
      </c>
      <c r="L2967" s="10">
        <f>I2967*J2967*(1-K2967)</f>
        <v/>
      </c>
      <c r="M2967" s="10" t="n">
        <v>6.4</v>
      </c>
      <c r="N2967" s="10">
        <f>L2967-M2967</f>
        <v/>
      </c>
    </row>
    <row r="2968">
      <c r="A2968" s="7" t="inlineStr">
        <is>
          <t>ORD-00678</t>
        </is>
      </c>
      <c r="B2968" s="8" t="n">
        <v>45564</v>
      </c>
      <c r="C2968" s="9" t="n">
        <v>45536</v>
      </c>
      <c r="D2968" s="7" t="n">
        <v>2024</v>
      </c>
      <c r="E2968" s="7" t="inlineStr">
        <is>
          <t>North</t>
        </is>
      </c>
      <c r="F2968" s="7" t="inlineStr">
        <is>
          <t>Technology</t>
        </is>
      </c>
      <c r="G2968" s="7" t="inlineStr">
        <is>
          <t>Headphones</t>
        </is>
      </c>
      <c r="H2968" s="7" t="inlineStr">
        <is>
          <t>Corporate</t>
        </is>
      </c>
      <c r="I2968" s="7" t="n">
        <v>3</v>
      </c>
      <c r="J2968" s="10" t="n">
        <v>117.23</v>
      </c>
      <c r="K2968" s="11" t="n">
        <v>0.3</v>
      </c>
      <c r="L2968" s="10">
        <f>I2968*J2968*(1-K2968)</f>
        <v/>
      </c>
      <c r="M2968" s="10" t="n">
        <v>216</v>
      </c>
      <c r="N2968" s="10">
        <f>L2968-M2968</f>
        <v/>
      </c>
    </row>
    <row r="2969">
      <c r="A2969" s="7" t="inlineStr">
        <is>
          <t>ORD-03935</t>
        </is>
      </c>
      <c r="B2969" s="8" t="n">
        <v>45564</v>
      </c>
      <c r="C2969" s="9" t="n">
        <v>45536</v>
      </c>
      <c r="D2969" s="7" t="n">
        <v>2024</v>
      </c>
      <c r="E2969" s="7" t="inlineStr">
        <is>
          <t>North</t>
        </is>
      </c>
      <c r="F2969" s="7" t="inlineStr">
        <is>
          <t>Technology</t>
        </is>
      </c>
      <c r="G2969" s="7" t="inlineStr">
        <is>
          <t>Headphones</t>
        </is>
      </c>
      <c r="H2969" s="7" t="inlineStr">
        <is>
          <t>Consumer</t>
        </is>
      </c>
      <c r="I2969" s="7" t="n">
        <v>1</v>
      </c>
      <c r="J2969" s="10" t="n">
        <v>125.38</v>
      </c>
      <c r="K2969" s="11" t="n">
        <v>0.3</v>
      </c>
      <c r="L2969" s="10">
        <f>I2969*J2969*(1-K2969)</f>
        <v/>
      </c>
      <c r="M2969" s="10" t="n">
        <v>72</v>
      </c>
      <c r="N2969" s="10">
        <f>L2969-M2969</f>
        <v/>
      </c>
    </row>
    <row r="2970">
      <c r="A2970" s="7" t="inlineStr">
        <is>
          <t>ORD-02749</t>
        </is>
      </c>
      <c r="B2970" s="8" t="n">
        <v>45564</v>
      </c>
      <c r="C2970" s="9" t="n">
        <v>45536</v>
      </c>
      <c r="D2970" s="7" t="n">
        <v>2024</v>
      </c>
      <c r="E2970" s="7" t="inlineStr">
        <is>
          <t>South</t>
        </is>
      </c>
      <c r="F2970" s="7" t="inlineStr">
        <is>
          <t>Office Supplies</t>
        </is>
      </c>
      <c r="G2970" s="7" t="inlineStr">
        <is>
          <t>Binder</t>
        </is>
      </c>
      <c r="H2970" s="7" t="inlineStr">
        <is>
          <t>Home Office</t>
        </is>
      </c>
      <c r="I2970" s="7" t="n">
        <v>3</v>
      </c>
      <c r="J2970" s="10" t="n">
        <v>8.19</v>
      </c>
      <c r="K2970" s="11" t="n">
        <v>0.3</v>
      </c>
      <c r="L2970" s="10">
        <f>I2970*J2970*(1-K2970)</f>
        <v/>
      </c>
      <c r="M2970" s="10" t="n">
        <v>9.6</v>
      </c>
      <c r="N2970" s="10">
        <f>L2970-M2970</f>
        <v/>
      </c>
    </row>
    <row r="2971">
      <c r="A2971" s="7" t="inlineStr">
        <is>
          <t>ORD-03298</t>
        </is>
      </c>
      <c r="B2971" s="8" t="n">
        <v>45564</v>
      </c>
      <c r="C2971" s="9" t="n">
        <v>45536</v>
      </c>
      <c r="D2971" s="7" t="n">
        <v>2024</v>
      </c>
      <c r="E2971" s="7" t="inlineStr">
        <is>
          <t>North</t>
        </is>
      </c>
      <c r="F2971" s="7" t="inlineStr">
        <is>
          <t>Technology</t>
        </is>
      </c>
      <c r="G2971" s="7" t="inlineStr">
        <is>
          <t>Keyboard</t>
        </is>
      </c>
      <c r="H2971" s="7" t="inlineStr">
        <is>
          <t>Consumer</t>
        </is>
      </c>
      <c r="I2971" s="7" t="n">
        <v>2</v>
      </c>
      <c r="J2971" s="10" t="n">
        <v>44.9</v>
      </c>
      <c r="K2971" s="11" t="n">
        <v>0</v>
      </c>
      <c r="L2971" s="10">
        <f>I2971*J2971*(1-K2971)</f>
        <v/>
      </c>
      <c r="M2971" s="10" t="n">
        <v>49.5</v>
      </c>
      <c r="N2971" s="10">
        <f>L2971-M2971</f>
        <v/>
      </c>
    </row>
    <row r="2972">
      <c r="A2972" s="7" t="inlineStr">
        <is>
          <t>ORD-02330</t>
        </is>
      </c>
      <c r="B2972" s="8" t="n">
        <v>45565</v>
      </c>
      <c r="C2972" s="9" t="n">
        <v>45536</v>
      </c>
      <c r="D2972" s="7" t="n">
        <v>2024</v>
      </c>
      <c r="E2972" s="7" t="inlineStr">
        <is>
          <t>East</t>
        </is>
      </c>
      <c r="F2972" s="7" t="inlineStr">
        <is>
          <t>Office Supplies</t>
        </is>
      </c>
      <c r="G2972" s="7" t="inlineStr">
        <is>
          <t>Pens</t>
        </is>
      </c>
      <c r="H2972" s="7" t="inlineStr">
        <is>
          <t>Consumer</t>
        </is>
      </c>
      <c r="I2972" s="7" t="n">
        <v>14</v>
      </c>
      <c r="J2972" s="10" t="n">
        <v>12.04</v>
      </c>
      <c r="K2972" s="11" t="n">
        <v>0</v>
      </c>
      <c r="L2972" s="10">
        <f>I2972*J2972*(1-K2972)</f>
        <v/>
      </c>
      <c r="M2972" s="10" t="n">
        <v>75.59999999999999</v>
      </c>
      <c r="N2972" s="10">
        <f>L2972-M2972</f>
        <v/>
      </c>
    </row>
    <row r="2973">
      <c r="A2973" s="7" t="inlineStr">
        <is>
          <t>ORD-01558</t>
        </is>
      </c>
      <c r="B2973" s="8" t="n">
        <v>45565</v>
      </c>
      <c r="C2973" s="9" t="n">
        <v>45536</v>
      </c>
      <c r="D2973" s="7" t="n">
        <v>2024</v>
      </c>
      <c r="E2973" s="7" t="inlineStr">
        <is>
          <t>East</t>
        </is>
      </c>
      <c r="F2973" s="7" t="inlineStr">
        <is>
          <t>Office Supplies</t>
        </is>
      </c>
      <c r="G2973" s="7" t="inlineStr">
        <is>
          <t>Printer Ink</t>
        </is>
      </c>
      <c r="H2973" s="7" t="inlineStr">
        <is>
          <t>Home Office</t>
        </is>
      </c>
      <c r="I2973" s="7" t="n">
        <v>10</v>
      </c>
      <c r="J2973" s="10" t="n">
        <v>57.06</v>
      </c>
      <c r="K2973" s="11" t="n">
        <v>0.05</v>
      </c>
      <c r="L2973" s="10">
        <f>I2973*J2973*(1-K2973)</f>
        <v/>
      </c>
      <c r="M2973" s="10" t="n">
        <v>360</v>
      </c>
      <c r="N2973" s="10">
        <f>L2973-M2973</f>
        <v/>
      </c>
    </row>
    <row r="2974">
      <c r="A2974" s="7" t="inlineStr">
        <is>
          <t>ORD-01474</t>
        </is>
      </c>
      <c r="B2974" s="8" t="n">
        <v>45565</v>
      </c>
      <c r="C2974" s="9" t="n">
        <v>45536</v>
      </c>
      <c r="D2974" s="7" t="n">
        <v>2024</v>
      </c>
      <c r="E2974" s="7" t="inlineStr">
        <is>
          <t>East</t>
        </is>
      </c>
      <c r="F2974" s="7" t="inlineStr">
        <is>
          <t>Technology</t>
        </is>
      </c>
      <c r="G2974" s="7" t="inlineStr">
        <is>
          <t>Smartphone</t>
        </is>
      </c>
      <c r="H2974" s="7" t="inlineStr">
        <is>
          <t>Consumer</t>
        </is>
      </c>
      <c r="I2974" s="7" t="n">
        <v>3</v>
      </c>
      <c r="J2974" s="10" t="n">
        <v>602.76</v>
      </c>
      <c r="K2974" s="11" t="n">
        <v>0</v>
      </c>
      <c r="L2974" s="10">
        <f>I2974*J2974*(1-K2974)</f>
        <v/>
      </c>
      <c r="M2974" s="10" t="n">
        <v>1350</v>
      </c>
      <c r="N2974" s="10">
        <f>L2974-M2974</f>
        <v/>
      </c>
    </row>
    <row r="2975">
      <c r="A2975" s="7" t="inlineStr">
        <is>
          <t>ORD-03967</t>
        </is>
      </c>
      <c r="B2975" s="8" t="n">
        <v>45565</v>
      </c>
      <c r="C2975" s="9" t="n">
        <v>45536</v>
      </c>
      <c r="D2975" s="7" t="n">
        <v>2024</v>
      </c>
      <c r="E2975" s="7" t="inlineStr">
        <is>
          <t>East</t>
        </is>
      </c>
      <c r="F2975" s="7" t="inlineStr">
        <is>
          <t>Office Supplies</t>
        </is>
      </c>
      <c r="G2975" s="7" t="inlineStr">
        <is>
          <t>Binder</t>
        </is>
      </c>
      <c r="H2975" s="7" t="inlineStr">
        <is>
          <t>Corporate</t>
        </is>
      </c>
      <c r="I2975" s="7" t="n">
        <v>5</v>
      </c>
      <c r="J2975" s="10" t="n">
        <v>8.16</v>
      </c>
      <c r="K2975" s="11" t="n">
        <v>0</v>
      </c>
      <c r="L2975" s="10">
        <f>I2975*J2975*(1-K2975)</f>
        <v/>
      </c>
      <c r="M2975" s="10" t="n">
        <v>16</v>
      </c>
      <c r="N2975" s="10">
        <f>L2975-M2975</f>
        <v/>
      </c>
    </row>
    <row r="2976">
      <c r="A2976" s="7" t="inlineStr">
        <is>
          <t>ORD-03939</t>
        </is>
      </c>
      <c r="B2976" s="8" t="n">
        <v>45565</v>
      </c>
      <c r="C2976" s="9" t="n">
        <v>45536</v>
      </c>
      <c r="D2976" s="7" t="n">
        <v>2024</v>
      </c>
      <c r="E2976" s="7" t="inlineStr">
        <is>
          <t>South</t>
        </is>
      </c>
      <c r="F2976" s="7" t="inlineStr">
        <is>
          <t>Technology</t>
        </is>
      </c>
      <c r="G2976" s="7" t="inlineStr">
        <is>
          <t>Laptop</t>
        </is>
      </c>
      <c r="H2976" s="7" t="inlineStr">
        <is>
          <t>Corporate</t>
        </is>
      </c>
      <c r="I2976" s="7" t="n">
        <v>1</v>
      </c>
      <c r="J2976" s="10" t="n">
        <v>907.64</v>
      </c>
      <c r="K2976" s="11" t="n">
        <v>0.1</v>
      </c>
      <c r="L2976" s="10">
        <f>I2976*J2976*(1-K2976)</f>
        <v/>
      </c>
      <c r="M2976" s="10" t="n">
        <v>702</v>
      </c>
      <c r="N2976" s="10">
        <f>L2976-M2976</f>
        <v/>
      </c>
    </row>
    <row r="2977">
      <c r="A2977" s="7" t="inlineStr">
        <is>
          <t>ORD-03557</t>
        </is>
      </c>
      <c r="B2977" s="8" t="n">
        <v>45565</v>
      </c>
      <c r="C2977" s="9" t="n">
        <v>45536</v>
      </c>
      <c r="D2977" s="7" t="n">
        <v>2024</v>
      </c>
      <c r="E2977" s="7" t="inlineStr">
        <is>
          <t>East</t>
        </is>
      </c>
      <c r="F2977" s="7" t="inlineStr">
        <is>
          <t>Technology</t>
        </is>
      </c>
      <c r="G2977" s="7" t="inlineStr">
        <is>
          <t>Monitor</t>
        </is>
      </c>
      <c r="H2977" s="7" t="inlineStr">
        <is>
          <t>Home Office</t>
        </is>
      </c>
      <c r="I2977" s="7" t="n">
        <v>2</v>
      </c>
      <c r="J2977" s="10" t="n">
        <v>239.82</v>
      </c>
      <c r="K2977" s="11" t="n">
        <v>0</v>
      </c>
      <c r="L2977" s="10">
        <f>I2977*J2977*(1-K2977)</f>
        <v/>
      </c>
      <c r="M2977" s="10" t="n">
        <v>360</v>
      </c>
      <c r="N2977" s="10">
        <f>L2977-M2977</f>
        <v/>
      </c>
    </row>
    <row r="2978">
      <c r="A2978" s="7" t="inlineStr">
        <is>
          <t>ORD-03490</t>
        </is>
      </c>
      <c r="B2978" s="8" t="n">
        <v>45565</v>
      </c>
      <c r="C2978" s="9" t="n">
        <v>45536</v>
      </c>
      <c r="D2978" s="7" t="n">
        <v>2024</v>
      </c>
      <c r="E2978" s="7" t="inlineStr">
        <is>
          <t>North</t>
        </is>
      </c>
      <c r="F2978" s="7" t="inlineStr">
        <is>
          <t>Office Supplies</t>
        </is>
      </c>
      <c r="G2978" s="7" t="inlineStr">
        <is>
          <t>Printer Ink</t>
        </is>
      </c>
      <c r="H2978" s="7" t="inlineStr">
        <is>
          <t>Home Office</t>
        </is>
      </c>
      <c r="I2978" s="7" t="n">
        <v>5</v>
      </c>
      <c r="J2978" s="10" t="n">
        <v>62.8</v>
      </c>
      <c r="K2978" s="11" t="n">
        <v>0</v>
      </c>
      <c r="L2978" s="10">
        <f>I2978*J2978*(1-K2978)</f>
        <v/>
      </c>
      <c r="M2978" s="10" t="n">
        <v>180</v>
      </c>
      <c r="N2978" s="10">
        <f>L2978-M2978</f>
        <v/>
      </c>
    </row>
    <row r="2979">
      <c r="A2979" s="7" t="inlineStr">
        <is>
          <t>ORD-05963</t>
        </is>
      </c>
      <c r="B2979" s="8" t="n">
        <v>45565</v>
      </c>
      <c r="C2979" s="9" t="n">
        <v>45536</v>
      </c>
      <c r="D2979" s="7" t="n">
        <v>2024</v>
      </c>
      <c r="E2979" s="7" t="inlineStr">
        <is>
          <t>South</t>
        </is>
      </c>
      <c r="F2979" s="7" t="inlineStr">
        <is>
          <t>Office Supplies</t>
        </is>
      </c>
      <c r="G2979" s="7" t="inlineStr">
        <is>
          <t>Binder</t>
        </is>
      </c>
      <c r="H2979" s="7" t="inlineStr">
        <is>
          <t>Consumer</t>
        </is>
      </c>
      <c r="I2979" s="7" t="n">
        <v>2</v>
      </c>
      <c r="J2979" s="10" t="n">
        <v>8.210000000000001</v>
      </c>
      <c r="K2979" s="11" t="n">
        <v>0.05</v>
      </c>
      <c r="L2979" s="10">
        <f>I2979*J2979*(1-K2979)</f>
        <v/>
      </c>
      <c r="M2979" s="10" t="n">
        <v>6.4</v>
      </c>
      <c r="N2979" s="10">
        <f>L2979-M2979</f>
        <v/>
      </c>
    </row>
    <row r="2980">
      <c r="A2980" s="7" t="inlineStr">
        <is>
          <t>ORD-02552</t>
        </is>
      </c>
      <c r="B2980" s="8" t="n">
        <v>45566</v>
      </c>
      <c r="C2980" s="9" t="n">
        <v>45566</v>
      </c>
      <c r="D2980" s="7" t="n">
        <v>2024</v>
      </c>
      <c r="E2980" s="7" t="inlineStr">
        <is>
          <t>South</t>
        </is>
      </c>
      <c r="F2980" s="7" t="inlineStr">
        <is>
          <t>Office Supplies</t>
        </is>
      </c>
      <c r="G2980" s="7" t="inlineStr">
        <is>
          <t>Paper</t>
        </is>
      </c>
      <c r="H2980" s="7" t="inlineStr">
        <is>
          <t>Consumer</t>
        </is>
      </c>
      <c r="I2980" s="7" t="n">
        <v>12</v>
      </c>
      <c r="J2980" s="10" t="n">
        <v>25.85</v>
      </c>
      <c r="K2980" s="11" t="n">
        <v>0</v>
      </c>
      <c r="L2980" s="10">
        <f>I2980*J2980*(1-K2980)</f>
        <v/>
      </c>
      <c r="M2980" s="10" t="n">
        <v>150</v>
      </c>
      <c r="N2980" s="10">
        <f>L2980-M2980</f>
        <v/>
      </c>
    </row>
    <row r="2981">
      <c r="A2981" s="7" t="inlineStr">
        <is>
          <t>ORD-01269</t>
        </is>
      </c>
      <c r="B2981" s="8" t="n">
        <v>45566</v>
      </c>
      <c r="C2981" s="9" t="n">
        <v>45566</v>
      </c>
      <c r="D2981" s="7" t="n">
        <v>2024</v>
      </c>
      <c r="E2981" s="7" t="inlineStr">
        <is>
          <t>North</t>
        </is>
      </c>
      <c r="F2981" s="7" t="inlineStr">
        <is>
          <t>Office Supplies</t>
        </is>
      </c>
      <c r="G2981" s="7" t="inlineStr">
        <is>
          <t>Paper</t>
        </is>
      </c>
      <c r="H2981" s="7" t="inlineStr">
        <is>
          <t>Consumer</t>
        </is>
      </c>
      <c r="I2981" s="7" t="n">
        <v>14</v>
      </c>
      <c r="J2981" s="10" t="n">
        <v>24.01</v>
      </c>
      <c r="K2981" s="11" t="n">
        <v>0</v>
      </c>
      <c r="L2981" s="10">
        <f>I2981*J2981*(1-K2981)</f>
        <v/>
      </c>
      <c r="M2981" s="10" t="n">
        <v>175</v>
      </c>
      <c r="N2981" s="10">
        <f>L2981-M2981</f>
        <v/>
      </c>
    </row>
    <row r="2982">
      <c r="A2982" s="7" t="inlineStr">
        <is>
          <t>ORD-04901</t>
        </is>
      </c>
      <c r="B2982" s="8" t="n">
        <v>45566</v>
      </c>
      <c r="C2982" s="9" t="n">
        <v>45566</v>
      </c>
      <c r="D2982" s="7" t="n">
        <v>2024</v>
      </c>
      <c r="E2982" s="7" t="inlineStr">
        <is>
          <t>West</t>
        </is>
      </c>
      <c r="F2982" s="7" t="inlineStr">
        <is>
          <t>Technology</t>
        </is>
      </c>
      <c r="G2982" s="7" t="inlineStr">
        <is>
          <t>Monitor</t>
        </is>
      </c>
      <c r="H2982" s="7" t="inlineStr">
        <is>
          <t>Consumer</t>
        </is>
      </c>
      <c r="I2982" s="7" t="n">
        <v>2</v>
      </c>
      <c r="J2982" s="10" t="n">
        <v>241.14</v>
      </c>
      <c r="K2982" s="11" t="n">
        <v>0</v>
      </c>
      <c r="L2982" s="10">
        <f>I2982*J2982*(1-K2982)</f>
        <v/>
      </c>
      <c r="M2982" s="10" t="n">
        <v>360</v>
      </c>
      <c r="N2982" s="10">
        <f>L2982-M2982</f>
        <v/>
      </c>
    </row>
    <row r="2983">
      <c r="A2983" s="7" t="inlineStr">
        <is>
          <t>ORD-02500</t>
        </is>
      </c>
      <c r="B2983" s="8" t="n">
        <v>45566</v>
      </c>
      <c r="C2983" s="9" t="n">
        <v>45566</v>
      </c>
      <c r="D2983" s="7" t="n">
        <v>2024</v>
      </c>
      <c r="E2983" s="7" t="inlineStr">
        <is>
          <t>West</t>
        </is>
      </c>
      <c r="F2983" s="7" t="inlineStr">
        <is>
          <t>Technology</t>
        </is>
      </c>
      <c r="G2983" s="7" t="inlineStr">
        <is>
          <t>Keyboard</t>
        </is>
      </c>
      <c r="H2983" s="7" t="inlineStr">
        <is>
          <t>Home Office</t>
        </is>
      </c>
      <c r="I2983" s="7" t="n">
        <v>3</v>
      </c>
      <c r="J2983" s="10" t="n">
        <v>45.02</v>
      </c>
      <c r="K2983" s="11" t="n">
        <v>0.05</v>
      </c>
      <c r="L2983" s="10">
        <f>I2983*J2983*(1-K2983)</f>
        <v/>
      </c>
      <c r="M2983" s="10" t="n">
        <v>74.25</v>
      </c>
      <c r="N2983" s="10">
        <f>L2983-M2983</f>
        <v/>
      </c>
    </row>
    <row r="2984">
      <c r="A2984" s="7" t="inlineStr">
        <is>
          <t>ORD-00581</t>
        </is>
      </c>
      <c r="B2984" s="8" t="n">
        <v>45566</v>
      </c>
      <c r="C2984" s="9" t="n">
        <v>45566</v>
      </c>
      <c r="D2984" s="7" t="n">
        <v>2024</v>
      </c>
      <c r="E2984" s="7" t="inlineStr">
        <is>
          <t>North</t>
        </is>
      </c>
      <c r="F2984" s="7" t="inlineStr">
        <is>
          <t>Technology</t>
        </is>
      </c>
      <c r="G2984" s="7" t="inlineStr">
        <is>
          <t>Keyboard</t>
        </is>
      </c>
      <c r="H2984" s="7" t="inlineStr">
        <is>
          <t>Consumer</t>
        </is>
      </c>
      <c r="I2984" s="7" t="n">
        <v>1</v>
      </c>
      <c r="J2984" s="10" t="n">
        <v>45.48</v>
      </c>
      <c r="K2984" s="11" t="n">
        <v>0.3</v>
      </c>
      <c r="L2984" s="10">
        <f>I2984*J2984*(1-K2984)</f>
        <v/>
      </c>
      <c r="M2984" s="10" t="n">
        <v>24.75</v>
      </c>
      <c r="N2984" s="10">
        <f>L2984-M2984</f>
        <v/>
      </c>
    </row>
    <row r="2985">
      <c r="A2985" s="7" t="inlineStr">
        <is>
          <t>ORD-01819</t>
        </is>
      </c>
      <c r="B2985" s="8" t="n">
        <v>45566</v>
      </c>
      <c r="C2985" s="9" t="n">
        <v>45566</v>
      </c>
      <c r="D2985" s="7" t="n">
        <v>2024</v>
      </c>
      <c r="E2985" s="7" t="inlineStr">
        <is>
          <t>North</t>
        </is>
      </c>
      <c r="F2985" s="7" t="inlineStr">
        <is>
          <t>Office Supplies</t>
        </is>
      </c>
      <c r="G2985" s="7" t="inlineStr">
        <is>
          <t>Pens</t>
        </is>
      </c>
      <c r="H2985" s="7" t="inlineStr">
        <is>
          <t>Consumer</t>
        </is>
      </c>
      <c r="I2985" s="7" t="n">
        <v>9</v>
      </c>
      <c r="J2985" s="10" t="n">
        <v>11.44</v>
      </c>
      <c r="K2985" s="11" t="n">
        <v>0.1</v>
      </c>
      <c r="L2985" s="10">
        <f>I2985*J2985*(1-K2985)</f>
        <v/>
      </c>
      <c r="M2985" s="10" t="n">
        <v>48.6</v>
      </c>
      <c r="N2985" s="10">
        <f>L2985-M2985</f>
        <v/>
      </c>
    </row>
    <row r="2986">
      <c r="A2986" s="7" t="inlineStr">
        <is>
          <t>ORD-04114</t>
        </is>
      </c>
      <c r="B2986" s="8" t="n">
        <v>45567</v>
      </c>
      <c r="C2986" s="9" t="n">
        <v>45566</v>
      </c>
      <c r="D2986" s="7" t="n">
        <v>2024</v>
      </c>
      <c r="E2986" s="7" t="inlineStr">
        <is>
          <t>North</t>
        </is>
      </c>
      <c r="F2986" s="7" t="inlineStr">
        <is>
          <t>Furniture</t>
        </is>
      </c>
      <c r="G2986" s="7" t="inlineStr">
        <is>
          <t>Office Chair</t>
        </is>
      </c>
      <c r="H2986" s="7" t="inlineStr">
        <is>
          <t>Home Office</t>
        </is>
      </c>
      <c r="I2986" s="7" t="n">
        <v>4</v>
      </c>
      <c r="J2986" s="10" t="n">
        <v>212.4</v>
      </c>
      <c r="K2986" s="11" t="n">
        <v>0.2</v>
      </c>
      <c r="L2986" s="10">
        <f>I2986*J2986*(1-K2986)</f>
        <v/>
      </c>
      <c r="M2986" s="10" t="n">
        <v>721.6</v>
      </c>
      <c r="N2986" s="10">
        <f>L2986-M2986</f>
        <v/>
      </c>
    </row>
    <row r="2987">
      <c r="A2987" s="7" t="inlineStr">
        <is>
          <t>ORD-01853</t>
        </is>
      </c>
      <c r="B2987" s="8" t="n">
        <v>45567</v>
      </c>
      <c r="C2987" s="9" t="n">
        <v>45566</v>
      </c>
      <c r="D2987" s="7" t="n">
        <v>2024</v>
      </c>
      <c r="E2987" s="7" t="inlineStr">
        <is>
          <t>East</t>
        </is>
      </c>
      <c r="F2987" s="7" t="inlineStr">
        <is>
          <t>Furniture</t>
        </is>
      </c>
      <c r="G2987" s="7" t="inlineStr">
        <is>
          <t>Bookcase</t>
        </is>
      </c>
      <c r="H2987" s="7" t="inlineStr">
        <is>
          <t>Consumer</t>
        </is>
      </c>
      <c r="I2987" s="7" t="n">
        <v>1</v>
      </c>
      <c r="J2987" s="10" t="n">
        <v>181.99</v>
      </c>
      <c r="K2987" s="11" t="n">
        <v>0</v>
      </c>
      <c r="L2987" s="10">
        <f>I2987*J2987*(1-K2987)</f>
        <v/>
      </c>
      <c r="M2987" s="10" t="n">
        <v>144</v>
      </c>
      <c r="N2987" s="10">
        <f>L2987-M2987</f>
        <v/>
      </c>
    </row>
    <row r="2988">
      <c r="A2988" s="7" t="inlineStr">
        <is>
          <t>ORD-05136</t>
        </is>
      </c>
      <c r="B2988" s="8" t="n">
        <v>45567</v>
      </c>
      <c r="C2988" s="9" t="n">
        <v>45566</v>
      </c>
      <c r="D2988" s="7" t="n">
        <v>2024</v>
      </c>
      <c r="E2988" s="7" t="inlineStr">
        <is>
          <t>North</t>
        </is>
      </c>
      <c r="F2988" s="7" t="inlineStr">
        <is>
          <t>Furniture</t>
        </is>
      </c>
      <c r="G2988" s="7" t="inlineStr">
        <is>
          <t>Desk</t>
        </is>
      </c>
      <c r="H2988" s="7" t="inlineStr">
        <is>
          <t>Home Office</t>
        </is>
      </c>
      <c r="I2988" s="7" t="n">
        <v>4</v>
      </c>
      <c r="J2988" s="10" t="n">
        <v>439.87</v>
      </c>
      <c r="K2988" s="11" t="n">
        <v>0.2</v>
      </c>
      <c r="L2988" s="10">
        <f>I2988*J2988*(1-K2988)</f>
        <v/>
      </c>
      <c r="M2988" s="10" t="n">
        <v>1530</v>
      </c>
      <c r="N2988" s="10">
        <f>L2988-M2988</f>
        <v/>
      </c>
    </row>
    <row r="2989">
      <c r="A2989" s="7" t="inlineStr">
        <is>
          <t>ORD-05573</t>
        </is>
      </c>
      <c r="B2989" s="8" t="n">
        <v>45568</v>
      </c>
      <c r="C2989" s="9" t="n">
        <v>45566</v>
      </c>
      <c r="D2989" s="7" t="n">
        <v>2024</v>
      </c>
      <c r="E2989" s="7" t="inlineStr">
        <is>
          <t>East</t>
        </is>
      </c>
      <c r="F2989" s="7" t="inlineStr">
        <is>
          <t>Office Supplies</t>
        </is>
      </c>
      <c r="G2989" s="7" t="inlineStr">
        <is>
          <t>Pens</t>
        </is>
      </c>
      <c r="H2989" s="7" t="inlineStr">
        <is>
          <t>Corporate</t>
        </is>
      </c>
      <c r="I2989" s="7" t="n">
        <v>11</v>
      </c>
      <c r="J2989" s="10" t="n">
        <v>12.37</v>
      </c>
      <c r="K2989" s="11" t="n">
        <v>0.2</v>
      </c>
      <c r="L2989" s="10">
        <f>I2989*J2989*(1-K2989)</f>
        <v/>
      </c>
      <c r="M2989" s="10" t="n">
        <v>59.4</v>
      </c>
      <c r="N2989" s="10">
        <f>L2989-M2989</f>
        <v/>
      </c>
    </row>
    <row r="2990">
      <c r="A2990" s="7" t="inlineStr">
        <is>
          <t>ORD-02676</t>
        </is>
      </c>
      <c r="B2990" s="8" t="n">
        <v>45568</v>
      </c>
      <c r="C2990" s="9" t="n">
        <v>45566</v>
      </c>
      <c r="D2990" s="7" t="n">
        <v>2024</v>
      </c>
      <c r="E2990" s="7" t="inlineStr">
        <is>
          <t>South</t>
        </is>
      </c>
      <c r="F2990" s="7" t="inlineStr">
        <is>
          <t>Office Supplies</t>
        </is>
      </c>
      <c r="G2990" s="7" t="inlineStr">
        <is>
          <t>Binder</t>
        </is>
      </c>
      <c r="H2990" s="7" t="inlineStr">
        <is>
          <t>Consumer</t>
        </is>
      </c>
      <c r="I2990" s="7" t="n">
        <v>14</v>
      </c>
      <c r="J2990" s="10" t="n">
        <v>7.87</v>
      </c>
      <c r="K2990" s="11" t="n">
        <v>0.1</v>
      </c>
      <c r="L2990" s="10">
        <f>I2990*J2990*(1-K2990)</f>
        <v/>
      </c>
      <c r="M2990" s="10" t="n">
        <v>44.8</v>
      </c>
      <c r="N2990" s="10">
        <f>L2990-M2990</f>
        <v/>
      </c>
    </row>
    <row r="2991">
      <c r="A2991" s="7" t="inlineStr">
        <is>
          <t>ORD-03603</t>
        </is>
      </c>
      <c r="B2991" s="8" t="n">
        <v>45568</v>
      </c>
      <c r="C2991" s="9" t="n">
        <v>45566</v>
      </c>
      <c r="D2991" s="7" t="n">
        <v>2024</v>
      </c>
      <c r="E2991" s="7" t="inlineStr">
        <is>
          <t>South</t>
        </is>
      </c>
      <c r="F2991" s="7" t="inlineStr">
        <is>
          <t>Office Supplies</t>
        </is>
      </c>
      <c r="G2991" s="7" t="inlineStr">
        <is>
          <t>Printer Ink</t>
        </is>
      </c>
      <c r="H2991" s="7" t="inlineStr">
        <is>
          <t>Corporate</t>
        </is>
      </c>
      <c r="I2991" s="7" t="n">
        <v>2</v>
      </c>
      <c r="J2991" s="10" t="n">
        <v>60.3</v>
      </c>
      <c r="K2991" s="11" t="n">
        <v>0.2</v>
      </c>
      <c r="L2991" s="10">
        <f>I2991*J2991*(1-K2991)</f>
        <v/>
      </c>
      <c r="M2991" s="10" t="n">
        <v>72</v>
      </c>
      <c r="N2991" s="10">
        <f>L2991-M2991</f>
        <v/>
      </c>
    </row>
    <row r="2992">
      <c r="A2992" s="7" t="inlineStr">
        <is>
          <t>ORD-04818</t>
        </is>
      </c>
      <c r="B2992" s="8" t="n">
        <v>45568</v>
      </c>
      <c r="C2992" s="9" t="n">
        <v>45566</v>
      </c>
      <c r="D2992" s="7" t="n">
        <v>2024</v>
      </c>
      <c r="E2992" s="7" t="inlineStr">
        <is>
          <t>South</t>
        </is>
      </c>
      <c r="F2992" s="7" t="inlineStr">
        <is>
          <t>Office Supplies</t>
        </is>
      </c>
      <c r="G2992" s="7" t="inlineStr">
        <is>
          <t>Paper</t>
        </is>
      </c>
      <c r="H2992" s="7" t="inlineStr">
        <is>
          <t>Consumer</t>
        </is>
      </c>
      <c r="I2992" s="7" t="n">
        <v>11</v>
      </c>
      <c r="J2992" s="10" t="n">
        <v>24.09</v>
      </c>
      <c r="K2992" s="11" t="n">
        <v>0</v>
      </c>
      <c r="L2992" s="10">
        <f>I2992*J2992*(1-K2992)</f>
        <v/>
      </c>
      <c r="M2992" s="10" t="n">
        <v>137.5</v>
      </c>
      <c r="N2992" s="10">
        <f>L2992-M2992</f>
        <v/>
      </c>
    </row>
    <row r="2993">
      <c r="A2993" s="7" t="inlineStr">
        <is>
          <t>ORD-01127</t>
        </is>
      </c>
      <c r="B2993" s="8" t="n">
        <v>45568</v>
      </c>
      <c r="C2993" s="9" t="n">
        <v>45566</v>
      </c>
      <c r="D2993" s="7" t="n">
        <v>2024</v>
      </c>
      <c r="E2993" s="7" t="inlineStr">
        <is>
          <t>West</t>
        </is>
      </c>
      <c r="F2993" s="7" t="inlineStr">
        <is>
          <t>Technology</t>
        </is>
      </c>
      <c r="G2993" s="7" t="inlineStr">
        <is>
          <t>Monitor</t>
        </is>
      </c>
      <c r="H2993" s="7" t="inlineStr">
        <is>
          <t>Corporate</t>
        </is>
      </c>
      <c r="I2993" s="7" t="n">
        <v>3</v>
      </c>
      <c r="J2993" s="10" t="n">
        <v>255.86</v>
      </c>
      <c r="K2993" s="11" t="n">
        <v>0.1</v>
      </c>
      <c r="L2993" s="10">
        <f>I2993*J2993*(1-K2993)</f>
        <v/>
      </c>
      <c r="M2993" s="10" t="n">
        <v>540</v>
      </c>
      <c r="N2993" s="10">
        <f>L2993-M2993</f>
        <v/>
      </c>
    </row>
    <row r="2994">
      <c r="A2994" s="7" t="inlineStr">
        <is>
          <t>ORD-02358</t>
        </is>
      </c>
      <c r="B2994" s="8" t="n">
        <v>45568</v>
      </c>
      <c r="C2994" s="9" t="n">
        <v>45566</v>
      </c>
      <c r="D2994" s="7" t="n">
        <v>2024</v>
      </c>
      <c r="E2994" s="7" t="inlineStr">
        <is>
          <t>West</t>
        </is>
      </c>
      <c r="F2994" s="7" t="inlineStr">
        <is>
          <t>Office Supplies</t>
        </is>
      </c>
      <c r="G2994" s="7" t="inlineStr">
        <is>
          <t>Stapler</t>
        </is>
      </c>
      <c r="H2994" s="7" t="inlineStr">
        <is>
          <t>Home Office</t>
        </is>
      </c>
      <c r="I2994" s="7" t="n">
        <v>6</v>
      </c>
      <c r="J2994" s="10" t="n">
        <v>15.6</v>
      </c>
      <c r="K2994" s="11" t="n">
        <v>0.05</v>
      </c>
      <c r="L2994" s="10">
        <f>I2994*J2994*(1-K2994)</f>
        <v/>
      </c>
      <c r="M2994" s="10" t="n">
        <v>45</v>
      </c>
      <c r="N2994" s="10">
        <f>L2994-M2994</f>
        <v/>
      </c>
    </row>
    <row r="2995">
      <c r="A2995" s="7" t="inlineStr">
        <is>
          <t>ORD-00203</t>
        </is>
      </c>
      <c r="B2995" s="8" t="n">
        <v>45568</v>
      </c>
      <c r="C2995" s="9" t="n">
        <v>45566</v>
      </c>
      <c r="D2995" s="7" t="n">
        <v>2024</v>
      </c>
      <c r="E2995" s="7" t="inlineStr">
        <is>
          <t>East</t>
        </is>
      </c>
      <c r="F2995" s="7" t="inlineStr">
        <is>
          <t>Furniture</t>
        </is>
      </c>
      <c r="G2995" s="7" t="inlineStr">
        <is>
          <t>Office Chair</t>
        </is>
      </c>
      <c r="H2995" s="7" t="inlineStr">
        <is>
          <t>Corporate</t>
        </is>
      </c>
      <c r="I2995" s="7" t="n">
        <v>2</v>
      </c>
      <c r="J2995" s="10" t="n">
        <v>217.76</v>
      </c>
      <c r="K2995" s="11" t="n">
        <v>0.05</v>
      </c>
      <c r="L2995" s="10">
        <f>I2995*J2995*(1-K2995)</f>
        <v/>
      </c>
      <c r="M2995" s="10" t="n">
        <v>360.8</v>
      </c>
      <c r="N2995" s="10">
        <f>L2995-M2995</f>
        <v/>
      </c>
    </row>
    <row r="2996">
      <c r="A2996" s="7" t="inlineStr">
        <is>
          <t>ORD-05981</t>
        </is>
      </c>
      <c r="B2996" s="8" t="n">
        <v>45568</v>
      </c>
      <c r="C2996" s="9" t="n">
        <v>45566</v>
      </c>
      <c r="D2996" s="7" t="n">
        <v>2024</v>
      </c>
      <c r="E2996" s="7" t="inlineStr">
        <is>
          <t>East</t>
        </is>
      </c>
      <c r="F2996" s="7" t="inlineStr">
        <is>
          <t>Technology</t>
        </is>
      </c>
      <c r="G2996" s="7" t="inlineStr">
        <is>
          <t>Keyboard</t>
        </is>
      </c>
      <c r="H2996" s="7" t="inlineStr">
        <is>
          <t>Home Office</t>
        </is>
      </c>
      <c r="I2996" s="7" t="n">
        <v>3</v>
      </c>
      <c r="J2996" s="10" t="n">
        <v>44.75</v>
      </c>
      <c r="K2996" s="11" t="n">
        <v>0</v>
      </c>
      <c r="L2996" s="10">
        <f>I2996*J2996*(1-K2996)</f>
        <v/>
      </c>
      <c r="M2996" s="10" t="n">
        <v>74.25</v>
      </c>
      <c r="N2996" s="10">
        <f>L2996-M2996</f>
        <v/>
      </c>
    </row>
    <row r="2997">
      <c r="A2997" s="7" t="inlineStr">
        <is>
          <t>ORD-00090</t>
        </is>
      </c>
      <c r="B2997" s="8" t="n">
        <v>45568</v>
      </c>
      <c r="C2997" s="9" t="n">
        <v>45566</v>
      </c>
      <c r="D2997" s="7" t="n">
        <v>2024</v>
      </c>
      <c r="E2997" s="7" t="inlineStr">
        <is>
          <t>South</t>
        </is>
      </c>
      <c r="F2997" s="7" t="inlineStr">
        <is>
          <t>Furniture</t>
        </is>
      </c>
      <c r="G2997" s="7" t="inlineStr">
        <is>
          <t>Bookcase</t>
        </is>
      </c>
      <c r="H2997" s="7" t="inlineStr">
        <is>
          <t>Corporate</t>
        </is>
      </c>
      <c r="I2997" s="7" t="n">
        <v>4</v>
      </c>
      <c r="J2997" s="10" t="n">
        <v>181.96</v>
      </c>
      <c r="K2997" s="11" t="n">
        <v>0.2</v>
      </c>
      <c r="L2997" s="10">
        <f>I2997*J2997*(1-K2997)</f>
        <v/>
      </c>
      <c r="M2997" s="10" t="n">
        <v>576</v>
      </c>
      <c r="N2997" s="10">
        <f>L2997-M2997</f>
        <v/>
      </c>
    </row>
    <row r="2998">
      <c r="A2998" s="7" t="inlineStr">
        <is>
          <t>ORD-02067</t>
        </is>
      </c>
      <c r="B2998" s="8" t="n">
        <v>45569</v>
      </c>
      <c r="C2998" s="9" t="n">
        <v>45566</v>
      </c>
      <c r="D2998" s="7" t="n">
        <v>2024</v>
      </c>
      <c r="E2998" s="7" t="inlineStr">
        <is>
          <t>West</t>
        </is>
      </c>
      <c r="F2998" s="7" t="inlineStr">
        <is>
          <t>Office Supplies</t>
        </is>
      </c>
      <c r="G2998" s="7" t="inlineStr">
        <is>
          <t>Paper</t>
        </is>
      </c>
      <c r="H2998" s="7" t="inlineStr">
        <is>
          <t>Home Office</t>
        </is>
      </c>
      <c r="I2998" s="7" t="n">
        <v>5</v>
      </c>
      <c r="J2998" s="10" t="n">
        <v>25.56</v>
      </c>
      <c r="K2998" s="11" t="n">
        <v>0</v>
      </c>
      <c r="L2998" s="10">
        <f>I2998*J2998*(1-K2998)</f>
        <v/>
      </c>
      <c r="M2998" s="10" t="n">
        <v>62.5</v>
      </c>
      <c r="N2998" s="10">
        <f>L2998-M2998</f>
        <v/>
      </c>
    </row>
    <row r="2999">
      <c r="A2999" s="7" t="inlineStr">
        <is>
          <t>ORD-04761</t>
        </is>
      </c>
      <c r="B2999" s="8" t="n">
        <v>45569</v>
      </c>
      <c r="C2999" s="9" t="n">
        <v>45566</v>
      </c>
      <c r="D2999" s="7" t="n">
        <v>2024</v>
      </c>
      <c r="E2999" s="7" t="inlineStr">
        <is>
          <t>West</t>
        </is>
      </c>
      <c r="F2999" s="7" t="inlineStr">
        <is>
          <t>Office Supplies</t>
        </is>
      </c>
      <c r="G2999" s="7" t="inlineStr">
        <is>
          <t>Pens</t>
        </is>
      </c>
      <c r="H2999" s="7" t="inlineStr">
        <is>
          <t>Home Office</t>
        </is>
      </c>
      <c r="I2999" s="7" t="n">
        <v>3</v>
      </c>
      <c r="J2999" s="10" t="n">
        <v>12.43</v>
      </c>
      <c r="K2999" s="11" t="n">
        <v>0.1</v>
      </c>
      <c r="L2999" s="10">
        <f>I2999*J2999*(1-K2999)</f>
        <v/>
      </c>
      <c r="M2999" s="10" t="n">
        <v>16.2</v>
      </c>
      <c r="N2999" s="10">
        <f>L2999-M2999</f>
        <v/>
      </c>
    </row>
    <row r="3000">
      <c r="A3000" s="7" t="inlineStr">
        <is>
          <t>ORD-05070</t>
        </is>
      </c>
      <c r="B3000" s="8" t="n">
        <v>45570</v>
      </c>
      <c r="C3000" s="9" t="n">
        <v>45566</v>
      </c>
      <c r="D3000" s="7" t="n">
        <v>2024</v>
      </c>
      <c r="E3000" s="7" t="inlineStr">
        <is>
          <t>East</t>
        </is>
      </c>
      <c r="F3000" s="7" t="inlineStr">
        <is>
          <t>Office Supplies</t>
        </is>
      </c>
      <c r="G3000" s="7" t="inlineStr">
        <is>
          <t>Binder</t>
        </is>
      </c>
      <c r="H3000" s="7" t="inlineStr">
        <is>
          <t>Consumer</t>
        </is>
      </c>
      <c r="I3000" s="7" t="n">
        <v>12</v>
      </c>
      <c r="J3000" s="10" t="n">
        <v>8.32</v>
      </c>
      <c r="K3000" s="11" t="n">
        <v>0.05</v>
      </c>
      <c r="L3000" s="10">
        <f>I3000*J3000*(1-K3000)</f>
        <v/>
      </c>
      <c r="M3000" s="10" t="n">
        <v>38.4</v>
      </c>
      <c r="N3000" s="10">
        <f>L3000-M3000</f>
        <v/>
      </c>
    </row>
    <row r="3001">
      <c r="A3001" s="7" t="inlineStr">
        <is>
          <t>ORD-04137</t>
        </is>
      </c>
      <c r="B3001" s="8" t="n">
        <v>45570</v>
      </c>
      <c r="C3001" s="9" t="n">
        <v>45566</v>
      </c>
      <c r="D3001" s="7" t="n">
        <v>2024</v>
      </c>
      <c r="E3001" s="7" t="inlineStr">
        <is>
          <t>South</t>
        </is>
      </c>
      <c r="F3001" s="7" t="inlineStr">
        <is>
          <t>Office Supplies</t>
        </is>
      </c>
      <c r="G3001" s="7" t="inlineStr">
        <is>
          <t>Stapler</t>
        </is>
      </c>
      <c r="H3001" s="7" t="inlineStr">
        <is>
          <t>Home Office</t>
        </is>
      </c>
      <c r="I3001" s="7" t="n">
        <v>13</v>
      </c>
      <c r="J3001" s="10" t="n">
        <v>15.24</v>
      </c>
      <c r="K3001" s="11" t="n">
        <v>0</v>
      </c>
      <c r="L3001" s="10">
        <f>I3001*J3001*(1-K3001)</f>
        <v/>
      </c>
      <c r="M3001" s="10" t="n">
        <v>97.5</v>
      </c>
      <c r="N3001" s="10">
        <f>L3001-M3001</f>
        <v/>
      </c>
    </row>
    <row r="3002">
      <c r="A3002" s="7" t="inlineStr">
        <is>
          <t>ORD-04535</t>
        </is>
      </c>
      <c r="B3002" s="8" t="n">
        <v>45570</v>
      </c>
      <c r="C3002" s="9" t="n">
        <v>45566</v>
      </c>
      <c r="D3002" s="7" t="n">
        <v>2024</v>
      </c>
      <c r="E3002" s="7" t="inlineStr">
        <is>
          <t>West</t>
        </is>
      </c>
      <c r="F3002" s="7" t="inlineStr">
        <is>
          <t>Office Supplies</t>
        </is>
      </c>
      <c r="G3002" s="7" t="inlineStr">
        <is>
          <t>Pens</t>
        </is>
      </c>
      <c r="H3002" s="7" t="inlineStr">
        <is>
          <t>Consumer</t>
        </is>
      </c>
      <c r="I3002" s="7" t="n">
        <v>12</v>
      </c>
      <c r="J3002" s="10" t="n">
        <v>12.28</v>
      </c>
      <c r="K3002" s="11" t="n">
        <v>0</v>
      </c>
      <c r="L3002" s="10">
        <f>I3002*J3002*(1-K3002)</f>
        <v/>
      </c>
      <c r="M3002" s="10" t="n">
        <v>64.8</v>
      </c>
      <c r="N3002" s="10">
        <f>L3002-M3002</f>
        <v/>
      </c>
    </row>
    <row r="3003">
      <c r="A3003" s="7" t="inlineStr">
        <is>
          <t>ORD-02170</t>
        </is>
      </c>
      <c r="B3003" s="8" t="n">
        <v>45570</v>
      </c>
      <c r="C3003" s="9" t="n">
        <v>45566</v>
      </c>
      <c r="D3003" s="7" t="n">
        <v>2024</v>
      </c>
      <c r="E3003" s="7" t="inlineStr">
        <is>
          <t>East</t>
        </is>
      </c>
      <c r="F3003" s="7" t="inlineStr">
        <is>
          <t>Furniture</t>
        </is>
      </c>
      <c r="G3003" s="7" t="inlineStr">
        <is>
          <t>Bookcase</t>
        </is>
      </c>
      <c r="H3003" s="7" t="inlineStr">
        <is>
          <t>Corporate</t>
        </is>
      </c>
      <c r="I3003" s="7" t="n">
        <v>3</v>
      </c>
      <c r="J3003" s="10" t="n">
        <v>173.27</v>
      </c>
      <c r="K3003" s="11" t="n">
        <v>0.3</v>
      </c>
      <c r="L3003" s="10">
        <f>I3003*J3003*(1-K3003)</f>
        <v/>
      </c>
      <c r="M3003" s="10" t="n">
        <v>432</v>
      </c>
      <c r="N3003" s="10">
        <f>L3003-M3003</f>
        <v/>
      </c>
    </row>
    <row r="3004">
      <c r="A3004" s="7" t="inlineStr">
        <is>
          <t>ORD-01687</t>
        </is>
      </c>
      <c r="B3004" s="8" t="n">
        <v>45570</v>
      </c>
      <c r="C3004" s="9" t="n">
        <v>45566</v>
      </c>
      <c r="D3004" s="7" t="n">
        <v>2024</v>
      </c>
      <c r="E3004" s="7" t="inlineStr">
        <is>
          <t>East</t>
        </is>
      </c>
      <c r="F3004" s="7" t="inlineStr">
        <is>
          <t>Office Supplies</t>
        </is>
      </c>
      <c r="G3004" s="7" t="inlineStr">
        <is>
          <t>Paper</t>
        </is>
      </c>
      <c r="H3004" s="7" t="inlineStr">
        <is>
          <t>Corporate</t>
        </is>
      </c>
      <c r="I3004" s="7" t="n">
        <v>9</v>
      </c>
      <c r="J3004" s="10" t="n">
        <v>25</v>
      </c>
      <c r="K3004" s="11" t="n">
        <v>0</v>
      </c>
      <c r="L3004" s="10">
        <f>I3004*J3004*(1-K3004)</f>
        <v/>
      </c>
      <c r="M3004" s="10" t="n">
        <v>112.5</v>
      </c>
      <c r="N3004" s="10">
        <f>L3004-M3004</f>
        <v/>
      </c>
    </row>
    <row r="3005">
      <c r="A3005" s="7" t="inlineStr">
        <is>
          <t>ORD-02173</t>
        </is>
      </c>
      <c r="B3005" s="8" t="n">
        <v>45570</v>
      </c>
      <c r="C3005" s="9" t="n">
        <v>45566</v>
      </c>
      <c r="D3005" s="7" t="n">
        <v>2024</v>
      </c>
      <c r="E3005" s="7" t="inlineStr">
        <is>
          <t>East</t>
        </is>
      </c>
      <c r="F3005" s="7" t="inlineStr">
        <is>
          <t>Office Supplies</t>
        </is>
      </c>
      <c r="G3005" s="7" t="inlineStr">
        <is>
          <t>Binder</t>
        </is>
      </c>
      <c r="H3005" s="7" t="inlineStr">
        <is>
          <t>Corporate</t>
        </is>
      </c>
      <c r="I3005" s="7" t="n">
        <v>4</v>
      </c>
      <c r="J3005" s="10" t="n">
        <v>8.35</v>
      </c>
      <c r="K3005" s="11" t="n">
        <v>0.05</v>
      </c>
      <c r="L3005" s="10">
        <f>I3005*J3005*(1-K3005)</f>
        <v/>
      </c>
      <c r="M3005" s="10" t="n">
        <v>12.8</v>
      </c>
      <c r="N3005" s="10">
        <f>L3005-M3005</f>
        <v/>
      </c>
    </row>
    <row r="3006">
      <c r="A3006" s="7" t="inlineStr">
        <is>
          <t>ORD-02717</t>
        </is>
      </c>
      <c r="B3006" s="8" t="n">
        <v>45570</v>
      </c>
      <c r="C3006" s="9" t="n">
        <v>45566</v>
      </c>
      <c r="D3006" s="7" t="n">
        <v>2024</v>
      </c>
      <c r="E3006" s="7" t="inlineStr">
        <is>
          <t>West</t>
        </is>
      </c>
      <c r="F3006" s="7" t="inlineStr">
        <is>
          <t>Furniture</t>
        </is>
      </c>
      <c r="G3006" s="7" t="inlineStr">
        <is>
          <t>Sofa</t>
        </is>
      </c>
      <c r="H3006" s="7" t="inlineStr">
        <is>
          <t>Corporate</t>
        </is>
      </c>
      <c r="I3006" s="7" t="n">
        <v>4</v>
      </c>
      <c r="J3006" s="10" t="n">
        <v>728.5700000000001</v>
      </c>
      <c r="K3006" s="11" t="n">
        <v>0</v>
      </c>
      <c r="L3006" s="10">
        <f>I3006*J3006*(1-K3006)</f>
        <v/>
      </c>
      <c r="M3006" s="10" t="n">
        <v>2464</v>
      </c>
      <c r="N3006" s="10">
        <f>L3006-M3006</f>
        <v/>
      </c>
    </row>
    <row r="3007">
      <c r="A3007" s="7" t="inlineStr">
        <is>
          <t>ORD-03345</t>
        </is>
      </c>
      <c r="B3007" s="8" t="n">
        <v>45570</v>
      </c>
      <c r="C3007" s="9" t="n">
        <v>45566</v>
      </c>
      <c r="D3007" s="7" t="n">
        <v>2024</v>
      </c>
      <c r="E3007" s="7" t="inlineStr">
        <is>
          <t>South</t>
        </is>
      </c>
      <c r="F3007" s="7" t="inlineStr">
        <is>
          <t>Office Supplies</t>
        </is>
      </c>
      <c r="G3007" s="7" t="inlineStr">
        <is>
          <t>Pens</t>
        </is>
      </c>
      <c r="H3007" s="7" t="inlineStr">
        <is>
          <t>Corporate</t>
        </is>
      </c>
      <c r="I3007" s="7" t="n">
        <v>3</v>
      </c>
      <c r="J3007" s="10" t="n">
        <v>12.07</v>
      </c>
      <c r="K3007" s="11" t="n">
        <v>0.2</v>
      </c>
      <c r="L3007" s="10">
        <f>I3007*J3007*(1-K3007)</f>
        <v/>
      </c>
      <c r="M3007" s="10" t="n">
        <v>16.2</v>
      </c>
      <c r="N3007" s="10">
        <f>L3007-M3007</f>
        <v/>
      </c>
    </row>
    <row r="3008">
      <c r="A3008" s="7" t="inlineStr">
        <is>
          <t>ORD-05179</t>
        </is>
      </c>
      <c r="B3008" s="8" t="n">
        <v>45571</v>
      </c>
      <c r="C3008" s="9" t="n">
        <v>45566</v>
      </c>
      <c r="D3008" s="7" t="n">
        <v>2024</v>
      </c>
      <c r="E3008" s="7" t="inlineStr">
        <is>
          <t>North</t>
        </is>
      </c>
      <c r="F3008" s="7" t="inlineStr">
        <is>
          <t>Office Supplies</t>
        </is>
      </c>
      <c r="G3008" s="7" t="inlineStr">
        <is>
          <t>Printer Ink</t>
        </is>
      </c>
      <c r="H3008" s="7" t="inlineStr">
        <is>
          <t>Home Office</t>
        </is>
      </c>
      <c r="I3008" s="7" t="n">
        <v>12</v>
      </c>
      <c r="J3008" s="10" t="n">
        <v>61.68</v>
      </c>
      <c r="K3008" s="11" t="n">
        <v>0</v>
      </c>
      <c r="L3008" s="10">
        <f>I3008*J3008*(1-K3008)</f>
        <v/>
      </c>
      <c r="M3008" s="10" t="n">
        <v>432</v>
      </c>
      <c r="N3008" s="10">
        <f>L3008-M3008</f>
        <v/>
      </c>
    </row>
    <row r="3009">
      <c r="A3009" s="7" t="inlineStr">
        <is>
          <t>ORD-01175</t>
        </is>
      </c>
      <c r="B3009" s="8" t="n">
        <v>45571</v>
      </c>
      <c r="C3009" s="9" t="n">
        <v>45566</v>
      </c>
      <c r="D3009" s="7" t="n">
        <v>2024</v>
      </c>
      <c r="E3009" s="7" t="inlineStr">
        <is>
          <t>East</t>
        </is>
      </c>
      <c r="F3009" s="7" t="inlineStr">
        <is>
          <t>Office Supplies</t>
        </is>
      </c>
      <c r="G3009" s="7" t="inlineStr">
        <is>
          <t>Printer Ink</t>
        </is>
      </c>
      <c r="H3009" s="7" t="inlineStr">
        <is>
          <t>Consumer</t>
        </is>
      </c>
      <c r="I3009" s="7" t="n">
        <v>11</v>
      </c>
      <c r="J3009" s="10" t="n">
        <v>62.16</v>
      </c>
      <c r="K3009" s="11" t="n">
        <v>0</v>
      </c>
      <c r="L3009" s="10">
        <f>I3009*J3009*(1-K3009)</f>
        <v/>
      </c>
      <c r="M3009" s="10" t="n">
        <v>396</v>
      </c>
      <c r="N3009" s="10">
        <f>L3009-M3009</f>
        <v/>
      </c>
    </row>
    <row r="3010">
      <c r="A3010" s="7" t="inlineStr">
        <is>
          <t>ORD-04762</t>
        </is>
      </c>
      <c r="B3010" s="8" t="n">
        <v>45571</v>
      </c>
      <c r="C3010" s="9" t="n">
        <v>45566</v>
      </c>
      <c r="D3010" s="7" t="n">
        <v>2024</v>
      </c>
      <c r="E3010" s="7" t="inlineStr">
        <is>
          <t>South</t>
        </is>
      </c>
      <c r="F3010" s="7" t="inlineStr">
        <is>
          <t>Office Supplies</t>
        </is>
      </c>
      <c r="G3010" s="7" t="inlineStr">
        <is>
          <t>Printer Ink</t>
        </is>
      </c>
      <c r="H3010" s="7" t="inlineStr">
        <is>
          <t>Corporate</t>
        </is>
      </c>
      <c r="I3010" s="7" t="n">
        <v>8</v>
      </c>
      <c r="J3010" s="10" t="n">
        <v>57.09</v>
      </c>
      <c r="K3010" s="11" t="n">
        <v>0</v>
      </c>
      <c r="L3010" s="10">
        <f>I3010*J3010*(1-K3010)</f>
        <v/>
      </c>
      <c r="M3010" s="10" t="n">
        <v>288</v>
      </c>
      <c r="N3010" s="10">
        <f>L3010-M3010</f>
        <v/>
      </c>
    </row>
    <row r="3011">
      <c r="A3011" s="7" t="inlineStr">
        <is>
          <t>ORD-02063</t>
        </is>
      </c>
      <c r="B3011" s="8" t="n">
        <v>45571</v>
      </c>
      <c r="C3011" s="9" t="n">
        <v>45566</v>
      </c>
      <c r="D3011" s="7" t="n">
        <v>2024</v>
      </c>
      <c r="E3011" s="7" t="inlineStr">
        <is>
          <t>East</t>
        </is>
      </c>
      <c r="F3011" s="7" t="inlineStr">
        <is>
          <t>Technology</t>
        </is>
      </c>
      <c r="G3011" s="7" t="inlineStr">
        <is>
          <t>Laptop</t>
        </is>
      </c>
      <c r="H3011" s="7" t="inlineStr">
        <is>
          <t>Corporate</t>
        </is>
      </c>
      <c r="I3011" s="7" t="n">
        <v>3</v>
      </c>
      <c r="J3011" s="10" t="n">
        <v>867.17</v>
      </c>
      <c r="K3011" s="11" t="n">
        <v>0</v>
      </c>
      <c r="L3011" s="10">
        <f>I3011*J3011*(1-K3011)</f>
        <v/>
      </c>
      <c r="M3011" s="10" t="n">
        <v>2106</v>
      </c>
      <c r="N3011" s="10">
        <f>L3011-M3011</f>
        <v/>
      </c>
    </row>
    <row r="3012">
      <c r="A3012" s="7" t="inlineStr">
        <is>
          <t>ORD-02135</t>
        </is>
      </c>
      <c r="B3012" s="8" t="n">
        <v>45571</v>
      </c>
      <c r="C3012" s="9" t="n">
        <v>45566</v>
      </c>
      <c r="D3012" s="7" t="n">
        <v>2024</v>
      </c>
      <c r="E3012" s="7" t="inlineStr">
        <is>
          <t>West</t>
        </is>
      </c>
      <c r="F3012" s="7" t="inlineStr">
        <is>
          <t>Office Supplies</t>
        </is>
      </c>
      <c r="G3012" s="7" t="inlineStr">
        <is>
          <t>Pens</t>
        </is>
      </c>
      <c r="H3012" s="7" t="inlineStr">
        <is>
          <t>Corporate</t>
        </is>
      </c>
      <c r="I3012" s="7" t="n">
        <v>10</v>
      </c>
      <c r="J3012" s="10" t="n">
        <v>12.01</v>
      </c>
      <c r="K3012" s="11" t="n">
        <v>0.05</v>
      </c>
      <c r="L3012" s="10">
        <f>I3012*J3012*(1-K3012)</f>
        <v/>
      </c>
      <c r="M3012" s="10" t="n">
        <v>54</v>
      </c>
      <c r="N3012" s="10">
        <f>L3012-M3012</f>
        <v/>
      </c>
    </row>
    <row r="3013">
      <c r="A3013" s="7" t="inlineStr">
        <is>
          <t>ORD-00504</t>
        </is>
      </c>
      <c r="B3013" s="8" t="n">
        <v>45571</v>
      </c>
      <c r="C3013" s="9" t="n">
        <v>45566</v>
      </c>
      <c r="D3013" s="7" t="n">
        <v>2024</v>
      </c>
      <c r="E3013" s="7" t="inlineStr">
        <is>
          <t>North</t>
        </is>
      </c>
      <c r="F3013" s="7" t="inlineStr">
        <is>
          <t>Technology</t>
        </is>
      </c>
      <c r="G3013" s="7" t="inlineStr">
        <is>
          <t>Monitor</t>
        </is>
      </c>
      <c r="H3013" s="7" t="inlineStr">
        <is>
          <t>Home Office</t>
        </is>
      </c>
      <c r="I3013" s="7" t="n">
        <v>3</v>
      </c>
      <c r="J3013" s="10" t="n">
        <v>255.72</v>
      </c>
      <c r="K3013" s="11" t="n">
        <v>0.2</v>
      </c>
      <c r="L3013" s="10">
        <f>I3013*J3013*(1-K3013)</f>
        <v/>
      </c>
      <c r="M3013" s="10" t="n">
        <v>540</v>
      </c>
      <c r="N3013" s="10">
        <f>L3013-M3013</f>
        <v/>
      </c>
    </row>
    <row r="3014">
      <c r="A3014" s="7" t="inlineStr">
        <is>
          <t>ORD-03562</t>
        </is>
      </c>
      <c r="B3014" s="8" t="n">
        <v>45571</v>
      </c>
      <c r="C3014" s="9" t="n">
        <v>45566</v>
      </c>
      <c r="D3014" s="7" t="n">
        <v>2024</v>
      </c>
      <c r="E3014" s="7" t="inlineStr">
        <is>
          <t>West</t>
        </is>
      </c>
      <c r="F3014" s="7" t="inlineStr">
        <is>
          <t>Office Supplies</t>
        </is>
      </c>
      <c r="G3014" s="7" t="inlineStr">
        <is>
          <t>Pens</t>
        </is>
      </c>
      <c r="H3014" s="7" t="inlineStr">
        <is>
          <t>Home Office</t>
        </is>
      </c>
      <c r="I3014" s="7" t="n">
        <v>12</v>
      </c>
      <c r="J3014" s="10" t="n">
        <v>11.81</v>
      </c>
      <c r="K3014" s="11" t="n">
        <v>0.1</v>
      </c>
      <c r="L3014" s="10">
        <f>I3014*J3014*(1-K3014)</f>
        <v/>
      </c>
      <c r="M3014" s="10" t="n">
        <v>64.8</v>
      </c>
      <c r="N3014" s="10">
        <f>L3014-M3014</f>
        <v/>
      </c>
    </row>
    <row r="3015">
      <c r="A3015" s="7" t="inlineStr">
        <is>
          <t>ORD-02481</t>
        </is>
      </c>
      <c r="B3015" s="8" t="n">
        <v>45572</v>
      </c>
      <c r="C3015" s="9" t="n">
        <v>45566</v>
      </c>
      <c r="D3015" s="7" t="n">
        <v>2024</v>
      </c>
      <c r="E3015" s="7" t="inlineStr">
        <is>
          <t>West</t>
        </is>
      </c>
      <c r="F3015" s="7" t="inlineStr">
        <is>
          <t>Furniture</t>
        </is>
      </c>
      <c r="G3015" s="7" t="inlineStr">
        <is>
          <t>Sofa</t>
        </is>
      </c>
      <c r="H3015" s="7" t="inlineStr">
        <is>
          <t>Corporate</t>
        </is>
      </c>
      <c r="I3015" s="7" t="n">
        <v>1</v>
      </c>
      <c r="J3015" s="10" t="n">
        <v>732.15</v>
      </c>
      <c r="K3015" s="11" t="n">
        <v>0</v>
      </c>
      <c r="L3015" s="10">
        <f>I3015*J3015*(1-K3015)</f>
        <v/>
      </c>
      <c r="M3015" s="10" t="n">
        <v>616</v>
      </c>
      <c r="N3015" s="10">
        <f>L3015-M3015</f>
        <v/>
      </c>
    </row>
    <row r="3016">
      <c r="A3016" s="7" t="inlineStr">
        <is>
          <t>ORD-00278</t>
        </is>
      </c>
      <c r="B3016" s="8" t="n">
        <v>45572</v>
      </c>
      <c r="C3016" s="9" t="n">
        <v>45566</v>
      </c>
      <c r="D3016" s="7" t="n">
        <v>2024</v>
      </c>
      <c r="E3016" s="7" t="inlineStr">
        <is>
          <t>South</t>
        </is>
      </c>
      <c r="F3016" s="7" t="inlineStr">
        <is>
          <t>Office Supplies</t>
        </is>
      </c>
      <c r="G3016" s="7" t="inlineStr">
        <is>
          <t>Binder</t>
        </is>
      </c>
      <c r="H3016" s="7" t="inlineStr">
        <is>
          <t>Corporate</t>
        </is>
      </c>
      <c r="I3016" s="7" t="n">
        <v>5</v>
      </c>
      <c r="J3016" s="10" t="n">
        <v>8.33</v>
      </c>
      <c r="K3016" s="11" t="n">
        <v>0</v>
      </c>
      <c r="L3016" s="10">
        <f>I3016*J3016*(1-K3016)</f>
        <v/>
      </c>
      <c r="M3016" s="10" t="n">
        <v>16</v>
      </c>
      <c r="N3016" s="10">
        <f>L3016-M3016</f>
        <v/>
      </c>
    </row>
    <row r="3017">
      <c r="A3017" s="7" t="inlineStr">
        <is>
          <t>ORD-02070</t>
        </is>
      </c>
      <c r="B3017" s="8" t="n">
        <v>45572</v>
      </c>
      <c r="C3017" s="9" t="n">
        <v>45566</v>
      </c>
      <c r="D3017" s="7" t="n">
        <v>2024</v>
      </c>
      <c r="E3017" s="7" t="inlineStr">
        <is>
          <t>North</t>
        </is>
      </c>
      <c r="F3017" s="7" t="inlineStr">
        <is>
          <t>Technology</t>
        </is>
      </c>
      <c r="G3017" s="7" t="inlineStr">
        <is>
          <t>Laptop</t>
        </is>
      </c>
      <c r="H3017" s="7" t="inlineStr">
        <is>
          <t>Corporate</t>
        </is>
      </c>
      <c r="I3017" s="7" t="n">
        <v>1</v>
      </c>
      <c r="J3017" s="10" t="n">
        <v>900</v>
      </c>
      <c r="K3017" s="11" t="n">
        <v>0</v>
      </c>
      <c r="L3017" s="10">
        <f>I3017*J3017*(1-K3017)</f>
        <v/>
      </c>
      <c r="M3017" s="10" t="n">
        <v>702</v>
      </c>
      <c r="N3017" s="10">
        <f>L3017-M3017</f>
        <v/>
      </c>
    </row>
    <row r="3018">
      <c r="A3018" s="7" t="inlineStr">
        <is>
          <t>ORD-00438</t>
        </is>
      </c>
      <c r="B3018" s="8" t="n">
        <v>45572</v>
      </c>
      <c r="C3018" s="9" t="n">
        <v>45566</v>
      </c>
      <c r="D3018" s="7" t="n">
        <v>2024</v>
      </c>
      <c r="E3018" s="7" t="inlineStr">
        <is>
          <t>West</t>
        </is>
      </c>
      <c r="F3018" s="7" t="inlineStr">
        <is>
          <t>Office Supplies</t>
        </is>
      </c>
      <c r="G3018" s="7" t="inlineStr">
        <is>
          <t>Printer Ink</t>
        </is>
      </c>
      <c r="H3018" s="7" t="inlineStr">
        <is>
          <t>Consumer</t>
        </is>
      </c>
      <c r="I3018" s="7" t="n">
        <v>2</v>
      </c>
      <c r="J3018" s="10" t="n">
        <v>57.73</v>
      </c>
      <c r="K3018" s="11" t="n">
        <v>0</v>
      </c>
      <c r="L3018" s="10">
        <f>I3018*J3018*(1-K3018)</f>
        <v/>
      </c>
      <c r="M3018" s="10" t="n">
        <v>72</v>
      </c>
      <c r="N3018" s="10">
        <f>L3018-M3018</f>
        <v/>
      </c>
    </row>
    <row r="3019">
      <c r="A3019" s="7" t="inlineStr">
        <is>
          <t>ORD-00576</t>
        </is>
      </c>
      <c r="B3019" s="8" t="n">
        <v>45572</v>
      </c>
      <c r="C3019" s="9" t="n">
        <v>45566</v>
      </c>
      <c r="D3019" s="7" t="n">
        <v>2024</v>
      </c>
      <c r="E3019" s="7" t="inlineStr">
        <is>
          <t>South</t>
        </is>
      </c>
      <c r="F3019" s="7" t="inlineStr">
        <is>
          <t>Office Supplies</t>
        </is>
      </c>
      <c r="G3019" s="7" t="inlineStr">
        <is>
          <t>Paper</t>
        </is>
      </c>
      <c r="H3019" s="7" t="inlineStr">
        <is>
          <t>Consumer</t>
        </is>
      </c>
      <c r="I3019" s="7" t="n">
        <v>11</v>
      </c>
      <c r="J3019" s="10" t="n">
        <v>26.18</v>
      </c>
      <c r="K3019" s="11" t="n">
        <v>0.2</v>
      </c>
      <c r="L3019" s="10">
        <f>I3019*J3019*(1-K3019)</f>
        <v/>
      </c>
      <c r="M3019" s="10" t="n">
        <v>137.5</v>
      </c>
      <c r="N3019" s="10">
        <f>L3019-M3019</f>
        <v/>
      </c>
    </row>
    <row r="3020">
      <c r="A3020" s="7" t="inlineStr">
        <is>
          <t>ORD-01688</t>
        </is>
      </c>
      <c r="B3020" s="8" t="n">
        <v>45572</v>
      </c>
      <c r="C3020" s="9" t="n">
        <v>45566</v>
      </c>
      <c r="D3020" s="7" t="n">
        <v>2024</v>
      </c>
      <c r="E3020" s="7" t="inlineStr">
        <is>
          <t>South</t>
        </is>
      </c>
      <c r="F3020" s="7" t="inlineStr">
        <is>
          <t>Furniture</t>
        </is>
      </c>
      <c r="G3020" s="7" t="inlineStr">
        <is>
          <t>Sofa</t>
        </is>
      </c>
      <c r="H3020" s="7" t="inlineStr">
        <is>
          <t>Consumer</t>
        </is>
      </c>
      <c r="I3020" s="7" t="n">
        <v>3</v>
      </c>
      <c r="J3020" s="10" t="n">
        <v>682.77</v>
      </c>
      <c r="K3020" s="11" t="n">
        <v>0.3</v>
      </c>
      <c r="L3020" s="10">
        <f>I3020*J3020*(1-K3020)</f>
        <v/>
      </c>
      <c r="M3020" s="10" t="n">
        <v>1848</v>
      </c>
      <c r="N3020" s="10">
        <f>L3020-M3020</f>
        <v/>
      </c>
    </row>
    <row r="3021">
      <c r="A3021" s="7" t="inlineStr">
        <is>
          <t>ORD-01881</t>
        </is>
      </c>
      <c r="B3021" s="8" t="n">
        <v>45573</v>
      </c>
      <c r="C3021" s="9" t="n">
        <v>45566</v>
      </c>
      <c r="D3021" s="7" t="n">
        <v>2024</v>
      </c>
      <c r="E3021" s="7" t="inlineStr">
        <is>
          <t>West</t>
        </is>
      </c>
      <c r="F3021" s="7" t="inlineStr">
        <is>
          <t>Technology</t>
        </is>
      </c>
      <c r="G3021" s="7" t="inlineStr">
        <is>
          <t>Monitor</t>
        </is>
      </c>
      <c r="H3021" s="7" t="inlineStr">
        <is>
          <t>Corporate</t>
        </is>
      </c>
      <c r="I3021" s="7" t="n">
        <v>2</v>
      </c>
      <c r="J3021" s="10" t="n">
        <v>255.97</v>
      </c>
      <c r="K3021" s="11" t="n">
        <v>0</v>
      </c>
      <c r="L3021" s="10">
        <f>I3021*J3021*(1-K3021)</f>
        <v/>
      </c>
      <c r="M3021" s="10" t="n">
        <v>360</v>
      </c>
      <c r="N3021" s="10">
        <f>L3021-M3021</f>
        <v/>
      </c>
    </row>
    <row r="3022">
      <c r="A3022" s="7" t="inlineStr">
        <is>
          <t>ORD-01506</t>
        </is>
      </c>
      <c r="B3022" s="8" t="n">
        <v>45573</v>
      </c>
      <c r="C3022" s="9" t="n">
        <v>45566</v>
      </c>
      <c r="D3022" s="7" t="n">
        <v>2024</v>
      </c>
      <c r="E3022" s="7" t="inlineStr">
        <is>
          <t>South</t>
        </is>
      </c>
      <c r="F3022" s="7" t="inlineStr">
        <is>
          <t>Office Supplies</t>
        </is>
      </c>
      <c r="G3022" s="7" t="inlineStr">
        <is>
          <t>Paper</t>
        </is>
      </c>
      <c r="H3022" s="7" t="inlineStr">
        <is>
          <t>Corporate</t>
        </is>
      </c>
      <c r="I3022" s="7" t="n">
        <v>12</v>
      </c>
      <c r="J3022" s="10" t="n">
        <v>25.01</v>
      </c>
      <c r="K3022" s="11" t="n">
        <v>0.1</v>
      </c>
      <c r="L3022" s="10">
        <f>I3022*J3022*(1-K3022)</f>
        <v/>
      </c>
      <c r="M3022" s="10" t="n">
        <v>150</v>
      </c>
      <c r="N3022" s="10">
        <f>L3022-M3022</f>
        <v/>
      </c>
    </row>
    <row r="3023">
      <c r="A3023" s="7" t="inlineStr">
        <is>
          <t>ORD-05074</t>
        </is>
      </c>
      <c r="B3023" s="8" t="n">
        <v>45573</v>
      </c>
      <c r="C3023" s="9" t="n">
        <v>45566</v>
      </c>
      <c r="D3023" s="7" t="n">
        <v>2024</v>
      </c>
      <c r="E3023" s="7" t="inlineStr">
        <is>
          <t>East</t>
        </is>
      </c>
      <c r="F3023" s="7" t="inlineStr">
        <is>
          <t>Furniture</t>
        </is>
      </c>
      <c r="G3023" s="7" t="inlineStr">
        <is>
          <t>Bookcase</t>
        </is>
      </c>
      <c r="H3023" s="7" t="inlineStr">
        <is>
          <t>Consumer</t>
        </is>
      </c>
      <c r="I3023" s="7" t="n">
        <v>4</v>
      </c>
      <c r="J3023" s="10" t="n">
        <v>187.93</v>
      </c>
      <c r="K3023" s="11" t="n">
        <v>0</v>
      </c>
      <c r="L3023" s="10">
        <f>I3023*J3023*(1-K3023)</f>
        <v/>
      </c>
      <c r="M3023" s="10" t="n">
        <v>576</v>
      </c>
      <c r="N3023" s="10">
        <f>L3023-M3023</f>
        <v/>
      </c>
    </row>
    <row r="3024">
      <c r="A3024" s="7" t="inlineStr">
        <is>
          <t>ORD-02975</t>
        </is>
      </c>
      <c r="B3024" s="8" t="n">
        <v>45573</v>
      </c>
      <c r="C3024" s="9" t="n">
        <v>45566</v>
      </c>
      <c r="D3024" s="7" t="n">
        <v>2024</v>
      </c>
      <c r="E3024" s="7" t="inlineStr">
        <is>
          <t>West</t>
        </is>
      </c>
      <c r="F3024" s="7" t="inlineStr">
        <is>
          <t>Office Supplies</t>
        </is>
      </c>
      <c r="G3024" s="7" t="inlineStr">
        <is>
          <t>Stapler</t>
        </is>
      </c>
      <c r="H3024" s="7" t="inlineStr">
        <is>
          <t>Consumer</t>
        </is>
      </c>
      <c r="I3024" s="7" t="n">
        <v>7</v>
      </c>
      <c r="J3024" s="10" t="n">
        <v>14.36</v>
      </c>
      <c r="K3024" s="11" t="n">
        <v>0</v>
      </c>
      <c r="L3024" s="10">
        <f>I3024*J3024*(1-K3024)</f>
        <v/>
      </c>
      <c r="M3024" s="10" t="n">
        <v>52.5</v>
      </c>
      <c r="N3024" s="10">
        <f>L3024-M3024</f>
        <v/>
      </c>
    </row>
    <row r="3025">
      <c r="A3025" s="7" t="inlineStr">
        <is>
          <t>ORD-03409</t>
        </is>
      </c>
      <c r="B3025" s="8" t="n">
        <v>45573</v>
      </c>
      <c r="C3025" s="9" t="n">
        <v>45566</v>
      </c>
      <c r="D3025" s="7" t="n">
        <v>2024</v>
      </c>
      <c r="E3025" s="7" t="inlineStr">
        <is>
          <t>South</t>
        </is>
      </c>
      <c r="F3025" s="7" t="inlineStr">
        <is>
          <t>Furniture</t>
        </is>
      </c>
      <c r="G3025" s="7" t="inlineStr">
        <is>
          <t>Sofa</t>
        </is>
      </c>
      <c r="H3025" s="7" t="inlineStr">
        <is>
          <t>Consumer</t>
        </is>
      </c>
      <c r="I3025" s="7" t="n">
        <v>3</v>
      </c>
      <c r="J3025" s="10" t="n">
        <v>730.24</v>
      </c>
      <c r="K3025" s="11" t="n">
        <v>0.3</v>
      </c>
      <c r="L3025" s="10">
        <f>I3025*J3025*(1-K3025)</f>
        <v/>
      </c>
      <c r="M3025" s="10" t="n">
        <v>1848</v>
      </c>
      <c r="N3025" s="10">
        <f>L3025-M3025</f>
        <v/>
      </c>
    </row>
    <row r="3026">
      <c r="A3026" s="7" t="inlineStr">
        <is>
          <t>ORD-03525</t>
        </is>
      </c>
      <c r="B3026" s="8" t="n">
        <v>45573</v>
      </c>
      <c r="C3026" s="9" t="n">
        <v>45566</v>
      </c>
      <c r="D3026" s="7" t="n">
        <v>2024</v>
      </c>
      <c r="E3026" s="7" t="inlineStr">
        <is>
          <t>West</t>
        </is>
      </c>
      <c r="F3026" s="7" t="inlineStr">
        <is>
          <t>Office Supplies</t>
        </is>
      </c>
      <c r="G3026" s="7" t="inlineStr">
        <is>
          <t>Pens</t>
        </is>
      </c>
      <c r="H3026" s="7" t="inlineStr">
        <is>
          <t>Corporate</t>
        </is>
      </c>
      <c r="I3026" s="7" t="n">
        <v>13</v>
      </c>
      <c r="J3026" s="10" t="n">
        <v>12.24</v>
      </c>
      <c r="K3026" s="11" t="n">
        <v>0</v>
      </c>
      <c r="L3026" s="10">
        <f>I3026*J3026*(1-K3026)</f>
        <v/>
      </c>
      <c r="M3026" s="10" t="n">
        <v>70.2</v>
      </c>
      <c r="N3026" s="10">
        <f>L3026-M3026</f>
        <v/>
      </c>
    </row>
    <row r="3027">
      <c r="A3027" s="7" t="inlineStr">
        <is>
          <t>ORD-04587</t>
        </is>
      </c>
      <c r="B3027" s="8" t="n">
        <v>45573</v>
      </c>
      <c r="C3027" s="9" t="n">
        <v>45566</v>
      </c>
      <c r="D3027" s="7" t="n">
        <v>2024</v>
      </c>
      <c r="E3027" s="7" t="inlineStr">
        <is>
          <t>South</t>
        </is>
      </c>
      <c r="F3027" s="7" t="inlineStr">
        <is>
          <t>Office Supplies</t>
        </is>
      </c>
      <c r="G3027" s="7" t="inlineStr">
        <is>
          <t>Pens</t>
        </is>
      </c>
      <c r="H3027" s="7" t="inlineStr">
        <is>
          <t>Corporate</t>
        </is>
      </c>
      <c r="I3027" s="7" t="n">
        <v>6</v>
      </c>
      <c r="J3027" s="10" t="n">
        <v>11.78</v>
      </c>
      <c r="K3027" s="11" t="n">
        <v>0.3</v>
      </c>
      <c r="L3027" s="10">
        <f>I3027*J3027*(1-K3027)</f>
        <v/>
      </c>
      <c r="M3027" s="10" t="n">
        <v>32.4</v>
      </c>
      <c r="N3027" s="10">
        <f>L3027-M3027</f>
        <v/>
      </c>
    </row>
    <row r="3028">
      <c r="A3028" s="7" t="inlineStr">
        <is>
          <t>ORD-05120</t>
        </is>
      </c>
      <c r="B3028" s="8" t="n">
        <v>45573</v>
      </c>
      <c r="C3028" s="9" t="n">
        <v>45566</v>
      </c>
      <c r="D3028" s="7" t="n">
        <v>2024</v>
      </c>
      <c r="E3028" s="7" t="inlineStr">
        <is>
          <t>South</t>
        </is>
      </c>
      <c r="F3028" s="7" t="inlineStr">
        <is>
          <t>Technology</t>
        </is>
      </c>
      <c r="G3028" s="7" t="inlineStr">
        <is>
          <t>Headphones</t>
        </is>
      </c>
      <c r="H3028" s="7" t="inlineStr">
        <is>
          <t>Corporate</t>
        </is>
      </c>
      <c r="I3028" s="7" t="n">
        <v>3</v>
      </c>
      <c r="J3028" s="10" t="n">
        <v>123.05</v>
      </c>
      <c r="K3028" s="11" t="n">
        <v>0.2</v>
      </c>
      <c r="L3028" s="10">
        <f>I3028*J3028*(1-K3028)</f>
        <v/>
      </c>
      <c r="M3028" s="10" t="n">
        <v>216</v>
      </c>
      <c r="N3028" s="10">
        <f>L3028-M3028</f>
        <v/>
      </c>
    </row>
    <row r="3029">
      <c r="A3029" s="7" t="inlineStr">
        <is>
          <t>ORD-04861</t>
        </is>
      </c>
      <c r="B3029" s="8" t="n">
        <v>45573</v>
      </c>
      <c r="C3029" s="9" t="n">
        <v>45566</v>
      </c>
      <c r="D3029" s="7" t="n">
        <v>2024</v>
      </c>
      <c r="E3029" s="7" t="inlineStr">
        <is>
          <t>East</t>
        </is>
      </c>
      <c r="F3029" s="7" t="inlineStr">
        <is>
          <t>Office Supplies</t>
        </is>
      </c>
      <c r="G3029" s="7" t="inlineStr">
        <is>
          <t>Stapler</t>
        </is>
      </c>
      <c r="H3029" s="7" t="inlineStr">
        <is>
          <t>Home Office</t>
        </is>
      </c>
      <c r="I3029" s="7" t="n">
        <v>15</v>
      </c>
      <c r="J3029" s="10" t="n">
        <v>15.27</v>
      </c>
      <c r="K3029" s="11" t="n">
        <v>0</v>
      </c>
      <c r="L3029" s="10">
        <f>I3029*J3029*(1-K3029)</f>
        <v/>
      </c>
      <c r="M3029" s="10" t="n">
        <v>112.5</v>
      </c>
      <c r="N3029" s="10">
        <f>L3029-M3029</f>
        <v/>
      </c>
    </row>
    <row r="3030">
      <c r="A3030" s="7" t="inlineStr">
        <is>
          <t>ORD-00210</t>
        </is>
      </c>
      <c r="B3030" s="8" t="n">
        <v>45573</v>
      </c>
      <c r="C3030" s="9" t="n">
        <v>45566</v>
      </c>
      <c r="D3030" s="7" t="n">
        <v>2024</v>
      </c>
      <c r="E3030" s="7" t="inlineStr">
        <is>
          <t>North</t>
        </is>
      </c>
      <c r="F3030" s="7" t="inlineStr">
        <is>
          <t>Technology</t>
        </is>
      </c>
      <c r="G3030" s="7" t="inlineStr">
        <is>
          <t>Laptop</t>
        </is>
      </c>
      <c r="H3030" s="7" t="inlineStr">
        <is>
          <t>Consumer</t>
        </is>
      </c>
      <c r="I3030" s="7" t="n">
        <v>3</v>
      </c>
      <c r="J3030" s="10" t="n">
        <v>899.62</v>
      </c>
      <c r="K3030" s="11" t="n">
        <v>0.05</v>
      </c>
      <c r="L3030" s="10">
        <f>I3030*J3030*(1-K3030)</f>
        <v/>
      </c>
      <c r="M3030" s="10" t="n">
        <v>2106</v>
      </c>
      <c r="N3030" s="10">
        <f>L3030-M3030</f>
        <v/>
      </c>
    </row>
    <row r="3031">
      <c r="A3031" s="7" t="inlineStr">
        <is>
          <t>ORD-02541</t>
        </is>
      </c>
      <c r="B3031" s="8" t="n">
        <v>45574</v>
      </c>
      <c r="C3031" s="9" t="n">
        <v>45566</v>
      </c>
      <c r="D3031" s="7" t="n">
        <v>2024</v>
      </c>
      <c r="E3031" s="7" t="inlineStr">
        <is>
          <t>West</t>
        </is>
      </c>
      <c r="F3031" s="7" t="inlineStr">
        <is>
          <t>Technology</t>
        </is>
      </c>
      <c r="G3031" s="7" t="inlineStr">
        <is>
          <t>Laptop</t>
        </is>
      </c>
      <c r="H3031" s="7" t="inlineStr">
        <is>
          <t>Corporate</t>
        </is>
      </c>
      <c r="I3031" s="7" t="n">
        <v>2</v>
      </c>
      <c r="J3031" s="10" t="n">
        <v>924.73</v>
      </c>
      <c r="K3031" s="11" t="n">
        <v>0.1</v>
      </c>
      <c r="L3031" s="10">
        <f>I3031*J3031*(1-K3031)</f>
        <v/>
      </c>
      <c r="M3031" s="10" t="n">
        <v>1404</v>
      </c>
      <c r="N3031" s="10">
        <f>L3031-M3031</f>
        <v/>
      </c>
    </row>
    <row r="3032">
      <c r="A3032" s="7" t="inlineStr">
        <is>
          <t>ORD-05017</t>
        </is>
      </c>
      <c r="B3032" s="8" t="n">
        <v>45574</v>
      </c>
      <c r="C3032" s="9" t="n">
        <v>45566</v>
      </c>
      <c r="D3032" s="7" t="n">
        <v>2024</v>
      </c>
      <c r="E3032" s="7" t="inlineStr">
        <is>
          <t>East</t>
        </is>
      </c>
      <c r="F3032" s="7" t="inlineStr">
        <is>
          <t>Technology</t>
        </is>
      </c>
      <c r="G3032" s="7" t="inlineStr">
        <is>
          <t>Headphones</t>
        </is>
      </c>
      <c r="H3032" s="7" t="inlineStr">
        <is>
          <t>Corporate</t>
        </is>
      </c>
      <c r="I3032" s="7" t="n">
        <v>2</v>
      </c>
      <c r="J3032" s="10" t="n">
        <v>117.11</v>
      </c>
      <c r="K3032" s="11" t="n">
        <v>0</v>
      </c>
      <c r="L3032" s="10">
        <f>I3032*J3032*(1-K3032)</f>
        <v/>
      </c>
      <c r="M3032" s="10" t="n">
        <v>144</v>
      </c>
      <c r="N3032" s="10">
        <f>L3032-M3032</f>
        <v/>
      </c>
    </row>
    <row r="3033">
      <c r="A3033" s="7" t="inlineStr">
        <is>
          <t>ORD-04898</t>
        </is>
      </c>
      <c r="B3033" s="8" t="n">
        <v>45574</v>
      </c>
      <c r="C3033" s="9" t="n">
        <v>45566</v>
      </c>
      <c r="D3033" s="7" t="n">
        <v>2024</v>
      </c>
      <c r="E3033" s="7" t="inlineStr">
        <is>
          <t>South</t>
        </is>
      </c>
      <c r="F3033" s="7" t="inlineStr">
        <is>
          <t>Technology</t>
        </is>
      </c>
      <c r="G3033" s="7" t="inlineStr">
        <is>
          <t>Smartphone</t>
        </is>
      </c>
      <c r="H3033" s="7" t="inlineStr">
        <is>
          <t>Home Office</t>
        </is>
      </c>
      <c r="I3033" s="7" t="n">
        <v>2</v>
      </c>
      <c r="J3033" s="10" t="n">
        <v>592.45</v>
      </c>
      <c r="K3033" s="11" t="n">
        <v>0.05</v>
      </c>
      <c r="L3033" s="10">
        <f>I3033*J3033*(1-K3033)</f>
        <v/>
      </c>
      <c r="M3033" s="10" t="n">
        <v>900</v>
      </c>
      <c r="N3033" s="10">
        <f>L3033-M3033</f>
        <v/>
      </c>
    </row>
    <row r="3034">
      <c r="A3034" s="7" t="inlineStr">
        <is>
          <t>ORD-04719</t>
        </is>
      </c>
      <c r="B3034" s="8" t="n">
        <v>45574</v>
      </c>
      <c r="C3034" s="9" t="n">
        <v>45566</v>
      </c>
      <c r="D3034" s="7" t="n">
        <v>2024</v>
      </c>
      <c r="E3034" s="7" t="inlineStr">
        <is>
          <t>West</t>
        </is>
      </c>
      <c r="F3034" s="7" t="inlineStr">
        <is>
          <t>Technology</t>
        </is>
      </c>
      <c r="G3034" s="7" t="inlineStr">
        <is>
          <t>Keyboard</t>
        </is>
      </c>
      <c r="H3034" s="7" t="inlineStr">
        <is>
          <t>Corporate</t>
        </is>
      </c>
      <c r="I3034" s="7" t="n">
        <v>1</v>
      </c>
      <c r="J3034" s="10" t="n">
        <v>45.77</v>
      </c>
      <c r="K3034" s="11" t="n">
        <v>0.1</v>
      </c>
      <c r="L3034" s="10">
        <f>I3034*J3034*(1-K3034)</f>
        <v/>
      </c>
      <c r="M3034" s="10" t="n">
        <v>24.75</v>
      </c>
      <c r="N3034" s="10">
        <f>L3034-M3034</f>
        <v/>
      </c>
    </row>
    <row r="3035">
      <c r="A3035" s="7" t="inlineStr">
        <is>
          <t>ORD-04764</t>
        </is>
      </c>
      <c r="B3035" s="8" t="n">
        <v>45574</v>
      </c>
      <c r="C3035" s="9" t="n">
        <v>45566</v>
      </c>
      <c r="D3035" s="7" t="n">
        <v>2024</v>
      </c>
      <c r="E3035" s="7" t="inlineStr">
        <is>
          <t>North</t>
        </is>
      </c>
      <c r="F3035" s="7" t="inlineStr">
        <is>
          <t>Office Supplies</t>
        </is>
      </c>
      <c r="G3035" s="7" t="inlineStr">
        <is>
          <t>Paper</t>
        </is>
      </c>
      <c r="H3035" s="7" t="inlineStr">
        <is>
          <t>Consumer</t>
        </is>
      </c>
      <c r="I3035" s="7" t="n">
        <v>5</v>
      </c>
      <c r="J3035" s="10" t="n">
        <v>26.06</v>
      </c>
      <c r="K3035" s="11" t="n">
        <v>0.1</v>
      </c>
      <c r="L3035" s="10">
        <f>I3035*J3035*(1-K3035)</f>
        <v/>
      </c>
      <c r="M3035" s="10" t="n">
        <v>62.5</v>
      </c>
      <c r="N3035" s="10">
        <f>L3035-M3035</f>
        <v/>
      </c>
    </row>
    <row r="3036">
      <c r="A3036" s="7" t="inlineStr">
        <is>
          <t>ORD-03329</t>
        </is>
      </c>
      <c r="B3036" s="8" t="n">
        <v>45574</v>
      </c>
      <c r="C3036" s="9" t="n">
        <v>45566</v>
      </c>
      <c r="D3036" s="7" t="n">
        <v>2024</v>
      </c>
      <c r="E3036" s="7" t="inlineStr">
        <is>
          <t>West</t>
        </is>
      </c>
      <c r="F3036" s="7" t="inlineStr">
        <is>
          <t>Office Supplies</t>
        </is>
      </c>
      <c r="G3036" s="7" t="inlineStr">
        <is>
          <t>Paper</t>
        </is>
      </c>
      <c r="H3036" s="7" t="inlineStr">
        <is>
          <t>Corporate</t>
        </is>
      </c>
      <c r="I3036" s="7" t="n">
        <v>4</v>
      </c>
      <c r="J3036" s="10" t="n">
        <v>25.44</v>
      </c>
      <c r="K3036" s="11" t="n">
        <v>0</v>
      </c>
      <c r="L3036" s="10">
        <f>I3036*J3036*(1-K3036)</f>
        <v/>
      </c>
      <c r="M3036" s="10" t="n">
        <v>50</v>
      </c>
      <c r="N3036" s="10">
        <f>L3036-M3036</f>
        <v/>
      </c>
    </row>
    <row r="3037">
      <c r="A3037" s="7" t="inlineStr">
        <is>
          <t>ORD-00809</t>
        </is>
      </c>
      <c r="B3037" s="8" t="n">
        <v>45574</v>
      </c>
      <c r="C3037" s="9" t="n">
        <v>45566</v>
      </c>
      <c r="D3037" s="7" t="n">
        <v>2024</v>
      </c>
      <c r="E3037" s="7" t="inlineStr">
        <is>
          <t>East</t>
        </is>
      </c>
      <c r="F3037" s="7" t="inlineStr">
        <is>
          <t>Office Supplies</t>
        </is>
      </c>
      <c r="G3037" s="7" t="inlineStr">
        <is>
          <t>Pens</t>
        </is>
      </c>
      <c r="H3037" s="7" t="inlineStr">
        <is>
          <t>Home Office</t>
        </is>
      </c>
      <c r="I3037" s="7" t="n">
        <v>11</v>
      </c>
      <c r="J3037" s="10" t="n">
        <v>11.5</v>
      </c>
      <c r="K3037" s="11" t="n">
        <v>0.1</v>
      </c>
      <c r="L3037" s="10">
        <f>I3037*J3037*(1-K3037)</f>
        <v/>
      </c>
      <c r="M3037" s="10" t="n">
        <v>59.4</v>
      </c>
      <c r="N3037" s="10">
        <f>L3037-M3037</f>
        <v/>
      </c>
    </row>
    <row r="3038">
      <c r="A3038" s="7" t="inlineStr">
        <is>
          <t>ORD-03375</t>
        </is>
      </c>
      <c r="B3038" s="8" t="n">
        <v>45574</v>
      </c>
      <c r="C3038" s="9" t="n">
        <v>45566</v>
      </c>
      <c r="D3038" s="7" t="n">
        <v>2024</v>
      </c>
      <c r="E3038" s="7" t="inlineStr">
        <is>
          <t>East</t>
        </is>
      </c>
      <c r="F3038" s="7" t="inlineStr">
        <is>
          <t>Furniture</t>
        </is>
      </c>
      <c r="G3038" s="7" t="inlineStr">
        <is>
          <t>Bookcase</t>
        </is>
      </c>
      <c r="H3038" s="7" t="inlineStr">
        <is>
          <t>Corporate</t>
        </is>
      </c>
      <c r="I3038" s="7" t="n">
        <v>3</v>
      </c>
      <c r="J3038" s="10" t="n">
        <v>181.73</v>
      </c>
      <c r="K3038" s="11" t="n">
        <v>0</v>
      </c>
      <c r="L3038" s="10">
        <f>I3038*J3038*(1-K3038)</f>
        <v/>
      </c>
      <c r="M3038" s="10" t="n">
        <v>432</v>
      </c>
      <c r="N3038" s="10">
        <f>L3038-M3038</f>
        <v/>
      </c>
    </row>
    <row r="3039">
      <c r="A3039" s="7" t="inlineStr">
        <is>
          <t>ORD-05502</t>
        </is>
      </c>
      <c r="B3039" s="8" t="n">
        <v>45574</v>
      </c>
      <c r="C3039" s="9" t="n">
        <v>45566</v>
      </c>
      <c r="D3039" s="7" t="n">
        <v>2024</v>
      </c>
      <c r="E3039" s="7" t="inlineStr">
        <is>
          <t>East</t>
        </is>
      </c>
      <c r="F3039" s="7" t="inlineStr">
        <is>
          <t>Office Supplies</t>
        </is>
      </c>
      <c r="G3039" s="7" t="inlineStr">
        <is>
          <t>Paper</t>
        </is>
      </c>
      <c r="H3039" s="7" t="inlineStr">
        <is>
          <t>Home Office</t>
        </is>
      </c>
      <c r="I3039" s="7" t="n">
        <v>13</v>
      </c>
      <c r="J3039" s="10" t="n">
        <v>26.25</v>
      </c>
      <c r="K3039" s="11" t="n">
        <v>0.3</v>
      </c>
      <c r="L3039" s="10">
        <f>I3039*J3039*(1-K3039)</f>
        <v/>
      </c>
      <c r="M3039" s="10" t="n">
        <v>162.5</v>
      </c>
      <c r="N3039" s="10">
        <f>L3039-M3039</f>
        <v/>
      </c>
    </row>
    <row r="3040">
      <c r="A3040" s="7" t="inlineStr">
        <is>
          <t>ORD-03180</t>
        </is>
      </c>
      <c r="B3040" s="8" t="n">
        <v>45574</v>
      </c>
      <c r="C3040" s="9" t="n">
        <v>45566</v>
      </c>
      <c r="D3040" s="7" t="n">
        <v>2024</v>
      </c>
      <c r="E3040" s="7" t="inlineStr">
        <is>
          <t>West</t>
        </is>
      </c>
      <c r="F3040" s="7" t="inlineStr">
        <is>
          <t>Office Supplies</t>
        </is>
      </c>
      <c r="G3040" s="7" t="inlineStr">
        <is>
          <t>Pens</t>
        </is>
      </c>
      <c r="H3040" s="7" t="inlineStr">
        <is>
          <t>Consumer</t>
        </is>
      </c>
      <c r="I3040" s="7" t="n">
        <v>4</v>
      </c>
      <c r="J3040" s="10" t="n">
        <v>11.72</v>
      </c>
      <c r="K3040" s="11" t="n">
        <v>0</v>
      </c>
      <c r="L3040" s="10">
        <f>I3040*J3040*(1-K3040)</f>
        <v/>
      </c>
      <c r="M3040" s="10" t="n">
        <v>21.6</v>
      </c>
      <c r="N3040" s="10">
        <f>L3040-M3040</f>
        <v/>
      </c>
    </row>
    <row r="3041">
      <c r="A3041" s="7" t="inlineStr">
        <is>
          <t>ORD-04813</t>
        </is>
      </c>
      <c r="B3041" s="8" t="n">
        <v>45575</v>
      </c>
      <c r="C3041" s="9" t="n">
        <v>45566</v>
      </c>
      <c r="D3041" s="7" t="n">
        <v>2024</v>
      </c>
      <c r="E3041" s="7" t="inlineStr">
        <is>
          <t>West</t>
        </is>
      </c>
      <c r="F3041" s="7" t="inlineStr">
        <is>
          <t>Office Supplies</t>
        </is>
      </c>
      <c r="G3041" s="7" t="inlineStr">
        <is>
          <t>Binder</t>
        </is>
      </c>
      <c r="H3041" s="7" t="inlineStr">
        <is>
          <t>Home Office</t>
        </is>
      </c>
      <c r="I3041" s="7" t="n">
        <v>13</v>
      </c>
      <c r="J3041" s="10" t="n">
        <v>8.1</v>
      </c>
      <c r="K3041" s="11" t="n">
        <v>0.1</v>
      </c>
      <c r="L3041" s="10">
        <f>I3041*J3041*(1-K3041)</f>
        <v/>
      </c>
      <c r="M3041" s="10" t="n">
        <v>41.6</v>
      </c>
      <c r="N3041" s="10">
        <f>L3041-M3041</f>
        <v/>
      </c>
    </row>
    <row r="3042">
      <c r="A3042" s="7" t="inlineStr">
        <is>
          <t>ORD-03846</t>
        </is>
      </c>
      <c r="B3042" s="8" t="n">
        <v>45575</v>
      </c>
      <c r="C3042" s="9" t="n">
        <v>45566</v>
      </c>
      <c r="D3042" s="7" t="n">
        <v>2024</v>
      </c>
      <c r="E3042" s="7" t="inlineStr">
        <is>
          <t>East</t>
        </is>
      </c>
      <c r="F3042" s="7" t="inlineStr">
        <is>
          <t>Office Supplies</t>
        </is>
      </c>
      <c r="G3042" s="7" t="inlineStr">
        <is>
          <t>Pens</t>
        </is>
      </c>
      <c r="H3042" s="7" t="inlineStr">
        <is>
          <t>Consumer</t>
        </is>
      </c>
      <c r="I3042" s="7" t="n">
        <v>12</v>
      </c>
      <c r="J3042" s="10" t="n">
        <v>11.42</v>
      </c>
      <c r="K3042" s="11" t="n">
        <v>0</v>
      </c>
      <c r="L3042" s="10">
        <f>I3042*J3042*(1-K3042)</f>
        <v/>
      </c>
      <c r="M3042" s="10" t="n">
        <v>64.8</v>
      </c>
      <c r="N3042" s="10">
        <f>L3042-M3042</f>
        <v/>
      </c>
    </row>
    <row r="3043">
      <c r="A3043" s="7" t="inlineStr">
        <is>
          <t>ORD-00745</t>
        </is>
      </c>
      <c r="B3043" s="8" t="n">
        <v>45575</v>
      </c>
      <c r="C3043" s="9" t="n">
        <v>45566</v>
      </c>
      <c r="D3043" s="7" t="n">
        <v>2024</v>
      </c>
      <c r="E3043" s="7" t="inlineStr">
        <is>
          <t>West</t>
        </is>
      </c>
      <c r="F3043" s="7" t="inlineStr">
        <is>
          <t>Office Supplies</t>
        </is>
      </c>
      <c r="G3043" s="7" t="inlineStr">
        <is>
          <t>Paper</t>
        </is>
      </c>
      <c r="H3043" s="7" t="inlineStr">
        <is>
          <t>Home Office</t>
        </is>
      </c>
      <c r="I3043" s="7" t="n">
        <v>5</v>
      </c>
      <c r="J3043" s="10" t="n">
        <v>24.73</v>
      </c>
      <c r="K3043" s="11" t="n">
        <v>0.2</v>
      </c>
      <c r="L3043" s="10">
        <f>I3043*J3043*(1-K3043)</f>
        <v/>
      </c>
      <c r="M3043" s="10" t="n">
        <v>62.5</v>
      </c>
      <c r="N3043" s="10">
        <f>L3043-M3043</f>
        <v/>
      </c>
    </row>
    <row r="3044">
      <c r="A3044" s="7" t="inlineStr">
        <is>
          <t>ORD-01476</t>
        </is>
      </c>
      <c r="B3044" s="8" t="n">
        <v>45575</v>
      </c>
      <c r="C3044" s="9" t="n">
        <v>45566</v>
      </c>
      <c r="D3044" s="7" t="n">
        <v>2024</v>
      </c>
      <c r="E3044" s="7" t="inlineStr">
        <is>
          <t>East</t>
        </is>
      </c>
      <c r="F3044" s="7" t="inlineStr">
        <is>
          <t>Office Supplies</t>
        </is>
      </c>
      <c r="G3044" s="7" t="inlineStr">
        <is>
          <t>Printer Ink</t>
        </is>
      </c>
      <c r="H3044" s="7" t="inlineStr">
        <is>
          <t>Corporate</t>
        </is>
      </c>
      <c r="I3044" s="7" t="n">
        <v>2</v>
      </c>
      <c r="J3044" s="10" t="n">
        <v>59.87</v>
      </c>
      <c r="K3044" s="11" t="n">
        <v>0.05</v>
      </c>
      <c r="L3044" s="10">
        <f>I3044*J3044*(1-K3044)</f>
        <v/>
      </c>
      <c r="M3044" s="10" t="n">
        <v>72</v>
      </c>
      <c r="N3044" s="10">
        <f>L3044-M3044</f>
        <v/>
      </c>
    </row>
    <row r="3045">
      <c r="A3045" s="7" t="inlineStr">
        <is>
          <t>ORD-02268</t>
        </is>
      </c>
      <c r="B3045" s="8" t="n">
        <v>45575</v>
      </c>
      <c r="C3045" s="9" t="n">
        <v>45566</v>
      </c>
      <c r="D3045" s="7" t="n">
        <v>2024</v>
      </c>
      <c r="E3045" s="7" t="inlineStr">
        <is>
          <t>West</t>
        </is>
      </c>
      <c r="F3045" s="7" t="inlineStr">
        <is>
          <t>Office Supplies</t>
        </is>
      </c>
      <c r="G3045" s="7" t="inlineStr">
        <is>
          <t>Pens</t>
        </is>
      </c>
      <c r="H3045" s="7" t="inlineStr">
        <is>
          <t>Home Office</t>
        </is>
      </c>
      <c r="I3045" s="7" t="n">
        <v>10</v>
      </c>
      <c r="J3045" s="10" t="n">
        <v>12.11</v>
      </c>
      <c r="K3045" s="11" t="n">
        <v>0.3</v>
      </c>
      <c r="L3045" s="10">
        <f>I3045*J3045*(1-K3045)</f>
        <v/>
      </c>
      <c r="M3045" s="10" t="n">
        <v>54</v>
      </c>
      <c r="N3045" s="10">
        <f>L3045-M3045</f>
        <v/>
      </c>
    </row>
    <row r="3046">
      <c r="A3046" s="7" t="inlineStr">
        <is>
          <t>ORD-04244</t>
        </is>
      </c>
      <c r="B3046" s="8" t="n">
        <v>45576</v>
      </c>
      <c r="C3046" s="9" t="n">
        <v>45566</v>
      </c>
      <c r="D3046" s="7" t="n">
        <v>2024</v>
      </c>
      <c r="E3046" s="7" t="inlineStr">
        <is>
          <t>East</t>
        </is>
      </c>
      <c r="F3046" s="7" t="inlineStr">
        <is>
          <t>Technology</t>
        </is>
      </c>
      <c r="G3046" s="7" t="inlineStr">
        <is>
          <t>Keyboard</t>
        </is>
      </c>
      <c r="H3046" s="7" t="inlineStr">
        <is>
          <t>Consumer</t>
        </is>
      </c>
      <c r="I3046" s="7" t="n">
        <v>2</v>
      </c>
      <c r="J3046" s="10" t="n">
        <v>44.71</v>
      </c>
      <c r="K3046" s="11" t="n">
        <v>0</v>
      </c>
      <c r="L3046" s="10">
        <f>I3046*J3046*(1-K3046)</f>
        <v/>
      </c>
      <c r="M3046" s="10" t="n">
        <v>49.5</v>
      </c>
      <c r="N3046" s="10">
        <f>L3046-M3046</f>
        <v/>
      </c>
    </row>
    <row r="3047">
      <c r="A3047" s="7" t="inlineStr">
        <is>
          <t>ORD-05805</t>
        </is>
      </c>
      <c r="B3047" s="8" t="n">
        <v>45576</v>
      </c>
      <c r="C3047" s="9" t="n">
        <v>45566</v>
      </c>
      <c r="D3047" s="7" t="n">
        <v>2024</v>
      </c>
      <c r="E3047" s="7" t="inlineStr">
        <is>
          <t>South</t>
        </is>
      </c>
      <c r="F3047" s="7" t="inlineStr">
        <is>
          <t>Furniture</t>
        </is>
      </c>
      <c r="G3047" s="7" t="inlineStr">
        <is>
          <t>Desk</t>
        </is>
      </c>
      <c r="H3047" s="7" t="inlineStr">
        <is>
          <t>Consumer</t>
        </is>
      </c>
      <c r="I3047" s="7" t="n">
        <v>4</v>
      </c>
      <c r="J3047" s="10" t="n">
        <v>427.98</v>
      </c>
      <c r="K3047" s="11" t="n">
        <v>0.2</v>
      </c>
      <c r="L3047" s="10">
        <f>I3047*J3047*(1-K3047)</f>
        <v/>
      </c>
      <c r="M3047" s="10" t="n">
        <v>1530</v>
      </c>
      <c r="N3047" s="10">
        <f>L3047-M3047</f>
        <v/>
      </c>
    </row>
    <row r="3048">
      <c r="A3048" s="7" t="inlineStr">
        <is>
          <t>ORD-00470</t>
        </is>
      </c>
      <c r="B3048" s="8" t="n">
        <v>45576</v>
      </c>
      <c r="C3048" s="9" t="n">
        <v>45566</v>
      </c>
      <c r="D3048" s="7" t="n">
        <v>2024</v>
      </c>
      <c r="E3048" s="7" t="inlineStr">
        <is>
          <t>North</t>
        </is>
      </c>
      <c r="F3048" s="7" t="inlineStr">
        <is>
          <t>Furniture</t>
        </is>
      </c>
      <c r="G3048" s="7" t="inlineStr">
        <is>
          <t>Sofa</t>
        </is>
      </c>
      <c r="H3048" s="7" t="inlineStr">
        <is>
          <t>Consumer</t>
        </is>
      </c>
      <c r="I3048" s="7" t="n">
        <v>2</v>
      </c>
      <c r="J3048" s="10" t="n">
        <v>721.65</v>
      </c>
      <c r="K3048" s="11" t="n">
        <v>0.2</v>
      </c>
      <c r="L3048" s="10">
        <f>I3048*J3048*(1-K3048)</f>
        <v/>
      </c>
      <c r="M3048" s="10" t="n">
        <v>1232</v>
      </c>
      <c r="N3048" s="10">
        <f>L3048-M3048</f>
        <v/>
      </c>
    </row>
    <row r="3049">
      <c r="A3049" s="7" t="inlineStr">
        <is>
          <t>ORD-01033</t>
        </is>
      </c>
      <c r="B3049" s="8" t="n">
        <v>45576</v>
      </c>
      <c r="C3049" s="9" t="n">
        <v>45566</v>
      </c>
      <c r="D3049" s="7" t="n">
        <v>2024</v>
      </c>
      <c r="E3049" s="7" t="inlineStr">
        <is>
          <t>West</t>
        </is>
      </c>
      <c r="F3049" s="7" t="inlineStr">
        <is>
          <t>Office Supplies</t>
        </is>
      </c>
      <c r="G3049" s="7" t="inlineStr">
        <is>
          <t>Binder</t>
        </is>
      </c>
      <c r="H3049" s="7" t="inlineStr">
        <is>
          <t>Consumer</t>
        </is>
      </c>
      <c r="I3049" s="7" t="n">
        <v>9</v>
      </c>
      <c r="J3049" s="10" t="n">
        <v>7.91</v>
      </c>
      <c r="K3049" s="11" t="n">
        <v>0.05</v>
      </c>
      <c r="L3049" s="10">
        <f>I3049*J3049*(1-K3049)</f>
        <v/>
      </c>
      <c r="M3049" s="10" t="n">
        <v>28.8</v>
      </c>
      <c r="N3049" s="10">
        <f>L3049-M3049</f>
        <v/>
      </c>
    </row>
    <row r="3050">
      <c r="A3050" s="7" t="inlineStr">
        <is>
          <t>ORD-04135</t>
        </is>
      </c>
      <c r="B3050" s="8" t="n">
        <v>45576</v>
      </c>
      <c r="C3050" s="9" t="n">
        <v>45566</v>
      </c>
      <c r="D3050" s="7" t="n">
        <v>2024</v>
      </c>
      <c r="E3050" s="7" t="inlineStr">
        <is>
          <t>East</t>
        </is>
      </c>
      <c r="F3050" s="7" t="inlineStr">
        <is>
          <t>Technology</t>
        </is>
      </c>
      <c r="G3050" s="7" t="inlineStr">
        <is>
          <t>Headphones</t>
        </is>
      </c>
      <c r="H3050" s="7" t="inlineStr">
        <is>
          <t>Consumer</t>
        </is>
      </c>
      <c r="I3050" s="7" t="n">
        <v>1</v>
      </c>
      <c r="J3050" s="10" t="n">
        <v>114.6</v>
      </c>
      <c r="K3050" s="11" t="n">
        <v>0.05</v>
      </c>
      <c r="L3050" s="10">
        <f>I3050*J3050*(1-K3050)</f>
        <v/>
      </c>
      <c r="M3050" s="10" t="n">
        <v>72</v>
      </c>
      <c r="N3050" s="10">
        <f>L3050-M3050</f>
        <v/>
      </c>
    </row>
    <row r="3051">
      <c r="A3051" s="7" t="inlineStr">
        <is>
          <t>ORD-05247</t>
        </is>
      </c>
      <c r="B3051" s="8" t="n">
        <v>45577</v>
      </c>
      <c r="C3051" s="9" t="n">
        <v>45566</v>
      </c>
      <c r="D3051" s="7" t="n">
        <v>2024</v>
      </c>
      <c r="E3051" s="7" t="inlineStr">
        <is>
          <t>West</t>
        </is>
      </c>
      <c r="F3051" s="7" t="inlineStr">
        <is>
          <t>Office Supplies</t>
        </is>
      </c>
      <c r="G3051" s="7" t="inlineStr">
        <is>
          <t>Pens</t>
        </is>
      </c>
      <c r="H3051" s="7" t="inlineStr">
        <is>
          <t>Consumer</t>
        </is>
      </c>
      <c r="I3051" s="7" t="n">
        <v>9</v>
      </c>
      <c r="J3051" s="10" t="n">
        <v>11.71</v>
      </c>
      <c r="K3051" s="11" t="n">
        <v>0</v>
      </c>
      <c r="L3051" s="10">
        <f>I3051*J3051*(1-K3051)</f>
        <v/>
      </c>
      <c r="M3051" s="10" t="n">
        <v>48.6</v>
      </c>
      <c r="N3051" s="10">
        <f>L3051-M3051</f>
        <v/>
      </c>
    </row>
    <row r="3052">
      <c r="A3052" s="7" t="inlineStr">
        <is>
          <t>ORD-03933</t>
        </is>
      </c>
      <c r="B3052" s="8" t="n">
        <v>45577</v>
      </c>
      <c r="C3052" s="9" t="n">
        <v>45566</v>
      </c>
      <c r="D3052" s="7" t="n">
        <v>2024</v>
      </c>
      <c r="E3052" s="7" t="inlineStr">
        <is>
          <t>East</t>
        </is>
      </c>
      <c r="F3052" s="7" t="inlineStr">
        <is>
          <t>Office Supplies</t>
        </is>
      </c>
      <c r="G3052" s="7" t="inlineStr">
        <is>
          <t>Pens</t>
        </is>
      </c>
      <c r="H3052" s="7" t="inlineStr">
        <is>
          <t>Consumer</t>
        </is>
      </c>
      <c r="I3052" s="7" t="n">
        <v>4</v>
      </c>
      <c r="J3052" s="10" t="n">
        <v>12.44</v>
      </c>
      <c r="K3052" s="11" t="n">
        <v>0.1</v>
      </c>
      <c r="L3052" s="10">
        <f>I3052*J3052*(1-K3052)</f>
        <v/>
      </c>
      <c r="M3052" s="10" t="n">
        <v>21.6</v>
      </c>
      <c r="N3052" s="10">
        <f>L3052-M3052</f>
        <v/>
      </c>
    </row>
    <row r="3053">
      <c r="A3053" s="7" t="inlineStr">
        <is>
          <t>ORD-04134</t>
        </is>
      </c>
      <c r="B3053" s="8" t="n">
        <v>45577</v>
      </c>
      <c r="C3053" s="9" t="n">
        <v>45566</v>
      </c>
      <c r="D3053" s="7" t="n">
        <v>2024</v>
      </c>
      <c r="E3053" s="7" t="inlineStr">
        <is>
          <t>North</t>
        </is>
      </c>
      <c r="F3053" s="7" t="inlineStr">
        <is>
          <t>Technology</t>
        </is>
      </c>
      <c r="G3053" s="7" t="inlineStr">
        <is>
          <t>Monitor</t>
        </is>
      </c>
      <c r="H3053" s="7" t="inlineStr">
        <is>
          <t>Consumer</t>
        </is>
      </c>
      <c r="I3053" s="7" t="n">
        <v>2</v>
      </c>
      <c r="J3053" s="10" t="n">
        <v>253.54</v>
      </c>
      <c r="K3053" s="11" t="n">
        <v>0.2</v>
      </c>
      <c r="L3053" s="10">
        <f>I3053*J3053*(1-K3053)</f>
        <v/>
      </c>
      <c r="M3053" s="10" t="n">
        <v>360</v>
      </c>
      <c r="N3053" s="10">
        <f>L3053-M3053</f>
        <v/>
      </c>
    </row>
    <row r="3054">
      <c r="A3054" s="7" t="inlineStr">
        <is>
          <t>ORD-02540</t>
        </is>
      </c>
      <c r="B3054" s="8" t="n">
        <v>45577</v>
      </c>
      <c r="C3054" s="9" t="n">
        <v>45566</v>
      </c>
      <c r="D3054" s="7" t="n">
        <v>2024</v>
      </c>
      <c r="E3054" s="7" t="inlineStr">
        <is>
          <t>West</t>
        </is>
      </c>
      <c r="F3054" s="7" t="inlineStr">
        <is>
          <t>Technology</t>
        </is>
      </c>
      <c r="G3054" s="7" t="inlineStr">
        <is>
          <t>Laptop</t>
        </is>
      </c>
      <c r="H3054" s="7" t="inlineStr">
        <is>
          <t>Corporate</t>
        </is>
      </c>
      <c r="I3054" s="7" t="n">
        <v>2</v>
      </c>
      <c r="J3054" s="10" t="n">
        <v>913.5599999999999</v>
      </c>
      <c r="K3054" s="11" t="n">
        <v>0</v>
      </c>
      <c r="L3054" s="10">
        <f>I3054*J3054*(1-K3054)</f>
        <v/>
      </c>
      <c r="M3054" s="10" t="n">
        <v>1404</v>
      </c>
      <c r="N3054" s="10">
        <f>L3054-M3054</f>
        <v/>
      </c>
    </row>
    <row r="3055">
      <c r="A3055" s="7" t="inlineStr">
        <is>
          <t>ORD-01970</t>
        </is>
      </c>
      <c r="B3055" s="8" t="n">
        <v>45577</v>
      </c>
      <c r="C3055" s="9" t="n">
        <v>45566</v>
      </c>
      <c r="D3055" s="7" t="n">
        <v>2024</v>
      </c>
      <c r="E3055" s="7" t="inlineStr">
        <is>
          <t>West</t>
        </is>
      </c>
      <c r="F3055" s="7" t="inlineStr">
        <is>
          <t>Technology</t>
        </is>
      </c>
      <c r="G3055" s="7" t="inlineStr">
        <is>
          <t>Keyboard</t>
        </is>
      </c>
      <c r="H3055" s="7" t="inlineStr">
        <is>
          <t>Home Office</t>
        </is>
      </c>
      <c r="I3055" s="7" t="n">
        <v>3</v>
      </c>
      <c r="J3055" s="10" t="n">
        <v>43.63</v>
      </c>
      <c r="K3055" s="11" t="n">
        <v>0</v>
      </c>
      <c r="L3055" s="10">
        <f>I3055*J3055*(1-K3055)</f>
        <v/>
      </c>
      <c r="M3055" s="10" t="n">
        <v>74.25</v>
      </c>
      <c r="N3055" s="10">
        <f>L3055-M3055</f>
        <v/>
      </c>
    </row>
    <row r="3056">
      <c r="A3056" s="7" t="inlineStr">
        <is>
          <t>ORD-05109</t>
        </is>
      </c>
      <c r="B3056" s="8" t="n">
        <v>45577</v>
      </c>
      <c r="C3056" s="9" t="n">
        <v>45566</v>
      </c>
      <c r="D3056" s="7" t="n">
        <v>2024</v>
      </c>
      <c r="E3056" s="7" t="inlineStr">
        <is>
          <t>East</t>
        </is>
      </c>
      <c r="F3056" s="7" t="inlineStr">
        <is>
          <t>Technology</t>
        </is>
      </c>
      <c r="G3056" s="7" t="inlineStr">
        <is>
          <t>Smartphone</t>
        </is>
      </c>
      <c r="H3056" s="7" t="inlineStr">
        <is>
          <t>Consumer</t>
        </is>
      </c>
      <c r="I3056" s="7" t="n">
        <v>3</v>
      </c>
      <c r="J3056" s="10" t="n">
        <v>609.2</v>
      </c>
      <c r="K3056" s="11" t="n">
        <v>0.05</v>
      </c>
      <c r="L3056" s="10">
        <f>I3056*J3056*(1-K3056)</f>
        <v/>
      </c>
      <c r="M3056" s="10" t="n">
        <v>1350</v>
      </c>
      <c r="N3056" s="10">
        <f>L3056-M3056</f>
        <v/>
      </c>
    </row>
    <row r="3057">
      <c r="A3057" s="7" t="inlineStr">
        <is>
          <t>ORD-04031</t>
        </is>
      </c>
      <c r="B3057" s="8" t="n">
        <v>45578</v>
      </c>
      <c r="C3057" s="9" t="n">
        <v>45566</v>
      </c>
      <c r="D3057" s="7" t="n">
        <v>2024</v>
      </c>
      <c r="E3057" s="7" t="inlineStr">
        <is>
          <t>East</t>
        </is>
      </c>
      <c r="F3057" s="7" t="inlineStr">
        <is>
          <t>Office Supplies</t>
        </is>
      </c>
      <c r="G3057" s="7" t="inlineStr">
        <is>
          <t>Pens</t>
        </is>
      </c>
      <c r="H3057" s="7" t="inlineStr">
        <is>
          <t>Home Office</t>
        </is>
      </c>
      <c r="I3057" s="7" t="n">
        <v>11</v>
      </c>
      <c r="J3057" s="10" t="n">
        <v>11.42</v>
      </c>
      <c r="K3057" s="11" t="n">
        <v>0.2</v>
      </c>
      <c r="L3057" s="10">
        <f>I3057*J3057*(1-K3057)</f>
        <v/>
      </c>
      <c r="M3057" s="10" t="n">
        <v>59.4</v>
      </c>
      <c r="N3057" s="10">
        <f>L3057-M3057</f>
        <v/>
      </c>
    </row>
    <row r="3058">
      <c r="A3058" s="7" t="inlineStr">
        <is>
          <t>ORD-03744</t>
        </is>
      </c>
      <c r="B3058" s="8" t="n">
        <v>45578</v>
      </c>
      <c r="C3058" s="9" t="n">
        <v>45566</v>
      </c>
      <c r="D3058" s="7" t="n">
        <v>2024</v>
      </c>
      <c r="E3058" s="7" t="inlineStr">
        <is>
          <t>South</t>
        </is>
      </c>
      <c r="F3058" s="7" t="inlineStr">
        <is>
          <t>Office Supplies</t>
        </is>
      </c>
      <c r="G3058" s="7" t="inlineStr">
        <is>
          <t>Pens</t>
        </is>
      </c>
      <c r="H3058" s="7" t="inlineStr">
        <is>
          <t>Corporate</t>
        </is>
      </c>
      <c r="I3058" s="7" t="n">
        <v>3</v>
      </c>
      <c r="J3058" s="10" t="n">
        <v>12.17</v>
      </c>
      <c r="K3058" s="11" t="n">
        <v>0</v>
      </c>
      <c r="L3058" s="10">
        <f>I3058*J3058*(1-K3058)</f>
        <v/>
      </c>
      <c r="M3058" s="10" t="n">
        <v>16.2</v>
      </c>
      <c r="N3058" s="10">
        <f>L3058-M3058</f>
        <v/>
      </c>
    </row>
    <row r="3059">
      <c r="A3059" s="7" t="inlineStr">
        <is>
          <t>ORD-03413</t>
        </is>
      </c>
      <c r="B3059" s="8" t="n">
        <v>45578</v>
      </c>
      <c r="C3059" s="9" t="n">
        <v>45566</v>
      </c>
      <c r="D3059" s="7" t="n">
        <v>2024</v>
      </c>
      <c r="E3059" s="7" t="inlineStr">
        <is>
          <t>West</t>
        </is>
      </c>
      <c r="F3059" s="7" t="inlineStr">
        <is>
          <t>Office Supplies</t>
        </is>
      </c>
      <c r="G3059" s="7" t="inlineStr">
        <is>
          <t>Pens</t>
        </is>
      </c>
      <c r="H3059" s="7" t="inlineStr">
        <is>
          <t>Corporate</t>
        </is>
      </c>
      <c r="I3059" s="7" t="n">
        <v>8</v>
      </c>
      <c r="J3059" s="10" t="n">
        <v>11.88</v>
      </c>
      <c r="K3059" s="11" t="n">
        <v>0</v>
      </c>
      <c r="L3059" s="10">
        <f>I3059*J3059*(1-K3059)</f>
        <v/>
      </c>
      <c r="M3059" s="10" t="n">
        <v>43.2</v>
      </c>
      <c r="N3059" s="10">
        <f>L3059-M3059</f>
        <v/>
      </c>
    </row>
    <row r="3060">
      <c r="A3060" s="7" t="inlineStr">
        <is>
          <t>ORD-04420</t>
        </is>
      </c>
      <c r="B3060" s="8" t="n">
        <v>45578</v>
      </c>
      <c r="C3060" s="9" t="n">
        <v>45566</v>
      </c>
      <c r="D3060" s="7" t="n">
        <v>2024</v>
      </c>
      <c r="E3060" s="7" t="inlineStr">
        <is>
          <t>South</t>
        </is>
      </c>
      <c r="F3060" s="7" t="inlineStr">
        <is>
          <t>Technology</t>
        </is>
      </c>
      <c r="G3060" s="7" t="inlineStr">
        <is>
          <t>Smartphone</t>
        </is>
      </c>
      <c r="H3060" s="7" t="inlineStr">
        <is>
          <t>Consumer</t>
        </is>
      </c>
      <c r="I3060" s="7" t="n">
        <v>3</v>
      </c>
      <c r="J3060" s="10" t="n">
        <v>614.74</v>
      </c>
      <c r="K3060" s="11" t="n">
        <v>0</v>
      </c>
      <c r="L3060" s="10">
        <f>I3060*J3060*(1-K3060)</f>
        <v/>
      </c>
      <c r="M3060" s="10" t="n">
        <v>1350</v>
      </c>
      <c r="N3060" s="10">
        <f>L3060-M3060</f>
        <v/>
      </c>
    </row>
    <row r="3061">
      <c r="A3061" s="7" t="inlineStr">
        <is>
          <t>ORD-02690</t>
        </is>
      </c>
      <c r="B3061" s="8" t="n">
        <v>45578</v>
      </c>
      <c r="C3061" s="9" t="n">
        <v>45566</v>
      </c>
      <c r="D3061" s="7" t="n">
        <v>2024</v>
      </c>
      <c r="E3061" s="7" t="inlineStr">
        <is>
          <t>North</t>
        </is>
      </c>
      <c r="F3061" s="7" t="inlineStr">
        <is>
          <t>Office Supplies</t>
        </is>
      </c>
      <c r="G3061" s="7" t="inlineStr">
        <is>
          <t>Paper</t>
        </is>
      </c>
      <c r="H3061" s="7" t="inlineStr">
        <is>
          <t>Home Office</t>
        </is>
      </c>
      <c r="I3061" s="7" t="n">
        <v>8</v>
      </c>
      <c r="J3061" s="10" t="n">
        <v>26.02</v>
      </c>
      <c r="K3061" s="11" t="n">
        <v>0.1</v>
      </c>
      <c r="L3061" s="10">
        <f>I3061*J3061*(1-K3061)</f>
        <v/>
      </c>
      <c r="M3061" s="10" t="n">
        <v>100</v>
      </c>
      <c r="N3061" s="10">
        <f>L3061-M3061</f>
        <v/>
      </c>
    </row>
    <row r="3062">
      <c r="A3062" s="7" t="inlineStr">
        <is>
          <t>ORD-04339</t>
        </is>
      </c>
      <c r="B3062" s="8" t="n">
        <v>45578</v>
      </c>
      <c r="C3062" s="9" t="n">
        <v>45566</v>
      </c>
      <c r="D3062" s="7" t="n">
        <v>2024</v>
      </c>
      <c r="E3062" s="7" t="inlineStr">
        <is>
          <t>West</t>
        </is>
      </c>
      <c r="F3062" s="7" t="inlineStr">
        <is>
          <t>Technology</t>
        </is>
      </c>
      <c r="G3062" s="7" t="inlineStr">
        <is>
          <t>Keyboard</t>
        </is>
      </c>
      <c r="H3062" s="7" t="inlineStr">
        <is>
          <t>Corporate</t>
        </is>
      </c>
      <c r="I3062" s="7" t="n">
        <v>1</v>
      </c>
      <c r="J3062" s="10" t="n">
        <v>45.28</v>
      </c>
      <c r="K3062" s="11" t="n">
        <v>0.1</v>
      </c>
      <c r="L3062" s="10">
        <f>I3062*J3062*(1-K3062)</f>
        <v/>
      </c>
      <c r="M3062" s="10" t="n">
        <v>24.75</v>
      </c>
      <c r="N3062" s="10">
        <f>L3062-M3062</f>
        <v/>
      </c>
    </row>
    <row r="3063">
      <c r="A3063" s="7" t="inlineStr">
        <is>
          <t>ORD-03752</t>
        </is>
      </c>
      <c r="B3063" s="8" t="n">
        <v>45579</v>
      </c>
      <c r="C3063" s="9" t="n">
        <v>45566</v>
      </c>
      <c r="D3063" s="7" t="n">
        <v>2024</v>
      </c>
      <c r="E3063" s="7" t="inlineStr">
        <is>
          <t>North</t>
        </is>
      </c>
      <c r="F3063" s="7" t="inlineStr">
        <is>
          <t>Office Supplies</t>
        </is>
      </c>
      <c r="G3063" s="7" t="inlineStr">
        <is>
          <t>Paper</t>
        </is>
      </c>
      <c r="H3063" s="7" t="inlineStr">
        <is>
          <t>Corporate</t>
        </is>
      </c>
      <c r="I3063" s="7" t="n">
        <v>5</v>
      </c>
      <c r="J3063" s="10" t="n">
        <v>25.06</v>
      </c>
      <c r="K3063" s="11" t="n">
        <v>0.05</v>
      </c>
      <c r="L3063" s="10">
        <f>I3063*J3063*(1-K3063)</f>
        <v/>
      </c>
      <c r="M3063" s="10" t="n">
        <v>62.5</v>
      </c>
      <c r="N3063" s="10">
        <f>L3063-M3063</f>
        <v/>
      </c>
    </row>
    <row r="3064">
      <c r="A3064" s="7" t="inlineStr">
        <is>
          <t>ORD-02198</t>
        </is>
      </c>
      <c r="B3064" s="8" t="n">
        <v>45579</v>
      </c>
      <c r="C3064" s="9" t="n">
        <v>45566</v>
      </c>
      <c r="D3064" s="7" t="n">
        <v>2024</v>
      </c>
      <c r="E3064" s="7" t="inlineStr">
        <is>
          <t>West</t>
        </is>
      </c>
      <c r="F3064" s="7" t="inlineStr">
        <is>
          <t>Technology</t>
        </is>
      </c>
      <c r="G3064" s="7" t="inlineStr">
        <is>
          <t>Smartphone</t>
        </is>
      </c>
      <c r="H3064" s="7" t="inlineStr">
        <is>
          <t>Consumer</t>
        </is>
      </c>
      <c r="I3064" s="7" t="n">
        <v>1</v>
      </c>
      <c r="J3064" s="10" t="n">
        <v>613.54</v>
      </c>
      <c r="K3064" s="11" t="n">
        <v>0</v>
      </c>
      <c r="L3064" s="10">
        <f>I3064*J3064*(1-K3064)</f>
        <v/>
      </c>
      <c r="M3064" s="10" t="n">
        <v>450</v>
      </c>
      <c r="N3064" s="10">
        <f>L3064-M3064</f>
        <v/>
      </c>
    </row>
    <row r="3065">
      <c r="A3065" s="7" t="inlineStr">
        <is>
          <t>ORD-04373</t>
        </is>
      </c>
      <c r="B3065" s="8" t="n">
        <v>45579</v>
      </c>
      <c r="C3065" s="9" t="n">
        <v>45566</v>
      </c>
      <c r="D3065" s="7" t="n">
        <v>2024</v>
      </c>
      <c r="E3065" s="7" t="inlineStr">
        <is>
          <t>West</t>
        </is>
      </c>
      <c r="F3065" s="7" t="inlineStr">
        <is>
          <t>Office Supplies</t>
        </is>
      </c>
      <c r="G3065" s="7" t="inlineStr">
        <is>
          <t>Paper</t>
        </is>
      </c>
      <c r="H3065" s="7" t="inlineStr">
        <is>
          <t>Home Office</t>
        </is>
      </c>
      <c r="I3065" s="7" t="n">
        <v>2</v>
      </c>
      <c r="J3065" s="10" t="n">
        <v>24.36</v>
      </c>
      <c r="K3065" s="11" t="n">
        <v>0.05</v>
      </c>
      <c r="L3065" s="10">
        <f>I3065*J3065*(1-K3065)</f>
        <v/>
      </c>
      <c r="M3065" s="10" t="n">
        <v>25</v>
      </c>
      <c r="N3065" s="10">
        <f>L3065-M3065</f>
        <v/>
      </c>
    </row>
    <row r="3066">
      <c r="A3066" s="7" t="inlineStr">
        <is>
          <t>ORD-04620</t>
        </is>
      </c>
      <c r="B3066" s="8" t="n">
        <v>45579</v>
      </c>
      <c r="C3066" s="9" t="n">
        <v>45566</v>
      </c>
      <c r="D3066" s="7" t="n">
        <v>2024</v>
      </c>
      <c r="E3066" s="7" t="inlineStr">
        <is>
          <t>South</t>
        </is>
      </c>
      <c r="F3066" s="7" t="inlineStr">
        <is>
          <t>Office Supplies</t>
        </is>
      </c>
      <c r="G3066" s="7" t="inlineStr">
        <is>
          <t>Binder</t>
        </is>
      </c>
      <c r="H3066" s="7" t="inlineStr">
        <is>
          <t>Corporate</t>
        </is>
      </c>
      <c r="I3066" s="7" t="n">
        <v>11</v>
      </c>
      <c r="J3066" s="10" t="n">
        <v>7.91</v>
      </c>
      <c r="K3066" s="11" t="n">
        <v>0.2</v>
      </c>
      <c r="L3066" s="10">
        <f>I3066*J3066*(1-K3066)</f>
        <v/>
      </c>
      <c r="M3066" s="10" t="n">
        <v>35.2</v>
      </c>
      <c r="N3066" s="10">
        <f>L3066-M3066</f>
        <v/>
      </c>
    </row>
    <row r="3067">
      <c r="A3067" s="7" t="inlineStr">
        <is>
          <t>ORD-02721</t>
        </is>
      </c>
      <c r="B3067" s="8" t="n">
        <v>45579</v>
      </c>
      <c r="C3067" s="9" t="n">
        <v>45566</v>
      </c>
      <c r="D3067" s="7" t="n">
        <v>2024</v>
      </c>
      <c r="E3067" s="7" t="inlineStr">
        <is>
          <t>South</t>
        </is>
      </c>
      <c r="F3067" s="7" t="inlineStr">
        <is>
          <t>Technology</t>
        </is>
      </c>
      <c r="G3067" s="7" t="inlineStr">
        <is>
          <t>Keyboard</t>
        </is>
      </c>
      <c r="H3067" s="7" t="inlineStr">
        <is>
          <t>Home Office</t>
        </is>
      </c>
      <c r="I3067" s="7" t="n">
        <v>1</v>
      </c>
      <c r="J3067" s="10" t="n">
        <v>42.94</v>
      </c>
      <c r="K3067" s="11" t="n">
        <v>0.2</v>
      </c>
      <c r="L3067" s="10">
        <f>I3067*J3067*(1-K3067)</f>
        <v/>
      </c>
      <c r="M3067" s="10" t="n">
        <v>24.75</v>
      </c>
      <c r="N3067" s="10">
        <f>L3067-M3067</f>
        <v/>
      </c>
    </row>
    <row r="3068">
      <c r="A3068" s="7" t="inlineStr">
        <is>
          <t>ORD-04266</t>
        </is>
      </c>
      <c r="B3068" s="8" t="n">
        <v>45579</v>
      </c>
      <c r="C3068" s="9" t="n">
        <v>45566</v>
      </c>
      <c r="D3068" s="7" t="n">
        <v>2024</v>
      </c>
      <c r="E3068" s="7" t="inlineStr">
        <is>
          <t>East</t>
        </is>
      </c>
      <c r="F3068" s="7" t="inlineStr">
        <is>
          <t>Office Supplies</t>
        </is>
      </c>
      <c r="G3068" s="7" t="inlineStr">
        <is>
          <t>Printer Ink</t>
        </is>
      </c>
      <c r="H3068" s="7" t="inlineStr">
        <is>
          <t>Consumer</t>
        </is>
      </c>
      <c r="I3068" s="7" t="n">
        <v>13</v>
      </c>
      <c r="J3068" s="10" t="n">
        <v>60.96</v>
      </c>
      <c r="K3068" s="11" t="n">
        <v>0.1</v>
      </c>
      <c r="L3068" s="10">
        <f>I3068*J3068*(1-K3068)</f>
        <v/>
      </c>
      <c r="M3068" s="10" t="n">
        <v>468</v>
      </c>
      <c r="N3068" s="10">
        <f>L3068-M3068</f>
        <v/>
      </c>
    </row>
    <row r="3069">
      <c r="A3069" s="7" t="inlineStr">
        <is>
          <t>ORD-00721</t>
        </is>
      </c>
      <c r="B3069" s="8" t="n">
        <v>45580</v>
      </c>
      <c r="C3069" s="9" t="n">
        <v>45566</v>
      </c>
      <c r="D3069" s="7" t="n">
        <v>2024</v>
      </c>
      <c r="E3069" s="7" t="inlineStr">
        <is>
          <t>East</t>
        </is>
      </c>
      <c r="F3069" s="7" t="inlineStr">
        <is>
          <t>Office Supplies</t>
        </is>
      </c>
      <c r="G3069" s="7" t="inlineStr">
        <is>
          <t>Stapler</t>
        </is>
      </c>
      <c r="H3069" s="7" t="inlineStr">
        <is>
          <t>Consumer</t>
        </is>
      </c>
      <c r="I3069" s="7" t="n">
        <v>14</v>
      </c>
      <c r="J3069" s="10" t="n">
        <v>15.01</v>
      </c>
      <c r="K3069" s="11" t="n">
        <v>0.1</v>
      </c>
      <c r="L3069" s="10">
        <f>I3069*J3069*(1-K3069)</f>
        <v/>
      </c>
      <c r="M3069" s="10" t="n">
        <v>105</v>
      </c>
      <c r="N3069" s="10">
        <f>L3069-M3069</f>
        <v/>
      </c>
    </row>
    <row r="3070">
      <c r="A3070" s="7" t="inlineStr">
        <is>
          <t>ORD-03767</t>
        </is>
      </c>
      <c r="B3070" s="8" t="n">
        <v>45580</v>
      </c>
      <c r="C3070" s="9" t="n">
        <v>45566</v>
      </c>
      <c r="D3070" s="7" t="n">
        <v>2024</v>
      </c>
      <c r="E3070" s="7" t="inlineStr">
        <is>
          <t>West</t>
        </is>
      </c>
      <c r="F3070" s="7" t="inlineStr">
        <is>
          <t>Furniture</t>
        </is>
      </c>
      <c r="G3070" s="7" t="inlineStr">
        <is>
          <t>Desk</t>
        </is>
      </c>
      <c r="H3070" s="7" t="inlineStr">
        <is>
          <t>Consumer</t>
        </is>
      </c>
      <c r="I3070" s="7" t="n">
        <v>4</v>
      </c>
      <c r="J3070" s="10" t="n">
        <v>433.32</v>
      </c>
      <c r="K3070" s="11" t="n">
        <v>0.3</v>
      </c>
      <c r="L3070" s="10">
        <f>I3070*J3070*(1-K3070)</f>
        <v/>
      </c>
      <c r="M3070" s="10" t="n">
        <v>1530</v>
      </c>
      <c r="N3070" s="10">
        <f>L3070-M3070</f>
        <v/>
      </c>
    </row>
    <row r="3071">
      <c r="A3071" s="7" t="inlineStr">
        <is>
          <t>ORD-00500</t>
        </is>
      </c>
      <c r="B3071" s="8" t="n">
        <v>45580</v>
      </c>
      <c r="C3071" s="9" t="n">
        <v>45566</v>
      </c>
      <c r="D3071" s="7" t="n">
        <v>2024</v>
      </c>
      <c r="E3071" s="7" t="inlineStr">
        <is>
          <t>East</t>
        </is>
      </c>
      <c r="F3071" s="7" t="inlineStr">
        <is>
          <t>Office Supplies</t>
        </is>
      </c>
      <c r="G3071" s="7" t="inlineStr">
        <is>
          <t>Paper</t>
        </is>
      </c>
      <c r="H3071" s="7" t="inlineStr">
        <is>
          <t>Consumer</t>
        </is>
      </c>
      <c r="I3071" s="7" t="n">
        <v>5</v>
      </c>
      <c r="J3071" s="10" t="n">
        <v>24.9</v>
      </c>
      <c r="K3071" s="11" t="n">
        <v>0</v>
      </c>
      <c r="L3071" s="10">
        <f>I3071*J3071*(1-K3071)</f>
        <v/>
      </c>
      <c r="M3071" s="10" t="n">
        <v>62.5</v>
      </c>
      <c r="N3071" s="10">
        <f>L3071-M3071</f>
        <v/>
      </c>
    </row>
    <row r="3072">
      <c r="A3072" s="7" t="inlineStr">
        <is>
          <t>ORD-05066</t>
        </is>
      </c>
      <c r="B3072" s="8" t="n">
        <v>45580</v>
      </c>
      <c r="C3072" s="9" t="n">
        <v>45566</v>
      </c>
      <c r="D3072" s="7" t="n">
        <v>2024</v>
      </c>
      <c r="E3072" s="7" t="inlineStr">
        <is>
          <t>East</t>
        </is>
      </c>
      <c r="F3072" s="7" t="inlineStr">
        <is>
          <t>Office Supplies</t>
        </is>
      </c>
      <c r="G3072" s="7" t="inlineStr">
        <is>
          <t>Binder</t>
        </is>
      </c>
      <c r="H3072" s="7" t="inlineStr">
        <is>
          <t>Consumer</t>
        </is>
      </c>
      <c r="I3072" s="7" t="n">
        <v>6</v>
      </c>
      <c r="J3072" s="10" t="n">
        <v>8.289999999999999</v>
      </c>
      <c r="K3072" s="11" t="n">
        <v>0</v>
      </c>
      <c r="L3072" s="10">
        <f>I3072*J3072*(1-K3072)</f>
        <v/>
      </c>
      <c r="M3072" s="10" t="n">
        <v>19.2</v>
      </c>
      <c r="N3072" s="10">
        <f>L3072-M3072</f>
        <v/>
      </c>
    </row>
    <row r="3073">
      <c r="A3073" s="7" t="inlineStr">
        <is>
          <t>ORD-05838</t>
        </is>
      </c>
      <c r="B3073" s="8" t="n">
        <v>45580</v>
      </c>
      <c r="C3073" s="9" t="n">
        <v>45566</v>
      </c>
      <c r="D3073" s="7" t="n">
        <v>2024</v>
      </c>
      <c r="E3073" s="7" t="inlineStr">
        <is>
          <t>North</t>
        </is>
      </c>
      <c r="F3073" s="7" t="inlineStr">
        <is>
          <t>Office Supplies</t>
        </is>
      </c>
      <c r="G3073" s="7" t="inlineStr">
        <is>
          <t>Pens</t>
        </is>
      </c>
      <c r="H3073" s="7" t="inlineStr">
        <is>
          <t>Consumer</t>
        </is>
      </c>
      <c r="I3073" s="7" t="n">
        <v>11</v>
      </c>
      <c r="J3073" s="10" t="n">
        <v>11.84</v>
      </c>
      <c r="K3073" s="11" t="n">
        <v>0.05</v>
      </c>
      <c r="L3073" s="10">
        <f>I3073*J3073*(1-K3073)</f>
        <v/>
      </c>
      <c r="M3073" s="10" t="n">
        <v>59.4</v>
      </c>
      <c r="N3073" s="10">
        <f>L3073-M3073</f>
        <v/>
      </c>
    </row>
    <row r="3074">
      <c r="A3074" s="7" t="inlineStr">
        <is>
          <t>ORD-05811</t>
        </is>
      </c>
      <c r="B3074" s="8" t="n">
        <v>45581</v>
      </c>
      <c r="C3074" s="9" t="n">
        <v>45566</v>
      </c>
      <c r="D3074" s="7" t="n">
        <v>2024</v>
      </c>
      <c r="E3074" s="7" t="inlineStr">
        <is>
          <t>North</t>
        </is>
      </c>
      <c r="F3074" s="7" t="inlineStr">
        <is>
          <t>Technology</t>
        </is>
      </c>
      <c r="G3074" s="7" t="inlineStr">
        <is>
          <t>Monitor</t>
        </is>
      </c>
      <c r="H3074" s="7" t="inlineStr">
        <is>
          <t>Home Office</t>
        </is>
      </c>
      <c r="I3074" s="7" t="n">
        <v>1</v>
      </c>
      <c r="J3074" s="10" t="n">
        <v>242.5</v>
      </c>
      <c r="K3074" s="11" t="n">
        <v>0</v>
      </c>
      <c r="L3074" s="10">
        <f>I3074*J3074*(1-K3074)</f>
        <v/>
      </c>
      <c r="M3074" s="10" t="n">
        <v>180</v>
      </c>
      <c r="N3074" s="10">
        <f>L3074-M3074</f>
        <v/>
      </c>
    </row>
    <row r="3075">
      <c r="A3075" s="7" t="inlineStr">
        <is>
          <t>ORD-05858</t>
        </is>
      </c>
      <c r="B3075" s="8" t="n">
        <v>45581</v>
      </c>
      <c r="C3075" s="9" t="n">
        <v>45566</v>
      </c>
      <c r="D3075" s="7" t="n">
        <v>2024</v>
      </c>
      <c r="E3075" s="7" t="inlineStr">
        <is>
          <t>East</t>
        </is>
      </c>
      <c r="F3075" s="7" t="inlineStr">
        <is>
          <t>Office Supplies</t>
        </is>
      </c>
      <c r="G3075" s="7" t="inlineStr">
        <is>
          <t>Paper</t>
        </is>
      </c>
      <c r="H3075" s="7" t="inlineStr">
        <is>
          <t>Corporate</t>
        </is>
      </c>
      <c r="I3075" s="7" t="n">
        <v>15</v>
      </c>
      <c r="J3075" s="10" t="n">
        <v>24.23</v>
      </c>
      <c r="K3075" s="11" t="n">
        <v>0.2</v>
      </c>
      <c r="L3075" s="10">
        <f>I3075*J3075*(1-K3075)</f>
        <v/>
      </c>
      <c r="M3075" s="10" t="n">
        <v>187.5</v>
      </c>
      <c r="N3075" s="10">
        <f>L3075-M3075</f>
        <v/>
      </c>
    </row>
    <row r="3076">
      <c r="A3076" s="7" t="inlineStr">
        <is>
          <t>ORD-02778</t>
        </is>
      </c>
      <c r="B3076" s="8" t="n">
        <v>45581</v>
      </c>
      <c r="C3076" s="9" t="n">
        <v>45566</v>
      </c>
      <c r="D3076" s="7" t="n">
        <v>2024</v>
      </c>
      <c r="E3076" s="7" t="inlineStr">
        <is>
          <t>South</t>
        </is>
      </c>
      <c r="F3076" s="7" t="inlineStr">
        <is>
          <t>Office Supplies</t>
        </is>
      </c>
      <c r="G3076" s="7" t="inlineStr">
        <is>
          <t>Pens</t>
        </is>
      </c>
      <c r="H3076" s="7" t="inlineStr">
        <is>
          <t>Consumer</t>
        </is>
      </c>
      <c r="I3076" s="7" t="n">
        <v>11</v>
      </c>
      <c r="J3076" s="10" t="n">
        <v>12.46</v>
      </c>
      <c r="K3076" s="11" t="n">
        <v>0</v>
      </c>
      <c r="L3076" s="10">
        <f>I3076*J3076*(1-K3076)</f>
        <v/>
      </c>
      <c r="M3076" s="10" t="n">
        <v>59.4</v>
      </c>
      <c r="N3076" s="10">
        <f>L3076-M3076</f>
        <v/>
      </c>
    </row>
    <row r="3077">
      <c r="A3077" s="7" t="inlineStr">
        <is>
          <t>ORD-00304</t>
        </is>
      </c>
      <c r="B3077" s="8" t="n">
        <v>45581</v>
      </c>
      <c r="C3077" s="9" t="n">
        <v>45566</v>
      </c>
      <c r="D3077" s="7" t="n">
        <v>2024</v>
      </c>
      <c r="E3077" s="7" t="inlineStr">
        <is>
          <t>West</t>
        </is>
      </c>
      <c r="F3077" s="7" t="inlineStr">
        <is>
          <t>Office Supplies</t>
        </is>
      </c>
      <c r="G3077" s="7" t="inlineStr">
        <is>
          <t>Paper</t>
        </is>
      </c>
      <c r="H3077" s="7" t="inlineStr">
        <is>
          <t>Consumer</t>
        </is>
      </c>
      <c r="I3077" s="7" t="n">
        <v>2</v>
      </c>
      <c r="J3077" s="10" t="n">
        <v>26.25</v>
      </c>
      <c r="K3077" s="11" t="n">
        <v>0.05</v>
      </c>
      <c r="L3077" s="10">
        <f>I3077*J3077*(1-K3077)</f>
        <v/>
      </c>
      <c r="M3077" s="10" t="n">
        <v>25</v>
      </c>
      <c r="N3077" s="10">
        <f>L3077-M3077</f>
        <v/>
      </c>
    </row>
    <row r="3078">
      <c r="A3078" s="7" t="inlineStr">
        <is>
          <t>ORD-00840</t>
        </is>
      </c>
      <c r="B3078" s="8" t="n">
        <v>45582</v>
      </c>
      <c r="C3078" s="9" t="n">
        <v>45566</v>
      </c>
      <c r="D3078" s="7" t="n">
        <v>2024</v>
      </c>
      <c r="E3078" s="7" t="inlineStr">
        <is>
          <t>North</t>
        </is>
      </c>
      <c r="F3078" s="7" t="inlineStr">
        <is>
          <t>Office Supplies</t>
        </is>
      </c>
      <c r="G3078" s="7" t="inlineStr">
        <is>
          <t>Paper</t>
        </is>
      </c>
      <c r="H3078" s="7" t="inlineStr">
        <is>
          <t>Home Office</t>
        </is>
      </c>
      <c r="I3078" s="7" t="n">
        <v>13</v>
      </c>
      <c r="J3078" s="10" t="n">
        <v>24.19</v>
      </c>
      <c r="K3078" s="11" t="n">
        <v>0</v>
      </c>
      <c r="L3078" s="10">
        <f>I3078*J3078*(1-K3078)</f>
        <v/>
      </c>
      <c r="M3078" s="10" t="n">
        <v>162.5</v>
      </c>
      <c r="N3078" s="10">
        <f>L3078-M3078</f>
        <v/>
      </c>
    </row>
    <row r="3079">
      <c r="A3079" s="7" t="inlineStr">
        <is>
          <t>ORD-00172</t>
        </is>
      </c>
      <c r="B3079" s="8" t="n">
        <v>45582</v>
      </c>
      <c r="C3079" s="9" t="n">
        <v>45566</v>
      </c>
      <c r="D3079" s="7" t="n">
        <v>2024</v>
      </c>
      <c r="E3079" s="7" t="inlineStr">
        <is>
          <t>East</t>
        </is>
      </c>
      <c r="F3079" s="7" t="inlineStr">
        <is>
          <t>Office Supplies</t>
        </is>
      </c>
      <c r="G3079" s="7" t="inlineStr">
        <is>
          <t>Pens</t>
        </is>
      </c>
      <c r="H3079" s="7" t="inlineStr">
        <is>
          <t>Home Office</t>
        </is>
      </c>
      <c r="I3079" s="7" t="n">
        <v>10</v>
      </c>
      <c r="J3079" s="10" t="n">
        <v>11.41</v>
      </c>
      <c r="K3079" s="11" t="n">
        <v>0</v>
      </c>
      <c r="L3079" s="10">
        <f>I3079*J3079*(1-K3079)</f>
        <v/>
      </c>
      <c r="M3079" s="10" t="n">
        <v>54</v>
      </c>
      <c r="N3079" s="10">
        <f>L3079-M3079</f>
        <v/>
      </c>
    </row>
    <row r="3080">
      <c r="A3080" s="7" t="inlineStr">
        <is>
          <t>ORD-03722</t>
        </is>
      </c>
      <c r="B3080" s="8" t="n">
        <v>45582</v>
      </c>
      <c r="C3080" s="9" t="n">
        <v>45566</v>
      </c>
      <c r="D3080" s="7" t="n">
        <v>2024</v>
      </c>
      <c r="E3080" s="7" t="inlineStr">
        <is>
          <t>North</t>
        </is>
      </c>
      <c r="F3080" s="7" t="inlineStr">
        <is>
          <t>Furniture</t>
        </is>
      </c>
      <c r="G3080" s="7" t="inlineStr">
        <is>
          <t>Sofa</t>
        </is>
      </c>
      <c r="H3080" s="7" t="inlineStr">
        <is>
          <t>Consumer</t>
        </is>
      </c>
      <c r="I3080" s="7" t="n">
        <v>1</v>
      </c>
      <c r="J3080" s="10" t="n">
        <v>732.8200000000001</v>
      </c>
      <c r="K3080" s="11" t="n">
        <v>0</v>
      </c>
      <c r="L3080" s="10">
        <f>I3080*J3080*(1-K3080)</f>
        <v/>
      </c>
      <c r="M3080" s="10" t="n">
        <v>616</v>
      </c>
      <c r="N3080" s="10">
        <f>L3080-M3080</f>
        <v/>
      </c>
    </row>
    <row r="3081">
      <c r="A3081" s="7" t="inlineStr">
        <is>
          <t>ORD-02032</t>
        </is>
      </c>
      <c r="B3081" s="8" t="n">
        <v>45582</v>
      </c>
      <c r="C3081" s="9" t="n">
        <v>45566</v>
      </c>
      <c r="D3081" s="7" t="n">
        <v>2024</v>
      </c>
      <c r="E3081" s="7" t="inlineStr">
        <is>
          <t>East</t>
        </is>
      </c>
      <c r="F3081" s="7" t="inlineStr">
        <is>
          <t>Office Supplies</t>
        </is>
      </c>
      <c r="G3081" s="7" t="inlineStr">
        <is>
          <t>Paper</t>
        </is>
      </c>
      <c r="H3081" s="7" t="inlineStr">
        <is>
          <t>Corporate</t>
        </is>
      </c>
      <c r="I3081" s="7" t="n">
        <v>10</v>
      </c>
      <c r="J3081" s="10" t="n">
        <v>25.76</v>
      </c>
      <c r="K3081" s="11" t="n">
        <v>0</v>
      </c>
      <c r="L3081" s="10">
        <f>I3081*J3081*(1-K3081)</f>
        <v/>
      </c>
      <c r="M3081" s="10" t="n">
        <v>125</v>
      </c>
      <c r="N3081" s="10">
        <f>L3081-M3081</f>
        <v/>
      </c>
    </row>
    <row r="3082">
      <c r="A3082" s="7" t="inlineStr">
        <is>
          <t>ORD-03560</t>
        </is>
      </c>
      <c r="B3082" s="8" t="n">
        <v>45582</v>
      </c>
      <c r="C3082" s="9" t="n">
        <v>45566</v>
      </c>
      <c r="D3082" s="7" t="n">
        <v>2024</v>
      </c>
      <c r="E3082" s="7" t="inlineStr">
        <is>
          <t>South</t>
        </is>
      </c>
      <c r="F3082" s="7" t="inlineStr">
        <is>
          <t>Office Supplies</t>
        </is>
      </c>
      <c r="G3082" s="7" t="inlineStr">
        <is>
          <t>Binder</t>
        </is>
      </c>
      <c r="H3082" s="7" t="inlineStr">
        <is>
          <t>Home Office</t>
        </is>
      </c>
      <c r="I3082" s="7" t="n">
        <v>14</v>
      </c>
      <c r="J3082" s="10" t="n">
        <v>8.279999999999999</v>
      </c>
      <c r="K3082" s="11" t="n">
        <v>0</v>
      </c>
      <c r="L3082" s="10">
        <f>I3082*J3082*(1-K3082)</f>
        <v/>
      </c>
      <c r="M3082" s="10" t="n">
        <v>44.8</v>
      </c>
      <c r="N3082" s="10">
        <f>L3082-M3082</f>
        <v/>
      </c>
    </row>
    <row r="3083">
      <c r="A3083" s="7" t="inlineStr">
        <is>
          <t>ORD-00648</t>
        </is>
      </c>
      <c r="B3083" s="8" t="n">
        <v>45582</v>
      </c>
      <c r="C3083" s="9" t="n">
        <v>45566</v>
      </c>
      <c r="D3083" s="7" t="n">
        <v>2024</v>
      </c>
      <c r="E3083" s="7" t="inlineStr">
        <is>
          <t>West</t>
        </is>
      </c>
      <c r="F3083" s="7" t="inlineStr">
        <is>
          <t>Office Supplies</t>
        </is>
      </c>
      <c r="G3083" s="7" t="inlineStr">
        <is>
          <t>Printer Ink</t>
        </is>
      </c>
      <c r="H3083" s="7" t="inlineStr">
        <is>
          <t>Consumer</t>
        </is>
      </c>
      <c r="I3083" s="7" t="n">
        <v>4</v>
      </c>
      <c r="J3083" s="10" t="n">
        <v>60.12</v>
      </c>
      <c r="K3083" s="11" t="n">
        <v>0.05</v>
      </c>
      <c r="L3083" s="10">
        <f>I3083*J3083*(1-K3083)</f>
        <v/>
      </c>
      <c r="M3083" s="10" t="n">
        <v>144</v>
      </c>
      <c r="N3083" s="10">
        <f>L3083-M3083</f>
        <v/>
      </c>
    </row>
    <row r="3084">
      <c r="A3084" s="7" t="inlineStr">
        <is>
          <t>ORD-00730</t>
        </is>
      </c>
      <c r="B3084" s="8" t="n">
        <v>45583</v>
      </c>
      <c r="C3084" s="9" t="n">
        <v>45566</v>
      </c>
      <c r="D3084" s="7" t="n">
        <v>2024</v>
      </c>
      <c r="E3084" s="7" t="inlineStr">
        <is>
          <t>East</t>
        </is>
      </c>
      <c r="F3084" s="7" t="inlineStr">
        <is>
          <t>Office Supplies</t>
        </is>
      </c>
      <c r="G3084" s="7" t="inlineStr">
        <is>
          <t>Binder</t>
        </is>
      </c>
      <c r="H3084" s="7" t="inlineStr">
        <is>
          <t>Corporate</t>
        </is>
      </c>
      <c r="I3084" s="7" t="n">
        <v>8</v>
      </c>
      <c r="J3084" s="10" t="n">
        <v>8.34</v>
      </c>
      <c r="K3084" s="11" t="n">
        <v>0</v>
      </c>
      <c r="L3084" s="10">
        <f>I3084*J3084*(1-K3084)</f>
        <v/>
      </c>
      <c r="M3084" s="10" t="n">
        <v>25.6</v>
      </c>
      <c r="N3084" s="10">
        <f>L3084-M3084</f>
        <v/>
      </c>
    </row>
    <row r="3085">
      <c r="A3085" s="7" t="inlineStr">
        <is>
          <t>ORD-03407</t>
        </is>
      </c>
      <c r="B3085" s="8" t="n">
        <v>45583</v>
      </c>
      <c r="C3085" s="9" t="n">
        <v>45566</v>
      </c>
      <c r="D3085" s="7" t="n">
        <v>2024</v>
      </c>
      <c r="E3085" s="7" t="inlineStr">
        <is>
          <t>East</t>
        </is>
      </c>
      <c r="F3085" s="7" t="inlineStr">
        <is>
          <t>Office Supplies</t>
        </is>
      </c>
      <c r="G3085" s="7" t="inlineStr">
        <is>
          <t>Paper</t>
        </is>
      </c>
      <c r="H3085" s="7" t="inlineStr">
        <is>
          <t>Consumer</t>
        </is>
      </c>
      <c r="I3085" s="7" t="n">
        <v>6</v>
      </c>
      <c r="J3085" s="10" t="n">
        <v>25.6</v>
      </c>
      <c r="K3085" s="11" t="n">
        <v>0</v>
      </c>
      <c r="L3085" s="10">
        <f>I3085*J3085*(1-K3085)</f>
        <v/>
      </c>
      <c r="M3085" s="10" t="n">
        <v>75</v>
      </c>
      <c r="N3085" s="10">
        <f>L3085-M3085</f>
        <v/>
      </c>
    </row>
    <row r="3086">
      <c r="A3086" s="7" t="inlineStr">
        <is>
          <t>ORD-05675</t>
        </is>
      </c>
      <c r="B3086" s="8" t="n">
        <v>45583</v>
      </c>
      <c r="C3086" s="9" t="n">
        <v>45566</v>
      </c>
      <c r="D3086" s="7" t="n">
        <v>2024</v>
      </c>
      <c r="E3086" s="7" t="inlineStr">
        <is>
          <t>West</t>
        </is>
      </c>
      <c r="F3086" s="7" t="inlineStr">
        <is>
          <t>Office Supplies</t>
        </is>
      </c>
      <c r="G3086" s="7" t="inlineStr">
        <is>
          <t>Paper</t>
        </is>
      </c>
      <c r="H3086" s="7" t="inlineStr">
        <is>
          <t>Corporate</t>
        </is>
      </c>
      <c r="I3086" s="7" t="n">
        <v>7</v>
      </c>
      <c r="J3086" s="10" t="n">
        <v>25.7</v>
      </c>
      <c r="K3086" s="11" t="n">
        <v>0</v>
      </c>
      <c r="L3086" s="10">
        <f>I3086*J3086*(1-K3086)</f>
        <v/>
      </c>
      <c r="M3086" s="10" t="n">
        <v>87.5</v>
      </c>
      <c r="N3086" s="10">
        <f>L3086-M3086</f>
        <v/>
      </c>
    </row>
    <row r="3087">
      <c r="A3087" s="7" t="inlineStr">
        <is>
          <t>ORD-04512</t>
        </is>
      </c>
      <c r="B3087" s="8" t="n">
        <v>45583</v>
      </c>
      <c r="C3087" s="9" t="n">
        <v>45566</v>
      </c>
      <c r="D3087" s="7" t="n">
        <v>2024</v>
      </c>
      <c r="E3087" s="7" t="inlineStr">
        <is>
          <t>South</t>
        </is>
      </c>
      <c r="F3087" s="7" t="inlineStr">
        <is>
          <t>Office Supplies</t>
        </is>
      </c>
      <c r="G3087" s="7" t="inlineStr">
        <is>
          <t>Stapler</t>
        </is>
      </c>
      <c r="H3087" s="7" t="inlineStr">
        <is>
          <t>Consumer</t>
        </is>
      </c>
      <c r="I3087" s="7" t="n">
        <v>5</v>
      </c>
      <c r="J3087" s="10" t="n">
        <v>14.57</v>
      </c>
      <c r="K3087" s="11" t="n">
        <v>0</v>
      </c>
      <c r="L3087" s="10">
        <f>I3087*J3087*(1-K3087)</f>
        <v/>
      </c>
      <c r="M3087" s="10" t="n">
        <v>37.5</v>
      </c>
      <c r="N3087" s="10">
        <f>L3087-M3087</f>
        <v/>
      </c>
    </row>
    <row r="3088">
      <c r="A3088" s="7" t="inlineStr">
        <is>
          <t>ORD-01827</t>
        </is>
      </c>
      <c r="B3088" s="8" t="n">
        <v>45583</v>
      </c>
      <c r="C3088" s="9" t="n">
        <v>45566</v>
      </c>
      <c r="D3088" s="7" t="n">
        <v>2024</v>
      </c>
      <c r="E3088" s="7" t="inlineStr">
        <is>
          <t>South</t>
        </is>
      </c>
      <c r="F3088" s="7" t="inlineStr">
        <is>
          <t>Office Supplies</t>
        </is>
      </c>
      <c r="G3088" s="7" t="inlineStr">
        <is>
          <t>Stapler</t>
        </is>
      </c>
      <c r="H3088" s="7" t="inlineStr">
        <is>
          <t>Consumer</t>
        </is>
      </c>
      <c r="I3088" s="7" t="n">
        <v>4</v>
      </c>
      <c r="J3088" s="10" t="n">
        <v>14.7</v>
      </c>
      <c r="K3088" s="11" t="n">
        <v>0.1</v>
      </c>
      <c r="L3088" s="10">
        <f>I3088*J3088*(1-K3088)</f>
        <v/>
      </c>
      <c r="M3088" s="10" t="n">
        <v>30</v>
      </c>
      <c r="N3088" s="10">
        <f>L3088-M3088</f>
        <v/>
      </c>
    </row>
    <row r="3089">
      <c r="A3089" s="7" t="inlineStr">
        <is>
          <t>ORD-03893</t>
        </is>
      </c>
      <c r="B3089" s="8" t="n">
        <v>45583</v>
      </c>
      <c r="C3089" s="9" t="n">
        <v>45566</v>
      </c>
      <c r="D3089" s="7" t="n">
        <v>2024</v>
      </c>
      <c r="E3089" s="7" t="inlineStr">
        <is>
          <t>West</t>
        </is>
      </c>
      <c r="F3089" s="7" t="inlineStr">
        <is>
          <t>Office Supplies</t>
        </is>
      </c>
      <c r="G3089" s="7" t="inlineStr">
        <is>
          <t>Paper</t>
        </is>
      </c>
      <c r="H3089" s="7" t="inlineStr">
        <is>
          <t>Consumer</t>
        </is>
      </c>
      <c r="I3089" s="7" t="n">
        <v>6</v>
      </c>
      <c r="J3089" s="10" t="n">
        <v>24.73</v>
      </c>
      <c r="K3089" s="11" t="n">
        <v>0</v>
      </c>
      <c r="L3089" s="10">
        <f>I3089*J3089*(1-K3089)</f>
        <v/>
      </c>
      <c r="M3089" s="10" t="n">
        <v>75</v>
      </c>
      <c r="N3089" s="10">
        <f>L3089-M3089</f>
        <v/>
      </c>
    </row>
    <row r="3090">
      <c r="A3090" s="7" t="inlineStr">
        <is>
          <t>ORD-01438</t>
        </is>
      </c>
      <c r="B3090" s="8" t="n">
        <v>45583</v>
      </c>
      <c r="C3090" s="9" t="n">
        <v>45566</v>
      </c>
      <c r="D3090" s="7" t="n">
        <v>2024</v>
      </c>
      <c r="E3090" s="7" t="inlineStr">
        <is>
          <t>East</t>
        </is>
      </c>
      <c r="F3090" s="7" t="inlineStr">
        <is>
          <t>Office Supplies</t>
        </is>
      </c>
      <c r="G3090" s="7" t="inlineStr">
        <is>
          <t>Binder</t>
        </is>
      </c>
      <c r="H3090" s="7" t="inlineStr">
        <is>
          <t>Consumer</t>
        </is>
      </c>
      <c r="I3090" s="7" t="n">
        <v>9</v>
      </c>
      <c r="J3090" s="10" t="n">
        <v>7.95</v>
      </c>
      <c r="K3090" s="11" t="n">
        <v>0</v>
      </c>
      <c r="L3090" s="10">
        <f>I3090*J3090*(1-K3090)</f>
        <v/>
      </c>
      <c r="M3090" s="10" t="n">
        <v>28.8</v>
      </c>
      <c r="N3090" s="10">
        <f>L3090-M3090</f>
        <v/>
      </c>
    </row>
    <row r="3091">
      <c r="A3091" s="7" t="inlineStr">
        <is>
          <t>ORD-02564</t>
        </is>
      </c>
      <c r="B3091" s="8" t="n">
        <v>45584</v>
      </c>
      <c r="C3091" s="9" t="n">
        <v>45566</v>
      </c>
      <c r="D3091" s="7" t="n">
        <v>2024</v>
      </c>
      <c r="E3091" s="7" t="inlineStr">
        <is>
          <t>West</t>
        </is>
      </c>
      <c r="F3091" s="7" t="inlineStr">
        <is>
          <t>Office Supplies</t>
        </is>
      </c>
      <c r="G3091" s="7" t="inlineStr">
        <is>
          <t>Stapler</t>
        </is>
      </c>
      <c r="H3091" s="7" t="inlineStr">
        <is>
          <t>Corporate</t>
        </is>
      </c>
      <c r="I3091" s="7" t="n">
        <v>15</v>
      </c>
      <c r="J3091" s="10" t="n">
        <v>14.41</v>
      </c>
      <c r="K3091" s="11" t="n">
        <v>0</v>
      </c>
      <c r="L3091" s="10">
        <f>I3091*J3091*(1-K3091)</f>
        <v/>
      </c>
      <c r="M3091" s="10" t="n">
        <v>112.5</v>
      </c>
      <c r="N3091" s="10">
        <f>L3091-M3091</f>
        <v/>
      </c>
    </row>
    <row r="3092">
      <c r="A3092" s="7" t="inlineStr">
        <is>
          <t>ORD-01132</t>
        </is>
      </c>
      <c r="B3092" s="8" t="n">
        <v>45584</v>
      </c>
      <c r="C3092" s="9" t="n">
        <v>45566</v>
      </c>
      <c r="D3092" s="7" t="n">
        <v>2024</v>
      </c>
      <c r="E3092" s="7" t="inlineStr">
        <is>
          <t>South</t>
        </is>
      </c>
      <c r="F3092" s="7" t="inlineStr">
        <is>
          <t>Office Supplies</t>
        </is>
      </c>
      <c r="G3092" s="7" t="inlineStr">
        <is>
          <t>Pens</t>
        </is>
      </c>
      <c r="H3092" s="7" t="inlineStr">
        <is>
          <t>Corporate</t>
        </is>
      </c>
      <c r="I3092" s="7" t="n">
        <v>2</v>
      </c>
      <c r="J3092" s="10" t="n">
        <v>12.23</v>
      </c>
      <c r="K3092" s="11" t="n">
        <v>0</v>
      </c>
      <c r="L3092" s="10">
        <f>I3092*J3092*(1-K3092)</f>
        <v/>
      </c>
      <c r="M3092" s="10" t="n">
        <v>10.8</v>
      </c>
      <c r="N3092" s="10">
        <f>L3092-M3092</f>
        <v/>
      </c>
    </row>
    <row r="3093">
      <c r="A3093" s="7" t="inlineStr">
        <is>
          <t>ORD-00860</t>
        </is>
      </c>
      <c r="B3093" s="8" t="n">
        <v>45584</v>
      </c>
      <c r="C3093" s="9" t="n">
        <v>45566</v>
      </c>
      <c r="D3093" s="7" t="n">
        <v>2024</v>
      </c>
      <c r="E3093" s="7" t="inlineStr">
        <is>
          <t>West</t>
        </is>
      </c>
      <c r="F3093" s="7" t="inlineStr">
        <is>
          <t>Office Supplies</t>
        </is>
      </c>
      <c r="G3093" s="7" t="inlineStr">
        <is>
          <t>Pens</t>
        </is>
      </c>
      <c r="H3093" s="7" t="inlineStr">
        <is>
          <t>Corporate</t>
        </is>
      </c>
      <c r="I3093" s="7" t="n">
        <v>13</v>
      </c>
      <c r="J3093" s="10" t="n">
        <v>11.97</v>
      </c>
      <c r="K3093" s="11" t="n">
        <v>0</v>
      </c>
      <c r="L3093" s="10">
        <f>I3093*J3093*(1-K3093)</f>
        <v/>
      </c>
      <c r="M3093" s="10" t="n">
        <v>70.2</v>
      </c>
      <c r="N3093" s="10">
        <f>L3093-M3093</f>
        <v/>
      </c>
    </row>
    <row r="3094">
      <c r="A3094" s="7" t="inlineStr">
        <is>
          <t>ORD-05893</t>
        </is>
      </c>
      <c r="B3094" s="8" t="n">
        <v>45585</v>
      </c>
      <c r="C3094" s="9" t="n">
        <v>45566</v>
      </c>
      <c r="D3094" s="7" t="n">
        <v>2024</v>
      </c>
      <c r="E3094" s="7" t="inlineStr">
        <is>
          <t>East</t>
        </is>
      </c>
      <c r="F3094" s="7" t="inlineStr">
        <is>
          <t>Office Supplies</t>
        </is>
      </c>
      <c r="G3094" s="7" t="inlineStr">
        <is>
          <t>Paper</t>
        </is>
      </c>
      <c r="H3094" s="7" t="inlineStr">
        <is>
          <t>Home Office</t>
        </is>
      </c>
      <c r="I3094" s="7" t="n">
        <v>13</v>
      </c>
      <c r="J3094" s="10" t="n">
        <v>26.01</v>
      </c>
      <c r="K3094" s="11" t="n">
        <v>0</v>
      </c>
      <c r="L3094" s="10">
        <f>I3094*J3094*(1-K3094)</f>
        <v/>
      </c>
      <c r="M3094" s="10" t="n">
        <v>162.5</v>
      </c>
      <c r="N3094" s="10">
        <f>L3094-M3094</f>
        <v/>
      </c>
    </row>
    <row r="3095">
      <c r="A3095" s="7" t="inlineStr">
        <is>
          <t>ORD-00958</t>
        </is>
      </c>
      <c r="B3095" s="8" t="n">
        <v>45585</v>
      </c>
      <c r="C3095" s="9" t="n">
        <v>45566</v>
      </c>
      <c r="D3095" s="7" t="n">
        <v>2024</v>
      </c>
      <c r="E3095" s="7" t="inlineStr">
        <is>
          <t>East</t>
        </is>
      </c>
      <c r="F3095" s="7" t="inlineStr">
        <is>
          <t>Technology</t>
        </is>
      </c>
      <c r="G3095" s="7" t="inlineStr">
        <is>
          <t>Laptop</t>
        </is>
      </c>
      <c r="H3095" s="7" t="inlineStr">
        <is>
          <t>Consumer</t>
        </is>
      </c>
      <c r="I3095" s="7" t="n">
        <v>3</v>
      </c>
      <c r="J3095" s="10" t="n">
        <v>936.12</v>
      </c>
      <c r="K3095" s="11" t="n">
        <v>0</v>
      </c>
      <c r="L3095" s="10">
        <f>I3095*J3095*(1-K3095)</f>
        <v/>
      </c>
      <c r="M3095" s="10" t="n">
        <v>2106</v>
      </c>
      <c r="N3095" s="10">
        <f>L3095-M3095</f>
        <v/>
      </c>
    </row>
    <row r="3096">
      <c r="A3096" s="7" t="inlineStr">
        <is>
          <t>ORD-04811</t>
        </is>
      </c>
      <c r="B3096" s="8" t="n">
        <v>45585</v>
      </c>
      <c r="C3096" s="9" t="n">
        <v>45566</v>
      </c>
      <c r="D3096" s="7" t="n">
        <v>2024</v>
      </c>
      <c r="E3096" s="7" t="inlineStr">
        <is>
          <t>East</t>
        </is>
      </c>
      <c r="F3096" s="7" t="inlineStr">
        <is>
          <t>Office Supplies</t>
        </is>
      </c>
      <c r="G3096" s="7" t="inlineStr">
        <is>
          <t>Printer Ink</t>
        </is>
      </c>
      <c r="H3096" s="7" t="inlineStr">
        <is>
          <t>Home Office</t>
        </is>
      </c>
      <c r="I3096" s="7" t="n">
        <v>3</v>
      </c>
      <c r="J3096" s="10" t="n">
        <v>58.97</v>
      </c>
      <c r="K3096" s="11" t="n">
        <v>0</v>
      </c>
      <c r="L3096" s="10">
        <f>I3096*J3096*(1-K3096)</f>
        <v/>
      </c>
      <c r="M3096" s="10" t="n">
        <v>108</v>
      </c>
      <c r="N3096" s="10">
        <f>L3096-M3096</f>
        <v/>
      </c>
    </row>
    <row r="3097">
      <c r="A3097" s="7" t="inlineStr">
        <is>
          <t>ORD-02955</t>
        </is>
      </c>
      <c r="B3097" s="8" t="n">
        <v>45585</v>
      </c>
      <c r="C3097" s="9" t="n">
        <v>45566</v>
      </c>
      <c r="D3097" s="7" t="n">
        <v>2024</v>
      </c>
      <c r="E3097" s="7" t="inlineStr">
        <is>
          <t>East</t>
        </is>
      </c>
      <c r="F3097" s="7" t="inlineStr">
        <is>
          <t>Technology</t>
        </is>
      </c>
      <c r="G3097" s="7" t="inlineStr">
        <is>
          <t>Keyboard</t>
        </is>
      </c>
      <c r="H3097" s="7" t="inlineStr">
        <is>
          <t>Corporate</t>
        </is>
      </c>
      <c r="I3097" s="7" t="n">
        <v>3</v>
      </c>
      <c r="J3097" s="10" t="n">
        <v>44.64</v>
      </c>
      <c r="K3097" s="11" t="n">
        <v>0.2</v>
      </c>
      <c r="L3097" s="10">
        <f>I3097*J3097*(1-K3097)</f>
        <v/>
      </c>
      <c r="M3097" s="10" t="n">
        <v>74.25</v>
      </c>
      <c r="N3097" s="10">
        <f>L3097-M3097</f>
        <v/>
      </c>
    </row>
    <row r="3098">
      <c r="A3098" s="7" t="inlineStr">
        <is>
          <t>ORD-04127</t>
        </is>
      </c>
      <c r="B3098" s="8" t="n">
        <v>45586</v>
      </c>
      <c r="C3098" s="9" t="n">
        <v>45566</v>
      </c>
      <c r="D3098" s="7" t="n">
        <v>2024</v>
      </c>
      <c r="E3098" s="7" t="inlineStr">
        <is>
          <t>West</t>
        </is>
      </c>
      <c r="F3098" s="7" t="inlineStr">
        <is>
          <t>Technology</t>
        </is>
      </c>
      <c r="G3098" s="7" t="inlineStr">
        <is>
          <t>Smartphone</t>
        </is>
      </c>
      <c r="H3098" s="7" t="inlineStr">
        <is>
          <t>Home Office</t>
        </is>
      </c>
      <c r="I3098" s="7" t="n">
        <v>3</v>
      </c>
      <c r="J3098" s="10" t="n">
        <v>577.04</v>
      </c>
      <c r="K3098" s="11" t="n">
        <v>0</v>
      </c>
      <c r="L3098" s="10">
        <f>I3098*J3098*(1-K3098)</f>
        <v/>
      </c>
      <c r="M3098" s="10" t="n">
        <v>1350</v>
      </c>
      <c r="N3098" s="10">
        <f>L3098-M3098</f>
        <v/>
      </c>
    </row>
    <row r="3099">
      <c r="A3099" s="7" t="inlineStr">
        <is>
          <t>ORD-03233</t>
        </is>
      </c>
      <c r="B3099" s="8" t="n">
        <v>45586</v>
      </c>
      <c r="C3099" s="9" t="n">
        <v>45566</v>
      </c>
      <c r="D3099" s="7" t="n">
        <v>2024</v>
      </c>
      <c r="E3099" s="7" t="inlineStr">
        <is>
          <t>East</t>
        </is>
      </c>
      <c r="F3099" s="7" t="inlineStr">
        <is>
          <t>Furniture</t>
        </is>
      </c>
      <c r="G3099" s="7" t="inlineStr">
        <is>
          <t>Office Chair</t>
        </is>
      </c>
      <c r="H3099" s="7" t="inlineStr">
        <is>
          <t>Consumer</t>
        </is>
      </c>
      <c r="I3099" s="7" t="n">
        <v>3</v>
      </c>
      <c r="J3099" s="10" t="n">
        <v>228.37</v>
      </c>
      <c r="K3099" s="11" t="n">
        <v>0</v>
      </c>
      <c r="L3099" s="10">
        <f>I3099*J3099*(1-K3099)</f>
        <v/>
      </c>
      <c r="M3099" s="10" t="n">
        <v>541.2</v>
      </c>
      <c r="N3099" s="10">
        <f>L3099-M3099</f>
        <v/>
      </c>
    </row>
    <row r="3100">
      <c r="A3100" s="7" t="inlineStr">
        <is>
          <t>ORD-01622</t>
        </is>
      </c>
      <c r="B3100" s="8" t="n">
        <v>45586</v>
      </c>
      <c r="C3100" s="9" t="n">
        <v>45566</v>
      </c>
      <c r="D3100" s="7" t="n">
        <v>2024</v>
      </c>
      <c r="E3100" s="7" t="inlineStr">
        <is>
          <t>South</t>
        </is>
      </c>
      <c r="F3100" s="7" t="inlineStr">
        <is>
          <t>Office Supplies</t>
        </is>
      </c>
      <c r="G3100" s="7" t="inlineStr">
        <is>
          <t>Binder</t>
        </is>
      </c>
      <c r="H3100" s="7" t="inlineStr">
        <is>
          <t>Corporate</t>
        </is>
      </c>
      <c r="I3100" s="7" t="n">
        <v>14</v>
      </c>
      <c r="J3100" s="10" t="n">
        <v>8.039999999999999</v>
      </c>
      <c r="K3100" s="11" t="n">
        <v>0</v>
      </c>
      <c r="L3100" s="10">
        <f>I3100*J3100*(1-K3100)</f>
        <v/>
      </c>
      <c r="M3100" s="10" t="n">
        <v>44.8</v>
      </c>
      <c r="N3100" s="10">
        <f>L3100-M3100</f>
        <v/>
      </c>
    </row>
    <row r="3101">
      <c r="A3101" s="7" t="inlineStr">
        <is>
          <t>ORD-02111</t>
        </is>
      </c>
      <c r="B3101" s="8" t="n">
        <v>45586</v>
      </c>
      <c r="C3101" s="9" t="n">
        <v>45566</v>
      </c>
      <c r="D3101" s="7" t="n">
        <v>2024</v>
      </c>
      <c r="E3101" s="7" t="inlineStr">
        <is>
          <t>West</t>
        </is>
      </c>
      <c r="F3101" s="7" t="inlineStr">
        <is>
          <t>Office Supplies</t>
        </is>
      </c>
      <c r="G3101" s="7" t="inlineStr">
        <is>
          <t>Printer Ink</t>
        </is>
      </c>
      <c r="H3101" s="7" t="inlineStr">
        <is>
          <t>Home Office</t>
        </is>
      </c>
      <c r="I3101" s="7" t="n">
        <v>13</v>
      </c>
      <c r="J3101" s="10" t="n">
        <v>60.46</v>
      </c>
      <c r="K3101" s="11" t="n">
        <v>0.3</v>
      </c>
      <c r="L3101" s="10">
        <f>I3101*J3101*(1-K3101)</f>
        <v/>
      </c>
      <c r="M3101" s="10" t="n">
        <v>468</v>
      </c>
      <c r="N3101" s="10">
        <f>L3101-M3101</f>
        <v/>
      </c>
    </row>
    <row r="3102">
      <c r="A3102" s="7" t="inlineStr">
        <is>
          <t>ORD-04393</t>
        </is>
      </c>
      <c r="B3102" s="8" t="n">
        <v>45586</v>
      </c>
      <c r="C3102" s="9" t="n">
        <v>45566</v>
      </c>
      <c r="D3102" s="7" t="n">
        <v>2024</v>
      </c>
      <c r="E3102" s="7" t="inlineStr">
        <is>
          <t>East</t>
        </is>
      </c>
      <c r="F3102" s="7" t="inlineStr">
        <is>
          <t>Office Supplies</t>
        </is>
      </c>
      <c r="G3102" s="7" t="inlineStr">
        <is>
          <t>Paper</t>
        </is>
      </c>
      <c r="H3102" s="7" t="inlineStr">
        <is>
          <t>Consumer</t>
        </is>
      </c>
      <c r="I3102" s="7" t="n">
        <v>15</v>
      </c>
      <c r="J3102" s="10" t="n">
        <v>24.65</v>
      </c>
      <c r="K3102" s="11" t="n">
        <v>0.05</v>
      </c>
      <c r="L3102" s="10">
        <f>I3102*J3102*(1-K3102)</f>
        <v/>
      </c>
      <c r="M3102" s="10" t="n">
        <v>187.5</v>
      </c>
      <c r="N3102" s="10">
        <f>L3102-M3102</f>
        <v/>
      </c>
    </row>
    <row r="3103">
      <c r="A3103" s="7" t="inlineStr">
        <is>
          <t>ORD-03917</t>
        </is>
      </c>
      <c r="B3103" s="8" t="n">
        <v>45586</v>
      </c>
      <c r="C3103" s="9" t="n">
        <v>45566</v>
      </c>
      <c r="D3103" s="7" t="n">
        <v>2024</v>
      </c>
      <c r="E3103" s="7" t="inlineStr">
        <is>
          <t>East</t>
        </is>
      </c>
      <c r="F3103" s="7" t="inlineStr">
        <is>
          <t>Office Supplies</t>
        </is>
      </c>
      <c r="G3103" s="7" t="inlineStr">
        <is>
          <t>Paper</t>
        </is>
      </c>
      <c r="H3103" s="7" t="inlineStr">
        <is>
          <t>Home Office</t>
        </is>
      </c>
      <c r="I3103" s="7" t="n">
        <v>12</v>
      </c>
      <c r="J3103" s="10" t="n">
        <v>24.85</v>
      </c>
      <c r="K3103" s="11" t="n">
        <v>0</v>
      </c>
      <c r="L3103" s="10">
        <f>I3103*J3103*(1-K3103)</f>
        <v/>
      </c>
      <c r="M3103" s="10" t="n">
        <v>150</v>
      </c>
      <c r="N3103" s="10">
        <f>L3103-M3103</f>
        <v/>
      </c>
    </row>
    <row r="3104">
      <c r="A3104" s="7" t="inlineStr">
        <is>
          <t>ORD-05469</t>
        </is>
      </c>
      <c r="B3104" s="8" t="n">
        <v>45586</v>
      </c>
      <c r="C3104" s="9" t="n">
        <v>45566</v>
      </c>
      <c r="D3104" s="7" t="n">
        <v>2024</v>
      </c>
      <c r="E3104" s="7" t="inlineStr">
        <is>
          <t>South</t>
        </is>
      </c>
      <c r="F3104" s="7" t="inlineStr">
        <is>
          <t>Office Supplies</t>
        </is>
      </c>
      <c r="G3104" s="7" t="inlineStr">
        <is>
          <t>Pens</t>
        </is>
      </c>
      <c r="H3104" s="7" t="inlineStr">
        <is>
          <t>Corporate</t>
        </is>
      </c>
      <c r="I3104" s="7" t="n">
        <v>15</v>
      </c>
      <c r="J3104" s="10" t="n">
        <v>12.3</v>
      </c>
      <c r="K3104" s="11" t="n">
        <v>0</v>
      </c>
      <c r="L3104" s="10">
        <f>I3104*J3104*(1-K3104)</f>
        <v/>
      </c>
      <c r="M3104" s="10" t="n">
        <v>81</v>
      </c>
      <c r="N3104" s="10">
        <f>L3104-M3104</f>
        <v/>
      </c>
    </row>
    <row r="3105">
      <c r="A3105" s="7" t="inlineStr">
        <is>
          <t>ORD-05533</t>
        </is>
      </c>
      <c r="B3105" s="8" t="n">
        <v>45586</v>
      </c>
      <c r="C3105" s="9" t="n">
        <v>45566</v>
      </c>
      <c r="D3105" s="7" t="n">
        <v>2024</v>
      </c>
      <c r="E3105" s="7" t="inlineStr">
        <is>
          <t>West</t>
        </is>
      </c>
      <c r="F3105" s="7" t="inlineStr">
        <is>
          <t>Office Supplies</t>
        </is>
      </c>
      <c r="G3105" s="7" t="inlineStr">
        <is>
          <t>Paper</t>
        </is>
      </c>
      <c r="H3105" s="7" t="inlineStr">
        <is>
          <t>Consumer</t>
        </is>
      </c>
      <c r="I3105" s="7" t="n">
        <v>7</v>
      </c>
      <c r="J3105" s="10" t="n">
        <v>25.49</v>
      </c>
      <c r="K3105" s="11" t="n">
        <v>0</v>
      </c>
      <c r="L3105" s="10">
        <f>I3105*J3105*(1-K3105)</f>
        <v/>
      </c>
      <c r="M3105" s="10" t="n">
        <v>87.5</v>
      </c>
      <c r="N3105" s="10">
        <f>L3105-M3105</f>
        <v/>
      </c>
    </row>
    <row r="3106">
      <c r="A3106" s="7" t="inlineStr">
        <is>
          <t>ORD-04110</t>
        </is>
      </c>
      <c r="B3106" s="8" t="n">
        <v>45586</v>
      </c>
      <c r="C3106" s="9" t="n">
        <v>45566</v>
      </c>
      <c r="D3106" s="7" t="n">
        <v>2024</v>
      </c>
      <c r="E3106" s="7" t="inlineStr">
        <is>
          <t>East</t>
        </is>
      </c>
      <c r="F3106" s="7" t="inlineStr">
        <is>
          <t>Office Supplies</t>
        </is>
      </c>
      <c r="G3106" s="7" t="inlineStr">
        <is>
          <t>Pens</t>
        </is>
      </c>
      <c r="H3106" s="7" t="inlineStr">
        <is>
          <t>Home Office</t>
        </is>
      </c>
      <c r="I3106" s="7" t="n">
        <v>9</v>
      </c>
      <c r="J3106" s="10" t="n">
        <v>11.92</v>
      </c>
      <c r="K3106" s="11" t="n">
        <v>0</v>
      </c>
      <c r="L3106" s="10">
        <f>I3106*J3106*(1-K3106)</f>
        <v/>
      </c>
      <c r="M3106" s="10" t="n">
        <v>48.6</v>
      </c>
      <c r="N3106" s="10">
        <f>L3106-M3106</f>
        <v/>
      </c>
    </row>
    <row r="3107">
      <c r="A3107" s="7" t="inlineStr">
        <is>
          <t>ORD-03554</t>
        </is>
      </c>
      <c r="B3107" s="8" t="n">
        <v>45586</v>
      </c>
      <c r="C3107" s="9" t="n">
        <v>45566</v>
      </c>
      <c r="D3107" s="7" t="n">
        <v>2024</v>
      </c>
      <c r="E3107" s="7" t="inlineStr">
        <is>
          <t>West</t>
        </is>
      </c>
      <c r="F3107" s="7" t="inlineStr">
        <is>
          <t>Technology</t>
        </is>
      </c>
      <c r="G3107" s="7" t="inlineStr">
        <is>
          <t>Monitor</t>
        </is>
      </c>
      <c r="H3107" s="7" t="inlineStr">
        <is>
          <t>Corporate</t>
        </is>
      </c>
      <c r="I3107" s="7" t="n">
        <v>3</v>
      </c>
      <c r="J3107" s="10" t="n">
        <v>254.74</v>
      </c>
      <c r="K3107" s="11" t="n">
        <v>0</v>
      </c>
      <c r="L3107" s="10">
        <f>I3107*J3107*(1-K3107)</f>
        <v/>
      </c>
      <c r="M3107" s="10" t="n">
        <v>540</v>
      </c>
      <c r="N3107" s="10">
        <f>L3107-M3107</f>
        <v/>
      </c>
    </row>
    <row r="3108">
      <c r="A3108" s="7" t="inlineStr">
        <is>
          <t>ORD-04196</t>
        </is>
      </c>
      <c r="B3108" s="8" t="n">
        <v>45586</v>
      </c>
      <c r="C3108" s="9" t="n">
        <v>45566</v>
      </c>
      <c r="D3108" s="7" t="n">
        <v>2024</v>
      </c>
      <c r="E3108" s="7" t="inlineStr">
        <is>
          <t>North</t>
        </is>
      </c>
      <c r="F3108" s="7" t="inlineStr">
        <is>
          <t>Office Supplies</t>
        </is>
      </c>
      <c r="G3108" s="7" t="inlineStr">
        <is>
          <t>Printer Ink</t>
        </is>
      </c>
      <c r="H3108" s="7" t="inlineStr">
        <is>
          <t>Corporate</t>
        </is>
      </c>
      <c r="I3108" s="7" t="n">
        <v>5</v>
      </c>
      <c r="J3108" s="10" t="n">
        <v>61.69</v>
      </c>
      <c r="K3108" s="11" t="n">
        <v>0.1</v>
      </c>
      <c r="L3108" s="10">
        <f>I3108*J3108*(1-K3108)</f>
        <v/>
      </c>
      <c r="M3108" s="10" t="n">
        <v>180</v>
      </c>
      <c r="N3108" s="10">
        <f>L3108-M3108</f>
        <v/>
      </c>
    </row>
    <row r="3109">
      <c r="A3109" s="7" t="inlineStr">
        <is>
          <t>ORD-00183</t>
        </is>
      </c>
      <c r="B3109" s="8" t="n">
        <v>45586</v>
      </c>
      <c r="C3109" s="9" t="n">
        <v>45566</v>
      </c>
      <c r="D3109" s="7" t="n">
        <v>2024</v>
      </c>
      <c r="E3109" s="7" t="inlineStr">
        <is>
          <t>South</t>
        </is>
      </c>
      <c r="F3109" s="7" t="inlineStr">
        <is>
          <t>Office Supplies</t>
        </is>
      </c>
      <c r="G3109" s="7" t="inlineStr">
        <is>
          <t>Paper</t>
        </is>
      </c>
      <c r="H3109" s="7" t="inlineStr">
        <is>
          <t>Home Office</t>
        </is>
      </c>
      <c r="I3109" s="7" t="n">
        <v>5</v>
      </c>
      <c r="J3109" s="10" t="n">
        <v>24.12</v>
      </c>
      <c r="K3109" s="11" t="n">
        <v>0.2</v>
      </c>
      <c r="L3109" s="10">
        <f>I3109*J3109*(1-K3109)</f>
        <v/>
      </c>
      <c r="M3109" s="10" t="n">
        <v>62.5</v>
      </c>
      <c r="N3109" s="10">
        <f>L3109-M3109</f>
        <v/>
      </c>
    </row>
    <row r="3110">
      <c r="A3110" s="7" t="inlineStr">
        <is>
          <t>ORD-04875</t>
        </is>
      </c>
      <c r="B3110" s="8" t="n">
        <v>45587</v>
      </c>
      <c r="C3110" s="9" t="n">
        <v>45566</v>
      </c>
      <c r="D3110" s="7" t="n">
        <v>2024</v>
      </c>
      <c r="E3110" s="7" t="inlineStr">
        <is>
          <t>North</t>
        </is>
      </c>
      <c r="F3110" s="7" t="inlineStr">
        <is>
          <t>Furniture</t>
        </is>
      </c>
      <c r="G3110" s="7" t="inlineStr">
        <is>
          <t>Desk</t>
        </is>
      </c>
      <c r="H3110" s="7" t="inlineStr">
        <is>
          <t>Corporate</t>
        </is>
      </c>
      <c r="I3110" s="7" t="n">
        <v>3</v>
      </c>
      <c r="J3110" s="10" t="n">
        <v>472.31</v>
      </c>
      <c r="K3110" s="11" t="n">
        <v>0</v>
      </c>
      <c r="L3110" s="10">
        <f>I3110*J3110*(1-K3110)</f>
        <v/>
      </c>
      <c r="M3110" s="10" t="n">
        <v>1147.5</v>
      </c>
      <c r="N3110" s="10">
        <f>L3110-M3110</f>
        <v/>
      </c>
    </row>
    <row r="3111">
      <c r="A3111" s="7" t="inlineStr">
        <is>
          <t>ORD-02000</t>
        </is>
      </c>
      <c r="B3111" s="8" t="n">
        <v>45587</v>
      </c>
      <c r="C3111" s="9" t="n">
        <v>45566</v>
      </c>
      <c r="D3111" s="7" t="n">
        <v>2024</v>
      </c>
      <c r="E3111" s="7" t="inlineStr">
        <is>
          <t>North</t>
        </is>
      </c>
      <c r="F3111" s="7" t="inlineStr">
        <is>
          <t>Technology</t>
        </is>
      </c>
      <c r="G3111" s="7" t="inlineStr">
        <is>
          <t>Monitor</t>
        </is>
      </c>
      <c r="H3111" s="7" t="inlineStr">
        <is>
          <t>Consumer</t>
        </is>
      </c>
      <c r="I3111" s="7" t="n">
        <v>2</v>
      </c>
      <c r="J3111" s="10" t="n">
        <v>244.53</v>
      </c>
      <c r="K3111" s="11" t="n">
        <v>0.2</v>
      </c>
      <c r="L3111" s="10">
        <f>I3111*J3111*(1-K3111)</f>
        <v/>
      </c>
      <c r="M3111" s="10" t="n">
        <v>360</v>
      </c>
      <c r="N3111" s="10">
        <f>L3111-M3111</f>
        <v/>
      </c>
    </row>
    <row r="3112">
      <c r="A3112" s="7" t="inlineStr">
        <is>
          <t>ORD-01475</t>
        </is>
      </c>
      <c r="B3112" s="8" t="n">
        <v>45587</v>
      </c>
      <c r="C3112" s="9" t="n">
        <v>45566</v>
      </c>
      <c r="D3112" s="7" t="n">
        <v>2024</v>
      </c>
      <c r="E3112" s="7" t="inlineStr">
        <is>
          <t>East</t>
        </is>
      </c>
      <c r="F3112" s="7" t="inlineStr">
        <is>
          <t>Technology</t>
        </is>
      </c>
      <c r="G3112" s="7" t="inlineStr">
        <is>
          <t>Keyboard</t>
        </is>
      </c>
      <c r="H3112" s="7" t="inlineStr">
        <is>
          <t>Consumer</t>
        </is>
      </c>
      <c r="I3112" s="7" t="n">
        <v>3</v>
      </c>
      <c r="J3112" s="10" t="n">
        <v>43.57</v>
      </c>
      <c r="K3112" s="11" t="n">
        <v>0</v>
      </c>
      <c r="L3112" s="10">
        <f>I3112*J3112*(1-K3112)</f>
        <v/>
      </c>
      <c r="M3112" s="10" t="n">
        <v>74.25</v>
      </c>
      <c r="N3112" s="10">
        <f>L3112-M3112</f>
        <v/>
      </c>
    </row>
    <row r="3113">
      <c r="A3113" s="7" t="inlineStr">
        <is>
          <t>ORD-04349</t>
        </is>
      </c>
      <c r="B3113" s="8" t="n">
        <v>45587</v>
      </c>
      <c r="C3113" s="9" t="n">
        <v>45566</v>
      </c>
      <c r="D3113" s="7" t="n">
        <v>2024</v>
      </c>
      <c r="E3113" s="7" t="inlineStr">
        <is>
          <t>East</t>
        </is>
      </c>
      <c r="F3113" s="7" t="inlineStr">
        <is>
          <t>Office Supplies</t>
        </is>
      </c>
      <c r="G3113" s="7" t="inlineStr">
        <is>
          <t>Printer Ink</t>
        </is>
      </c>
      <c r="H3113" s="7" t="inlineStr">
        <is>
          <t>Home Office</t>
        </is>
      </c>
      <c r="I3113" s="7" t="n">
        <v>2</v>
      </c>
      <c r="J3113" s="10" t="n">
        <v>60.61</v>
      </c>
      <c r="K3113" s="11" t="n">
        <v>0.2</v>
      </c>
      <c r="L3113" s="10">
        <f>I3113*J3113*(1-K3113)</f>
        <v/>
      </c>
      <c r="M3113" s="10" t="n">
        <v>72</v>
      </c>
      <c r="N3113" s="10">
        <f>L3113-M3113</f>
        <v/>
      </c>
    </row>
    <row r="3114">
      <c r="A3114" s="7" t="inlineStr">
        <is>
          <t>ORD-02474</t>
        </is>
      </c>
      <c r="B3114" s="8" t="n">
        <v>45587</v>
      </c>
      <c r="C3114" s="9" t="n">
        <v>45566</v>
      </c>
      <c r="D3114" s="7" t="n">
        <v>2024</v>
      </c>
      <c r="E3114" s="7" t="inlineStr">
        <is>
          <t>West</t>
        </is>
      </c>
      <c r="F3114" s="7" t="inlineStr">
        <is>
          <t>Office Supplies</t>
        </is>
      </c>
      <c r="G3114" s="7" t="inlineStr">
        <is>
          <t>Printer Ink</t>
        </is>
      </c>
      <c r="H3114" s="7" t="inlineStr">
        <is>
          <t>Consumer</t>
        </is>
      </c>
      <c r="I3114" s="7" t="n">
        <v>12</v>
      </c>
      <c r="J3114" s="10" t="n">
        <v>59.72</v>
      </c>
      <c r="K3114" s="11" t="n">
        <v>0.2</v>
      </c>
      <c r="L3114" s="10">
        <f>I3114*J3114*(1-K3114)</f>
        <v/>
      </c>
      <c r="M3114" s="10" t="n">
        <v>432</v>
      </c>
      <c r="N3114" s="10">
        <f>L3114-M3114</f>
        <v/>
      </c>
    </row>
    <row r="3115">
      <c r="A3115" s="7" t="inlineStr">
        <is>
          <t>ORD-05797</t>
        </is>
      </c>
      <c r="B3115" s="8" t="n">
        <v>45587</v>
      </c>
      <c r="C3115" s="9" t="n">
        <v>45566</v>
      </c>
      <c r="D3115" s="7" t="n">
        <v>2024</v>
      </c>
      <c r="E3115" s="7" t="inlineStr">
        <is>
          <t>East</t>
        </is>
      </c>
      <c r="F3115" s="7" t="inlineStr">
        <is>
          <t>Office Supplies</t>
        </is>
      </c>
      <c r="G3115" s="7" t="inlineStr">
        <is>
          <t>Paper</t>
        </is>
      </c>
      <c r="H3115" s="7" t="inlineStr">
        <is>
          <t>Home Office</t>
        </is>
      </c>
      <c r="I3115" s="7" t="n">
        <v>13</v>
      </c>
      <c r="J3115" s="10" t="n">
        <v>26.01</v>
      </c>
      <c r="K3115" s="11" t="n">
        <v>0.1</v>
      </c>
      <c r="L3115" s="10">
        <f>I3115*J3115*(1-K3115)</f>
        <v/>
      </c>
      <c r="M3115" s="10" t="n">
        <v>162.5</v>
      </c>
      <c r="N3115" s="10">
        <f>L3115-M3115</f>
        <v/>
      </c>
    </row>
    <row r="3116">
      <c r="A3116" s="7" t="inlineStr">
        <is>
          <t>ORD-03521</t>
        </is>
      </c>
      <c r="B3116" s="8" t="n">
        <v>45588</v>
      </c>
      <c r="C3116" s="9" t="n">
        <v>45566</v>
      </c>
      <c r="D3116" s="7" t="n">
        <v>2024</v>
      </c>
      <c r="E3116" s="7" t="inlineStr">
        <is>
          <t>North</t>
        </is>
      </c>
      <c r="F3116" s="7" t="inlineStr">
        <is>
          <t>Office Supplies</t>
        </is>
      </c>
      <c r="G3116" s="7" t="inlineStr">
        <is>
          <t>Printer Ink</t>
        </is>
      </c>
      <c r="H3116" s="7" t="inlineStr">
        <is>
          <t>Consumer</t>
        </is>
      </c>
      <c r="I3116" s="7" t="n">
        <v>4</v>
      </c>
      <c r="J3116" s="10" t="n">
        <v>62.82</v>
      </c>
      <c r="K3116" s="11" t="n">
        <v>0</v>
      </c>
      <c r="L3116" s="10">
        <f>I3116*J3116*(1-K3116)</f>
        <v/>
      </c>
      <c r="M3116" s="10" t="n">
        <v>144</v>
      </c>
      <c r="N3116" s="10">
        <f>L3116-M3116</f>
        <v/>
      </c>
    </row>
    <row r="3117">
      <c r="A3117" s="7" t="inlineStr">
        <is>
          <t>ORD-00843</t>
        </is>
      </c>
      <c r="B3117" s="8" t="n">
        <v>45588</v>
      </c>
      <c r="C3117" s="9" t="n">
        <v>45566</v>
      </c>
      <c r="D3117" s="7" t="n">
        <v>2024</v>
      </c>
      <c r="E3117" s="7" t="inlineStr">
        <is>
          <t>South</t>
        </is>
      </c>
      <c r="F3117" s="7" t="inlineStr">
        <is>
          <t>Furniture</t>
        </is>
      </c>
      <c r="G3117" s="7" t="inlineStr">
        <is>
          <t>Sofa</t>
        </is>
      </c>
      <c r="H3117" s="7" t="inlineStr">
        <is>
          <t>Home Office</t>
        </is>
      </c>
      <c r="I3117" s="7" t="n">
        <v>3</v>
      </c>
      <c r="J3117" s="10" t="n">
        <v>669.7</v>
      </c>
      <c r="K3117" s="11" t="n">
        <v>0.2</v>
      </c>
      <c r="L3117" s="10">
        <f>I3117*J3117*(1-K3117)</f>
        <v/>
      </c>
      <c r="M3117" s="10" t="n">
        <v>1848</v>
      </c>
      <c r="N3117" s="10">
        <f>L3117-M3117</f>
        <v/>
      </c>
    </row>
    <row r="3118">
      <c r="A3118" s="7" t="inlineStr">
        <is>
          <t>ORD-04311</t>
        </is>
      </c>
      <c r="B3118" s="8" t="n">
        <v>45588</v>
      </c>
      <c r="C3118" s="9" t="n">
        <v>45566</v>
      </c>
      <c r="D3118" s="7" t="n">
        <v>2024</v>
      </c>
      <c r="E3118" s="7" t="inlineStr">
        <is>
          <t>West</t>
        </is>
      </c>
      <c r="F3118" s="7" t="inlineStr">
        <is>
          <t>Office Supplies</t>
        </is>
      </c>
      <c r="G3118" s="7" t="inlineStr">
        <is>
          <t>Binder</t>
        </is>
      </c>
      <c r="H3118" s="7" t="inlineStr">
        <is>
          <t>Corporate</t>
        </is>
      </c>
      <c r="I3118" s="7" t="n">
        <v>8</v>
      </c>
      <c r="J3118" s="10" t="n">
        <v>7.87</v>
      </c>
      <c r="K3118" s="11" t="n">
        <v>0.05</v>
      </c>
      <c r="L3118" s="10">
        <f>I3118*J3118*(1-K3118)</f>
        <v/>
      </c>
      <c r="M3118" s="10" t="n">
        <v>25.6</v>
      </c>
      <c r="N3118" s="10">
        <f>L3118-M3118</f>
        <v/>
      </c>
    </row>
    <row r="3119">
      <c r="A3119" s="7" t="inlineStr">
        <is>
          <t>ORD-02635</t>
        </is>
      </c>
      <c r="B3119" s="8" t="n">
        <v>45588</v>
      </c>
      <c r="C3119" s="9" t="n">
        <v>45566</v>
      </c>
      <c r="D3119" s="7" t="n">
        <v>2024</v>
      </c>
      <c r="E3119" s="7" t="inlineStr">
        <is>
          <t>West</t>
        </is>
      </c>
      <c r="F3119" s="7" t="inlineStr">
        <is>
          <t>Furniture</t>
        </is>
      </c>
      <c r="G3119" s="7" t="inlineStr">
        <is>
          <t>Office Chair</t>
        </is>
      </c>
      <c r="H3119" s="7" t="inlineStr">
        <is>
          <t>Consumer</t>
        </is>
      </c>
      <c r="I3119" s="7" t="n">
        <v>4</v>
      </c>
      <c r="J3119" s="10" t="n">
        <v>229.8</v>
      </c>
      <c r="K3119" s="11" t="n">
        <v>0.1</v>
      </c>
      <c r="L3119" s="10">
        <f>I3119*J3119*(1-K3119)</f>
        <v/>
      </c>
      <c r="M3119" s="10" t="n">
        <v>721.6</v>
      </c>
      <c r="N3119" s="10">
        <f>L3119-M3119</f>
        <v/>
      </c>
    </row>
    <row r="3120">
      <c r="A3120" s="7" t="inlineStr">
        <is>
          <t>ORD-00148</t>
        </is>
      </c>
      <c r="B3120" s="8" t="n">
        <v>45588</v>
      </c>
      <c r="C3120" s="9" t="n">
        <v>45566</v>
      </c>
      <c r="D3120" s="7" t="n">
        <v>2024</v>
      </c>
      <c r="E3120" s="7" t="inlineStr">
        <is>
          <t>East</t>
        </is>
      </c>
      <c r="F3120" s="7" t="inlineStr">
        <is>
          <t>Office Supplies</t>
        </is>
      </c>
      <c r="G3120" s="7" t="inlineStr">
        <is>
          <t>Pens</t>
        </is>
      </c>
      <c r="H3120" s="7" t="inlineStr">
        <is>
          <t>Corporate</t>
        </is>
      </c>
      <c r="I3120" s="7" t="n">
        <v>12</v>
      </c>
      <c r="J3120" s="10" t="n">
        <v>11.7</v>
      </c>
      <c r="K3120" s="11" t="n">
        <v>0.05</v>
      </c>
      <c r="L3120" s="10">
        <f>I3120*J3120*(1-K3120)</f>
        <v/>
      </c>
      <c r="M3120" s="10" t="n">
        <v>64.8</v>
      </c>
      <c r="N3120" s="10">
        <f>L3120-M3120</f>
        <v/>
      </c>
    </row>
    <row r="3121">
      <c r="A3121" s="7" t="inlineStr">
        <is>
          <t>ORD-03340</t>
        </is>
      </c>
      <c r="B3121" s="8" t="n">
        <v>45588</v>
      </c>
      <c r="C3121" s="9" t="n">
        <v>45566</v>
      </c>
      <c r="D3121" s="7" t="n">
        <v>2024</v>
      </c>
      <c r="E3121" s="7" t="inlineStr">
        <is>
          <t>West</t>
        </is>
      </c>
      <c r="F3121" s="7" t="inlineStr">
        <is>
          <t>Furniture</t>
        </is>
      </c>
      <c r="G3121" s="7" t="inlineStr">
        <is>
          <t>Office Chair</t>
        </is>
      </c>
      <c r="H3121" s="7" t="inlineStr">
        <is>
          <t>Corporate</t>
        </is>
      </c>
      <c r="I3121" s="7" t="n">
        <v>3</v>
      </c>
      <c r="J3121" s="10" t="n">
        <v>222.32</v>
      </c>
      <c r="K3121" s="11" t="n">
        <v>0.1</v>
      </c>
      <c r="L3121" s="10">
        <f>I3121*J3121*(1-K3121)</f>
        <v/>
      </c>
      <c r="M3121" s="10" t="n">
        <v>541.2</v>
      </c>
      <c r="N3121" s="10">
        <f>L3121-M3121</f>
        <v/>
      </c>
    </row>
    <row r="3122">
      <c r="A3122" s="7" t="inlineStr">
        <is>
          <t>ORD-00505</t>
        </is>
      </c>
      <c r="B3122" s="8" t="n">
        <v>45588</v>
      </c>
      <c r="C3122" s="9" t="n">
        <v>45566</v>
      </c>
      <c r="D3122" s="7" t="n">
        <v>2024</v>
      </c>
      <c r="E3122" s="7" t="inlineStr">
        <is>
          <t>South</t>
        </is>
      </c>
      <c r="F3122" s="7" t="inlineStr">
        <is>
          <t>Office Supplies</t>
        </is>
      </c>
      <c r="G3122" s="7" t="inlineStr">
        <is>
          <t>Binder</t>
        </is>
      </c>
      <c r="H3122" s="7" t="inlineStr">
        <is>
          <t>Corporate</t>
        </is>
      </c>
      <c r="I3122" s="7" t="n">
        <v>14</v>
      </c>
      <c r="J3122" s="10" t="n">
        <v>8.220000000000001</v>
      </c>
      <c r="K3122" s="11" t="n">
        <v>0.1</v>
      </c>
      <c r="L3122" s="10">
        <f>I3122*J3122*(1-K3122)</f>
        <v/>
      </c>
      <c r="M3122" s="10" t="n">
        <v>44.8</v>
      </c>
      <c r="N3122" s="10">
        <f>L3122-M3122</f>
        <v/>
      </c>
    </row>
    <row r="3123">
      <c r="A3123" s="7" t="inlineStr">
        <is>
          <t>ORD-01357</t>
        </is>
      </c>
      <c r="B3123" s="8" t="n">
        <v>45588</v>
      </c>
      <c r="C3123" s="9" t="n">
        <v>45566</v>
      </c>
      <c r="D3123" s="7" t="n">
        <v>2024</v>
      </c>
      <c r="E3123" s="7" t="inlineStr">
        <is>
          <t>South</t>
        </is>
      </c>
      <c r="F3123" s="7" t="inlineStr">
        <is>
          <t>Technology</t>
        </is>
      </c>
      <c r="G3123" s="7" t="inlineStr">
        <is>
          <t>Keyboard</t>
        </is>
      </c>
      <c r="H3123" s="7" t="inlineStr">
        <is>
          <t>Consumer</t>
        </is>
      </c>
      <c r="I3123" s="7" t="n">
        <v>2</v>
      </c>
      <c r="J3123" s="10" t="n">
        <v>43.43</v>
      </c>
      <c r="K3123" s="11" t="n">
        <v>0</v>
      </c>
      <c r="L3123" s="10">
        <f>I3123*J3123*(1-K3123)</f>
        <v/>
      </c>
      <c r="M3123" s="10" t="n">
        <v>49.5</v>
      </c>
      <c r="N3123" s="10">
        <f>L3123-M3123</f>
        <v/>
      </c>
    </row>
    <row r="3124">
      <c r="A3124" s="7" t="inlineStr">
        <is>
          <t>ORD-01776</t>
        </is>
      </c>
      <c r="B3124" s="8" t="n">
        <v>45589</v>
      </c>
      <c r="C3124" s="9" t="n">
        <v>45566</v>
      </c>
      <c r="D3124" s="7" t="n">
        <v>2024</v>
      </c>
      <c r="E3124" s="7" t="inlineStr">
        <is>
          <t>East</t>
        </is>
      </c>
      <c r="F3124" s="7" t="inlineStr">
        <is>
          <t>Technology</t>
        </is>
      </c>
      <c r="G3124" s="7" t="inlineStr">
        <is>
          <t>Headphones</t>
        </is>
      </c>
      <c r="H3124" s="7" t="inlineStr">
        <is>
          <t>Consumer</t>
        </is>
      </c>
      <c r="I3124" s="7" t="n">
        <v>3</v>
      </c>
      <c r="J3124" s="10" t="n">
        <v>125.99</v>
      </c>
      <c r="K3124" s="11" t="n">
        <v>0</v>
      </c>
      <c r="L3124" s="10">
        <f>I3124*J3124*(1-K3124)</f>
        <v/>
      </c>
      <c r="M3124" s="10" t="n">
        <v>216</v>
      </c>
      <c r="N3124" s="10">
        <f>L3124-M3124</f>
        <v/>
      </c>
    </row>
    <row r="3125">
      <c r="A3125" s="7" t="inlineStr">
        <is>
          <t>ORD-00900</t>
        </is>
      </c>
      <c r="B3125" s="8" t="n">
        <v>45589</v>
      </c>
      <c r="C3125" s="9" t="n">
        <v>45566</v>
      </c>
      <c r="D3125" s="7" t="n">
        <v>2024</v>
      </c>
      <c r="E3125" s="7" t="inlineStr">
        <is>
          <t>North</t>
        </is>
      </c>
      <c r="F3125" s="7" t="inlineStr">
        <is>
          <t>Office Supplies</t>
        </is>
      </c>
      <c r="G3125" s="7" t="inlineStr">
        <is>
          <t>Paper</t>
        </is>
      </c>
      <c r="H3125" s="7" t="inlineStr">
        <is>
          <t>Consumer</t>
        </is>
      </c>
      <c r="I3125" s="7" t="n">
        <v>15</v>
      </c>
      <c r="J3125" s="10" t="n">
        <v>26.12</v>
      </c>
      <c r="K3125" s="11" t="n">
        <v>0</v>
      </c>
      <c r="L3125" s="10">
        <f>I3125*J3125*(1-K3125)</f>
        <v/>
      </c>
      <c r="M3125" s="10" t="n">
        <v>187.5</v>
      </c>
      <c r="N3125" s="10">
        <f>L3125-M3125</f>
        <v/>
      </c>
    </row>
    <row r="3126">
      <c r="A3126" s="7" t="inlineStr">
        <is>
          <t>ORD-04381</t>
        </is>
      </c>
      <c r="B3126" s="8" t="n">
        <v>45589</v>
      </c>
      <c r="C3126" s="9" t="n">
        <v>45566</v>
      </c>
      <c r="D3126" s="7" t="n">
        <v>2024</v>
      </c>
      <c r="E3126" s="7" t="inlineStr">
        <is>
          <t>South</t>
        </is>
      </c>
      <c r="F3126" s="7" t="inlineStr">
        <is>
          <t>Furniture</t>
        </is>
      </c>
      <c r="G3126" s="7" t="inlineStr">
        <is>
          <t>Bookcase</t>
        </is>
      </c>
      <c r="H3126" s="7" t="inlineStr">
        <is>
          <t>Home Office</t>
        </is>
      </c>
      <c r="I3126" s="7" t="n">
        <v>2</v>
      </c>
      <c r="J3126" s="10" t="n">
        <v>185.38</v>
      </c>
      <c r="K3126" s="11" t="n">
        <v>0</v>
      </c>
      <c r="L3126" s="10">
        <f>I3126*J3126*(1-K3126)</f>
        <v/>
      </c>
      <c r="M3126" s="10" t="n">
        <v>288</v>
      </c>
      <c r="N3126" s="10">
        <f>L3126-M3126</f>
        <v/>
      </c>
    </row>
    <row r="3127">
      <c r="A3127" s="7" t="inlineStr">
        <is>
          <t>ORD-01216</t>
        </is>
      </c>
      <c r="B3127" s="8" t="n">
        <v>45589</v>
      </c>
      <c r="C3127" s="9" t="n">
        <v>45566</v>
      </c>
      <c r="D3127" s="7" t="n">
        <v>2024</v>
      </c>
      <c r="E3127" s="7" t="inlineStr">
        <is>
          <t>West</t>
        </is>
      </c>
      <c r="F3127" s="7" t="inlineStr">
        <is>
          <t>Office Supplies</t>
        </is>
      </c>
      <c r="G3127" s="7" t="inlineStr">
        <is>
          <t>Printer Ink</t>
        </is>
      </c>
      <c r="H3127" s="7" t="inlineStr">
        <is>
          <t>Consumer</t>
        </is>
      </c>
      <c r="I3127" s="7" t="n">
        <v>5</v>
      </c>
      <c r="J3127" s="10" t="n">
        <v>58.27</v>
      </c>
      <c r="K3127" s="11" t="n">
        <v>0</v>
      </c>
      <c r="L3127" s="10">
        <f>I3127*J3127*(1-K3127)</f>
        <v/>
      </c>
      <c r="M3127" s="10" t="n">
        <v>180</v>
      </c>
      <c r="N3127" s="10">
        <f>L3127-M3127</f>
        <v/>
      </c>
    </row>
    <row r="3128">
      <c r="A3128" s="7" t="inlineStr">
        <is>
          <t>ORD-02307</t>
        </is>
      </c>
      <c r="B3128" s="8" t="n">
        <v>45589</v>
      </c>
      <c r="C3128" s="9" t="n">
        <v>45566</v>
      </c>
      <c r="D3128" s="7" t="n">
        <v>2024</v>
      </c>
      <c r="E3128" s="7" t="inlineStr">
        <is>
          <t>South</t>
        </is>
      </c>
      <c r="F3128" s="7" t="inlineStr">
        <is>
          <t>Technology</t>
        </is>
      </c>
      <c r="G3128" s="7" t="inlineStr">
        <is>
          <t>Keyboard</t>
        </is>
      </c>
      <c r="H3128" s="7" t="inlineStr">
        <is>
          <t>Consumer</t>
        </is>
      </c>
      <c r="I3128" s="7" t="n">
        <v>1</v>
      </c>
      <c r="J3128" s="10" t="n">
        <v>43.27</v>
      </c>
      <c r="K3128" s="11" t="n">
        <v>0.1</v>
      </c>
      <c r="L3128" s="10">
        <f>I3128*J3128*(1-K3128)</f>
        <v/>
      </c>
      <c r="M3128" s="10" t="n">
        <v>24.75</v>
      </c>
      <c r="N3128" s="10">
        <f>L3128-M3128</f>
        <v/>
      </c>
    </row>
    <row r="3129">
      <c r="A3129" s="7" t="inlineStr">
        <is>
          <t>ORD-02016</t>
        </is>
      </c>
      <c r="B3129" s="8" t="n">
        <v>45589</v>
      </c>
      <c r="C3129" s="9" t="n">
        <v>45566</v>
      </c>
      <c r="D3129" s="7" t="n">
        <v>2024</v>
      </c>
      <c r="E3129" s="7" t="inlineStr">
        <is>
          <t>West</t>
        </is>
      </c>
      <c r="F3129" s="7" t="inlineStr">
        <is>
          <t>Technology</t>
        </is>
      </c>
      <c r="G3129" s="7" t="inlineStr">
        <is>
          <t>Keyboard</t>
        </is>
      </c>
      <c r="H3129" s="7" t="inlineStr">
        <is>
          <t>Consumer</t>
        </is>
      </c>
      <c r="I3129" s="7" t="n">
        <v>3</v>
      </c>
      <c r="J3129" s="10" t="n">
        <v>45.63</v>
      </c>
      <c r="K3129" s="11" t="n">
        <v>0</v>
      </c>
      <c r="L3129" s="10">
        <f>I3129*J3129*(1-K3129)</f>
        <v/>
      </c>
      <c r="M3129" s="10" t="n">
        <v>74.25</v>
      </c>
      <c r="N3129" s="10">
        <f>L3129-M3129</f>
        <v/>
      </c>
    </row>
    <row r="3130">
      <c r="A3130" s="7" t="inlineStr">
        <is>
          <t>ORD-02256</t>
        </is>
      </c>
      <c r="B3130" s="8" t="n">
        <v>45589</v>
      </c>
      <c r="C3130" s="9" t="n">
        <v>45566</v>
      </c>
      <c r="D3130" s="7" t="n">
        <v>2024</v>
      </c>
      <c r="E3130" s="7" t="inlineStr">
        <is>
          <t>West</t>
        </is>
      </c>
      <c r="F3130" s="7" t="inlineStr">
        <is>
          <t>Technology</t>
        </is>
      </c>
      <c r="G3130" s="7" t="inlineStr">
        <is>
          <t>Monitor</t>
        </is>
      </c>
      <c r="H3130" s="7" t="inlineStr">
        <is>
          <t>Home Office</t>
        </is>
      </c>
      <c r="I3130" s="7" t="n">
        <v>2</v>
      </c>
      <c r="J3130" s="10" t="n">
        <v>252.33</v>
      </c>
      <c r="K3130" s="11" t="n">
        <v>0.1</v>
      </c>
      <c r="L3130" s="10">
        <f>I3130*J3130*(1-K3130)</f>
        <v/>
      </c>
      <c r="M3130" s="10" t="n">
        <v>360</v>
      </c>
      <c r="N3130" s="10">
        <f>L3130-M3130</f>
        <v/>
      </c>
    </row>
    <row r="3131">
      <c r="A3131" s="7" t="inlineStr">
        <is>
          <t>ORD-03973</t>
        </is>
      </c>
      <c r="B3131" s="8" t="n">
        <v>45589</v>
      </c>
      <c r="C3131" s="9" t="n">
        <v>45566</v>
      </c>
      <c r="D3131" s="7" t="n">
        <v>2024</v>
      </c>
      <c r="E3131" s="7" t="inlineStr">
        <is>
          <t>North</t>
        </is>
      </c>
      <c r="F3131" s="7" t="inlineStr">
        <is>
          <t>Furniture</t>
        </is>
      </c>
      <c r="G3131" s="7" t="inlineStr">
        <is>
          <t>Desk</t>
        </is>
      </c>
      <c r="H3131" s="7" t="inlineStr">
        <is>
          <t>Corporate</t>
        </is>
      </c>
      <c r="I3131" s="7" t="n">
        <v>1</v>
      </c>
      <c r="J3131" s="10" t="n">
        <v>451.08</v>
      </c>
      <c r="K3131" s="11" t="n">
        <v>0.3</v>
      </c>
      <c r="L3131" s="10">
        <f>I3131*J3131*(1-K3131)</f>
        <v/>
      </c>
      <c r="M3131" s="10" t="n">
        <v>382.5</v>
      </c>
      <c r="N3131" s="10">
        <f>L3131-M3131</f>
        <v/>
      </c>
    </row>
    <row r="3132">
      <c r="A3132" s="7" t="inlineStr">
        <is>
          <t>ORD-02496</t>
        </is>
      </c>
      <c r="B3132" s="8" t="n">
        <v>45589</v>
      </c>
      <c r="C3132" s="9" t="n">
        <v>45566</v>
      </c>
      <c r="D3132" s="7" t="n">
        <v>2024</v>
      </c>
      <c r="E3132" s="7" t="inlineStr">
        <is>
          <t>East</t>
        </is>
      </c>
      <c r="F3132" s="7" t="inlineStr">
        <is>
          <t>Office Supplies</t>
        </is>
      </c>
      <c r="G3132" s="7" t="inlineStr">
        <is>
          <t>Pens</t>
        </is>
      </c>
      <c r="H3132" s="7" t="inlineStr">
        <is>
          <t>Corporate</t>
        </is>
      </c>
      <c r="I3132" s="7" t="n">
        <v>14</v>
      </c>
      <c r="J3132" s="10" t="n">
        <v>11.63</v>
      </c>
      <c r="K3132" s="11" t="n">
        <v>0</v>
      </c>
      <c r="L3132" s="10">
        <f>I3132*J3132*(1-K3132)</f>
        <v/>
      </c>
      <c r="M3132" s="10" t="n">
        <v>75.59999999999999</v>
      </c>
      <c r="N3132" s="10">
        <f>L3132-M3132</f>
        <v/>
      </c>
    </row>
    <row r="3133">
      <c r="A3133" s="7" t="inlineStr">
        <is>
          <t>ORD-02370</t>
        </is>
      </c>
      <c r="B3133" s="8" t="n">
        <v>45589</v>
      </c>
      <c r="C3133" s="9" t="n">
        <v>45566</v>
      </c>
      <c r="D3133" s="7" t="n">
        <v>2024</v>
      </c>
      <c r="E3133" s="7" t="inlineStr">
        <is>
          <t>West</t>
        </is>
      </c>
      <c r="F3133" s="7" t="inlineStr">
        <is>
          <t>Furniture</t>
        </is>
      </c>
      <c r="G3133" s="7" t="inlineStr">
        <is>
          <t>Bookcase</t>
        </is>
      </c>
      <c r="H3133" s="7" t="inlineStr">
        <is>
          <t>Home Office</t>
        </is>
      </c>
      <c r="I3133" s="7" t="n">
        <v>4</v>
      </c>
      <c r="J3133" s="10" t="n">
        <v>188.96</v>
      </c>
      <c r="K3133" s="11" t="n">
        <v>0</v>
      </c>
      <c r="L3133" s="10">
        <f>I3133*J3133*(1-K3133)</f>
        <v/>
      </c>
      <c r="M3133" s="10" t="n">
        <v>576</v>
      </c>
      <c r="N3133" s="10">
        <f>L3133-M3133</f>
        <v/>
      </c>
    </row>
    <row r="3134">
      <c r="A3134" s="7" t="inlineStr">
        <is>
          <t>ORD-03894</t>
        </is>
      </c>
      <c r="B3134" s="8" t="n">
        <v>45590</v>
      </c>
      <c r="C3134" s="9" t="n">
        <v>45566</v>
      </c>
      <c r="D3134" s="7" t="n">
        <v>2024</v>
      </c>
      <c r="E3134" s="7" t="inlineStr">
        <is>
          <t>North</t>
        </is>
      </c>
      <c r="F3134" s="7" t="inlineStr">
        <is>
          <t>Technology</t>
        </is>
      </c>
      <c r="G3134" s="7" t="inlineStr">
        <is>
          <t>Laptop</t>
        </is>
      </c>
      <c r="H3134" s="7" t="inlineStr">
        <is>
          <t>Corporate</t>
        </is>
      </c>
      <c r="I3134" s="7" t="n">
        <v>1</v>
      </c>
      <c r="J3134" s="10" t="n">
        <v>879.85</v>
      </c>
      <c r="K3134" s="11" t="n">
        <v>0</v>
      </c>
      <c r="L3134" s="10">
        <f>I3134*J3134*(1-K3134)</f>
        <v/>
      </c>
      <c r="M3134" s="10" t="n">
        <v>702</v>
      </c>
      <c r="N3134" s="10">
        <f>L3134-M3134</f>
        <v/>
      </c>
    </row>
    <row r="3135">
      <c r="A3135" s="7" t="inlineStr">
        <is>
          <t>ORD-01366</t>
        </is>
      </c>
      <c r="B3135" s="8" t="n">
        <v>45590</v>
      </c>
      <c r="C3135" s="9" t="n">
        <v>45566</v>
      </c>
      <c r="D3135" s="7" t="n">
        <v>2024</v>
      </c>
      <c r="E3135" s="7" t="inlineStr">
        <is>
          <t>West</t>
        </is>
      </c>
      <c r="F3135" s="7" t="inlineStr">
        <is>
          <t>Office Supplies</t>
        </is>
      </c>
      <c r="G3135" s="7" t="inlineStr">
        <is>
          <t>Printer Ink</t>
        </is>
      </c>
      <c r="H3135" s="7" t="inlineStr">
        <is>
          <t>Consumer</t>
        </is>
      </c>
      <c r="I3135" s="7" t="n">
        <v>8</v>
      </c>
      <c r="J3135" s="10" t="n">
        <v>62.57</v>
      </c>
      <c r="K3135" s="11" t="n">
        <v>0.05</v>
      </c>
      <c r="L3135" s="10">
        <f>I3135*J3135*(1-K3135)</f>
        <v/>
      </c>
      <c r="M3135" s="10" t="n">
        <v>288</v>
      </c>
      <c r="N3135" s="10">
        <f>L3135-M3135</f>
        <v/>
      </c>
    </row>
    <row r="3136">
      <c r="A3136" s="7" t="inlineStr">
        <is>
          <t>ORD-01696</t>
        </is>
      </c>
      <c r="B3136" s="8" t="n">
        <v>45590</v>
      </c>
      <c r="C3136" s="9" t="n">
        <v>45566</v>
      </c>
      <c r="D3136" s="7" t="n">
        <v>2024</v>
      </c>
      <c r="E3136" s="7" t="inlineStr">
        <is>
          <t>East</t>
        </is>
      </c>
      <c r="F3136" s="7" t="inlineStr">
        <is>
          <t>Furniture</t>
        </is>
      </c>
      <c r="G3136" s="7" t="inlineStr">
        <is>
          <t>Office Chair</t>
        </is>
      </c>
      <c r="H3136" s="7" t="inlineStr">
        <is>
          <t>Consumer</t>
        </is>
      </c>
      <c r="I3136" s="7" t="n">
        <v>1</v>
      </c>
      <c r="J3136" s="10" t="n">
        <v>221.86</v>
      </c>
      <c r="K3136" s="11" t="n">
        <v>0.2</v>
      </c>
      <c r="L3136" s="10">
        <f>I3136*J3136*(1-K3136)</f>
        <v/>
      </c>
      <c r="M3136" s="10" t="n">
        <v>180.4</v>
      </c>
      <c r="N3136" s="10">
        <f>L3136-M3136</f>
        <v/>
      </c>
    </row>
    <row r="3137">
      <c r="A3137" s="7" t="inlineStr">
        <is>
          <t>ORD-00356</t>
        </is>
      </c>
      <c r="B3137" s="8" t="n">
        <v>45590</v>
      </c>
      <c r="C3137" s="9" t="n">
        <v>45566</v>
      </c>
      <c r="D3137" s="7" t="n">
        <v>2024</v>
      </c>
      <c r="E3137" s="7" t="inlineStr">
        <is>
          <t>East</t>
        </is>
      </c>
      <c r="F3137" s="7" t="inlineStr">
        <is>
          <t>Technology</t>
        </is>
      </c>
      <c r="G3137" s="7" t="inlineStr">
        <is>
          <t>Laptop</t>
        </is>
      </c>
      <c r="H3137" s="7" t="inlineStr">
        <is>
          <t>Consumer</t>
        </is>
      </c>
      <c r="I3137" s="7" t="n">
        <v>2</v>
      </c>
      <c r="J3137" s="10" t="n">
        <v>941.08</v>
      </c>
      <c r="K3137" s="11" t="n">
        <v>0.05</v>
      </c>
      <c r="L3137" s="10">
        <f>I3137*J3137*(1-K3137)</f>
        <v/>
      </c>
      <c r="M3137" s="10" t="n">
        <v>1404</v>
      </c>
      <c r="N3137" s="10">
        <f>L3137-M3137</f>
        <v/>
      </c>
    </row>
    <row r="3138">
      <c r="A3138" s="7" t="inlineStr">
        <is>
          <t>ORD-04161</t>
        </is>
      </c>
      <c r="B3138" s="8" t="n">
        <v>45591</v>
      </c>
      <c r="C3138" s="9" t="n">
        <v>45566</v>
      </c>
      <c r="D3138" s="7" t="n">
        <v>2024</v>
      </c>
      <c r="E3138" s="7" t="inlineStr">
        <is>
          <t>West</t>
        </is>
      </c>
      <c r="F3138" s="7" t="inlineStr">
        <is>
          <t>Technology</t>
        </is>
      </c>
      <c r="G3138" s="7" t="inlineStr">
        <is>
          <t>Monitor</t>
        </is>
      </c>
      <c r="H3138" s="7" t="inlineStr">
        <is>
          <t>Consumer</t>
        </is>
      </c>
      <c r="I3138" s="7" t="n">
        <v>1</v>
      </c>
      <c r="J3138" s="10" t="n">
        <v>248.86</v>
      </c>
      <c r="K3138" s="11" t="n">
        <v>0.05</v>
      </c>
      <c r="L3138" s="10">
        <f>I3138*J3138*(1-K3138)</f>
        <v/>
      </c>
      <c r="M3138" s="10" t="n">
        <v>180</v>
      </c>
      <c r="N3138" s="10">
        <f>L3138-M3138</f>
        <v/>
      </c>
    </row>
    <row r="3139">
      <c r="A3139" s="7" t="inlineStr">
        <is>
          <t>ORD-03403</t>
        </is>
      </c>
      <c r="B3139" s="8" t="n">
        <v>45591</v>
      </c>
      <c r="C3139" s="9" t="n">
        <v>45566</v>
      </c>
      <c r="D3139" s="7" t="n">
        <v>2024</v>
      </c>
      <c r="E3139" s="7" t="inlineStr">
        <is>
          <t>East</t>
        </is>
      </c>
      <c r="F3139" s="7" t="inlineStr">
        <is>
          <t>Office Supplies</t>
        </is>
      </c>
      <c r="G3139" s="7" t="inlineStr">
        <is>
          <t>Paper</t>
        </is>
      </c>
      <c r="H3139" s="7" t="inlineStr">
        <is>
          <t>Consumer</t>
        </is>
      </c>
      <c r="I3139" s="7" t="n">
        <v>9</v>
      </c>
      <c r="J3139" s="10" t="n">
        <v>23.87</v>
      </c>
      <c r="K3139" s="11" t="n">
        <v>0</v>
      </c>
      <c r="L3139" s="10">
        <f>I3139*J3139*(1-K3139)</f>
        <v/>
      </c>
      <c r="M3139" s="10" t="n">
        <v>112.5</v>
      </c>
      <c r="N3139" s="10">
        <f>L3139-M3139</f>
        <v/>
      </c>
    </row>
    <row r="3140">
      <c r="A3140" s="7" t="inlineStr">
        <is>
          <t>ORD-05815</t>
        </is>
      </c>
      <c r="B3140" s="8" t="n">
        <v>45591</v>
      </c>
      <c r="C3140" s="9" t="n">
        <v>45566</v>
      </c>
      <c r="D3140" s="7" t="n">
        <v>2024</v>
      </c>
      <c r="E3140" s="7" t="inlineStr">
        <is>
          <t>East</t>
        </is>
      </c>
      <c r="F3140" s="7" t="inlineStr">
        <is>
          <t>Office Supplies</t>
        </is>
      </c>
      <c r="G3140" s="7" t="inlineStr">
        <is>
          <t>Paper</t>
        </is>
      </c>
      <c r="H3140" s="7" t="inlineStr">
        <is>
          <t>Home Office</t>
        </is>
      </c>
      <c r="I3140" s="7" t="n">
        <v>4</v>
      </c>
      <c r="J3140" s="10" t="n">
        <v>26.11</v>
      </c>
      <c r="K3140" s="11" t="n">
        <v>0</v>
      </c>
      <c r="L3140" s="10">
        <f>I3140*J3140*(1-K3140)</f>
        <v/>
      </c>
      <c r="M3140" s="10" t="n">
        <v>50</v>
      </c>
      <c r="N3140" s="10">
        <f>L3140-M3140</f>
        <v/>
      </c>
    </row>
    <row r="3141">
      <c r="A3141" s="7" t="inlineStr">
        <is>
          <t>ORD-00289</t>
        </is>
      </c>
      <c r="B3141" s="8" t="n">
        <v>45591</v>
      </c>
      <c r="C3141" s="9" t="n">
        <v>45566</v>
      </c>
      <c r="D3141" s="7" t="n">
        <v>2024</v>
      </c>
      <c r="E3141" s="7" t="inlineStr">
        <is>
          <t>East</t>
        </is>
      </c>
      <c r="F3141" s="7" t="inlineStr">
        <is>
          <t>Technology</t>
        </is>
      </c>
      <c r="G3141" s="7" t="inlineStr">
        <is>
          <t>Laptop</t>
        </is>
      </c>
      <c r="H3141" s="7" t="inlineStr">
        <is>
          <t>Home Office</t>
        </is>
      </c>
      <c r="I3141" s="7" t="n">
        <v>2</v>
      </c>
      <c r="J3141" s="10" t="n">
        <v>909.75</v>
      </c>
      <c r="K3141" s="11" t="n">
        <v>0.2</v>
      </c>
      <c r="L3141" s="10">
        <f>I3141*J3141*(1-K3141)</f>
        <v/>
      </c>
      <c r="M3141" s="10" t="n">
        <v>1404</v>
      </c>
      <c r="N3141" s="10">
        <f>L3141-M3141</f>
        <v/>
      </c>
    </row>
    <row r="3142">
      <c r="A3142" s="7" t="inlineStr">
        <is>
          <t>ORD-03337</t>
        </is>
      </c>
      <c r="B3142" s="8" t="n">
        <v>45592</v>
      </c>
      <c r="C3142" s="9" t="n">
        <v>45566</v>
      </c>
      <c r="D3142" s="7" t="n">
        <v>2024</v>
      </c>
      <c r="E3142" s="7" t="inlineStr">
        <is>
          <t>East</t>
        </is>
      </c>
      <c r="F3142" s="7" t="inlineStr">
        <is>
          <t>Office Supplies</t>
        </is>
      </c>
      <c r="G3142" s="7" t="inlineStr">
        <is>
          <t>Paper</t>
        </is>
      </c>
      <c r="H3142" s="7" t="inlineStr">
        <is>
          <t>Corporate</t>
        </is>
      </c>
      <c r="I3142" s="7" t="n">
        <v>2</v>
      </c>
      <c r="J3142" s="10" t="n">
        <v>24.12</v>
      </c>
      <c r="K3142" s="11" t="n">
        <v>0.2</v>
      </c>
      <c r="L3142" s="10">
        <f>I3142*J3142*(1-K3142)</f>
        <v/>
      </c>
      <c r="M3142" s="10" t="n">
        <v>25</v>
      </c>
      <c r="N3142" s="10">
        <f>L3142-M3142</f>
        <v/>
      </c>
    </row>
    <row r="3143">
      <c r="A3143" s="7" t="inlineStr">
        <is>
          <t>ORD-04699</t>
        </is>
      </c>
      <c r="B3143" s="8" t="n">
        <v>45592</v>
      </c>
      <c r="C3143" s="9" t="n">
        <v>45566</v>
      </c>
      <c r="D3143" s="7" t="n">
        <v>2024</v>
      </c>
      <c r="E3143" s="7" t="inlineStr">
        <is>
          <t>North</t>
        </is>
      </c>
      <c r="F3143" s="7" t="inlineStr">
        <is>
          <t>Technology</t>
        </is>
      </c>
      <c r="G3143" s="7" t="inlineStr">
        <is>
          <t>Headphones</t>
        </is>
      </c>
      <c r="H3143" s="7" t="inlineStr">
        <is>
          <t>Corporate</t>
        </is>
      </c>
      <c r="I3143" s="7" t="n">
        <v>1</v>
      </c>
      <c r="J3143" s="10" t="n">
        <v>121.29</v>
      </c>
      <c r="K3143" s="11" t="n">
        <v>0</v>
      </c>
      <c r="L3143" s="10">
        <f>I3143*J3143*(1-K3143)</f>
        <v/>
      </c>
      <c r="M3143" s="10" t="n">
        <v>72</v>
      </c>
      <c r="N3143" s="10">
        <f>L3143-M3143</f>
        <v/>
      </c>
    </row>
    <row r="3144">
      <c r="A3144" s="7" t="inlineStr">
        <is>
          <t>ORD-04491</t>
        </is>
      </c>
      <c r="B3144" s="8" t="n">
        <v>45592</v>
      </c>
      <c r="C3144" s="9" t="n">
        <v>45566</v>
      </c>
      <c r="D3144" s="7" t="n">
        <v>2024</v>
      </c>
      <c r="E3144" s="7" t="inlineStr">
        <is>
          <t>West</t>
        </is>
      </c>
      <c r="F3144" s="7" t="inlineStr">
        <is>
          <t>Office Supplies</t>
        </is>
      </c>
      <c r="G3144" s="7" t="inlineStr">
        <is>
          <t>Binder</t>
        </is>
      </c>
      <c r="H3144" s="7" t="inlineStr">
        <is>
          <t>Consumer</t>
        </is>
      </c>
      <c r="I3144" s="7" t="n">
        <v>5</v>
      </c>
      <c r="J3144" s="10" t="n">
        <v>8.1</v>
      </c>
      <c r="K3144" s="11" t="n">
        <v>0.1</v>
      </c>
      <c r="L3144" s="10">
        <f>I3144*J3144*(1-K3144)</f>
        <v/>
      </c>
      <c r="M3144" s="10" t="n">
        <v>16</v>
      </c>
      <c r="N3144" s="10">
        <f>L3144-M3144</f>
        <v/>
      </c>
    </row>
    <row r="3145">
      <c r="A3145" s="7" t="inlineStr">
        <is>
          <t>ORD-05034</t>
        </is>
      </c>
      <c r="B3145" s="8" t="n">
        <v>45592</v>
      </c>
      <c r="C3145" s="9" t="n">
        <v>45566</v>
      </c>
      <c r="D3145" s="7" t="n">
        <v>2024</v>
      </c>
      <c r="E3145" s="7" t="inlineStr">
        <is>
          <t>East</t>
        </is>
      </c>
      <c r="F3145" s="7" t="inlineStr">
        <is>
          <t>Technology</t>
        </is>
      </c>
      <c r="G3145" s="7" t="inlineStr">
        <is>
          <t>Headphones</t>
        </is>
      </c>
      <c r="H3145" s="7" t="inlineStr">
        <is>
          <t>Corporate</t>
        </is>
      </c>
      <c r="I3145" s="7" t="n">
        <v>3</v>
      </c>
      <c r="J3145" s="10" t="n">
        <v>119.39</v>
      </c>
      <c r="K3145" s="11" t="n">
        <v>0</v>
      </c>
      <c r="L3145" s="10">
        <f>I3145*J3145*(1-K3145)</f>
        <v/>
      </c>
      <c r="M3145" s="10" t="n">
        <v>216</v>
      </c>
      <c r="N3145" s="10">
        <f>L3145-M3145</f>
        <v/>
      </c>
    </row>
    <row r="3146">
      <c r="A3146" s="7" t="inlineStr">
        <is>
          <t>ORD-00537</t>
        </is>
      </c>
      <c r="B3146" s="8" t="n">
        <v>45592</v>
      </c>
      <c r="C3146" s="9" t="n">
        <v>45566</v>
      </c>
      <c r="D3146" s="7" t="n">
        <v>2024</v>
      </c>
      <c r="E3146" s="7" t="inlineStr">
        <is>
          <t>West</t>
        </is>
      </c>
      <c r="F3146" s="7" t="inlineStr">
        <is>
          <t>Furniture</t>
        </is>
      </c>
      <c r="G3146" s="7" t="inlineStr">
        <is>
          <t>Office Chair</t>
        </is>
      </c>
      <c r="H3146" s="7" t="inlineStr">
        <is>
          <t>Consumer</t>
        </is>
      </c>
      <c r="I3146" s="7" t="n">
        <v>3</v>
      </c>
      <c r="J3146" s="10" t="n">
        <v>219.65</v>
      </c>
      <c r="K3146" s="11" t="n">
        <v>0</v>
      </c>
      <c r="L3146" s="10">
        <f>I3146*J3146*(1-K3146)</f>
        <v/>
      </c>
      <c r="M3146" s="10" t="n">
        <v>541.2</v>
      </c>
      <c r="N3146" s="10">
        <f>L3146-M3146</f>
        <v/>
      </c>
    </row>
    <row r="3147">
      <c r="A3147" s="7" t="inlineStr">
        <is>
          <t>ORD-03785</t>
        </is>
      </c>
      <c r="B3147" s="8" t="n">
        <v>45592</v>
      </c>
      <c r="C3147" s="9" t="n">
        <v>45566</v>
      </c>
      <c r="D3147" s="7" t="n">
        <v>2024</v>
      </c>
      <c r="E3147" s="7" t="inlineStr">
        <is>
          <t>East</t>
        </is>
      </c>
      <c r="F3147" s="7" t="inlineStr">
        <is>
          <t>Office Supplies</t>
        </is>
      </c>
      <c r="G3147" s="7" t="inlineStr">
        <is>
          <t>Pens</t>
        </is>
      </c>
      <c r="H3147" s="7" t="inlineStr">
        <is>
          <t>Consumer</t>
        </is>
      </c>
      <c r="I3147" s="7" t="n">
        <v>4</v>
      </c>
      <c r="J3147" s="10" t="n">
        <v>12.41</v>
      </c>
      <c r="K3147" s="11" t="n">
        <v>0</v>
      </c>
      <c r="L3147" s="10">
        <f>I3147*J3147*(1-K3147)</f>
        <v/>
      </c>
      <c r="M3147" s="10" t="n">
        <v>21.6</v>
      </c>
      <c r="N3147" s="10">
        <f>L3147-M3147</f>
        <v/>
      </c>
    </row>
    <row r="3148">
      <c r="A3148" s="7" t="inlineStr">
        <is>
          <t>ORD-02760</t>
        </is>
      </c>
      <c r="B3148" s="8" t="n">
        <v>45592</v>
      </c>
      <c r="C3148" s="9" t="n">
        <v>45566</v>
      </c>
      <c r="D3148" s="7" t="n">
        <v>2024</v>
      </c>
      <c r="E3148" s="7" t="inlineStr">
        <is>
          <t>West</t>
        </is>
      </c>
      <c r="F3148" s="7" t="inlineStr">
        <is>
          <t>Technology</t>
        </is>
      </c>
      <c r="G3148" s="7" t="inlineStr">
        <is>
          <t>Smartphone</t>
        </is>
      </c>
      <c r="H3148" s="7" t="inlineStr">
        <is>
          <t>Consumer</t>
        </is>
      </c>
      <c r="I3148" s="7" t="n">
        <v>1</v>
      </c>
      <c r="J3148" s="10" t="n">
        <v>602.0700000000001</v>
      </c>
      <c r="K3148" s="11" t="n">
        <v>0.3</v>
      </c>
      <c r="L3148" s="10">
        <f>I3148*J3148*(1-K3148)</f>
        <v/>
      </c>
      <c r="M3148" s="10" t="n">
        <v>450</v>
      </c>
      <c r="N3148" s="10">
        <f>L3148-M3148</f>
        <v/>
      </c>
    </row>
    <row r="3149">
      <c r="A3149" s="7" t="inlineStr">
        <is>
          <t>ORD-01259</t>
        </is>
      </c>
      <c r="B3149" s="8" t="n">
        <v>45593</v>
      </c>
      <c r="C3149" s="9" t="n">
        <v>45566</v>
      </c>
      <c r="D3149" s="7" t="n">
        <v>2024</v>
      </c>
      <c r="E3149" s="7" t="inlineStr">
        <is>
          <t>South</t>
        </is>
      </c>
      <c r="F3149" s="7" t="inlineStr">
        <is>
          <t>Office Supplies</t>
        </is>
      </c>
      <c r="G3149" s="7" t="inlineStr">
        <is>
          <t>Printer Ink</t>
        </is>
      </c>
      <c r="H3149" s="7" t="inlineStr">
        <is>
          <t>Consumer</t>
        </is>
      </c>
      <c r="I3149" s="7" t="n">
        <v>9</v>
      </c>
      <c r="J3149" s="10" t="n">
        <v>62.02</v>
      </c>
      <c r="K3149" s="11" t="n">
        <v>0</v>
      </c>
      <c r="L3149" s="10">
        <f>I3149*J3149*(1-K3149)</f>
        <v/>
      </c>
      <c r="M3149" s="10" t="n">
        <v>324</v>
      </c>
      <c r="N3149" s="10">
        <f>L3149-M3149</f>
        <v/>
      </c>
    </row>
    <row r="3150">
      <c r="A3150" s="7" t="inlineStr">
        <is>
          <t>ORD-02862</t>
        </is>
      </c>
      <c r="B3150" s="8" t="n">
        <v>45593</v>
      </c>
      <c r="C3150" s="9" t="n">
        <v>45566</v>
      </c>
      <c r="D3150" s="7" t="n">
        <v>2024</v>
      </c>
      <c r="E3150" s="7" t="inlineStr">
        <is>
          <t>East</t>
        </is>
      </c>
      <c r="F3150" s="7" t="inlineStr">
        <is>
          <t>Office Supplies</t>
        </is>
      </c>
      <c r="G3150" s="7" t="inlineStr">
        <is>
          <t>Pens</t>
        </is>
      </c>
      <c r="H3150" s="7" t="inlineStr">
        <is>
          <t>Corporate</t>
        </is>
      </c>
      <c r="I3150" s="7" t="n">
        <v>7</v>
      </c>
      <c r="J3150" s="10" t="n">
        <v>11.91</v>
      </c>
      <c r="K3150" s="11" t="n">
        <v>0.1</v>
      </c>
      <c r="L3150" s="10">
        <f>I3150*J3150*(1-K3150)</f>
        <v/>
      </c>
      <c r="M3150" s="10" t="n">
        <v>37.8</v>
      </c>
      <c r="N3150" s="10">
        <f>L3150-M3150</f>
        <v/>
      </c>
    </row>
    <row r="3151">
      <c r="A3151" s="7" t="inlineStr">
        <is>
          <t>ORD-05829</t>
        </is>
      </c>
      <c r="B3151" s="8" t="n">
        <v>45593</v>
      </c>
      <c r="C3151" s="9" t="n">
        <v>45566</v>
      </c>
      <c r="D3151" s="7" t="n">
        <v>2024</v>
      </c>
      <c r="E3151" s="7" t="inlineStr">
        <is>
          <t>West</t>
        </is>
      </c>
      <c r="F3151" s="7" t="inlineStr">
        <is>
          <t>Furniture</t>
        </is>
      </c>
      <c r="G3151" s="7" t="inlineStr">
        <is>
          <t>Bookcase</t>
        </is>
      </c>
      <c r="H3151" s="7" t="inlineStr">
        <is>
          <t>Corporate</t>
        </is>
      </c>
      <c r="I3151" s="7" t="n">
        <v>3</v>
      </c>
      <c r="J3151" s="10" t="n">
        <v>187.59</v>
      </c>
      <c r="K3151" s="11" t="n">
        <v>0.1</v>
      </c>
      <c r="L3151" s="10">
        <f>I3151*J3151*(1-K3151)</f>
        <v/>
      </c>
      <c r="M3151" s="10" t="n">
        <v>432</v>
      </c>
      <c r="N3151" s="10">
        <f>L3151-M3151</f>
        <v/>
      </c>
    </row>
    <row r="3152">
      <c r="A3152" s="7" t="inlineStr">
        <is>
          <t>ORD-02185</t>
        </is>
      </c>
      <c r="B3152" s="8" t="n">
        <v>45594</v>
      </c>
      <c r="C3152" s="9" t="n">
        <v>45566</v>
      </c>
      <c r="D3152" s="7" t="n">
        <v>2024</v>
      </c>
      <c r="E3152" s="7" t="inlineStr">
        <is>
          <t>East</t>
        </is>
      </c>
      <c r="F3152" s="7" t="inlineStr">
        <is>
          <t>Technology</t>
        </is>
      </c>
      <c r="G3152" s="7" t="inlineStr">
        <is>
          <t>Monitor</t>
        </is>
      </c>
      <c r="H3152" s="7" t="inlineStr">
        <is>
          <t>Home Office</t>
        </is>
      </c>
      <c r="I3152" s="7" t="n">
        <v>2</v>
      </c>
      <c r="J3152" s="10" t="n">
        <v>260.47</v>
      </c>
      <c r="K3152" s="11" t="n">
        <v>0.05</v>
      </c>
      <c r="L3152" s="10">
        <f>I3152*J3152*(1-K3152)</f>
        <v/>
      </c>
      <c r="M3152" s="10" t="n">
        <v>360</v>
      </c>
      <c r="N3152" s="10">
        <f>L3152-M3152</f>
        <v/>
      </c>
    </row>
    <row r="3153">
      <c r="A3153" s="7" t="inlineStr">
        <is>
          <t>ORD-01864</t>
        </is>
      </c>
      <c r="B3153" s="8" t="n">
        <v>45594</v>
      </c>
      <c r="C3153" s="9" t="n">
        <v>45566</v>
      </c>
      <c r="D3153" s="7" t="n">
        <v>2024</v>
      </c>
      <c r="E3153" s="7" t="inlineStr">
        <is>
          <t>East</t>
        </is>
      </c>
      <c r="F3153" s="7" t="inlineStr">
        <is>
          <t>Office Supplies</t>
        </is>
      </c>
      <c r="G3153" s="7" t="inlineStr">
        <is>
          <t>Stapler</t>
        </is>
      </c>
      <c r="H3153" s="7" t="inlineStr">
        <is>
          <t>Consumer</t>
        </is>
      </c>
      <c r="I3153" s="7" t="n">
        <v>8</v>
      </c>
      <c r="J3153" s="10" t="n">
        <v>14.62</v>
      </c>
      <c r="K3153" s="11" t="n">
        <v>0.3</v>
      </c>
      <c r="L3153" s="10">
        <f>I3153*J3153*(1-K3153)</f>
        <v/>
      </c>
      <c r="M3153" s="10" t="n">
        <v>60</v>
      </c>
      <c r="N3153" s="10">
        <f>L3153-M3153</f>
        <v/>
      </c>
    </row>
    <row r="3154">
      <c r="A3154" s="7" t="inlineStr">
        <is>
          <t>ORD-05774</t>
        </is>
      </c>
      <c r="B3154" s="8" t="n">
        <v>45594</v>
      </c>
      <c r="C3154" s="9" t="n">
        <v>45566</v>
      </c>
      <c r="D3154" s="7" t="n">
        <v>2024</v>
      </c>
      <c r="E3154" s="7" t="inlineStr">
        <is>
          <t>South</t>
        </is>
      </c>
      <c r="F3154" s="7" t="inlineStr">
        <is>
          <t>Technology</t>
        </is>
      </c>
      <c r="G3154" s="7" t="inlineStr">
        <is>
          <t>Smartphone</t>
        </is>
      </c>
      <c r="H3154" s="7" t="inlineStr">
        <is>
          <t>Consumer</t>
        </is>
      </c>
      <c r="I3154" s="7" t="n">
        <v>2</v>
      </c>
      <c r="J3154" s="10" t="n">
        <v>602.98</v>
      </c>
      <c r="K3154" s="11" t="n">
        <v>0.05</v>
      </c>
      <c r="L3154" s="10">
        <f>I3154*J3154*(1-K3154)</f>
        <v/>
      </c>
      <c r="M3154" s="10" t="n">
        <v>900</v>
      </c>
      <c r="N3154" s="10">
        <f>L3154-M3154</f>
        <v/>
      </c>
    </row>
    <row r="3155">
      <c r="A3155" s="7" t="inlineStr">
        <is>
          <t>ORD-01680</t>
        </is>
      </c>
      <c r="B3155" s="8" t="n">
        <v>45595</v>
      </c>
      <c r="C3155" s="9" t="n">
        <v>45566</v>
      </c>
      <c r="D3155" s="7" t="n">
        <v>2024</v>
      </c>
      <c r="E3155" s="7" t="inlineStr">
        <is>
          <t>North</t>
        </is>
      </c>
      <c r="F3155" s="7" t="inlineStr">
        <is>
          <t>Furniture</t>
        </is>
      </c>
      <c r="G3155" s="7" t="inlineStr">
        <is>
          <t>Office Chair</t>
        </is>
      </c>
      <c r="H3155" s="7" t="inlineStr">
        <is>
          <t>Consumer</t>
        </is>
      </c>
      <c r="I3155" s="7" t="n">
        <v>1</v>
      </c>
      <c r="J3155" s="10" t="n">
        <v>222.28</v>
      </c>
      <c r="K3155" s="11" t="n">
        <v>0.05</v>
      </c>
      <c r="L3155" s="10">
        <f>I3155*J3155*(1-K3155)</f>
        <v/>
      </c>
      <c r="M3155" s="10" t="n">
        <v>180.4</v>
      </c>
      <c r="N3155" s="10">
        <f>L3155-M3155</f>
        <v/>
      </c>
    </row>
    <row r="3156">
      <c r="A3156" s="7" t="inlineStr">
        <is>
          <t>ORD-02418</t>
        </is>
      </c>
      <c r="B3156" s="8" t="n">
        <v>45595</v>
      </c>
      <c r="C3156" s="9" t="n">
        <v>45566</v>
      </c>
      <c r="D3156" s="7" t="n">
        <v>2024</v>
      </c>
      <c r="E3156" s="7" t="inlineStr">
        <is>
          <t>North</t>
        </is>
      </c>
      <c r="F3156" s="7" t="inlineStr">
        <is>
          <t>Office Supplies</t>
        </is>
      </c>
      <c r="G3156" s="7" t="inlineStr">
        <is>
          <t>Printer Ink</t>
        </is>
      </c>
      <c r="H3156" s="7" t="inlineStr">
        <is>
          <t>Corporate</t>
        </is>
      </c>
      <c r="I3156" s="7" t="n">
        <v>14</v>
      </c>
      <c r="J3156" s="10" t="n">
        <v>58.76</v>
      </c>
      <c r="K3156" s="11" t="n">
        <v>0.2</v>
      </c>
      <c r="L3156" s="10">
        <f>I3156*J3156*(1-K3156)</f>
        <v/>
      </c>
      <c r="M3156" s="10" t="n">
        <v>504</v>
      </c>
      <c r="N3156" s="10">
        <f>L3156-M3156</f>
        <v/>
      </c>
    </row>
    <row r="3157">
      <c r="A3157" s="7" t="inlineStr">
        <is>
          <t>ORD-02460</t>
        </is>
      </c>
      <c r="B3157" s="8" t="n">
        <v>45595</v>
      </c>
      <c r="C3157" s="9" t="n">
        <v>45566</v>
      </c>
      <c r="D3157" s="7" t="n">
        <v>2024</v>
      </c>
      <c r="E3157" s="7" t="inlineStr">
        <is>
          <t>East</t>
        </is>
      </c>
      <c r="F3157" s="7" t="inlineStr">
        <is>
          <t>Office Supplies</t>
        </is>
      </c>
      <c r="G3157" s="7" t="inlineStr">
        <is>
          <t>Printer Ink</t>
        </is>
      </c>
      <c r="H3157" s="7" t="inlineStr">
        <is>
          <t>Consumer</t>
        </is>
      </c>
      <c r="I3157" s="7" t="n">
        <v>2</v>
      </c>
      <c r="J3157" s="10" t="n">
        <v>61.8</v>
      </c>
      <c r="K3157" s="11" t="n">
        <v>0</v>
      </c>
      <c r="L3157" s="10">
        <f>I3157*J3157*(1-K3157)</f>
        <v/>
      </c>
      <c r="M3157" s="10" t="n">
        <v>72</v>
      </c>
      <c r="N3157" s="10">
        <f>L3157-M3157</f>
        <v/>
      </c>
    </row>
    <row r="3158">
      <c r="A3158" s="7" t="inlineStr">
        <is>
          <t>ORD-02545</t>
        </is>
      </c>
      <c r="B3158" s="8" t="n">
        <v>45595</v>
      </c>
      <c r="C3158" s="9" t="n">
        <v>45566</v>
      </c>
      <c r="D3158" s="7" t="n">
        <v>2024</v>
      </c>
      <c r="E3158" s="7" t="inlineStr">
        <is>
          <t>East</t>
        </is>
      </c>
      <c r="F3158" s="7" t="inlineStr">
        <is>
          <t>Technology</t>
        </is>
      </c>
      <c r="G3158" s="7" t="inlineStr">
        <is>
          <t>Monitor</t>
        </is>
      </c>
      <c r="H3158" s="7" t="inlineStr">
        <is>
          <t>Consumer</t>
        </is>
      </c>
      <c r="I3158" s="7" t="n">
        <v>1</v>
      </c>
      <c r="J3158" s="10" t="n">
        <v>252.85</v>
      </c>
      <c r="K3158" s="11" t="n">
        <v>0.3</v>
      </c>
      <c r="L3158" s="10">
        <f>I3158*J3158*(1-K3158)</f>
        <v/>
      </c>
      <c r="M3158" s="10" t="n">
        <v>180</v>
      </c>
      <c r="N3158" s="10">
        <f>L3158-M3158</f>
        <v/>
      </c>
    </row>
    <row r="3159">
      <c r="A3159" s="7" t="inlineStr">
        <is>
          <t>ORD-04455</t>
        </is>
      </c>
      <c r="B3159" s="8" t="n">
        <v>45595</v>
      </c>
      <c r="C3159" s="9" t="n">
        <v>45566</v>
      </c>
      <c r="D3159" s="7" t="n">
        <v>2024</v>
      </c>
      <c r="E3159" s="7" t="inlineStr">
        <is>
          <t>East</t>
        </is>
      </c>
      <c r="F3159" s="7" t="inlineStr">
        <is>
          <t>Technology</t>
        </is>
      </c>
      <c r="G3159" s="7" t="inlineStr">
        <is>
          <t>Monitor</t>
        </is>
      </c>
      <c r="H3159" s="7" t="inlineStr">
        <is>
          <t>Consumer</t>
        </is>
      </c>
      <c r="I3159" s="7" t="n">
        <v>3</v>
      </c>
      <c r="J3159" s="10" t="n">
        <v>254.8</v>
      </c>
      <c r="K3159" s="11" t="n">
        <v>0.1</v>
      </c>
      <c r="L3159" s="10">
        <f>I3159*J3159*(1-K3159)</f>
        <v/>
      </c>
      <c r="M3159" s="10" t="n">
        <v>540</v>
      </c>
      <c r="N3159" s="10">
        <f>L3159-M3159</f>
        <v/>
      </c>
    </row>
    <row r="3160">
      <c r="A3160" s="7" t="inlineStr">
        <is>
          <t>ORD-04142</t>
        </is>
      </c>
      <c r="B3160" s="8" t="n">
        <v>45596</v>
      </c>
      <c r="C3160" s="9" t="n">
        <v>45566</v>
      </c>
      <c r="D3160" s="7" t="n">
        <v>2024</v>
      </c>
      <c r="E3160" s="7" t="inlineStr">
        <is>
          <t>North</t>
        </is>
      </c>
      <c r="F3160" s="7" t="inlineStr">
        <is>
          <t>Office Supplies</t>
        </is>
      </c>
      <c r="G3160" s="7" t="inlineStr">
        <is>
          <t>Printer Ink</t>
        </is>
      </c>
      <c r="H3160" s="7" t="inlineStr">
        <is>
          <t>Consumer</t>
        </is>
      </c>
      <c r="I3160" s="7" t="n">
        <v>14</v>
      </c>
      <c r="J3160" s="10" t="n">
        <v>57.01</v>
      </c>
      <c r="K3160" s="11" t="n">
        <v>0</v>
      </c>
      <c r="L3160" s="10">
        <f>I3160*J3160*(1-K3160)</f>
        <v/>
      </c>
      <c r="M3160" s="10" t="n">
        <v>504</v>
      </c>
      <c r="N3160" s="10">
        <f>L3160-M3160</f>
        <v/>
      </c>
    </row>
    <row r="3161">
      <c r="A3161" s="7" t="inlineStr">
        <is>
          <t>ORD-03426</t>
        </is>
      </c>
      <c r="B3161" s="8" t="n">
        <v>45596</v>
      </c>
      <c r="C3161" s="9" t="n">
        <v>45566</v>
      </c>
      <c r="D3161" s="7" t="n">
        <v>2024</v>
      </c>
      <c r="E3161" s="7" t="inlineStr">
        <is>
          <t>South</t>
        </is>
      </c>
      <c r="F3161" s="7" t="inlineStr">
        <is>
          <t>Office Supplies</t>
        </is>
      </c>
      <c r="G3161" s="7" t="inlineStr">
        <is>
          <t>Paper</t>
        </is>
      </c>
      <c r="H3161" s="7" t="inlineStr">
        <is>
          <t>Consumer</t>
        </is>
      </c>
      <c r="I3161" s="7" t="n">
        <v>7</v>
      </c>
      <c r="J3161" s="10" t="n">
        <v>24.41</v>
      </c>
      <c r="K3161" s="11" t="n">
        <v>0</v>
      </c>
      <c r="L3161" s="10">
        <f>I3161*J3161*(1-K3161)</f>
        <v/>
      </c>
      <c r="M3161" s="10" t="n">
        <v>87.5</v>
      </c>
      <c r="N3161" s="10">
        <f>L3161-M3161</f>
        <v/>
      </c>
    </row>
    <row r="3162">
      <c r="A3162" s="7" t="inlineStr">
        <is>
          <t>ORD-05663</t>
        </is>
      </c>
      <c r="B3162" s="8" t="n">
        <v>45596</v>
      </c>
      <c r="C3162" s="9" t="n">
        <v>45566</v>
      </c>
      <c r="D3162" s="7" t="n">
        <v>2024</v>
      </c>
      <c r="E3162" s="7" t="inlineStr">
        <is>
          <t>West</t>
        </is>
      </c>
      <c r="F3162" s="7" t="inlineStr">
        <is>
          <t>Office Supplies</t>
        </is>
      </c>
      <c r="G3162" s="7" t="inlineStr">
        <is>
          <t>Binder</t>
        </is>
      </c>
      <c r="H3162" s="7" t="inlineStr">
        <is>
          <t>Consumer</t>
        </is>
      </c>
      <c r="I3162" s="7" t="n">
        <v>2</v>
      </c>
      <c r="J3162" s="10" t="n">
        <v>7.61</v>
      </c>
      <c r="K3162" s="11" t="n">
        <v>0.3</v>
      </c>
      <c r="L3162" s="10">
        <f>I3162*J3162*(1-K3162)</f>
        <v/>
      </c>
      <c r="M3162" s="10" t="n">
        <v>6.4</v>
      </c>
      <c r="N3162" s="10">
        <f>L3162-M3162</f>
        <v/>
      </c>
    </row>
    <row r="3163">
      <c r="A3163" s="7" t="inlineStr">
        <is>
          <t>ORD-05180</t>
        </is>
      </c>
      <c r="B3163" s="8" t="n">
        <v>45596</v>
      </c>
      <c r="C3163" s="9" t="n">
        <v>45566</v>
      </c>
      <c r="D3163" s="7" t="n">
        <v>2024</v>
      </c>
      <c r="E3163" s="7" t="inlineStr">
        <is>
          <t>East</t>
        </is>
      </c>
      <c r="F3163" s="7" t="inlineStr">
        <is>
          <t>Office Supplies</t>
        </is>
      </c>
      <c r="G3163" s="7" t="inlineStr">
        <is>
          <t>Pens</t>
        </is>
      </c>
      <c r="H3163" s="7" t="inlineStr">
        <is>
          <t>Consumer</t>
        </is>
      </c>
      <c r="I3163" s="7" t="n">
        <v>14</v>
      </c>
      <c r="J3163" s="10" t="n">
        <v>11.49</v>
      </c>
      <c r="K3163" s="11" t="n">
        <v>0.3</v>
      </c>
      <c r="L3163" s="10">
        <f>I3163*J3163*(1-K3163)</f>
        <v/>
      </c>
      <c r="M3163" s="10" t="n">
        <v>75.59999999999999</v>
      </c>
      <c r="N3163" s="10">
        <f>L3163-M3163</f>
        <v/>
      </c>
    </row>
    <row r="3164">
      <c r="A3164" s="7" t="inlineStr">
        <is>
          <t>ORD-02879</t>
        </is>
      </c>
      <c r="B3164" s="8" t="n">
        <v>45596</v>
      </c>
      <c r="C3164" s="9" t="n">
        <v>45566</v>
      </c>
      <c r="D3164" s="7" t="n">
        <v>2024</v>
      </c>
      <c r="E3164" s="7" t="inlineStr">
        <is>
          <t>West</t>
        </is>
      </c>
      <c r="F3164" s="7" t="inlineStr">
        <is>
          <t>Office Supplies</t>
        </is>
      </c>
      <c r="G3164" s="7" t="inlineStr">
        <is>
          <t>Binder</t>
        </is>
      </c>
      <c r="H3164" s="7" t="inlineStr">
        <is>
          <t>Consumer</t>
        </is>
      </c>
      <c r="I3164" s="7" t="n">
        <v>10</v>
      </c>
      <c r="J3164" s="10" t="n">
        <v>8.35</v>
      </c>
      <c r="K3164" s="11" t="n">
        <v>0.05</v>
      </c>
      <c r="L3164" s="10">
        <f>I3164*J3164*(1-K3164)</f>
        <v/>
      </c>
      <c r="M3164" s="10" t="n">
        <v>32</v>
      </c>
      <c r="N3164" s="10">
        <f>L3164-M3164</f>
        <v/>
      </c>
    </row>
    <row r="3165">
      <c r="A3165" s="7" t="inlineStr">
        <is>
          <t>ORD-01869</t>
        </is>
      </c>
      <c r="B3165" s="8" t="n">
        <v>45596</v>
      </c>
      <c r="C3165" s="9" t="n">
        <v>45566</v>
      </c>
      <c r="D3165" s="7" t="n">
        <v>2024</v>
      </c>
      <c r="E3165" s="7" t="inlineStr">
        <is>
          <t>East</t>
        </is>
      </c>
      <c r="F3165" s="7" t="inlineStr">
        <is>
          <t>Office Supplies</t>
        </is>
      </c>
      <c r="G3165" s="7" t="inlineStr">
        <is>
          <t>Printer Ink</t>
        </is>
      </c>
      <c r="H3165" s="7" t="inlineStr">
        <is>
          <t>Consumer</t>
        </is>
      </c>
      <c r="I3165" s="7" t="n">
        <v>10</v>
      </c>
      <c r="J3165" s="10" t="n">
        <v>59.37</v>
      </c>
      <c r="K3165" s="11" t="n">
        <v>0</v>
      </c>
      <c r="L3165" s="10">
        <f>I3165*J3165*(1-K3165)</f>
        <v/>
      </c>
      <c r="M3165" s="10" t="n">
        <v>360</v>
      </c>
      <c r="N3165" s="10">
        <f>L3165-M3165</f>
        <v/>
      </c>
    </row>
    <row r="3166">
      <c r="A3166" s="7" t="inlineStr">
        <is>
          <t>ORD-05913</t>
        </is>
      </c>
      <c r="B3166" s="8" t="n">
        <v>45596</v>
      </c>
      <c r="C3166" s="9" t="n">
        <v>45566</v>
      </c>
      <c r="D3166" s="7" t="n">
        <v>2024</v>
      </c>
      <c r="E3166" s="7" t="inlineStr">
        <is>
          <t>North</t>
        </is>
      </c>
      <c r="F3166" s="7" t="inlineStr">
        <is>
          <t>Office Supplies</t>
        </is>
      </c>
      <c r="G3166" s="7" t="inlineStr">
        <is>
          <t>Pens</t>
        </is>
      </c>
      <c r="H3166" s="7" t="inlineStr">
        <is>
          <t>Consumer</t>
        </is>
      </c>
      <c r="I3166" s="7" t="n">
        <v>12</v>
      </c>
      <c r="J3166" s="10" t="n">
        <v>12.41</v>
      </c>
      <c r="K3166" s="11" t="n">
        <v>0.2</v>
      </c>
      <c r="L3166" s="10">
        <f>I3166*J3166*(1-K3166)</f>
        <v/>
      </c>
      <c r="M3166" s="10" t="n">
        <v>64.8</v>
      </c>
      <c r="N3166" s="10">
        <f>L3166-M3166</f>
        <v/>
      </c>
    </row>
    <row r="3167">
      <c r="A3167" s="7" t="inlineStr">
        <is>
          <t>ORD-01823</t>
        </is>
      </c>
      <c r="B3167" s="8" t="n">
        <v>45596</v>
      </c>
      <c r="C3167" s="9" t="n">
        <v>45566</v>
      </c>
      <c r="D3167" s="7" t="n">
        <v>2024</v>
      </c>
      <c r="E3167" s="7" t="inlineStr">
        <is>
          <t>West</t>
        </is>
      </c>
      <c r="F3167" s="7" t="inlineStr">
        <is>
          <t>Technology</t>
        </is>
      </c>
      <c r="G3167" s="7" t="inlineStr">
        <is>
          <t>Smartphone</t>
        </is>
      </c>
      <c r="H3167" s="7" t="inlineStr">
        <is>
          <t>Consumer</t>
        </is>
      </c>
      <c r="I3167" s="7" t="n">
        <v>2</v>
      </c>
      <c r="J3167" s="10" t="n">
        <v>608.0700000000001</v>
      </c>
      <c r="K3167" s="11" t="n">
        <v>0.3</v>
      </c>
      <c r="L3167" s="10">
        <f>I3167*J3167*(1-K3167)</f>
        <v/>
      </c>
      <c r="M3167" s="10" t="n">
        <v>900</v>
      </c>
      <c r="N3167" s="10">
        <f>L3167-M3167</f>
        <v/>
      </c>
    </row>
    <row r="3168">
      <c r="A3168" s="7" t="inlineStr">
        <is>
          <t>ORD-05899</t>
        </is>
      </c>
      <c r="B3168" s="8" t="n">
        <v>45597</v>
      </c>
      <c r="C3168" s="9" t="n">
        <v>45597</v>
      </c>
      <c r="D3168" s="7" t="n">
        <v>2024</v>
      </c>
      <c r="E3168" s="7" t="inlineStr">
        <is>
          <t>East</t>
        </is>
      </c>
      <c r="F3168" s="7" t="inlineStr">
        <is>
          <t>Furniture</t>
        </is>
      </c>
      <c r="G3168" s="7" t="inlineStr">
        <is>
          <t>Office Chair</t>
        </is>
      </c>
      <c r="H3168" s="7" t="inlineStr">
        <is>
          <t>Corporate</t>
        </is>
      </c>
      <c r="I3168" s="7" t="n">
        <v>1</v>
      </c>
      <c r="J3168" s="10" t="n">
        <v>211.27</v>
      </c>
      <c r="K3168" s="11" t="n">
        <v>0.2</v>
      </c>
      <c r="L3168" s="10">
        <f>I3168*J3168*(1-K3168)</f>
        <v/>
      </c>
      <c r="M3168" s="10" t="n">
        <v>180.4</v>
      </c>
      <c r="N3168" s="10">
        <f>L3168-M3168</f>
        <v/>
      </c>
    </row>
    <row r="3169">
      <c r="A3169" s="7" t="inlineStr">
        <is>
          <t>ORD-05456</t>
        </is>
      </c>
      <c r="B3169" s="8" t="n">
        <v>45597</v>
      </c>
      <c r="C3169" s="9" t="n">
        <v>45597</v>
      </c>
      <c r="D3169" s="7" t="n">
        <v>2024</v>
      </c>
      <c r="E3169" s="7" t="inlineStr">
        <is>
          <t>West</t>
        </is>
      </c>
      <c r="F3169" s="7" t="inlineStr">
        <is>
          <t>Furniture</t>
        </is>
      </c>
      <c r="G3169" s="7" t="inlineStr">
        <is>
          <t>Office Chair</t>
        </is>
      </c>
      <c r="H3169" s="7" t="inlineStr">
        <is>
          <t>Home Office</t>
        </is>
      </c>
      <c r="I3169" s="7" t="n">
        <v>2</v>
      </c>
      <c r="J3169" s="10" t="n">
        <v>213.82</v>
      </c>
      <c r="K3169" s="11" t="n">
        <v>0.1</v>
      </c>
      <c r="L3169" s="10">
        <f>I3169*J3169*(1-K3169)</f>
        <v/>
      </c>
      <c r="M3169" s="10" t="n">
        <v>360.8</v>
      </c>
      <c r="N3169" s="10">
        <f>L3169-M3169</f>
        <v/>
      </c>
    </row>
    <row r="3170">
      <c r="A3170" s="7" t="inlineStr">
        <is>
          <t>ORD-00696</t>
        </is>
      </c>
      <c r="B3170" s="8" t="n">
        <v>45597</v>
      </c>
      <c r="C3170" s="9" t="n">
        <v>45597</v>
      </c>
      <c r="D3170" s="7" t="n">
        <v>2024</v>
      </c>
      <c r="E3170" s="7" t="inlineStr">
        <is>
          <t>West</t>
        </is>
      </c>
      <c r="F3170" s="7" t="inlineStr">
        <is>
          <t>Office Supplies</t>
        </is>
      </c>
      <c r="G3170" s="7" t="inlineStr">
        <is>
          <t>Pens</t>
        </is>
      </c>
      <c r="H3170" s="7" t="inlineStr">
        <is>
          <t>Home Office</t>
        </is>
      </c>
      <c r="I3170" s="7" t="n">
        <v>14</v>
      </c>
      <c r="J3170" s="10" t="n">
        <v>11.92</v>
      </c>
      <c r="K3170" s="11" t="n">
        <v>0.2</v>
      </c>
      <c r="L3170" s="10">
        <f>I3170*J3170*(1-K3170)</f>
        <v/>
      </c>
      <c r="M3170" s="10" t="n">
        <v>75.59999999999999</v>
      </c>
      <c r="N3170" s="10">
        <f>L3170-M3170</f>
        <v/>
      </c>
    </row>
    <row r="3171">
      <c r="A3171" s="7" t="inlineStr">
        <is>
          <t>ORD-03904</t>
        </is>
      </c>
      <c r="B3171" s="8" t="n">
        <v>45597</v>
      </c>
      <c r="C3171" s="9" t="n">
        <v>45597</v>
      </c>
      <c r="D3171" s="7" t="n">
        <v>2024</v>
      </c>
      <c r="E3171" s="7" t="inlineStr">
        <is>
          <t>East</t>
        </is>
      </c>
      <c r="F3171" s="7" t="inlineStr">
        <is>
          <t>Office Supplies</t>
        </is>
      </c>
      <c r="G3171" s="7" t="inlineStr">
        <is>
          <t>Printer Ink</t>
        </is>
      </c>
      <c r="H3171" s="7" t="inlineStr">
        <is>
          <t>Home Office</t>
        </is>
      </c>
      <c r="I3171" s="7" t="n">
        <v>14</v>
      </c>
      <c r="J3171" s="10" t="n">
        <v>58.23</v>
      </c>
      <c r="K3171" s="11" t="n">
        <v>0.1</v>
      </c>
      <c r="L3171" s="10">
        <f>I3171*J3171*(1-K3171)</f>
        <v/>
      </c>
      <c r="M3171" s="10" t="n">
        <v>504</v>
      </c>
      <c r="N3171" s="10">
        <f>L3171-M3171</f>
        <v/>
      </c>
    </row>
    <row r="3172">
      <c r="A3172" s="7" t="inlineStr">
        <is>
          <t>ORD-02738</t>
        </is>
      </c>
      <c r="B3172" s="8" t="n">
        <v>45597</v>
      </c>
      <c r="C3172" s="9" t="n">
        <v>45597</v>
      </c>
      <c r="D3172" s="7" t="n">
        <v>2024</v>
      </c>
      <c r="E3172" s="7" t="inlineStr">
        <is>
          <t>East</t>
        </is>
      </c>
      <c r="F3172" s="7" t="inlineStr">
        <is>
          <t>Office Supplies</t>
        </is>
      </c>
      <c r="G3172" s="7" t="inlineStr">
        <is>
          <t>Paper</t>
        </is>
      </c>
      <c r="H3172" s="7" t="inlineStr">
        <is>
          <t>Corporate</t>
        </is>
      </c>
      <c r="I3172" s="7" t="n">
        <v>7</v>
      </c>
      <c r="J3172" s="10" t="n">
        <v>24.63</v>
      </c>
      <c r="K3172" s="11" t="n">
        <v>0</v>
      </c>
      <c r="L3172" s="10">
        <f>I3172*J3172*(1-K3172)</f>
        <v/>
      </c>
      <c r="M3172" s="10" t="n">
        <v>87.5</v>
      </c>
      <c r="N3172" s="10">
        <f>L3172-M3172</f>
        <v/>
      </c>
    </row>
    <row r="3173">
      <c r="A3173" s="7" t="inlineStr">
        <is>
          <t>ORD-00960</t>
        </is>
      </c>
      <c r="B3173" s="8" t="n">
        <v>45597</v>
      </c>
      <c r="C3173" s="9" t="n">
        <v>45597</v>
      </c>
      <c r="D3173" s="7" t="n">
        <v>2024</v>
      </c>
      <c r="E3173" s="7" t="inlineStr">
        <is>
          <t>North</t>
        </is>
      </c>
      <c r="F3173" s="7" t="inlineStr">
        <is>
          <t>Furniture</t>
        </is>
      </c>
      <c r="G3173" s="7" t="inlineStr">
        <is>
          <t>Desk</t>
        </is>
      </c>
      <c r="H3173" s="7" t="inlineStr">
        <is>
          <t>Home Office</t>
        </is>
      </c>
      <c r="I3173" s="7" t="n">
        <v>2</v>
      </c>
      <c r="J3173" s="10" t="n">
        <v>452.19</v>
      </c>
      <c r="K3173" s="11" t="n">
        <v>0</v>
      </c>
      <c r="L3173" s="10">
        <f>I3173*J3173*(1-K3173)</f>
        <v/>
      </c>
      <c r="M3173" s="10" t="n">
        <v>765</v>
      </c>
      <c r="N3173" s="10">
        <f>L3173-M3173</f>
        <v/>
      </c>
    </row>
    <row r="3174">
      <c r="A3174" s="7" t="inlineStr">
        <is>
          <t>ORD-04752</t>
        </is>
      </c>
      <c r="B3174" s="8" t="n">
        <v>45597</v>
      </c>
      <c r="C3174" s="9" t="n">
        <v>45597</v>
      </c>
      <c r="D3174" s="7" t="n">
        <v>2024</v>
      </c>
      <c r="E3174" s="7" t="inlineStr">
        <is>
          <t>West</t>
        </is>
      </c>
      <c r="F3174" s="7" t="inlineStr">
        <is>
          <t>Office Supplies</t>
        </is>
      </c>
      <c r="G3174" s="7" t="inlineStr">
        <is>
          <t>Binder</t>
        </is>
      </c>
      <c r="H3174" s="7" t="inlineStr">
        <is>
          <t>Corporate</t>
        </is>
      </c>
      <c r="I3174" s="7" t="n">
        <v>6</v>
      </c>
      <c r="J3174" s="10" t="n">
        <v>8.140000000000001</v>
      </c>
      <c r="K3174" s="11" t="n">
        <v>0</v>
      </c>
      <c r="L3174" s="10">
        <f>I3174*J3174*(1-K3174)</f>
        <v/>
      </c>
      <c r="M3174" s="10" t="n">
        <v>19.2</v>
      </c>
      <c r="N3174" s="10">
        <f>L3174-M3174</f>
        <v/>
      </c>
    </row>
    <row r="3175">
      <c r="A3175" s="7" t="inlineStr">
        <is>
          <t>ORD-01522</t>
        </is>
      </c>
      <c r="B3175" s="8" t="n">
        <v>45597</v>
      </c>
      <c r="C3175" s="9" t="n">
        <v>45597</v>
      </c>
      <c r="D3175" s="7" t="n">
        <v>2024</v>
      </c>
      <c r="E3175" s="7" t="inlineStr">
        <is>
          <t>East</t>
        </is>
      </c>
      <c r="F3175" s="7" t="inlineStr">
        <is>
          <t>Office Supplies</t>
        </is>
      </c>
      <c r="G3175" s="7" t="inlineStr">
        <is>
          <t>Stapler</t>
        </is>
      </c>
      <c r="H3175" s="7" t="inlineStr">
        <is>
          <t>Home Office</t>
        </is>
      </c>
      <c r="I3175" s="7" t="n">
        <v>2</v>
      </c>
      <c r="J3175" s="10" t="n">
        <v>15.67</v>
      </c>
      <c r="K3175" s="11" t="n">
        <v>0</v>
      </c>
      <c r="L3175" s="10">
        <f>I3175*J3175*(1-K3175)</f>
        <v/>
      </c>
      <c r="M3175" s="10" t="n">
        <v>15</v>
      </c>
      <c r="N3175" s="10">
        <f>L3175-M3175</f>
        <v/>
      </c>
    </row>
    <row r="3176">
      <c r="A3176" s="7" t="inlineStr">
        <is>
          <t>ORD-00244</t>
        </is>
      </c>
      <c r="B3176" s="8" t="n">
        <v>45598</v>
      </c>
      <c r="C3176" s="9" t="n">
        <v>45597</v>
      </c>
      <c r="D3176" s="7" t="n">
        <v>2024</v>
      </c>
      <c r="E3176" s="7" t="inlineStr">
        <is>
          <t>South</t>
        </is>
      </c>
      <c r="F3176" s="7" t="inlineStr">
        <is>
          <t>Office Supplies</t>
        </is>
      </c>
      <c r="G3176" s="7" t="inlineStr">
        <is>
          <t>Paper</t>
        </is>
      </c>
      <c r="H3176" s="7" t="inlineStr">
        <is>
          <t>Home Office</t>
        </is>
      </c>
      <c r="I3176" s="7" t="n">
        <v>3</v>
      </c>
      <c r="J3176" s="10" t="n">
        <v>24.78</v>
      </c>
      <c r="K3176" s="11" t="n">
        <v>0</v>
      </c>
      <c r="L3176" s="10">
        <f>I3176*J3176*(1-K3176)</f>
        <v/>
      </c>
      <c r="M3176" s="10" t="n">
        <v>37.5</v>
      </c>
      <c r="N3176" s="10">
        <f>L3176-M3176</f>
        <v/>
      </c>
    </row>
    <row r="3177">
      <c r="A3177" s="7" t="inlineStr">
        <is>
          <t>ORD-00582</t>
        </is>
      </c>
      <c r="B3177" s="8" t="n">
        <v>45598</v>
      </c>
      <c r="C3177" s="9" t="n">
        <v>45597</v>
      </c>
      <c r="D3177" s="7" t="n">
        <v>2024</v>
      </c>
      <c r="E3177" s="7" t="inlineStr">
        <is>
          <t>South</t>
        </is>
      </c>
      <c r="F3177" s="7" t="inlineStr">
        <is>
          <t>Office Supplies</t>
        </is>
      </c>
      <c r="G3177" s="7" t="inlineStr">
        <is>
          <t>Pens</t>
        </is>
      </c>
      <c r="H3177" s="7" t="inlineStr">
        <is>
          <t>Consumer</t>
        </is>
      </c>
      <c r="I3177" s="7" t="n">
        <v>9</v>
      </c>
      <c r="J3177" s="10" t="n">
        <v>11.72</v>
      </c>
      <c r="K3177" s="11" t="n">
        <v>0.1</v>
      </c>
      <c r="L3177" s="10">
        <f>I3177*J3177*(1-K3177)</f>
        <v/>
      </c>
      <c r="M3177" s="10" t="n">
        <v>48.6</v>
      </c>
      <c r="N3177" s="10">
        <f>L3177-M3177</f>
        <v/>
      </c>
    </row>
    <row r="3178">
      <c r="A3178" s="7" t="inlineStr">
        <is>
          <t>ORD-05601</t>
        </is>
      </c>
      <c r="B3178" s="8" t="n">
        <v>45598</v>
      </c>
      <c r="C3178" s="9" t="n">
        <v>45597</v>
      </c>
      <c r="D3178" s="7" t="n">
        <v>2024</v>
      </c>
      <c r="E3178" s="7" t="inlineStr">
        <is>
          <t>North</t>
        </is>
      </c>
      <c r="F3178" s="7" t="inlineStr">
        <is>
          <t>Office Supplies</t>
        </is>
      </c>
      <c r="G3178" s="7" t="inlineStr">
        <is>
          <t>Stapler</t>
        </is>
      </c>
      <c r="H3178" s="7" t="inlineStr">
        <is>
          <t>Corporate</t>
        </is>
      </c>
      <c r="I3178" s="7" t="n">
        <v>3</v>
      </c>
      <c r="J3178" s="10" t="n">
        <v>14.6</v>
      </c>
      <c r="K3178" s="11" t="n">
        <v>0.05</v>
      </c>
      <c r="L3178" s="10">
        <f>I3178*J3178*(1-K3178)</f>
        <v/>
      </c>
      <c r="M3178" s="10" t="n">
        <v>22.5</v>
      </c>
      <c r="N3178" s="10">
        <f>L3178-M3178</f>
        <v/>
      </c>
    </row>
    <row r="3179">
      <c r="A3179" s="7" t="inlineStr">
        <is>
          <t>ORD-05188</t>
        </is>
      </c>
      <c r="B3179" s="8" t="n">
        <v>45598</v>
      </c>
      <c r="C3179" s="9" t="n">
        <v>45597</v>
      </c>
      <c r="D3179" s="7" t="n">
        <v>2024</v>
      </c>
      <c r="E3179" s="7" t="inlineStr">
        <is>
          <t>East</t>
        </is>
      </c>
      <c r="F3179" s="7" t="inlineStr">
        <is>
          <t>Office Supplies</t>
        </is>
      </c>
      <c r="G3179" s="7" t="inlineStr">
        <is>
          <t>Pens</t>
        </is>
      </c>
      <c r="H3179" s="7" t="inlineStr">
        <is>
          <t>Home Office</t>
        </is>
      </c>
      <c r="I3179" s="7" t="n">
        <v>12</v>
      </c>
      <c r="J3179" s="10" t="n">
        <v>11.58</v>
      </c>
      <c r="K3179" s="11" t="n">
        <v>0.1</v>
      </c>
      <c r="L3179" s="10">
        <f>I3179*J3179*(1-K3179)</f>
        <v/>
      </c>
      <c r="M3179" s="10" t="n">
        <v>64.8</v>
      </c>
      <c r="N3179" s="10">
        <f>L3179-M3179</f>
        <v/>
      </c>
    </row>
    <row r="3180">
      <c r="A3180" s="7" t="inlineStr">
        <is>
          <t>ORD-04945</t>
        </is>
      </c>
      <c r="B3180" s="8" t="n">
        <v>45598</v>
      </c>
      <c r="C3180" s="9" t="n">
        <v>45597</v>
      </c>
      <c r="D3180" s="7" t="n">
        <v>2024</v>
      </c>
      <c r="E3180" s="7" t="inlineStr">
        <is>
          <t>North</t>
        </is>
      </c>
      <c r="F3180" s="7" t="inlineStr">
        <is>
          <t>Office Supplies</t>
        </is>
      </c>
      <c r="G3180" s="7" t="inlineStr">
        <is>
          <t>Binder</t>
        </is>
      </c>
      <c r="H3180" s="7" t="inlineStr">
        <is>
          <t>Home Office</t>
        </is>
      </c>
      <c r="I3180" s="7" t="n">
        <v>13</v>
      </c>
      <c r="J3180" s="10" t="n">
        <v>8.4</v>
      </c>
      <c r="K3180" s="11" t="n">
        <v>0.05</v>
      </c>
      <c r="L3180" s="10">
        <f>I3180*J3180*(1-K3180)</f>
        <v/>
      </c>
      <c r="M3180" s="10" t="n">
        <v>41.6</v>
      </c>
      <c r="N3180" s="10">
        <f>L3180-M3180</f>
        <v/>
      </c>
    </row>
    <row r="3181">
      <c r="A3181" s="7" t="inlineStr">
        <is>
          <t>ORD-03931</t>
        </is>
      </c>
      <c r="B3181" s="8" t="n">
        <v>45598</v>
      </c>
      <c r="C3181" s="9" t="n">
        <v>45597</v>
      </c>
      <c r="D3181" s="7" t="n">
        <v>2024</v>
      </c>
      <c r="E3181" s="7" t="inlineStr">
        <is>
          <t>West</t>
        </is>
      </c>
      <c r="F3181" s="7" t="inlineStr">
        <is>
          <t>Furniture</t>
        </is>
      </c>
      <c r="G3181" s="7" t="inlineStr">
        <is>
          <t>Bookcase</t>
        </is>
      </c>
      <c r="H3181" s="7" t="inlineStr">
        <is>
          <t>Corporate</t>
        </is>
      </c>
      <c r="I3181" s="7" t="n">
        <v>4</v>
      </c>
      <c r="J3181" s="10" t="n">
        <v>186.97</v>
      </c>
      <c r="K3181" s="11" t="n">
        <v>0.05</v>
      </c>
      <c r="L3181" s="10">
        <f>I3181*J3181*(1-K3181)</f>
        <v/>
      </c>
      <c r="M3181" s="10" t="n">
        <v>576</v>
      </c>
      <c r="N3181" s="10">
        <f>L3181-M3181</f>
        <v/>
      </c>
    </row>
    <row r="3182">
      <c r="A3182" s="7" t="inlineStr">
        <is>
          <t>ORD-02076</t>
        </is>
      </c>
      <c r="B3182" s="8" t="n">
        <v>45598</v>
      </c>
      <c r="C3182" s="9" t="n">
        <v>45597</v>
      </c>
      <c r="D3182" s="7" t="n">
        <v>2024</v>
      </c>
      <c r="E3182" s="7" t="inlineStr">
        <is>
          <t>East</t>
        </is>
      </c>
      <c r="F3182" s="7" t="inlineStr">
        <is>
          <t>Office Supplies</t>
        </is>
      </c>
      <c r="G3182" s="7" t="inlineStr">
        <is>
          <t>Stapler</t>
        </is>
      </c>
      <c r="H3182" s="7" t="inlineStr">
        <is>
          <t>Consumer</t>
        </is>
      </c>
      <c r="I3182" s="7" t="n">
        <v>14</v>
      </c>
      <c r="J3182" s="10" t="n">
        <v>15.3</v>
      </c>
      <c r="K3182" s="11" t="n">
        <v>0.05</v>
      </c>
      <c r="L3182" s="10">
        <f>I3182*J3182*(1-K3182)</f>
        <v/>
      </c>
      <c r="M3182" s="10" t="n">
        <v>105</v>
      </c>
      <c r="N3182" s="10">
        <f>L3182-M3182</f>
        <v/>
      </c>
    </row>
    <row r="3183">
      <c r="A3183" s="7" t="inlineStr">
        <is>
          <t>ORD-02029</t>
        </is>
      </c>
      <c r="B3183" s="8" t="n">
        <v>45598</v>
      </c>
      <c r="C3183" s="9" t="n">
        <v>45597</v>
      </c>
      <c r="D3183" s="7" t="n">
        <v>2024</v>
      </c>
      <c r="E3183" s="7" t="inlineStr">
        <is>
          <t>North</t>
        </is>
      </c>
      <c r="F3183" s="7" t="inlineStr">
        <is>
          <t>Office Supplies</t>
        </is>
      </c>
      <c r="G3183" s="7" t="inlineStr">
        <is>
          <t>Binder</t>
        </is>
      </c>
      <c r="H3183" s="7" t="inlineStr">
        <is>
          <t>Corporate</t>
        </is>
      </c>
      <c r="I3183" s="7" t="n">
        <v>9</v>
      </c>
      <c r="J3183" s="10" t="n">
        <v>7.8</v>
      </c>
      <c r="K3183" s="11" t="n">
        <v>0</v>
      </c>
      <c r="L3183" s="10">
        <f>I3183*J3183*(1-K3183)</f>
        <v/>
      </c>
      <c r="M3183" s="10" t="n">
        <v>28.8</v>
      </c>
      <c r="N3183" s="10">
        <f>L3183-M3183</f>
        <v/>
      </c>
    </row>
    <row r="3184">
      <c r="A3184" s="7" t="inlineStr">
        <is>
          <t>ORD-01739</t>
        </is>
      </c>
      <c r="B3184" s="8" t="n">
        <v>45598</v>
      </c>
      <c r="C3184" s="9" t="n">
        <v>45597</v>
      </c>
      <c r="D3184" s="7" t="n">
        <v>2024</v>
      </c>
      <c r="E3184" s="7" t="inlineStr">
        <is>
          <t>West</t>
        </is>
      </c>
      <c r="F3184" s="7" t="inlineStr">
        <is>
          <t>Furniture</t>
        </is>
      </c>
      <c r="G3184" s="7" t="inlineStr">
        <is>
          <t>Desk</t>
        </is>
      </c>
      <c r="H3184" s="7" t="inlineStr">
        <is>
          <t>Home Office</t>
        </is>
      </c>
      <c r="I3184" s="7" t="n">
        <v>4</v>
      </c>
      <c r="J3184" s="10" t="n">
        <v>450.76</v>
      </c>
      <c r="K3184" s="11" t="n">
        <v>0.3</v>
      </c>
      <c r="L3184" s="10">
        <f>I3184*J3184*(1-K3184)</f>
        <v/>
      </c>
      <c r="M3184" s="10" t="n">
        <v>1530</v>
      </c>
      <c r="N3184" s="10">
        <f>L3184-M3184</f>
        <v/>
      </c>
    </row>
    <row r="3185">
      <c r="A3185" s="7" t="inlineStr">
        <is>
          <t>ORD-04254</t>
        </is>
      </c>
      <c r="B3185" s="8" t="n">
        <v>45598</v>
      </c>
      <c r="C3185" s="9" t="n">
        <v>45597</v>
      </c>
      <c r="D3185" s="7" t="n">
        <v>2024</v>
      </c>
      <c r="E3185" s="7" t="inlineStr">
        <is>
          <t>West</t>
        </is>
      </c>
      <c r="F3185" s="7" t="inlineStr">
        <is>
          <t>Office Supplies</t>
        </is>
      </c>
      <c r="G3185" s="7" t="inlineStr">
        <is>
          <t>Pens</t>
        </is>
      </c>
      <c r="H3185" s="7" t="inlineStr">
        <is>
          <t>Consumer</t>
        </is>
      </c>
      <c r="I3185" s="7" t="n">
        <v>9</v>
      </c>
      <c r="J3185" s="10" t="n">
        <v>12.27</v>
      </c>
      <c r="K3185" s="11" t="n">
        <v>0.05</v>
      </c>
      <c r="L3185" s="10">
        <f>I3185*J3185*(1-K3185)</f>
        <v/>
      </c>
      <c r="M3185" s="10" t="n">
        <v>48.6</v>
      </c>
      <c r="N3185" s="10">
        <f>L3185-M3185</f>
        <v/>
      </c>
    </row>
    <row r="3186">
      <c r="A3186" s="7" t="inlineStr">
        <is>
          <t>ORD-01748</t>
        </is>
      </c>
      <c r="B3186" s="8" t="n">
        <v>45598</v>
      </c>
      <c r="C3186" s="9" t="n">
        <v>45597</v>
      </c>
      <c r="D3186" s="7" t="n">
        <v>2024</v>
      </c>
      <c r="E3186" s="7" t="inlineStr">
        <is>
          <t>South</t>
        </is>
      </c>
      <c r="F3186" s="7" t="inlineStr">
        <is>
          <t>Furniture</t>
        </is>
      </c>
      <c r="G3186" s="7" t="inlineStr">
        <is>
          <t>Bookcase</t>
        </is>
      </c>
      <c r="H3186" s="7" t="inlineStr">
        <is>
          <t>Consumer</t>
        </is>
      </c>
      <c r="I3186" s="7" t="n">
        <v>2</v>
      </c>
      <c r="J3186" s="10" t="n">
        <v>179.28</v>
      </c>
      <c r="K3186" s="11" t="n">
        <v>0.1</v>
      </c>
      <c r="L3186" s="10">
        <f>I3186*J3186*(1-K3186)</f>
        <v/>
      </c>
      <c r="M3186" s="10" t="n">
        <v>288</v>
      </c>
      <c r="N3186" s="10">
        <f>L3186-M3186</f>
        <v/>
      </c>
    </row>
    <row r="3187">
      <c r="A3187" s="7" t="inlineStr">
        <is>
          <t>ORD-00951</t>
        </is>
      </c>
      <c r="B3187" s="8" t="n">
        <v>45598</v>
      </c>
      <c r="C3187" s="9" t="n">
        <v>45597</v>
      </c>
      <c r="D3187" s="7" t="n">
        <v>2024</v>
      </c>
      <c r="E3187" s="7" t="inlineStr">
        <is>
          <t>East</t>
        </is>
      </c>
      <c r="F3187" s="7" t="inlineStr">
        <is>
          <t>Office Supplies</t>
        </is>
      </c>
      <c r="G3187" s="7" t="inlineStr">
        <is>
          <t>Printer Ink</t>
        </is>
      </c>
      <c r="H3187" s="7" t="inlineStr">
        <is>
          <t>Consumer</t>
        </is>
      </c>
      <c r="I3187" s="7" t="n">
        <v>5</v>
      </c>
      <c r="J3187" s="10" t="n">
        <v>57.29</v>
      </c>
      <c r="K3187" s="11" t="n">
        <v>0</v>
      </c>
      <c r="L3187" s="10">
        <f>I3187*J3187*(1-K3187)</f>
        <v/>
      </c>
      <c r="M3187" s="10" t="n">
        <v>180</v>
      </c>
      <c r="N3187" s="10">
        <f>L3187-M3187</f>
        <v/>
      </c>
    </row>
    <row r="3188">
      <c r="A3188" s="7" t="inlineStr">
        <is>
          <t>ORD-02702</t>
        </is>
      </c>
      <c r="B3188" s="8" t="n">
        <v>45599</v>
      </c>
      <c r="C3188" s="9" t="n">
        <v>45597</v>
      </c>
      <c r="D3188" s="7" t="n">
        <v>2024</v>
      </c>
      <c r="E3188" s="7" t="inlineStr">
        <is>
          <t>East</t>
        </is>
      </c>
      <c r="F3188" s="7" t="inlineStr">
        <is>
          <t>Office Supplies</t>
        </is>
      </c>
      <c r="G3188" s="7" t="inlineStr">
        <is>
          <t>Stapler</t>
        </is>
      </c>
      <c r="H3188" s="7" t="inlineStr">
        <is>
          <t>Corporate</t>
        </is>
      </c>
      <c r="I3188" s="7" t="n">
        <v>4</v>
      </c>
      <c r="J3188" s="10" t="n">
        <v>15.62</v>
      </c>
      <c r="K3188" s="11" t="n">
        <v>0.05</v>
      </c>
      <c r="L3188" s="10">
        <f>I3188*J3188*(1-K3188)</f>
        <v/>
      </c>
      <c r="M3188" s="10" t="n">
        <v>30</v>
      </c>
      <c r="N3188" s="10">
        <f>L3188-M3188</f>
        <v/>
      </c>
    </row>
    <row r="3189">
      <c r="A3189" s="7" t="inlineStr">
        <is>
          <t>ORD-00979</t>
        </is>
      </c>
      <c r="B3189" s="8" t="n">
        <v>45599</v>
      </c>
      <c r="C3189" s="9" t="n">
        <v>45597</v>
      </c>
      <c r="D3189" s="7" t="n">
        <v>2024</v>
      </c>
      <c r="E3189" s="7" t="inlineStr">
        <is>
          <t>South</t>
        </is>
      </c>
      <c r="F3189" s="7" t="inlineStr">
        <is>
          <t>Technology</t>
        </is>
      </c>
      <c r="G3189" s="7" t="inlineStr">
        <is>
          <t>Monitor</t>
        </is>
      </c>
      <c r="H3189" s="7" t="inlineStr">
        <is>
          <t>Consumer</t>
        </is>
      </c>
      <c r="I3189" s="7" t="n">
        <v>2</v>
      </c>
      <c r="J3189" s="10" t="n">
        <v>256.8</v>
      </c>
      <c r="K3189" s="11" t="n">
        <v>0.1</v>
      </c>
      <c r="L3189" s="10">
        <f>I3189*J3189*(1-K3189)</f>
        <v/>
      </c>
      <c r="M3189" s="10" t="n">
        <v>360</v>
      </c>
      <c r="N3189" s="10">
        <f>L3189-M3189</f>
        <v/>
      </c>
    </row>
    <row r="3190">
      <c r="A3190" s="7" t="inlineStr">
        <is>
          <t>ORD-05012</t>
        </is>
      </c>
      <c r="B3190" s="8" t="n">
        <v>45599</v>
      </c>
      <c r="C3190" s="9" t="n">
        <v>45597</v>
      </c>
      <c r="D3190" s="7" t="n">
        <v>2024</v>
      </c>
      <c r="E3190" s="7" t="inlineStr">
        <is>
          <t>North</t>
        </is>
      </c>
      <c r="F3190" s="7" t="inlineStr">
        <is>
          <t>Technology</t>
        </is>
      </c>
      <c r="G3190" s="7" t="inlineStr">
        <is>
          <t>Laptop</t>
        </is>
      </c>
      <c r="H3190" s="7" t="inlineStr">
        <is>
          <t>Consumer</t>
        </is>
      </c>
      <c r="I3190" s="7" t="n">
        <v>3</v>
      </c>
      <c r="J3190" s="10" t="n">
        <v>870.04</v>
      </c>
      <c r="K3190" s="11" t="n">
        <v>0</v>
      </c>
      <c r="L3190" s="10">
        <f>I3190*J3190*(1-K3190)</f>
        <v/>
      </c>
      <c r="M3190" s="10" t="n">
        <v>2106</v>
      </c>
      <c r="N3190" s="10">
        <f>L3190-M3190</f>
        <v/>
      </c>
    </row>
    <row r="3191">
      <c r="A3191" s="7" t="inlineStr">
        <is>
          <t>ORD-02509</t>
        </is>
      </c>
      <c r="B3191" s="8" t="n">
        <v>45599</v>
      </c>
      <c r="C3191" s="9" t="n">
        <v>45597</v>
      </c>
      <c r="D3191" s="7" t="n">
        <v>2024</v>
      </c>
      <c r="E3191" s="7" t="inlineStr">
        <is>
          <t>North</t>
        </is>
      </c>
      <c r="F3191" s="7" t="inlineStr">
        <is>
          <t>Office Supplies</t>
        </is>
      </c>
      <c r="G3191" s="7" t="inlineStr">
        <is>
          <t>Pens</t>
        </is>
      </c>
      <c r="H3191" s="7" t="inlineStr">
        <is>
          <t>Corporate</t>
        </is>
      </c>
      <c r="I3191" s="7" t="n">
        <v>5</v>
      </c>
      <c r="J3191" s="10" t="n">
        <v>12.48</v>
      </c>
      <c r="K3191" s="11" t="n">
        <v>0.1</v>
      </c>
      <c r="L3191" s="10">
        <f>I3191*J3191*(1-K3191)</f>
        <v/>
      </c>
      <c r="M3191" s="10" t="n">
        <v>27</v>
      </c>
      <c r="N3191" s="10">
        <f>L3191-M3191</f>
        <v/>
      </c>
    </row>
    <row r="3192">
      <c r="A3192" s="7" t="inlineStr">
        <is>
          <t>ORD-00328</t>
        </is>
      </c>
      <c r="B3192" s="8" t="n">
        <v>45599</v>
      </c>
      <c r="C3192" s="9" t="n">
        <v>45597</v>
      </c>
      <c r="D3192" s="7" t="n">
        <v>2024</v>
      </c>
      <c r="E3192" s="7" t="inlineStr">
        <is>
          <t>East</t>
        </is>
      </c>
      <c r="F3192" s="7" t="inlineStr">
        <is>
          <t>Office Supplies</t>
        </is>
      </c>
      <c r="G3192" s="7" t="inlineStr">
        <is>
          <t>Paper</t>
        </is>
      </c>
      <c r="H3192" s="7" t="inlineStr">
        <is>
          <t>Consumer</t>
        </is>
      </c>
      <c r="I3192" s="7" t="n">
        <v>6</v>
      </c>
      <c r="J3192" s="10" t="n">
        <v>26.21</v>
      </c>
      <c r="K3192" s="11" t="n">
        <v>0.05</v>
      </c>
      <c r="L3192" s="10">
        <f>I3192*J3192*(1-K3192)</f>
        <v/>
      </c>
      <c r="M3192" s="10" t="n">
        <v>75</v>
      </c>
      <c r="N3192" s="10">
        <f>L3192-M3192</f>
        <v/>
      </c>
    </row>
    <row r="3193">
      <c r="A3193" s="7" t="inlineStr">
        <is>
          <t>ORD-02136</t>
        </is>
      </c>
      <c r="B3193" s="8" t="n">
        <v>45599</v>
      </c>
      <c r="C3193" s="9" t="n">
        <v>45597</v>
      </c>
      <c r="D3193" s="7" t="n">
        <v>2024</v>
      </c>
      <c r="E3193" s="7" t="inlineStr">
        <is>
          <t>East</t>
        </is>
      </c>
      <c r="F3193" s="7" t="inlineStr">
        <is>
          <t>Technology</t>
        </is>
      </c>
      <c r="G3193" s="7" t="inlineStr">
        <is>
          <t>Keyboard</t>
        </is>
      </c>
      <c r="H3193" s="7" t="inlineStr">
        <is>
          <t>Consumer</t>
        </is>
      </c>
      <c r="I3193" s="7" t="n">
        <v>1</v>
      </c>
      <c r="J3193" s="10" t="n">
        <v>44.22</v>
      </c>
      <c r="K3193" s="11" t="n">
        <v>0</v>
      </c>
      <c r="L3193" s="10">
        <f>I3193*J3193*(1-K3193)</f>
        <v/>
      </c>
      <c r="M3193" s="10" t="n">
        <v>24.75</v>
      </c>
      <c r="N3193" s="10">
        <f>L3193-M3193</f>
        <v/>
      </c>
    </row>
    <row r="3194">
      <c r="A3194" s="7" t="inlineStr">
        <is>
          <t>ORD-02913</t>
        </is>
      </c>
      <c r="B3194" s="8" t="n">
        <v>45600</v>
      </c>
      <c r="C3194" s="9" t="n">
        <v>45597</v>
      </c>
      <c r="D3194" s="7" t="n">
        <v>2024</v>
      </c>
      <c r="E3194" s="7" t="inlineStr">
        <is>
          <t>South</t>
        </is>
      </c>
      <c r="F3194" s="7" t="inlineStr">
        <is>
          <t>Office Supplies</t>
        </is>
      </c>
      <c r="G3194" s="7" t="inlineStr">
        <is>
          <t>Paper</t>
        </is>
      </c>
      <c r="H3194" s="7" t="inlineStr">
        <is>
          <t>Corporate</t>
        </is>
      </c>
      <c r="I3194" s="7" t="n">
        <v>12</v>
      </c>
      <c r="J3194" s="10" t="n">
        <v>24.87</v>
      </c>
      <c r="K3194" s="11" t="n">
        <v>0</v>
      </c>
      <c r="L3194" s="10">
        <f>I3194*J3194*(1-K3194)</f>
        <v/>
      </c>
      <c r="M3194" s="10" t="n">
        <v>150</v>
      </c>
      <c r="N3194" s="10">
        <f>L3194-M3194</f>
        <v/>
      </c>
    </row>
    <row r="3195">
      <c r="A3195" s="7" t="inlineStr">
        <is>
          <t>ORD-04490</t>
        </is>
      </c>
      <c r="B3195" s="8" t="n">
        <v>45600</v>
      </c>
      <c r="C3195" s="9" t="n">
        <v>45597</v>
      </c>
      <c r="D3195" s="7" t="n">
        <v>2024</v>
      </c>
      <c r="E3195" s="7" t="inlineStr">
        <is>
          <t>South</t>
        </is>
      </c>
      <c r="F3195" s="7" t="inlineStr">
        <is>
          <t>Office Supplies</t>
        </is>
      </c>
      <c r="G3195" s="7" t="inlineStr">
        <is>
          <t>Pens</t>
        </is>
      </c>
      <c r="H3195" s="7" t="inlineStr">
        <is>
          <t>Consumer</t>
        </is>
      </c>
      <c r="I3195" s="7" t="n">
        <v>8</v>
      </c>
      <c r="J3195" s="10" t="n">
        <v>12.09</v>
      </c>
      <c r="K3195" s="11" t="n">
        <v>0.3</v>
      </c>
      <c r="L3195" s="10">
        <f>I3195*J3195*(1-K3195)</f>
        <v/>
      </c>
      <c r="M3195" s="10" t="n">
        <v>43.2</v>
      </c>
      <c r="N3195" s="10">
        <f>L3195-M3195</f>
        <v/>
      </c>
    </row>
    <row r="3196">
      <c r="A3196" s="7" t="inlineStr">
        <is>
          <t>ORD-03278</t>
        </is>
      </c>
      <c r="B3196" s="8" t="n">
        <v>45600</v>
      </c>
      <c r="C3196" s="9" t="n">
        <v>45597</v>
      </c>
      <c r="D3196" s="7" t="n">
        <v>2024</v>
      </c>
      <c r="E3196" s="7" t="inlineStr">
        <is>
          <t>West</t>
        </is>
      </c>
      <c r="F3196" s="7" t="inlineStr">
        <is>
          <t>Furniture</t>
        </is>
      </c>
      <c r="G3196" s="7" t="inlineStr">
        <is>
          <t>Office Chair</t>
        </is>
      </c>
      <c r="H3196" s="7" t="inlineStr">
        <is>
          <t>Corporate</t>
        </is>
      </c>
      <c r="I3196" s="7" t="n">
        <v>1</v>
      </c>
      <c r="J3196" s="10" t="n">
        <v>215.78</v>
      </c>
      <c r="K3196" s="11" t="n">
        <v>0.05</v>
      </c>
      <c r="L3196" s="10">
        <f>I3196*J3196*(1-K3196)</f>
        <v/>
      </c>
      <c r="M3196" s="10" t="n">
        <v>180.4</v>
      </c>
      <c r="N3196" s="10">
        <f>L3196-M3196</f>
        <v/>
      </c>
    </row>
    <row r="3197">
      <c r="A3197" s="7" t="inlineStr">
        <is>
          <t>ORD-04299</t>
        </is>
      </c>
      <c r="B3197" s="8" t="n">
        <v>45600</v>
      </c>
      <c r="C3197" s="9" t="n">
        <v>45597</v>
      </c>
      <c r="D3197" s="7" t="n">
        <v>2024</v>
      </c>
      <c r="E3197" s="7" t="inlineStr">
        <is>
          <t>East</t>
        </is>
      </c>
      <c r="F3197" s="7" t="inlineStr">
        <is>
          <t>Technology</t>
        </is>
      </c>
      <c r="G3197" s="7" t="inlineStr">
        <is>
          <t>Keyboard</t>
        </is>
      </c>
      <c r="H3197" s="7" t="inlineStr">
        <is>
          <t>Consumer</t>
        </is>
      </c>
      <c r="I3197" s="7" t="n">
        <v>2</v>
      </c>
      <c r="J3197" s="10" t="n">
        <v>46.71</v>
      </c>
      <c r="K3197" s="11" t="n">
        <v>0</v>
      </c>
      <c r="L3197" s="10">
        <f>I3197*J3197*(1-K3197)</f>
        <v/>
      </c>
      <c r="M3197" s="10" t="n">
        <v>49.5</v>
      </c>
      <c r="N3197" s="10">
        <f>L3197-M3197</f>
        <v/>
      </c>
    </row>
    <row r="3198">
      <c r="A3198" s="7" t="inlineStr">
        <is>
          <t>ORD-02251</t>
        </is>
      </c>
      <c r="B3198" s="8" t="n">
        <v>45600</v>
      </c>
      <c r="C3198" s="9" t="n">
        <v>45597</v>
      </c>
      <c r="D3198" s="7" t="n">
        <v>2024</v>
      </c>
      <c r="E3198" s="7" t="inlineStr">
        <is>
          <t>East</t>
        </is>
      </c>
      <c r="F3198" s="7" t="inlineStr">
        <is>
          <t>Office Supplies</t>
        </is>
      </c>
      <c r="G3198" s="7" t="inlineStr">
        <is>
          <t>Paper</t>
        </is>
      </c>
      <c r="H3198" s="7" t="inlineStr">
        <is>
          <t>Corporate</t>
        </is>
      </c>
      <c r="I3198" s="7" t="n">
        <v>10</v>
      </c>
      <c r="J3198" s="10" t="n">
        <v>23.92</v>
      </c>
      <c r="K3198" s="11" t="n">
        <v>0</v>
      </c>
      <c r="L3198" s="10">
        <f>I3198*J3198*(1-K3198)</f>
        <v/>
      </c>
      <c r="M3198" s="10" t="n">
        <v>125</v>
      </c>
      <c r="N3198" s="10">
        <f>L3198-M3198</f>
        <v/>
      </c>
    </row>
    <row r="3199">
      <c r="A3199" s="7" t="inlineStr">
        <is>
          <t>ORD-01155</t>
        </is>
      </c>
      <c r="B3199" s="8" t="n">
        <v>45600</v>
      </c>
      <c r="C3199" s="9" t="n">
        <v>45597</v>
      </c>
      <c r="D3199" s="7" t="n">
        <v>2024</v>
      </c>
      <c r="E3199" s="7" t="inlineStr">
        <is>
          <t>South</t>
        </is>
      </c>
      <c r="F3199" s="7" t="inlineStr">
        <is>
          <t>Office Supplies</t>
        </is>
      </c>
      <c r="G3199" s="7" t="inlineStr">
        <is>
          <t>Stapler</t>
        </is>
      </c>
      <c r="H3199" s="7" t="inlineStr">
        <is>
          <t>Home Office</t>
        </is>
      </c>
      <c r="I3199" s="7" t="n">
        <v>11</v>
      </c>
      <c r="J3199" s="10" t="n">
        <v>15.62</v>
      </c>
      <c r="K3199" s="11" t="n">
        <v>0.05</v>
      </c>
      <c r="L3199" s="10">
        <f>I3199*J3199*(1-K3199)</f>
        <v/>
      </c>
      <c r="M3199" s="10" t="n">
        <v>82.5</v>
      </c>
      <c r="N3199" s="10">
        <f>L3199-M3199</f>
        <v/>
      </c>
    </row>
    <row r="3200">
      <c r="A3200" s="7" t="inlineStr">
        <is>
          <t>ORD-02112</t>
        </is>
      </c>
      <c r="B3200" s="8" t="n">
        <v>45600</v>
      </c>
      <c r="C3200" s="9" t="n">
        <v>45597</v>
      </c>
      <c r="D3200" s="7" t="n">
        <v>2024</v>
      </c>
      <c r="E3200" s="7" t="inlineStr">
        <is>
          <t>West</t>
        </is>
      </c>
      <c r="F3200" s="7" t="inlineStr">
        <is>
          <t>Furniture</t>
        </is>
      </c>
      <c r="G3200" s="7" t="inlineStr">
        <is>
          <t>Bookcase</t>
        </is>
      </c>
      <c r="H3200" s="7" t="inlineStr">
        <is>
          <t>Consumer</t>
        </is>
      </c>
      <c r="I3200" s="7" t="n">
        <v>4</v>
      </c>
      <c r="J3200" s="10" t="n">
        <v>179.13</v>
      </c>
      <c r="K3200" s="11" t="n">
        <v>0.1</v>
      </c>
      <c r="L3200" s="10">
        <f>I3200*J3200*(1-K3200)</f>
        <v/>
      </c>
      <c r="M3200" s="10" t="n">
        <v>576</v>
      </c>
      <c r="N3200" s="10">
        <f>L3200-M3200</f>
        <v/>
      </c>
    </row>
    <row r="3201">
      <c r="A3201" s="7" t="inlineStr">
        <is>
          <t>ORD-01383</t>
        </is>
      </c>
      <c r="B3201" s="8" t="n">
        <v>45601</v>
      </c>
      <c r="C3201" s="9" t="n">
        <v>45597</v>
      </c>
      <c r="D3201" s="7" t="n">
        <v>2024</v>
      </c>
      <c r="E3201" s="7" t="inlineStr">
        <is>
          <t>North</t>
        </is>
      </c>
      <c r="F3201" s="7" t="inlineStr">
        <is>
          <t>Furniture</t>
        </is>
      </c>
      <c r="G3201" s="7" t="inlineStr">
        <is>
          <t>Sofa</t>
        </is>
      </c>
      <c r="H3201" s="7" t="inlineStr">
        <is>
          <t>Consumer</t>
        </is>
      </c>
      <c r="I3201" s="7" t="n">
        <v>4</v>
      </c>
      <c r="J3201" s="10" t="n">
        <v>675.36</v>
      </c>
      <c r="K3201" s="11" t="n">
        <v>0.2</v>
      </c>
      <c r="L3201" s="10">
        <f>I3201*J3201*(1-K3201)</f>
        <v/>
      </c>
      <c r="M3201" s="10" t="n">
        <v>2464</v>
      </c>
      <c r="N3201" s="10">
        <f>L3201-M3201</f>
        <v/>
      </c>
    </row>
    <row r="3202">
      <c r="A3202" s="7" t="inlineStr">
        <is>
          <t>ORD-05693</t>
        </is>
      </c>
      <c r="B3202" s="8" t="n">
        <v>45601</v>
      </c>
      <c r="C3202" s="9" t="n">
        <v>45597</v>
      </c>
      <c r="D3202" s="7" t="n">
        <v>2024</v>
      </c>
      <c r="E3202" s="7" t="inlineStr">
        <is>
          <t>West</t>
        </is>
      </c>
      <c r="F3202" s="7" t="inlineStr">
        <is>
          <t>Office Supplies</t>
        </is>
      </c>
      <c r="G3202" s="7" t="inlineStr">
        <is>
          <t>Paper</t>
        </is>
      </c>
      <c r="H3202" s="7" t="inlineStr">
        <is>
          <t>Home Office</t>
        </is>
      </c>
      <c r="I3202" s="7" t="n">
        <v>13</v>
      </c>
      <c r="J3202" s="10" t="n">
        <v>24.5</v>
      </c>
      <c r="K3202" s="11" t="n">
        <v>0</v>
      </c>
      <c r="L3202" s="10">
        <f>I3202*J3202*(1-K3202)</f>
        <v/>
      </c>
      <c r="M3202" s="10" t="n">
        <v>162.5</v>
      </c>
      <c r="N3202" s="10">
        <f>L3202-M3202</f>
        <v/>
      </c>
    </row>
    <row r="3203">
      <c r="A3203" s="7" t="inlineStr">
        <is>
          <t>ORD-00324</t>
        </is>
      </c>
      <c r="B3203" s="8" t="n">
        <v>45601</v>
      </c>
      <c r="C3203" s="9" t="n">
        <v>45597</v>
      </c>
      <c r="D3203" s="7" t="n">
        <v>2024</v>
      </c>
      <c r="E3203" s="7" t="inlineStr">
        <is>
          <t>West</t>
        </is>
      </c>
      <c r="F3203" s="7" t="inlineStr">
        <is>
          <t>Office Supplies</t>
        </is>
      </c>
      <c r="G3203" s="7" t="inlineStr">
        <is>
          <t>Paper</t>
        </is>
      </c>
      <c r="H3203" s="7" t="inlineStr">
        <is>
          <t>Consumer</t>
        </is>
      </c>
      <c r="I3203" s="7" t="n">
        <v>5</v>
      </c>
      <c r="J3203" s="10" t="n">
        <v>24.97</v>
      </c>
      <c r="K3203" s="11" t="n">
        <v>0.3</v>
      </c>
      <c r="L3203" s="10">
        <f>I3203*J3203*(1-K3203)</f>
        <v/>
      </c>
      <c r="M3203" s="10" t="n">
        <v>62.5</v>
      </c>
      <c r="N3203" s="10">
        <f>L3203-M3203</f>
        <v/>
      </c>
    </row>
    <row r="3204">
      <c r="A3204" s="7" t="inlineStr">
        <is>
          <t>ORD-03640</t>
        </is>
      </c>
      <c r="B3204" s="8" t="n">
        <v>45601</v>
      </c>
      <c r="C3204" s="9" t="n">
        <v>45597</v>
      </c>
      <c r="D3204" s="7" t="n">
        <v>2024</v>
      </c>
      <c r="E3204" s="7" t="inlineStr">
        <is>
          <t>West</t>
        </is>
      </c>
      <c r="F3204" s="7" t="inlineStr">
        <is>
          <t>Office Supplies</t>
        </is>
      </c>
      <c r="G3204" s="7" t="inlineStr">
        <is>
          <t>Paper</t>
        </is>
      </c>
      <c r="H3204" s="7" t="inlineStr">
        <is>
          <t>Consumer</t>
        </is>
      </c>
      <c r="I3204" s="7" t="n">
        <v>9</v>
      </c>
      <c r="J3204" s="10" t="n">
        <v>26.1</v>
      </c>
      <c r="K3204" s="11" t="n">
        <v>0.3</v>
      </c>
      <c r="L3204" s="10">
        <f>I3204*J3204*(1-K3204)</f>
        <v/>
      </c>
      <c r="M3204" s="10" t="n">
        <v>112.5</v>
      </c>
      <c r="N3204" s="10">
        <f>L3204-M3204</f>
        <v/>
      </c>
    </row>
    <row r="3205">
      <c r="A3205" s="7" t="inlineStr">
        <is>
          <t>ORD-01397</t>
        </is>
      </c>
      <c r="B3205" s="8" t="n">
        <v>45601</v>
      </c>
      <c r="C3205" s="9" t="n">
        <v>45597</v>
      </c>
      <c r="D3205" s="7" t="n">
        <v>2024</v>
      </c>
      <c r="E3205" s="7" t="inlineStr">
        <is>
          <t>East</t>
        </is>
      </c>
      <c r="F3205" s="7" t="inlineStr">
        <is>
          <t>Furniture</t>
        </is>
      </c>
      <c r="G3205" s="7" t="inlineStr">
        <is>
          <t>Sofa</t>
        </is>
      </c>
      <c r="H3205" s="7" t="inlineStr">
        <is>
          <t>Consumer</t>
        </is>
      </c>
      <c r="I3205" s="7" t="n">
        <v>4</v>
      </c>
      <c r="J3205" s="10" t="n">
        <v>716.25</v>
      </c>
      <c r="K3205" s="11" t="n">
        <v>0</v>
      </c>
      <c r="L3205" s="10">
        <f>I3205*J3205*(1-K3205)</f>
        <v/>
      </c>
      <c r="M3205" s="10" t="n">
        <v>2464</v>
      </c>
      <c r="N3205" s="10">
        <f>L3205-M3205</f>
        <v/>
      </c>
    </row>
    <row r="3206">
      <c r="A3206" s="7" t="inlineStr">
        <is>
          <t>ORD-05973</t>
        </is>
      </c>
      <c r="B3206" s="8" t="n">
        <v>45601</v>
      </c>
      <c r="C3206" s="9" t="n">
        <v>45597</v>
      </c>
      <c r="D3206" s="7" t="n">
        <v>2024</v>
      </c>
      <c r="E3206" s="7" t="inlineStr">
        <is>
          <t>North</t>
        </is>
      </c>
      <c r="F3206" s="7" t="inlineStr">
        <is>
          <t>Office Supplies</t>
        </is>
      </c>
      <c r="G3206" s="7" t="inlineStr">
        <is>
          <t>Binder</t>
        </is>
      </c>
      <c r="H3206" s="7" t="inlineStr">
        <is>
          <t>Consumer</t>
        </is>
      </c>
      <c r="I3206" s="7" t="n">
        <v>7</v>
      </c>
      <c r="J3206" s="10" t="n">
        <v>8.109999999999999</v>
      </c>
      <c r="K3206" s="11" t="n">
        <v>0</v>
      </c>
      <c r="L3206" s="10">
        <f>I3206*J3206*(1-K3206)</f>
        <v/>
      </c>
      <c r="M3206" s="10" t="n">
        <v>22.4</v>
      </c>
      <c r="N3206" s="10">
        <f>L3206-M3206</f>
        <v/>
      </c>
    </row>
    <row r="3207">
      <c r="A3207" s="7" t="inlineStr">
        <is>
          <t>ORD-04417</t>
        </is>
      </c>
      <c r="B3207" s="8" t="n">
        <v>45601</v>
      </c>
      <c r="C3207" s="9" t="n">
        <v>45597</v>
      </c>
      <c r="D3207" s="7" t="n">
        <v>2024</v>
      </c>
      <c r="E3207" s="7" t="inlineStr">
        <is>
          <t>East</t>
        </is>
      </c>
      <c r="F3207" s="7" t="inlineStr">
        <is>
          <t>Office Supplies</t>
        </is>
      </c>
      <c r="G3207" s="7" t="inlineStr">
        <is>
          <t>Printer Ink</t>
        </is>
      </c>
      <c r="H3207" s="7" t="inlineStr">
        <is>
          <t>Consumer</t>
        </is>
      </c>
      <c r="I3207" s="7" t="n">
        <v>12</v>
      </c>
      <c r="J3207" s="10" t="n">
        <v>59.34</v>
      </c>
      <c r="K3207" s="11" t="n">
        <v>0.3</v>
      </c>
      <c r="L3207" s="10">
        <f>I3207*J3207*(1-K3207)</f>
        <v/>
      </c>
      <c r="M3207" s="10" t="n">
        <v>432</v>
      </c>
      <c r="N3207" s="10">
        <f>L3207-M3207</f>
        <v/>
      </c>
    </row>
    <row r="3208">
      <c r="A3208" s="7" t="inlineStr">
        <is>
          <t>ORD-01333</t>
        </is>
      </c>
      <c r="B3208" s="8" t="n">
        <v>45602</v>
      </c>
      <c r="C3208" s="9" t="n">
        <v>45597</v>
      </c>
      <c r="D3208" s="7" t="n">
        <v>2024</v>
      </c>
      <c r="E3208" s="7" t="inlineStr">
        <is>
          <t>East</t>
        </is>
      </c>
      <c r="F3208" s="7" t="inlineStr">
        <is>
          <t>Office Supplies</t>
        </is>
      </c>
      <c r="G3208" s="7" t="inlineStr">
        <is>
          <t>Pens</t>
        </is>
      </c>
      <c r="H3208" s="7" t="inlineStr">
        <is>
          <t>Consumer</t>
        </is>
      </c>
      <c r="I3208" s="7" t="n">
        <v>14</v>
      </c>
      <c r="J3208" s="10" t="n">
        <v>12.28</v>
      </c>
      <c r="K3208" s="11" t="n">
        <v>0.3</v>
      </c>
      <c r="L3208" s="10">
        <f>I3208*J3208*(1-K3208)</f>
        <v/>
      </c>
      <c r="M3208" s="10" t="n">
        <v>75.59999999999999</v>
      </c>
      <c r="N3208" s="10">
        <f>L3208-M3208</f>
        <v/>
      </c>
    </row>
    <row r="3209">
      <c r="A3209" s="7" t="inlineStr">
        <is>
          <t>ORD-04169</t>
        </is>
      </c>
      <c r="B3209" s="8" t="n">
        <v>45602</v>
      </c>
      <c r="C3209" s="9" t="n">
        <v>45597</v>
      </c>
      <c r="D3209" s="7" t="n">
        <v>2024</v>
      </c>
      <c r="E3209" s="7" t="inlineStr">
        <is>
          <t>North</t>
        </is>
      </c>
      <c r="F3209" s="7" t="inlineStr">
        <is>
          <t>Office Supplies</t>
        </is>
      </c>
      <c r="G3209" s="7" t="inlineStr">
        <is>
          <t>Stapler</t>
        </is>
      </c>
      <c r="H3209" s="7" t="inlineStr">
        <is>
          <t>Consumer</t>
        </is>
      </c>
      <c r="I3209" s="7" t="n">
        <v>4</v>
      </c>
      <c r="J3209" s="10" t="n">
        <v>14.72</v>
      </c>
      <c r="K3209" s="11" t="n">
        <v>0.2</v>
      </c>
      <c r="L3209" s="10">
        <f>I3209*J3209*(1-K3209)</f>
        <v/>
      </c>
      <c r="M3209" s="10" t="n">
        <v>30</v>
      </c>
      <c r="N3209" s="10">
        <f>L3209-M3209</f>
        <v/>
      </c>
    </row>
    <row r="3210">
      <c r="A3210" s="7" t="inlineStr">
        <is>
          <t>ORD-00303</t>
        </is>
      </c>
      <c r="B3210" s="8" t="n">
        <v>45602</v>
      </c>
      <c r="C3210" s="9" t="n">
        <v>45597</v>
      </c>
      <c r="D3210" s="7" t="n">
        <v>2024</v>
      </c>
      <c r="E3210" s="7" t="inlineStr">
        <is>
          <t>East</t>
        </is>
      </c>
      <c r="F3210" s="7" t="inlineStr">
        <is>
          <t>Technology</t>
        </is>
      </c>
      <c r="G3210" s="7" t="inlineStr">
        <is>
          <t>Headphones</t>
        </is>
      </c>
      <c r="H3210" s="7" t="inlineStr">
        <is>
          <t>Home Office</t>
        </is>
      </c>
      <c r="I3210" s="7" t="n">
        <v>1</v>
      </c>
      <c r="J3210" s="10" t="n">
        <v>122.98</v>
      </c>
      <c r="K3210" s="11" t="n">
        <v>0.05</v>
      </c>
      <c r="L3210" s="10">
        <f>I3210*J3210*(1-K3210)</f>
        <v/>
      </c>
      <c r="M3210" s="10" t="n">
        <v>72</v>
      </c>
      <c r="N3210" s="10">
        <f>L3210-M3210</f>
        <v/>
      </c>
    </row>
    <row r="3211">
      <c r="A3211" s="7" t="inlineStr">
        <is>
          <t>ORD-00818</t>
        </is>
      </c>
      <c r="B3211" s="8" t="n">
        <v>45602</v>
      </c>
      <c r="C3211" s="9" t="n">
        <v>45597</v>
      </c>
      <c r="D3211" s="7" t="n">
        <v>2024</v>
      </c>
      <c r="E3211" s="7" t="inlineStr">
        <is>
          <t>West</t>
        </is>
      </c>
      <c r="F3211" s="7" t="inlineStr">
        <is>
          <t>Technology</t>
        </is>
      </c>
      <c r="G3211" s="7" t="inlineStr">
        <is>
          <t>Smartphone</t>
        </is>
      </c>
      <c r="H3211" s="7" t="inlineStr">
        <is>
          <t>Home Office</t>
        </is>
      </c>
      <c r="I3211" s="7" t="n">
        <v>3</v>
      </c>
      <c r="J3211" s="10" t="n">
        <v>602.1799999999999</v>
      </c>
      <c r="K3211" s="11" t="n">
        <v>0</v>
      </c>
      <c r="L3211" s="10">
        <f>I3211*J3211*(1-K3211)</f>
        <v/>
      </c>
      <c r="M3211" s="10" t="n">
        <v>1350</v>
      </c>
      <c r="N3211" s="10">
        <f>L3211-M3211</f>
        <v/>
      </c>
    </row>
    <row r="3212">
      <c r="A3212" s="7" t="inlineStr">
        <is>
          <t>ORD-05705</t>
        </is>
      </c>
      <c r="B3212" s="8" t="n">
        <v>45602</v>
      </c>
      <c r="C3212" s="9" t="n">
        <v>45597</v>
      </c>
      <c r="D3212" s="7" t="n">
        <v>2024</v>
      </c>
      <c r="E3212" s="7" t="inlineStr">
        <is>
          <t>West</t>
        </is>
      </c>
      <c r="F3212" s="7" t="inlineStr">
        <is>
          <t>Technology</t>
        </is>
      </c>
      <c r="G3212" s="7" t="inlineStr">
        <is>
          <t>Monitor</t>
        </is>
      </c>
      <c r="H3212" s="7" t="inlineStr">
        <is>
          <t>Home Office</t>
        </is>
      </c>
      <c r="I3212" s="7" t="n">
        <v>3</v>
      </c>
      <c r="J3212" s="10" t="n">
        <v>260.19</v>
      </c>
      <c r="K3212" s="11" t="n">
        <v>0.05</v>
      </c>
      <c r="L3212" s="10">
        <f>I3212*J3212*(1-K3212)</f>
        <v/>
      </c>
      <c r="M3212" s="10" t="n">
        <v>540</v>
      </c>
      <c r="N3212" s="10">
        <f>L3212-M3212</f>
        <v/>
      </c>
    </row>
    <row r="3213">
      <c r="A3213" s="7" t="inlineStr">
        <is>
          <t>ORD-03927</t>
        </is>
      </c>
      <c r="B3213" s="8" t="n">
        <v>45602</v>
      </c>
      <c r="C3213" s="9" t="n">
        <v>45597</v>
      </c>
      <c r="D3213" s="7" t="n">
        <v>2024</v>
      </c>
      <c r="E3213" s="7" t="inlineStr">
        <is>
          <t>South</t>
        </is>
      </c>
      <c r="F3213" s="7" t="inlineStr">
        <is>
          <t>Furniture</t>
        </is>
      </c>
      <c r="G3213" s="7" t="inlineStr">
        <is>
          <t>Desk</t>
        </is>
      </c>
      <c r="H3213" s="7" t="inlineStr">
        <is>
          <t>Home Office</t>
        </is>
      </c>
      <c r="I3213" s="7" t="n">
        <v>2</v>
      </c>
      <c r="J3213" s="10" t="n">
        <v>436.29</v>
      </c>
      <c r="K3213" s="11" t="n">
        <v>0.3</v>
      </c>
      <c r="L3213" s="10">
        <f>I3213*J3213*(1-K3213)</f>
        <v/>
      </c>
      <c r="M3213" s="10" t="n">
        <v>765</v>
      </c>
      <c r="N3213" s="10">
        <f>L3213-M3213</f>
        <v/>
      </c>
    </row>
    <row r="3214">
      <c r="A3214" s="7" t="inlineStr">
        <is>
          <t>ORD-04477</t>
        </is>
      </c>
      <c r="B3214" s="8" t="n">
        <v>45602</v>
      </c>
      <c r="C3214" s="9" t="n">
        <v>45597</v>
      </c>
      <c r="D3214" s="7" t="n">
        <v>2024</v>
      </c>
      <c r="E3214" s="7" t="inlineStr">
        <is>
          <t>East</t>
        </is>
      </c>
      <c r="F3214" s="7" t="inlineStr">
        <is>
          <t>Office Supplies</t>
        </is>
      </c>
      <c r="G3214" s="7" t="inlineStr">
        <is>
          <t>Binder</t>
        </is>
      </c>
      <c r="H3214" s="7" t="inlineStr">
        <is>
          <t>Home Office</t>
        </is>
      </c>
      <c r="I3214" s="7" t="n">
        <v>2</v>
      </c>
      <c r="J3214" s="10" t="n">
        <v>8.359999999999999</v>
      </c>
      <c r="K3214" s="11" t="n">
        <v>0</v>
      </c>
      <c r="L3214" s="10">
        <f>I3214*J3214*(1-K3214)</f>
        <v/>
      </c>
      <c r="M3214" s="10" t="n">
        <v>6.4</v>
      </c>
      <c r="N3214" s="10">
        <f>L3214-M3214</f>
        <v/>
      </c>
    </row>
    <row r="3215">
      <c r="A3215" s="7" t="inlineStr">
        <is>
          <t>ORD-02456</t>
        </is>
      </c>
      <c r="B3215" s="8" t="n">
        <v>45603</v>
      </c>
      <c r="C3215" s="9" t="n">
        <v>45597</v>
      </c>
      <c r="D3215" s="7" t="n">
        <v>2024</v>
      </c>
      <c r="E3215" s="7" t="inlineStr">
        <is>
          <t>West</t>
        </is>
      </c>
      <c r="F3215" s="7" t="inlineStr">
        <is>
          <t>Office Supplies</t>
        </is>
      </c>
      <c r="G3215" s="7" t="inlineStr">
        <is>
          <t>Binder</t>
        </is>
      </c>
      <c r="H3215" s="7" t="inlineStr">
        <is>
          <t>Consumer</t>
        </is>
      </c>
      <c r="I3215" s="7" t="n">
        <v>11</v>
      </c>
      <c r="J3215" s="10" t="n">
        <v>8.27</v>
      </c>
      <c r="K3215" s="11" t="n">
        <v>0</v>
      </c>
      <c r="L3215" s="10">
        <f>I3215*J3215*(1-K3215)</f>
        <v/>
      </c>
      <c r="M3215" s="10" t="n">
        <v>35.2</v>
      </c>
      <c r="N3215" s="10">
        <f>L3215-M3215</f>
        <v/>
      </c>
    </row>
    <row r="3216">
      <c r="A3216" s="7" t="inlineStr">
        <is>
          <t>ORD-05512</t>
        </is>
      </c>
      <c r="B3216" s="8" t="n">
        <v>45603</v>
      </c>
      <c r="C3216" s="9" t="n">
        <v>45597</v>
      </c>
      <c r="D3216" s="7" t="n">
        <v>2024</v>
      </c>
      <c r="E3216" s="7" t="inlineStr">
        <is>
          <t>North</t>
        </is>
      </c>
      <c r="F3216" s="7" t="inlineStr">
        <is>
          <t>Office Supplies</t>
        </is>
      </c>
      <c r="G3216" s="7" t="inlineStr">
        <is>
          <t>Binder</t>
        </is>
      </c>
      <c r="H3216" s="7" t="inlineStr">
        <is>
          <t>Consumer</t>
        </is>
      </c>
      <c r="I3216" s="7" t="n">
        <v>13</v>
      </c>
      <c r="J3216" s="10" t="n">
        <v>8.210000000000001</v>
      </c>
      <c r="K3216" s="11" t="n">
        <v>0.3</v>
      </c>
      <c r="L3216" s="10">
        <f>I3216*J3216*(1-K3216)</f>
        <v/>
      </c>
      <c r="M3216" s="10" t="n">
        <v>41.6</v>
      </c>
      <c r="N3216" s="10">
        <f>L3216-M3216</f>
        <v/>
      </c>
    </row>
    <row r="3217">
      <c r="A3217" s="7" t="inlineStr">
        <is>
          <t>ORD-01448</t>
        </is>
      </c>
      <c r="B3217" s="8" t="n">
        <v>45603</v>
      </c>
      <c r="C3217" s="9" t="n">
        <v>45597</v>
      </c>
      <c r="D3217" s="7" t="n">
        <v>2024</v>
      </c>
      <c r="E3217" s="7" t="inlineStr">
        <is>
          <t>East</t>
        </is>
      </c>
      <c r="F3217" s="7" t="inlineStr">
        <is>
          <t>Technology</t>
        </is>
      </c>
      <c r="G3217" s="7" t="inlineStr">
        <is>
          <t>Keyboard</t>
        </is>
      </c>
      <c r="H3217" s="7" t="inlineStr">
        <is>
          <t>Consumer</t>
        </is>
      </c>
      <c r="I3217" s="7" t="n">
        <v>2</v>
      </c>
      <c r="J3217" s="10" t="n">
        <v>44.44</v>
      </c>
      <c r="K3217" s="11" t="n">
        <v>0</v>
      </c>
      <c r="L3217" s="10">
        <f>I3217*J3217*(1-K3217)</f>
        <v/>
      </c>
      <c r="M3217" s="10" t="n">
        <v>49.5</v>
      </c>
      <c r="N3217" s="10">
        <f>L3217-M3217</f>
        <v/>
      </c>
    </row>
    <row r="3218">
      <c r="A3218" s="7" t="inlineStr">
        <is>
          <t>ORD-02240</t>
        </is>
      </c>
      <c r="B3218" s="8" t="n">
        <v>45603</v>
      </c>
      <c r="C3218" s="9" t="n">
        <v>45597</v>
      </c>
      <c r="D3218" s="7" t="n">
        <v>2024</v>
      </c>
      <c r="E3218" s="7" t="inlineStr">
        <is>
          <t>East</t>
        </is>
      </c>
      <c r="F3218" s="7" t="inlineStr">
        <is>
          <t>Office Supplies</t>
        </is>
      </c>
      <c r="G3218" s="7" t="inlineStr">
        <is>
          <t>Paper</t>
        </is>
      </c>
      <c r="H3218" s="7" t="inlineStr">
        <is>
          <t>Consumer</t>
        </is>
      </c>
      <c r="I3218" s="7" t="n">
        <v>4</v>
      </c>
      <c r="J3218" s="10" t="n">
        <v>25.5</v>
      </c>
      <c r="K3218" s="11" t="n">
        <v>0.05</v>
      </c>
      <c r="L3218" s="10">
        <f>I3218*J3218*(1-K3218)</f>
        <v/>
      </c>
      <c r="M3218" s="10" t="n">
        <v>50</v>
      </c>
      <c r="N3218" s="10">
        <f>L3218-M3218</f>
        <v/>
      </c>
    </row>
    <row r="3219">
      <c r="A3219" s="7" t="inlineStr">
        <is>
          <t>ORD-05449</t>
        </is>
      </c>
      <c r="B3219" s="8" t="n">
        <v>45603</v>
      </c>
      <c r="C3219" s="9" t="n">
        <v>45597</v>
      </c>
      <c r="D3219" s="7" t="n">
        <v>2024</v>
      </c>
      <c r="E3219" s="7" t="inlineStr">
        <is>
          <t>South</t>
        </is>
      </c>
      <c r="F3219" s="7" t="inlineStr">
        <is>
          <t>Office Supplies</t>
        </is>
      </c>
      <c r="G3219" s="7" t="inlineStr">
        <is>
          <t>Binder</t>
        </is>
      </c>
      <c r="H3219" s="7" t="inlineStr">
        <is>
          <t>Corporate</t>
        </is>
      </c>
      <c r="I3219" s="7" t="n">
        <v>6</v>
      </c>
      <c r="J3219" s="10" t="n">
        <v>7.84</v>
      </c>
      <c r="K3219" s="11" t="n">
        <v>0.1</v>
      </c>
      <c r="L3219" s="10">
        <f>I3219*J3219*(1-K3219)</f>
        <v/>
      </c>
      <c r="M3219" s="10" t="n">
        <v>19.2</v>
      </c>
      <c r="N3219" s="10">
        <f>L3219-M3219</f>
        <v/>
      </c>
    </row>
    <row r="3220">
      <c r="A3220" s="7" t="inlineStr">
        <is>
          <t>ORD-02414</t>
        </is>
      </c>
      <c r="B3220" s="8" t="n">
        <v>45603</v>
      </c>
      <c r="C3220" s="9" t="n">
        <v>45597</v>
      </c>
      <c r="D3220" s="7" t="n">
        <v>2024</v>
      </c>
      <c r="E3220" s="7" t="inlineStr">
        <is>
          <t>West</t>
        </is>
      </c>
      <c r="F3220" s="7" t="inlineStr">
        <is>
          <t>Office Supplies</t>
        </is>
      </c>
      <c r="G3220" s="7" t="inlineStr">
        <is>
          <t>Stapler</t>
        </is>
      </c>
      <c r="H3220" s="7" t="inlineStr">
        <is>
          <t>Corporate</t>
        </is>
      </c>
      <c r="I3220" s="7" t="n">
        <v>7</v>
      </c>
      <c r="J3220" s="10" t="n">
        <v>15.23</v>
      </c>
      <c r="K3220" s="11" t="n">
        <v>0</v>
      </c>
      <c r="L3220" s="10">
        <f>I3220*J3220*(1-K3220)</f>
        <v/>
      </c>
      <c r="M3220" s="10" t="n">
        <v>52.5</v>
      </c>
      <c r="N3220" s="10">
        <f>L3220-M3220</f>
        <v/>
      </c>
    </row>
    <row r="3221">
      <c r="A3221" s="7" t="inlineStr">
        <is>
          <t>ORD-04239</t>
        </is>
      </c>
      <c r="B3221" s="8" t="n">
        <v>45603</v>
      </c>
      <c r="C3221" s="9" t="n">
        <v>45597</v>
      </c>
      <c r="D3221" s="7" t="n">
        <v>2024</v>
      </c>
      <c r="E3221" s="7" t="inlineStr">
        <is>
          <t>East</t>
        </is>
      </c>
      <c r="F3221" s="7" t="inlineStr">
        <is>
          <t>Office Supplies</t>
        </is>
      </c>
      <c r="G3221" s="7" t="inlineStr">
        <is>
          <t>Paper</t>
        </is>
      </c>
      <c r="H3221" s="7" t="inlineStr">
        <is>
          <t>Consumer</t>
        </is>
      </c>
      <c r="I3221" s="7" t="n">
        <v>4</v>
      </c>
      <c r="J3221" s="10" t="n">
        <v>25.42</v>
      </c>
      <c r="K3221" s="11" t="n">
        <v>0.05</v>
      </c>
      <c r="L3221" s="10">
        <f>I3221*J3221*(1-K3221)</f>
        <v/>
      </c>
      <c r="M3221" s="10" t="n">
        <v>50</v>
      </c>
      <c r="N3221" s="10">
        <f>L3221-M3221</f>
        <v/>
      </c>
    </row>
    <row r="3222">
      <c r="A3222" s="7" t="inlineStr">
        <is>
          <t>ORD-04005</t>
        </is>
      </c>
      <c r="B3222" s="8" t="n">
        <v>45604</v>
      </c>
      <c r="C3222" s="9" t="n">
        <v>45597</v>
      </c>
      <c r="D3222" s="7" t="n">
        <v>2024</v>
      </c>
      <c r="E3222" s="7" t="inlineStr">
        <is>
          <t>West</t>
        </is>
      </c>
      <c r="F3222" s="7" t="inlineStr">
        <is>
          <t>Office Supplies</t>
        </is>
      </c>
      <c r="G3222" s="7" t="inlineStr">
        <is>
          <t>Binder</t>
        </is>
      </c>
      <c r="H3222" s="7" t="inlineStr">
        <is>
          <t>Consumer</t>
        </is>
      </c>
      <c r="I3222" s="7" t="n">
        <v>14</v>
      </c>
      <c r="J3222" s="10" t="n">
        <v>7.65</v>
      </c>
      <c r="K3222" s="11" t="n">
        <v>0.1</v>
      </c>
      <c r="L3222" s="10">
        <f>I3222*J3222*(1-K3222)</f>
        <v/>
      </c>
      <c r="M3222" s="10" t="n">
        <v>44.8</v>
      </c>
      <c r="N3222" s="10">
        <f>L3222-M3222</f>
        <v/>
      </c>
    </row>
    <row r="3223">
      <c r="A3223" s="7" t="inlineStr">
        <is>
          <t>ORD-01168</t>
        </is>
      </c>
      <c r="B3223" s="8" t="n">
        <v>45604</v>
      </c>
      <c r="C3223" s="9" t="n">
        <v>45597</v>
      </c>
      <c r="D3223" s="7" t="n">
        <v>2024</v>
      </c>
      <c r="E3223" s="7" t="inlineStr">
        <is>
          <t>West</t>
        </is>
      </c>
      <c r="F3223" s="7" t="inlineStr">
        <is>
          <t>Office Supplies</t>
        </is>
      </c>
      <c r="G3223" s="7" t="inlineStr">
        <is>
          <t>Paper</t>
        </is>
      </c>
      <c r="H3223" s="7" t="inlineStr">
        <is>
          <t>Consumer</t>
        </is>
      </c>
      <c r="I3223" s="7" t="n">
        <v>12</v>
      </c>
      <c r="J3223" s="10" t="n">
        <v>24.44</v>
      </c>
      <c r="K3223" s="11" t="n">
        <v>0</v>
      </c>
      <c r="L3223" s="10">
        <f>I3223*J3223*(1-K3223)</f>
        <v/>
      </c>
      <c r="M3223" s="10" t="n">
        <v>150</v>
      </c>
      <c r="N3223" s="10">
        <f>L3223-M3223</f>
        <v/>
      </c>
    </row>
    <row r="3224">
      <c r="A3224" s="7" t="inlineStr">
        <is>
          <t>ORD-02444</t>
        </is>
      </c>
      <c r="B3224" s="8" t="n">
        <v>45604</v>
      </c>
      <c r="C3224" s="9" t="n">
        <v>45597</v>
      </c>
      <c r="D3224" s="7" t="n">
        <v>2024</v>
      </c>
      <c r="E3224" s="7" t="inlineStr">
        <is>
          <t>East</t>
        </is>
      </c>
      <c r="F3224" s="7" t="inlineStr">
        <is>
          <t>Office Supplies</t>
        </is>
      </c>
      <c r="G3224" s="7" t="inlineStr">
        <is>
          <t>Paper</t>
        </is>
      </c>
      <c r="H3224" s="7" t="inlineStr">
        <is>
          <t>Consumer</t>
        </is>
      </c>
      <c r="I3224" s="7" t="n">
        <v>8</v>
      </c>
      <c r="J3224" s="10" t="n">
        <v>25.55</v>
      </c>
      <c r="K3224" s="11" t="n">
        <v>0</v>
      </c>
      <c r="L3224" s="10">
        <f>I3224*J3224*(1-K3224)</f>
        <v/>
      </c>
      <c r="M3224" s="10" t="n">
        <v>100</v>
      </c>
      <c r="N3224" s="10">
        <f>L3224-M3224</f>
        <v/>
      </c>
    </row>
    <row r="3225">
      <c r="A3225" s="7" t="inlineStr">
        <is>
          <t>ORD-04087</t>
        </is>
      </c>
      <c r="B3225" s="8" t="n">
        <v>45604</v>
      </c>
      <c r="C3225" s="9" t="n">
        <v>45597</v>
      </c>
      <c r="D3225" s="7" t="n">
        <v>2024</v>
      </c>
      <c r="E3225" s="7" t="inlineStr">
        <is>
          <t>South</t>
        </is>
      </c>
      <c r="F3225" s="7" t="inlineStr">
        <is>
          <t>Furniture</t>
        </is>
      </c>
      <c r="G3225" s="7" t="inlineStr">
        <is>
          <t>Desk</t>
        </is>
      </c>
      <c r="H3225" s="7" t="inlineStr">
        <is>
          <t>Consumer</t>
        </is>
      </c>
      <c r="I3225" s="7" t="n">
        <v>4</v>
      </c>
      <c r="J3225" s="10" t="n">
        <v>460.06</v>
      </c>
      <c r="K3225" s="11" t="n">
        <v>0.1</v>
      </c>
      <c r="L3225" s="10">
        <f>I3225*J3225*(1-K3225)</f>
        <v/>
      </c>
      <c r="M3225" s="10" t="n">
        <v>1530</v>
      </c>
      <c r="N3225" s="10">
        <f>L3225-M3225</f>
        <v/>
      </c>
    </row>
    <row r="3226">
      <c r="A3226" s="7" t="inlineStr">
        <is>
          <t>ORD-03823</t>
        </is>
      </c>
      <c r="B3226" s="8" t="n">
        <v>45604</v>
      </c>
      <c r="C3226" s="9" t="n">
        <v>45597</v>
      </c>
      <c r="D3226" s="7" t="n">
        <v>2024</v>
      </c>
      <c r="E3226" s="7" t="inlineStr">
        <is>
          <t>East</t>
        </is>
      </c>
      <c r="F3226" s="7" t="inlineStr">
        <is>
          <t>Technology</t>
        </is>
      </c>
      <c r="G3226" s="7" t="inlineStr">
        <is>
          <t>Headphones</t>
        </is>
      </c>
      <c r="H3226" s="7" t="inlineStr">
        <is>
          <t>Corporate</t>
        </is>
      </c>
      <c r="I3226" s="7" t="n">
        <v>1</v>
      </c>
      <c r="J3226" s="10" t="n">
        <v>120.48</v>
      </c>
      <c r="K3226" s="11" t="n">
        <v>0.1</v>
      </c>
      <c r="L3226" s="10">
        <f>I3226*J3226*(1-K3226)</f>
        <v/>
      </c>
      <c r="M3226" s="10" t="n">
        <v>72</v>
      </c>
      <c r="N3226" s="10">
        <f>L3226-M3226</f>
        <v/>
      </c>
    </row>
    <row r="3227">
      <c r="A3227" s="7" t="inlineStr">
        <is>
          <t>ORD-05982</t>
        </is>
      </c>
      <c r="B3227" s="8" t="n">
        <v>45604</v>
      </c>
      <c r="C3227" s="9" t="n">
        <v>45597</v>
      </c>
      <c r="D3227" s="7" t="n">
        <v>2024</v>
      </c>
      <c r="E3227" s="7" t="inlineStr">
        <is>
          <t>West</t>
        </is>
      </c>
      <c r="F3227" s="7" t="inlineStr">
        <is>
          <t>Office Supplies</t>
        </is>
      </c>
      <c r="G3227" s="7" t="inlineStr">
        <is>
          <t>Binder</t>
        </is>
      </c>
      <c r="H3227" s="7" t="inlineStr">
        <is>
          <t>Corporate</t>
        </is>
      </c>
      <c r="I3227" s="7" t="n">
        <v>7</v>
      </c>
      <c r="J3227" s="10" t="n">
        <v>7.71</v>
      </c>
      <c r="K3227" s="11" t="n">
        <v>0</v>
      </c>
      <c r="L3227" s="10">
        <f>I3227*J3227*(1-K3227)</f>
        <v/>
      </c>
      <c r="M3227" s="10" t="n">
        <v>22.4</v>
      </c>
      <c r="N3227" s="10">
        <f>L3227-M3227</f>
        <v/>
      </c>
    </row>
    <row r="3228">
      <c r="A3228" s="7" t="inlineStr">
        <is>
          <t>ORD-01462</t>
        </is>
      </c>
      <c r="B3228" s="8" t="n">
        <v>45605</v>
      </c>
      <c r="C3228" s="9" t="n">
        <v>45597</v>
      </c>
      <c r="D3228" s="7" t="n">
        <v>2024</v>
      </c>
      <c r="E3228" s="7" t="inlineStr">
        <is>
          <t>East</t>
        </is>
      </c>
      <c r="F3228" s="7" t="inlineStr">
        <is>
          <t>Office Supplies</t>
        </is>
      </c>
      <c r="G3228" s="7" t="inlineStr">
        <is>
          <t>Pens</t>
        </is>
      </c>
      <c r="H3228" s="7" t="inlineStr">
        <is>
          <t>Consumer</t>
        </is>
      </c>
      <c r="I3228" s="7" t="n">
        <v>13</v>
      </c>
      <c r="J3228" s="10" t="n">
        <v>12.53</v>
      </c>
      <c r="K3228" s="11" t="n">
        <v>0</v>
      </c>
      <c r="L3228" s="10">
        <f>I3228*J3228*(1-K3228)</f>
        <v/>
      </c>
      <c r="M3228" s="10" t="n">
        <v>70.2</v>
      </c>
      <c r="N3228" s="10">
        <f>L3228-M3228</f>
        <v/>
      </c>
    </row>
    <row r="3229">
      <c r="A3229" s="7" t="inlineStr">
        <is>
          <t>ORD-04085</t>
        </is>
      </c>
      <c r="B3229" s="8" t="n">
        <v>45605</v>
      </c>
      <c r="C3229" s="9" t="n">
        <v>45597</v>
      </c>
      <c r="D3229" s="7" t="n">
        <v>2024</v>
      </c>
      <c r="E3229" s="7" t="inlineStr">
        <is>
          <t>South</t>
        </is>
      </c>
      <c r="F3229" s="7" t="inlineStr">
        <is>
          <t>Furniture</t>
        </is>
      </c>
      <c r="G3229" s="7" t="inlineStr">
        <is>
          <t>Sofa</t>
        </is>
      </c>
      <c r="H3229" s="7" t="inlineStr">
        <is>
          <t>Corporate</t>
        </is>
      </c>
      <c r="I3229" s="7" t="n">
        <v>1</v>
      </c>
      <c r="J3229" s="10" t="n">
        <v>709.16</v>
      </c>
      <c r="K3229" s="11" t="n">
        <v>0.1</v>
      </c>
      <c r="L3229" s="10">
        <f>I3229*J3229*(1-K3229)</f>
        <v/>
      </c>
      <c r="M3229" s="10" t="n">
        <v>616</v>
      </c>
      <c r="N3229" s="10">
        <f>L3229-M3229</f>
        <v/>
      </c>
    </row>
    <row r="3230">
      <c r="A3230" s="7" t="inlineStr">
        <is>
          <t>ORD-04819</t>
        </is>
      </c>
      <c r="B3230" s="8" t="n">
        <v>45605</v>
      </c>
      <c r="C3230" s="9" t="n">
        <v>45597</v>
      </c>
      <c r="D3230" s="7" t="n">
        <v>2024</v>
      </c>
      <c r="E3230" s="7" t="inlineStr">
        <is>
          <t>West</t>
        </is>
      </c>
      <c r="F3230" s="7" t="inlineStr">
        <is>
          <t>Office Supplies</t>
        </is>
      </c>
      <c r="G3230" s="7" t="inlineStr">
        <is>
          <t>Pens</t>
        </is>
      </c>
      <c r="H3230" s="7" t="inlineStr">
        <is>
          <t>Home Office</t>
        </is>
      </c>
      <c r="I3230" s="7" t="n">
        <v>5</v>
      </c>
      <c r="J3230" s="10" t="n">
        <v>12.01</v>
      </c>
      <c r="K3230" s="11" t="n">
        <v>0.2</v>
      </c>
      <c r="L3230" s="10">
        <f>I3230*J3230*(1-K3230)</f>
        <v/>
      </c>
      <c r="M3230" s="10" t="n">
        <v>27</v>
      </c>
      <c r="N3230" s="10">
        <f>L3230-M3230</f>
        <v/>
      </c>
    </row>
    <row r="3231">
      <c r="A3231" s="7" t="inlineStr">
        <is>
          <t>ORD-00570</t>
        </is>
      </c>
      <c r="B3231" s="8" t="n">
        <v>45605</v>
      </c>
      <c r="C3231" s="9" t="n">
        <v>45597</v>
      </c>
      <c r="D3231" s="7" t="n">
        <v>2024</v>
      </c>
      <c r="E3231" s="7" t="inlineStr">
        <is>
          <t>North</t>
        </is>
      </c>
      <c r="F3231" s="7" t="inlineStr">
        <is>
          <t>Office Supplies</t>
        </is>
      </c>
      <c r="G3231" s="7" t="inlineStr">
        <is>
          <t>Paper</t>
        </is>
      </c>
      <c r="H3231" s="7" t="inlineStr">
        <is>
          <t>Consumer</t>
        </is>
      </c>
      <c r="I3231" s="7" t="n">
        <v>4</v>
      </c>
      <c r="J3231" s="10" t="n">
        <v>25.6</v>
      </c>
      <c r="K3231" s="11" t="n">
        <v>0</v>
      </c>
      <c r="L3231" s="10">
        <f>I3231*J3231*(1-K3231)</f>
        <v/>
      </c>
      <c r="M3231" s="10" t="n">
        <v>50</v>
      </c>
      <c r="N3231" s="10">
        <f>L3231-M3231</f>
        <v/>
      </c>
    </row>
    <row r="3232">
      <c r="A3232" s="7" t="inlineStr">
        <is>
          <t>ORD-00690</t>
        </is>
      </c>
      <c r="B3232" s="8" t="n">
        <v>45606</v>
      </c>
      <c r="C3232" s="9" t="n">
        <v>45597</v>
      </c>
      <c r="D3232" s="7" t="n">
        <v>2024</v>
      </c>
      <c r="E3232" s="7" t="inlineStr">
        <is>
          <t>East</t>
        </is>
      </c>
      <c r="F3232" s="7" t="inlineStr">
        <is>
          <t>Technology</t>
        </is>
      </c>
      <c r="G3232" s="7" t="inlineStr">
        <is>
          <t>Laptop</t>
        </is>
      </c>
      <c r="H3232" s="7" t="inlineStr">
        <is>
          <t>Corporate</t>
        </is>
      </c>
      <c r="I3232" s="7" t="n">
        <v>1</v>
      </c>
      <c r="J3232" s="10" t="n">
        <v>926.99</v>
      </c>
      <c r="K3232" s="11" t="n">
        <v>0.05</v>
      </c>
      <c r="L3232" s="10">
        <f>I3232*J3232*(1-K3232)</f>
        <v/>
      </c>
      <c r="M3232" s="10" t="n">
        <v>702</v>
      </c>
      <c r="N3232" s="10">
        <f>L3232-M3232</f>
        <v/>
      </c>
    </row>
    <row r="3233">
      <c r="A3233" s="7" t="inlineStr">
        <is>
          <t>ORD-03127</t>
        </is>
      </c>
      <c r="B3233" s="8" t="n">
        <v>45606</v>
      </c>
      <c r="C3233" s="9" t="n">
        <v>45597</v>
      </c>
      <c r="D3233" s="7" t="n">
        <v>2024</v>
      </c>
      <c r="E3233" s="7" t="inlineStr">
        <is>
          <t>West</t>
        </is>
      </c>
      <c r="F3233" s="7" t="inlineStr">
        <is>
          <t>Office Supplies</t>
        </is>
      </c>
      <c r="G3233" s="7" t="inlineStr">
        <is>
          <t>Pens</t>
        </is>
      </c>
      <c r="H3233" s="7" t="inlineStr">
        <is>
          <t>Home Office</t>
        </is>
      </c>
      <c r="I3233" s="7" t="n">
        <v>5</v>
      </c>
      <c r="J3233" s="10" t="n">
        <v>11.43</v>
      </c>
      <c r="K3233" s="11" t="n">
        <v>0</v>
      </c>
      <c r="L3233" s="10">
        <f>I3233*J3233*(1-K3233)</f>
        <v/>
      </c>
      <c r="M3233" s="10" t="n">
        <v>27</v>
      </c>
      <c r="N3233" s="10">
        <f>L3233-M3233</f>
        <v/>
      </c>
    </row>
    <row r="3234">
      <c r="A3234" s="7" t="inlineStr">
        <is>
          <t>ORD-04362</t>
        </is>
      </c>
      <c r="B3234" s="8" t="n">
        <v>45606</v>
      </c>
      <c r="C3234" s="9" t="n">
        <v>45597</v>
      </c>
      <c r="D3234" s="7" t="n">
        <v>2024</v>
      </c>
      <c r="E3234" s="7" t="inlineStr">
        <is>
          <t>East</t>
        </is>
      </c>
      <c r="F3234" s="7" t="inlineStr">
        <is>
          <t>Office Supplies</t>
        </is>
      </c>
      <c r="G3234" s="7" t="inlineStr">
        <is>
          <t>Printer Ink</t>
        </is>
      </c>
      <c r="H3234" s="7" t="inlineStr">
        <is>
          <t>Consumer</t>
        </is>
      </c>
      <c r="I3234" s="7" t="n">
        <v>9</v>
      </c>
      <c r="J3234" s="10" t="n">
        <v>62.41</v>
      </c>
      <c r="K3234" s="11" t="n">
        <v>0.1</v>
      </c>
      <c r="L3234" s="10">
        <f>I3234*J3234*(1-K3234)</f>
        <v/>
      </c>
      <c r="M3234" s="10" t="n">
        <v>324</v>
      </c>
      <c r="N3234" s="10">
        <f>L3234-M3234</f>
        <v/>
      </c>
    </row>
    <row r="3235">
      <c r="A3235" s="7" t="inlineStr">
        <is>
          <t>ORD-01059</t>
        </is>
      </c>
      <c r="B3235" s="8" t="n">
        <v>45607</v>
      </c>
      <c r="C3235" s="9" t="n">
        <v>45597</v>
      </c>
      <c r="D3235" s="7" t="n">
        <v>2024</v>
      </c>
      <c r="E3235" s="7" t="inlineStr">
        <is>
          <t>East</t>
        </is>
      </c>
      <c r="F3235" s="7" t="inlineStr">
        <is>
          <t>Furniture</t>
        </is>
      </c>
      <c r="G3235" s="7" t="inlineStr">
        <is>
          <t>Desk</t>
        </is>
      </c>
      <c r="H3235" s="7" t="inlineStr">
        <is>
          <t>Consumer</t>
        </is>
      </c>
      <c r="I3235" s="7" t="n">
        <v>2</v>
      </c>
      <c r="J3235" s="10" t="n">
        <v>457.57</v>
      </c>
      <c r="K3235" s="11" t="n">
        <v>0.2</v>
      </c>
      <c r="L3235" s="10">
        <f>I3235*J3235*(1-K3235)</f>
        <v/>
      </c>
      <c r="M3235" s="10" t="n">
        <v>765</v>
      </c>
      <c r="N3235" s="10">
        <f>L3235-M3235</f>
        <v/>
      </c>
    </row>
    <row r="3236">
      <c r="A3236" s="7" t="inlineStr">
        <is>
          <t>ORD-04722</t>
        </is>
      </c>
      <c r="B3236" s="8" t="n">
        <v>45607</v>
      </c>
      <c r="C3236" s="9" t="n">
        <v>45597</v>
      </c>
      <c r="D3236" s="7" t="n">
        <v>2024</v>
      </c>
      <c r="E3236" s="7" t="inlineStr">
        <is>
          <t>West</t>
        </is>
      </c>
      <c r="F3236" s="7" t="inlineStr">
        <is>
          <t>Office Supplies</t>
        </is>
      </c>
      <c r="G3236" s="7" t="inlineStr">
        <is>
          <t>Binder</t>
        </is>
      </c>
      <c r="H3236" s="7" t="inlineStr">
        <is>
          <t>Corporate</t>
        </is>
      </c>
      <c r="I3236" s="7" t="n">
        <v>7</v>
      </c>
      <c r="J3236" s="10" t="n">
        <v>8.210000000000001</v>
      </c>
      <c r="K3236" s="11" t="n">
        <v>0</v>
      </c>
      <c r="L3236" s="10">
        <f>I3236*J3236*(1-K3236)</f>
        <v/>
      </c>
      <c r="M3236" s="10" t="n">
        <v>22.4</v>
      </c>
      <c r="N3236" s="10">
        <f>L3236-M3236</f>
        <v/>
      </c>
    </row>
    <row r="3237">
      <c r="A3237" s="7" t="inlineStr">
        <is>
          <t>ORD-03694</t>
        </is>
      </c>
      <c r="B3237" s="8" t="n">
        <v>45607</v>
      </c>
      <c r="C3237" s="9" t="n">
        <v>45597</v>
      </c>
      <c r="D3237" s="7" t="n">
        <v>2024</v>
      </c>
      <c r="E3237" s="7" t="inlineStr">
        <is>
          <t>West</t>
        </is>
      </c>
      <c r="F3237" s="7" t="inlineStr">
        <is>
          <t>Office Supplies</t>
        </is>
      </c>
      <c r="G3237" s="7" t="inlineStr">
        <is>
          <t>Printer Ink</t>
        </is>
      </c>
      <c r="H3237" s="7" t="inlineStr">
        <is>
          <t>Corporate</t>
        </is>
      </c>
      <c r="I3237" s="7" t="n">
        <v>6</v>
      </c>
      <c r="J3237" s="10" t="n">
        <v>62.71</v>
      </c>
      <c r="K3237" s="11" t="n">
        <v>0</v>
      </c>
      <c r="L3237" s="10">
        <f>I3237*J3237*(1-K3237)</f>
        <v/>
      </c>
      <c r="M3237" s="10" t="n">
        <v>216</v>
      </c>
      <c r="N3237" s="10">
        <f>L3237-M3237</f>
        <v/>
      </c>
    </row>
    <row r="3238">
      <c r="A3238" s="7" t="inlineStr">
        <is>
          <t>ORD-00924</t>
        </is>
      </c>
      <c r="B3238" s="8" t="n">
        <v>45607</v>
      </c>
      <c r="C3238" s="9" t="n">
        <v>45597</v>
      </c>
      <c r="D3238" s="7" t="n">
        <v>2024</v>
      </c>
      <c r="E3238" s="7" t="inlineStr">
        <is>
          <t>East</t>
        </is>
      </c>
      <c r="F3238" s="7" t="inlineStr">
        <is>
          <t>Technology</t>
        </is>
      </c>
      <c r="G3238" s="7" t="inlineStr">
        <is>
          <t>Headphones</t>
        </is>
      </c>
      <c r="H3238" s="7" t="inlineStr">
        <is>
          <t>Consumer</t>
        </is>
      </c>
      <c r="I3238" s="7" t="n">
        <v>1</v>
      </c>
      <c r="J3238" s="10" t="n">
        <v>121.21</v>
      </c>
      <c r="K3238" s="11" t="n">
        <v>0.2</v>
      </c>
      <c r="L3238" s="10">
        <f>I3238*J3238*(1-K3238)</f>
        <v/>
      </c>
      <c r="M3238" s="10" t="n">
        <v>72</v>
      </c>
      <c r="N3238" s="10">
        <f>L3238-M3238</f>
        <v/>
      </c>
    </row>
    <row r="3239">
      <c r="A3239" s="7" t="inlineStr">
        <is>
          <t>ORD-05200</t>
        </is>
      </c>
      <c r="B3239" s="8" t="n">
        <v>45607</v>
      </c>
      <c r="C3239" s="9" t="n">
        <v>45597</v>
      </c>
      <c r="D3239" s="7" t="n">
        <v>2024</v>
      </c>
      <c r="E3239" s="7" t="inlineStr">
        <is>
          <t>West</t>
        </is>
      </c>
      <c r="F3239" s="7" t="inlineStr">
        <is>
          <t>Technology</t>
        </is>
      </c>
      <c r="G3239" s="7" t="inlineStr">
        <is>
          <t>Keyboard</t>
        </is>
      </c>
      <c r="H3239" s="7" t="inlineStr">
        <is>
          <t>Home Office</t>
        </is>
      </c>
      <c r="I3239" s="7" t="n">
        <v>3</v>
      </c>
      <c r="J3239" s="10" t="n">
        <v>46.83</v>
      </c>
      <c r="K3239" s="11" t="n">
        <v>0.05</v>
      </c>
      <c r="L3239" s="10">
        <f>I3239*J3239*(1-K3239)</f>
        <v/>
      </c>
      <c r="M3239" s="10" t="n">
        <v>74.25</v>
      </c>
      <c r="N3239" s="10">
        <f>L3239-M3239</f>
        <v/>
      </c>
    </row>
    <row r="3240">
      <c r="A3240" s="7" t="inlineStr">
        <is>
          <t>ORD-02551</t>
        </is>
      </c>
      <c r="B3240" s="8" t="n">
        <v>45607</v>
      </c>
      <c r="C3240" s="9" t="n">
        <v>45597</v>
      </c>
      <c r="D3240" s="7" t="n">
        <v>2024</v>
      </c>
      <c r="E3240" s="7" t="inlineStr">
        <is>
          <t>South</t>
        </is>
      </c>
      <c r="F3240" s="7" t="inlineStr">
        <is>
          <t>Technology</t>
        </is>
      </c>
      <c r="G3240" s="7" t="inlineStr">
        <is>
          <t>Smartphone</t>
        </is>
      </c>
      <c r="H3240" s="7" t="inlineStr">
        <is>
          <t>Consumer</t>
        </is>
      </c>
      <c r="I3240" s="7" t="n">
        <v>1</v>
      </c>
      <c r="J3240" s="10" t="n">
        <v>592.41</v>
      </c>
      <c r="K3240" s="11" t="n">
        <v>0.3</v>
      </c>
      <c r="L3240" s="10">
        <f>I3240*J3240*(1-K3240)</f>
        <v/>
      </c>
      <c r="M3240" s="10" t="n">
        <v>450</v>
      </c>
      <c r="N3240" s="10">
        <f>L3240-M3240</f>
        <v/>
      </c>
    </row>
    <row r="3241">
      <c r="A3241" s="7" t="inlineStr">
        <is>
          <t>ORD-02966</t>
        </is>
      </c>
      <c r="B3241" s="8" t="n">
        <v>45607</v>
      </c>
      <c r="C3241" s="9" t="n">
        <v>45597</v>
      </c>
      <c r="D3241" s="7" t="n">
        <v>2024</v>
      </c>
      <c r="E3241" s="7" t="inlineStr">
        <is>
          <t>West</t>
        </is>
      </c>
      <c r="F3241" s="7" t="inlineStr">
        <is>
          <t>Office Supplies</t>
        </is>
      </c>
      <c r="G3241" s="7" t="inlineStr">
        <is>
          <t>Binder</t>
        </is>
      </c>
      <c r="H3241" s="7" t="inlineStr">
        <is>
          <t>Corporate</t>
        </is>
      </c>
      <c r="I3241" s="7" t="n">
        <v>4</v>
      </c>
      <c r="J3241" s="10" t="n">
        <v>7.96</v>
      </c>
      <c r="K3241" s="11" t="n">
        <v>0.1</v>
      </c>
      <c r="L3241" s="10">
        <f>I3241*J3241*(1-K3241)</f>
        <v/>
      </c>
      <c r="M3241" s="10" t="n">
        <v>12.8</v>
      </c>
      <c r="N3241" s="10">
        <f>L3241-M3241</f>
        <v/>
      </c>
    </row>
    <row r="3242">
      <c r="A3242" s="7" t="inlineStr">
        <is>
          <t>ORD-01077</t>
        </is>
      </c>
      <c r="B3242" s="8" t="n">
        <v>45608</v>
      </c>
      <c r="C3242" s="9" t="n">
        <v>45597</v>
      </c>
      <c r="D3242" s="7" t="n">
        <v>2024</v>
      </c>
      <c r="E3242" s="7" t="inlineStr">
        <is>
          <t>West</t>
        </is>
      </c>
      <c r="F3242" s="7" t="inlineStr">
        <is>
          <t>Office Supplies</t>
        </is>
      </c>
      <c r="G3242" s="7" t="inlineStr">
        <is>
          <t>Paper</t>
        </is>
      </c>
      <c r="H3242" s="7" t="inlineStr">
        <is>
          <t>Consumer</t>
        </is>
      </c>
      <c r="I3242" s="7" t="n">
        <v>3</v>
      </c>
      <c r="J3242" s="10" t="n">
        <v>24.64</v>
      </c>
      <c r="K3242" s="11" t="n">
        <v>0.05</v>
      </c>
      <c r="L3242" s="10">
        <f>I3242*J3242*(1-K3242)</f>
        <v/>
      </c>
      <c r="M3242" s="10" t="n">
        <v>37.5</v>
      </c>
      <c r="N3242" s="10">
        <f>L3242-M3242</f>
        <v/>
      </c>
    </row>
    <row r="3243">
      <c r="A3243" s="7" t="inlineStr">
        <is>
          <t>ORD-03542</t>
        </is>
      </c>
      <c r="B3243" s="8" t="n">
        <v>45608</v>
      </c>
      <c r="C3243" s="9" t="n">
        <v>45597</v>
      </c>
      <c r="D3243" s="7" t="n">
        <v>2024</v>
      </c>
      <c r="E3243" s="7" t="inlineStr">
        <is>
          <t>North</t>
        </is>
      </c>
      <c r="F3243" s="7" t="inlineStr">
        <is>
          <t>Furniture</t>
        </is>
      </c>
      <c r="G3243" s="7" t="inlineStr">
        <is>
          <t>Office Chair</t>
        </is>
      </c>
      <c r="H3243" s="7" t="inlineStr">
        <is>
          <t>Corporate</t>
        </is>
      </c>
      <c r="I3243" s="7" t="n">
        <v>3</v>
      </c>
      <c r="J3243" s="10" t="n">
        <v>224.86</v>
      </c>
      <c r="K3243" s="11" t="n">
        <v>0.1</v>
      </c>
      <c r="L3243" s="10">
        <f>I3243*J3243*(1-K3243)</f>
        <v/>
      </c>
      <c r="M3243" s="10" t="n">
        <v>541.2</v>
      </c>
      <c r="N3243" s="10">
        <f>L3243-M3243</f>
        <v/>
      </c>
    </row>
    <row r="3244">
      <c r="A3244" s="7" t="inlineStr">
        <is>
          <t>ORD-03519</t>
        </is>
      </c>
      <c r="B3244" s="8" t="n">
        <v>45608</v>
      </c>
      <c r="C3244" s="9" t="n">
        <v>45597</v>
      </c>
      <c r="D3244" s="7" t="n">
        <v>2024</v>
      </c>
      <c r="E3244" s="7" t="inlineStr">
        <is>
          <t>West</t>
        </is>
      </c>
      <c r="F3244" s="7" t="inlineStr">
        <is>
          <t>Furniture</t>
        </is>
      </c>
      <c r="G3244" s="7" t="inlineStr">
        <is>
          <t>Office Chair</t>
        </is>
      </c>
      <c r="H3244" s="7" t="inlineStr">
        <is>
          <t>Consumer</t>
        </is>
      </c>
      <c r="I3244" s="7" t="n">
        <v>4</v>
      </c>
      <c r="J3244" s="10" t="n">
        <v>209.85</v>
      </c>
      <c r="K3244" s="11" t="n">
        <v>0</v>
      </c>
      <c r="L3244" s="10">
        <f>I3244*J3244*(1-K3244)</f>
        <v/>
      </c>
      <c r="M3244" s="10" t="n">
        <v>721.6</v>
      </c>
      <c r="N3244" s="10">
        <f>L3244-M3244</f>
        <v/>
      </c>
    </row>
    <row r="3245">
      <c r="A3245" s="7" t="inlineStr">
        <is>
          <t>ORD-01418</t>
        </is>
      </c>
      <c r="B3245" s="8" t="n">
        <v>45608</v>
      </c>
      <c r="C3245" s="9" t="n">
        <v>45597</v>
      </c>
      <c r="D3245" s="7" t="n">
        <v>2024</v>
      </c>
      <c r="E3245" s="7" t="inlineStr">
        <is>
          <t>North</t>
        </is>
      </c>
      <c r="F3245" s="7" t="inlineStr">
        <is>
          <t>Furniture</t>
        </is>
      </c>
      <c r="G3245" s="7" t="inlineStr">
        <is>
          <t>Office Chair</t>
        </is>
      </c>
      <c r="H3245" s="7" t="inlineStr">
        <is>
          <t>Consumer</t>
        </is>
      </c>
      <c r="I3245" s="7" t="n">
        <v>3</v>
      </c>
      <c r="J3245" s="10" t="n">
        <v>214.07</v>
      </c>
      <c r="K3245" s="11" t="n">
        <v>0</v>
      </c>
      <c r="L3245" s="10">
        <f>I3245*J3245*(1-K3245)</f>
        <v/>
      </c>
      <c r="M3245" s="10" t="n">
        <v>541.2</v>
      </c>
      <c r="N3245" s="10">
        <f>L3245-M3245</f>
        <v/>
      </c>
    </row>
    <row r="3246">
      <c r="A3246" s="7" t="inlineStr">
        <is>
          <t>ORD-05691</t>
        </is>
      </c>
      <c r="B3246" s="8" t="n">
        <v>45609</v>
      </c>
      <c r="C3246" s="9" t="n">
        <v>45597</v>
      </c>
      <c r="D3246" s="7" t="n">
        <v>2024</v>
      </c>
      <c r="E3246" s="7" t="inlineStr">
        <is>
          <t>West</t>
        </is>
      </c>
      <c r="F3246" s="7" t="inlineStr">
        <is>
          <t>Furniture</t>
        </is>
      </c>
      <c r="G3246" s="7" t="inlineStr">
        <is>
          <t>Sofa</t>
        </is>
      </c>
      <c r="H3246" s="7" t="inlineStr">
        <is>
          <t>Consumer</t>
        </is>
      </c>
      <c r="I3246" s="7" t="n">
        <v>3</v>
      </c>
      <c r="J3246" s="10" t="n">
        <v>683.1900000000001</v>
      </c>
      <c r="K3246" s="11" t="n">
        <v>0</v>
      </c>
      <c r="L3246" s="10">
        <f>I3246*J3246*(1-K3246)</f>
        <v/>
      </c>
      <c r="M3246" s="10" t="n">
        <v>1848</v>
      </c>
      <c r="N3246" s="10">
        <f>L3246-M3246</f>
        <v/>
      </c>
    </row>
    <row r="3247">
      <c r="A3247" s="7" t="inlineStr">
        <is>
          <t>ORD-03918</t>
        </is>
      </c>
      <c r="B3247" s="8" t="n">
        <v>45609</v>
      </c>
      <c r="C3247" s="9" t="n">
        <v>45597</v>
      </c>
      <c r="D3247" s="7" t="n">
        <v>2024</v>
      </c>
      <c r="E3247" s="7" t="inlineStr">
        <is>
          <t>East</t>
        </is>
      </c>
      <c r="F3247" s="7" t="inlineStr">
        <is>
          <t>Office Supplies</t>
        </is>
      </c>
      <c r="G3247" s="7" t="inlineStr">
        <is>
          <t>Paper</t>
        </is>
      </c>
      <c r="H3247" s="7" t="inlineStr">
        <is>
          <t>Consumer</t>
        </is>
      </c>
      <c r="I3247" s="7" t="n">
        <v>2</v>
      </c>
      <c r="J3247" s="10" t="n">
        <v>25.19</v>
      </c>
      <c r="K3247" s="11" t="n">
        <v>0</v>
      </c>
      <c r="L3247" s="10">
        <f>I3247*J3247*(1-K3247)</f>
        <v/>
      </c>
      <c r="M3247" s="10" t="n">
        <v>25</v>
      </c>
      <c r="N3247" s="10">
        <f>L3247-M3247</f>
        <v/>
      </c>
    </row>
    <row r="3248">
      <c r="A3248" s="7" t="inlineStr">
        <is>
          <t>ORD-04756</t>
        </is>
      </c>
      <c r="B3248" s="8" t="n">
        <v>45609</v>
      </c>
      <c r="C3248" s="9" t="n">
        <v>45597</v>
      </c>
      <c r="D3248" s="7" t="n">
        <v>2024</v>
      </c>
      <c r="E3248" s="7" t="inlineStr">
        <is>
          <t>East</t>
        </is>
      </c>
      <c r="F3248" s="7" t="inlineStr">
        <is>
          <t>Office Supplies</t>
        </is>
      </c>
      <c r="G3248" s="7" t="inlineStr">
        <is>
          <t>Paper</t>
        </is>
      </c>
      <c r="H3248" s="7" t="inlineStr">
        <is>
          <t>Consumer</t>
        </is>
      </c>
      <c r="I3248" s="7" t="n">
        <v>11</v>
      </c>
      <c r="J3248" s="10" t="n">
        <v>25.56</v>
      </c>
      <c r="K3248" s="11" t="n">
        <v>0.2</v>
      </c>
      <c r="L3248" s="10">
        <f>I3248*J3248*(1-K3248)</f>
        <v/>
      </c>
      <c r="M3248" s="10" t="n">
        <v>137.5</v>
      </c>
      <c r="N3248" s="10">
        <f>L3248-M3248</f>
        <v/>
      </c>
    </row>
    <row r="3249">
      <c r="A3249" s="7" t="inlineStr">
        <is>
          <t>ORD-02575</t>
        </is>
      </c>
      <c r="B3249" s="8" t="n">
        <v>45609</v>
      </c>
      <c r="C3249" s="9" t="n">
        <v>45597</v>
      </c>
      <c r="D3249" s="7" t="n">
        <v>2024</v>
      </c>
      <c r="E3249" s="7" t="inlineStr">
        <is>
          <t>North</t>
        </is>
      </c>
      <c r="F3249" s="7" t="inlineStr">
        <is>
          <t>Furniture</t>
        </is>
      </c>
      <c r="G3249" s="7" t="inlineStr">
        <is>
          <t>Desk</t>
        </is>
      </c>
      <c r="H3249" s="7" t="inlineStr">
        <is>
          <t>Consumer</t>
        </is>
      </c>
      <c r="I3249" s="7" t="n">
        <v>1</v>
      </c>
      <c r="J3249" s="10" t="n">
        <v>460.14</v>
      </c>
      <c r="K3249" s="11" t="n">
        <v>0.3</v>
      </c>
      <c r="L3249" s="10">
        <f>I3249*J3249*(1-K3249)</f>
        <v/>
      </c>
      <c r="M3249" s="10" t="n">
        <v>382.5</v>
      </c>
      <c r="N3249" s="10">
        <f>L3249-M3249</f>
        <v/>
      </c>
    </row>
    <row r="3250">
      <c r="A3250" s="7" t="inlineStr">
        <is>
          <t>ORD-01816</t>
        </is>
      </c>
      <c r="B3250" s="8" t="n">
        <v>45609</v>
      </c>
      <c r="C3250" s="9" t="n">
        <v>45597</v>
      </c>
      <c r="D3250" s="7" t="n">
        <v>2024</v>
      </c>
      <c r="E3250" s="7" t="inlineStr">
        <is>
          <t>West</t>
        </is>
      </c>
      <c r="F3250" s="7" t="inlineStr">
        <is>
          <t>Technology</t>
        </is>
      </c>
      <c r="G3250" s="7" t="inlineStr">
        <is>
          <t>Headphones</t>
        </is>
      </c>
      <c r="H3250" s="7" t="inlineStr">
        <is>
          <t>Home Office</t>
        </is>
      </c>
      <c r="I3250" s="7" t="n">
        <v>2</v>
      </c>
      <c r="J3250" s="10" t="n">
        <v>115.34</v>
      </c>
      <c r="K3250" s="11" t="n">
        <v>0.05</v>
      </c>
      <c r="L3250" s="10">
        <f>I3250*J3250*(1-K3250)</f>
        <v/>
      </c>
      <c r="M3250" s="10" t="n">
        <v>144</v>
      </c>
      <c r="N3250" s="10">
        <f>L3250-M3250</f>
        <v/>
      </c>
    </row>
    <row r="3251">
      <c r="A3251" s="7" t="inlineStr">
        <is>
          <t>ORD-01417</t>
        </is>
      </c>
      <c r="B3251" s="8" t="n">
        <v>45609</v>
      </c>
      <c r="C3251" s="9" t="n">
        <v>45597</v>
      </c>
      <c r="D3251" s="7" t="n">
        <v>2024</v>
      </c>
      <c r="E3251" s="7" t="inlineStr">
        <is>
          <t>West</t>
        </is>
      </c>
      <c r="F3251" s="7" t="inlineStr">
        <is>
          <t>Office Supplies</t>
        </is>
      </c>
      <c r="G3251" s="7" t="inlineStr">
        <is>
          <t>Paper</t>
        </is>
      </c>
      <c r="H3251" s="7" t="inlineStr">
        <is>
          <t>Home Office</t>
        </is>
      </c>
      <c r="I3251" s="7" t="n">
        <v>15</v>
      </c>
      <c r="J3251" s="10" t="n">
        <v>24.33</v>
      </c>
      <c r="K3251" s="11" t="n">
        <v>0.1</v>
      </c>
      <c r="L3251" s="10">
        <f>I3251*J3251*(1-K3251)</f>
        <v/>
      </c>
      <c r="M3251" s="10" t="n">
        <v>187.5</v>
      </c>
      <c r="N3251" s="10">
        <f>L3251-M3251</f>
        <v/>
      </c>
    </row>
    <row r="3252">
      <c r="A3252" s="7" t="inlineStr">
        <is>
          <t>ORD-03826</t>
        </is>
      </c>
      <c r="B3252" s="8" t="n">
        <v>45609</v>
      </c>
      <c r="C3252" s="9" t="n">
        <v>45597</v>
      </c>
      <c r="D3252" s="7" t="n">
        <v>2024</v>
      </c>
      <c r="E3252" s="7" t="inlineStr">
        <is>
          <t>West</t>
        </is>
      </c>
      <c r="F3252" s="7" t="inlineStr">
        <is>
          <t>Technology</t>
        </is>
      </c>
      <c r="G3252" s="7" t="inlineStr">
        <is>
          <t>Headphones</t>
        </is>
      </c>
      <c r="H3252" s="7" t="inlineStr">
        <is>
          <t>Corporate</t>
        </is>
      </c>
      <c r="I3252" s="7" t="n">
        <v>2</v>
      </c>
      <c r="J3252" s="10" t="n">
        <v>124.89</v>
      </c>
      <c r="K3252" s="11" t="n">
        <v>0.1</v>
      </c>
      <c r="L3252" s="10">
        <f>I3252*J3252*(1-K3252)</f>
        <v/>
      </c>
      <c r="M3252" s="10" t="n">
        <v>144</v>
      </c>
      <c r="N3252" s="10">
        <f>L3252-M3252</f>
        <v/>
      </c>
    </row>
    <row r="3253">
      <c r="A3253" s="7" t="inlineStr">
        <is>
          <t>ORD-03313</t>
        </is>
      </c>
      <c r="B3253" s="8" t="n">
        <v>45610</v>
      </c>
      <c r="C3253" s="9" t="n">
        <v>45597</v>
      </c>
      <c r="D3253" s="7" t="n">
        <v>2024</v>
      </c>
      <c r="E3253" s="7" t="inlineStr">
        <is>
          <t>West</t>
        </is>
      </c>
      <c r="F3253" s="7" t="inlineStr">
        <is>
          <t>Office Supplies</t>
        </is>
      </c>
      <c r="G3253" s="7" t="inlineStr">
        <is>
          <t>Printer Ink</t>
        </is>
      </c>
      <c r="H3253" s="7" t="inlineStr">
        <is>
          <t>Consumer</t>
        </is>
      </c>
      <c r="I3253" s="7" t="n">
        <v>15</v>
      </c>
      <c r="J3253" s="10" t="n">
        <v>62.45</v>
      </c>
      <c r="K3253" s="11" t="n">
        <v>0.05</v>
      </c>
      <c r="L3253" s="10">
        <f>I3253*J3253*(1-K3253)</f>
        <v/>
      </c>
      <c r="M3253" s="10" t="n">
        <v>540</v>
      </c>
      <c r="N3253" s="10">
        <f>L3253-M3253</f>
        <v/>
      </c>
    </row>
    <row r="3254">
      <c r="A3254" s="7" t="inlineStr">
        <is>
          <t>ORD-05957</t>
        </is>
      </c>
      <c r="B3254" s="8" t="n">
        <v>45610</v>
      </c>
      <c r="C3254" s="9" t="n">
        <v>45597</v>
      </c>
      <c r="D3254" s="7" t="n">
        <v>2024</v>
      </c>
      <c r="E3254" s="7" t="inlineStr">
        <is>
          <t>South</t>
        </is>
      </c>
      <c r="F3254" s="7" t="inlineStr">
        <is>
          <t>Furniture</t>
        </is>
      </c>
      <c r="G3254" s="7" t="inlineStr">
        <is>
          <t>Sofa</t>
        </is>
      </c>
      <c r="H3254" s="7" t="inlineStr">
        <is>
          <t>Corporate</t>
        </is>
      </c>
      <c r="I3254" s="7" t="n">
        <v>1</v>
      </c>
      <c r="J3254" s="10" t="n">
        <v>699.5</v>
      </c>
      <c r="K3254" s="11" t="n">
        <v>0.2</v>
      </c>
      <c r="L3254" s="10">
        <f>I3254*J3254*(1-K3254)</f>
        <v/>
      </c>
      <c r="M3254" s="10" t="n">
        <v>616</v>
      </c>
      <c r="N3254" s="10">
        <f>L3254-M3254</f>
        <v/>
      </c>
    </row>
    <row r="3255">
      <c r="A3255" s="7" t="inlineStr">
        <is>
          <t>ORD-03089</t>
        </is>
      </c>
      <c r="B3255" s="8" t="n">
        <v>45610</v>
      </c>
      <c r="C3255" s="9" t="n">
        <v>45597</v>
      </c>
      <c r="D3255" s="7" t="n">
        <v>2024</v>
      </c>
      <c r="E3255" s="7" t="inlineStr">
        <is>
          <t>East</t>
        </is>
      </c>
      <c r="F3255" s="7" t="inlineStr">
        <is>
          <t>Office Supplies</t>
        </is>
      </c>
      <c r="G3255" s="7" t="inlineStr">
        <is>
          <t>Stapler</t>
        </is>
      </c>
      <c r="H3255" s="7" t="inlineStr">
        <is>
          <t>Consumer</t>
        </is>
      </c>
      <c r="I3255" s="7" t="n">
        <v>8</v>
      </c>
      <c r="J3255" s="10" t="n">
        <v>14.56</v>
      </c>
      <c r="K3255" s="11" t="n">
        <v>0</v>
      </c>
      <c r="L3255" s="10">
        <f>I3255*J3255*(1-K3255)</f>
        <v/>
      </c>
      <c r="M3255" s="10" t="n">
        <v>60</v>
      </c>
      <c r="N3255" s="10">
        <f>L3255-M3255</f>
        <v/>
      </c>
    </row>
    <row r="3256">
      <c r="A3256" s="7" t="inlineStr">
        <is>
          <t>ORD-04034</t>
        </is>
      </c>
      <c r="B3256" s="8" t="n">
        <v>45610</v>
      </c>
      <c r="C3256" s="9" t="n">
        <v>45597</v>
      </c>
      <c r="D3256" s="7" t="n">
        <v>2024</v>
      </c>
      <c r="E3256" s="7" t="inlineStr">
        <is>
          <t>West</t>
        </is>
      </c>
      <c r="F3256" s="7" t="inlineStr">
        <is>
          <t>Office Supplies</t>
        </is>
      </c>
      <c r="G3256" s="7" t="inlineStr">
        <is>
          <t>Paper</t>
        </is>
      </c>
      <c r="H3256" s="7" t="inlineStr">
        <is>
          <t>Consumer</t>
        </is>
      </c>
      <c r="I3256" s="7" t="n">
        <v>7</v>
      </c>
      <c r="J3256" s="10" t="n">
        <v>24.94</v>
      </c>
      <c r="K3256" s="11" t="n">
        <v>0.3</v>
      </c>
      <c r="L3256" s="10">
        <f>I3256*J3256*(1-K3256)</f>
        <v/>
      </c>
      <c r="M3256" s="10" t="n">
        <v>87.5</v>
      </c>
      <c r="N3256" s="10">
        <f>L3256-M3256</f>
        <v/>
      </c>
    </row>
    <row r="3257">
      <c r="A3257" s="7" t="inlineStr">
        <is>
          <t>ORD-02048</t>
        </is>
      </c>
      <c r="B3257" s="8" t="n">
        <v>45610</v>
      </c>
      <c r="C3257" s="9" t="n">
        <v>45597</v>
      </c>
      <c r="D3257" s="7" t="n">
        <v>2024</v>
      </c>
      <c r="E3257" s="7" t="inlineStr">
        <is>
          <t>North</t>
        </is>
      </c>
      <c r="F3257" s="7" t="inlineStr">
        <is>
          <t>Technology</t>
        </is>
      </c>
      <c r="G3257" s="7" t="inlineStr">
        <is>
          <t>Monitor</t>
        </is>
      </c>
      <c r="H3257" s="7" t="inlineStr">
        <is>
          <t>Home Office</t>
        </is>
      </c>
      <c r="I3257" s="7" t="n">
        <v>1</v>
      </c>
      <c r="J3257" s="10" t="n">
        <v>256.01</v>
      </c>
      <c r="K3257" s="11" t="n">
        <v>0.1</v>
      </c>
      <c r="L3257" s="10">
        <f>I3257*J3257*(1-K3257)</f>
        <v/>
      </c>
      <c r="M3257" s="10" t="n">
        <v>180</v>
      </c>
      <c r="N3257" s="10">
        <f>L3257-M3257</f>
        <v/>
      </c>
    </row>
    <row r="3258">
      <c r="A3258" s="7" t="inlineStr">
        <is>
          <t>ORD-04053</t>
        </is>
      </c>
      <c r="B3258" s="8" t="n">
        <v>45610</v>
      </c>
      <c r="C3258" s="9" t="n">
        <v>45597</v>
      </c>
      <c r="D3258" s="7" t="n">
        <v>2024</v>
      </c>
      <c r="E3258" s="7" t="inlineStr">
        <is>
          <t>South</t>
        </is>
      </c>
      <c r="F3258" s="7" t="inlineStr">
        <is>
          <t>Office Supplies</t>
        </is>
      </c>
      <c r="G3258" s="7" t="inlineStr">
        <is>
          <t>Paper</t>
        </is>
      </c>
      <c r="H3258" s="7" t="inlineStr">
        <is>
          <t>Home Office</t>
        </is>
      </c>
      <c r="I3258" s="7" t="n">
        <v>5</v>
      </c>
      <c r="J3258" s="10" t="n">
        <v>25.15</v>
      </c>
      <c r="K3258" s="11" t="n">
        <v>0.2</v>
      </c>
      <c r="L3258" s="10">
        <f>I3258*J3258*(1-K3258)</f>
        <v/>
      </c>
      <c r="M3258" s="10" t="n">
        <v>62.5</v>
      </c>
      <c r="N3258" s="10">
        <f>L3258-M3258</f>
        <v/>
      </c>
    </row>
    <row r="3259">
      <c r="A3259" s="7" t="inlineStr">
        <is>
          <t>ORD-03909</t>
        </is>
      </c>
      <c r="B3259" s="8" t="n">
        <v>45610</v>
      </c>
      <c r="C3259" s="9" t="n">
        <v>45597</v>
      </c>
      <c r="D3259" s="7" t="n">
        <v>2024</v>
      </c>
      <c r="E3259" s="7" t="inlineStr">
        <is>
          <t>West</t>
        </is>
      </c>
      <c r="F3259" s="7" t="inlineStr">
        <is>
          <t>Office Supplies</t>
        </is>
      </c>
      <c r="G3259" s="7" t="inlineStr">
        <is>
          <t>Binder</t>
        </is>
      </c>
      <c r="H3259" s="7" t="inlineStr">
        <is>
          <t>Consumer</t>
        </is>
      </c>
      <c r="I3259" s="7" t="n">
        <v>10</v>
      </c>
      <c r="J3259" s="10" t="n">
        <v>7.84</v>
      </c>
      <c r="K3259" s="11" t="n">
        <v>0</v>
      </c>
      <c r="L3259" s="10">
        <f>I3259*J3259*(1-K3259)</f>
        <v/>
      </c>
      <c r="M3259" s="10" t="n">
        <v>32</v>
      </c>
      <c r="N3259" s="10">
        <f>L3259-M3259</f>
        <v/>
      </c>
    </row>
    <row r="3260">
      <c r="A3260" s="7" t="inlineStr">
        <is>
          <t>ORD-02354</t>
        </is>
      </c>
      <c r="B3260" s="8" t="n">
        <v>45611</v>
      </c>
      <c r="C3260" s="9" t="n">
        <v>45597</v>
      </c>
      <c r="D3260" s="7" t="n">
        <v>2024</v>
      </c>
      <c r="E3260" s="7" t="inlineStr">
        <is>
          <t>West</t>
        </is>
      </c>
      <c r="F3260" s="7" t="inlineStr">
        <is>
          <t>Technology</t>
        </is>
      </c>
      <c r="G3260" s="7" t="inlineStr">
        <is>
          <t>Smartphone</t>
        </is>
      </c>
      <c r="H3260" s="7" t="inlineStr">
        <is>
          <t>Consumer</t>
        </is>
      </c>
      <c r="I3260" s="7" t="n">
        <v>2</v>
      </c>
      <c r="J3260" s="10" t="n">
        <v>627.17</v>
      </c>
      <c r="K3260" s="11" t="n">
        <v>0.2</v>
      </c>
      <c r="L3260" s="10">
        <f>I3260*J3260*(1-K3260)</f>
        <v/>
      </c>
      <c r="M3260" s="10" t="n">
        <v>900</v>
      </c>
      <c r="N3260" s="10">
        <f>L3260-M3260</f>
        <v/>
      </c>
    </row>
    <row r="3261">
      <c r="A3261" s="7" t="inlineStr">
        <is>
          <t>ORD-02885</t>
        </is>
      </c>
      <c r="B3261" s="8" t="n">
        <v>45611</v>
      </c>
      <c r="C3261" s="9" t="n">
        <v>45597</v>
      </c>
      <c r="D3261" s="7" t="n">
        <v>2024</v>
      </c>
      <c r="E3261" s="7" t="inlineStr">
        <is>
          <t>East</t>
        </is>
      </c>
      <c r="F3261" s="7" t="inlineStr">
        <is>
          <t>Office Supplies</t>
        </is>
      </c>
      <c r="G3261" s="7" t="inlineStr">
        <is>
          <t>Binder</t>
        </is>
      </c>
      <c r="H3261" s="7" t="inlineStr">
        <is>
          <t>Corporate</t>
        </is>
      </c>
      <c r="I3261" s="7" t="n">
        <v>8</v>
      </c>
      <c r="J3261" s="10" t="n">
        <v>8.130000000000001</v>
      </c>
      <c r="K3261" s="11" t="n">
        <v>0</v>
      </c>
      <c r="L3261" s="10">
        <f>I3261*J3261*(1-K3261)</f>
        <v/>
      </c>
      <c r="M3261" s="10" t="n">
        <v>25.6</v>
      </c>
      <c r="N3261" s="10">
        <f>L3261-M3261</f>
        <v/>
      </c>
    </row>
    <row r="3262">
      <c r="A3262" s="7" t="inlineStr">
        <is>
          <t>ORD-04016</t>
        </is>
      </c>
      <c r="B3262" s="8" t="n">
        <v>45611</v>
      </c>
      <c r="C3262" s="9" t="n">
        <v>45597</v>
      </c>
      <c r="D3262" s="7" t="n">
        <v>2024</v>
      </c>
      <c r="E3262" s="7" t="inlineStr">
        <is>
          <t>West</t>
        </is>
      </c>
      <c r="F3262" s="7" t="inlineStr">
        <is>
          <t>Office Supplies</t>
        </is>
      </c>
      <c r="G3262" s="7" t="inlineStr">
        <is>
          <t>Paper</t>
        </is>
      </c>
      <c r="H3262" s="7" t="inlineStr">
        <is>
          <t>Consumer</t>
        </is>
      </c>
      <c r="I3262" s="7" t="n">
        <v>4</v>
      </c>
      <c r="J3262" s="10" t="n">
        <v>26.12</v>
      </c>
      <c r="K3262" s="11" t="n">
        <v>0</v>
      </c>
      <c r="L3262" s="10">
        <f>I3262*J3262*(1-K3262)</f>
        <v/>
      </c>
      <c r="M3262" s="10" t="n">
        <v>50</v>
      </c>
      <c r="N3262" s="10">
        <f>L3262-M3262</f>
        <v/>
      </c>
    </row>
    <row r="3263">
      <c r="A3263" s="7" t="inlineStr">
        <is>
          <t>ORD-01879</t>
        </is>
      </c>
      <c r="B3263" s="8" t="n">
        <v>45611</v>
      </c>
      <c r="C3263" s="9" t="n">
        <v>45597</v>
      </c>
      <c r="D3263" s="7" t="n">
        <v>2024</v>
      </c>
      <c r="E3263" s="7" t="inlineStr">
        <is>
          <t>North</t>
        </is>
      </c>
      <c r="F3263" s="7" t="inlineStr">
        <is>
          <t>Technology</t>
        </is>
      </c>
      <c r="G3263" s="7" t="inlineStr">
        <is>
          <t>Monitor</t>
        </is>
      </c>
      <c r="H3263" s="7" t="inlineStr">
        <is>
          <t>Corporate</t>
        </is>
      </c>
      <c r="I3263" s="7" t="n">
        <v>3</v>
      </c>
      <c r="J3263" s="10" t="n">
        <v>247.78</v>
      </c>
      <c r="K3263" s="11" t="n">
        <v>0.2</v>
      </c>
      <c r="L3263" s="10">
        <f>I3263*J3263*(1-K3263)</f>
        <v/>
      </c>
      <c r="M3263" s="10" t="n">
        <v>540</v>
      </c>
      <c r="N3263" s="10">
        <f>L3263-M3263</f>
        <v/>
      </c>
    </row>
    <row r="3264">
      <c r="A3264" s="7" t="inlineStr">
        <is>
          <t>ORD-05605</t>
        </is>
      </c>
      <c r="B3264" s="8" t="n">
        <v>45611</v>
      </c>
      <c r="C3264" s="9" t="n">
        <v>45597</v>
      </c>
      <c r="D3264" s="7" t="n">
        <v>2024</v>
      </c>
      <c r="E3264" s="7" t="inlineStr">
        <is>
          <t>West</t>
        </is>
      </c>
      <c r="F3264" s="7" t="inlineStr">
        <is>
          <t>Office Supplies</t>
        </is>
      </c>
      <c r="G3264" s="7" t="inlineStr">
        <is>
          <t>Binder</t>
        </is>
      </c>
      <c r="H3264" s="7" t="inlineStr">
        <is>
          <t>Consumer</t>
        </is>
      </c>
      <c r="I3264" s="7" t="n">
        <v>14</v>
      </c>
      <c r="J3264" s="10" t="n">
        <v>8.279999999999999</v>
      </c>
      <c r="K3264" s="11" t="n">
        <v>0.3</v>
      </c>
      <c r="L3264" s="10">
        <f>I3264*J3264*(1-K3264)</f>
        <v/>
      </c>
      <c r="M3264" s="10" t="n">
        <v>44.8</v>
      </c>
      <c r="N3264" s="10">
        <f>L3264-M3264</f>
        <v/>
      </c>
    </row>
    <row r="3265">
      <c r="A3265" s="7" t="inlineStr">
        <is>
          <t>ORD-05057</t>
        </is>
      </c>
      <c r="B3265" s="8" t="n">
        <v>45612</v>
      </c>
      <c r="C3265" s="9" t="n">
        <v>45597</v>
      </c>
      <c r="D3265" s="7" t="n">
        <v>2024</v>
      </c>
      <c r="E3265" s="7" t="inlineStr">
        <is>
          <t>West</t>
        </is>
      </c>
      <c r="F3265" s="7" t="inlineStr">
        <is>
          <t>Office Supplies</t>
        </is>
      </c>
      <c r="G3265" s="7" t="inlineStr">
        <is>
          <t>Paper</t>
        </is>
      </c>
      <c r="H3265" s="7" t="inlineStr">
        <is>
          <t>Home Office</t>
        </is>
      </c>
      <c r="I3265" s="7" t="n">
        <v>3</v>
      </c>
      <c r="J3265" s="10" t="n">
        <v>24.96</v>
      </c>
      <c r="K3265" s="11" t="n">
        <v>0</v>
      </c>
      <c r="L3265" s="10">
        <f>I3265*J3265*(1-K3265)</f>
        <v/>
      </c>
      <c r="M3265" s="10" t="n">
        <v>37.5</v>
      </c>
      <c r="N3265" s="10">
        <f>L3265-M3265</f>
        <v/>
      </c>
    </row>
    <row r="3266">
      <c r="A3266" s="7" t="inlineStr">
        <is>
          <t>ORD-04618</t>
        </is>
      </c>
      <c r="B3266" s="8" t="n">
        <v>45612</v>
      </c>
      <c r="C3266" s="9" t="n">
        <v>45597</v>
      </c>
      <c r="D3266" s="7" t="n">
        <v>2024</v>
      </c>
      <c r="E3266" s="7" t="inlineStr">
        <is>
          <t>South</t>
        </is>
      </c>
      <c r="F3266" s="7" t="inlineStr">
        <is>
          <t>Office Supplies</t>
        </is>
      </c>
      <c r="G3266" s="7" t="inlineStr">
        <is>
          <t>Paper</t>
        </is>
      </c>
      <c r="H3266" s="7" t="inlineStr">
        <is>
          <t>Home Office</t>
        </is>
      </c>
      <c r="I3266" s="7" t="n">
        <v>7</v>
      </c>
      <c r="J3266" s="10" t="n">
        <v>25.56</v>
      </c>
      <c r="K3266" s="11" t="n">
        <v>0.1</v>
      </c>
      <c r="L3266" s="10">
        <f>I3266*J3266*(1-K3266)</f>
        <v/>
      </c>
      <c r="M3266" s="10" t="n">
        <v>87.5</v>
      </c>
      <c r="N3266" s="10">
        <f>L3266-M3266</f>
        <v/>
      </c>
    </row>
    <row r="3267">
      <c r="A3267" s="7" t="inlineStr">
        <is>
          <t>ORD-05674</t>
        </is>
      </c>
      <c r="B3267" s="8" t="n">
        <v>45612</v>
      </c>
      <c r="C3267" s="9" t="n">
        <v>45597</v>
      </c>
      <c r="D3267" s="7" t="n">
        <v>2024</v>
      </c>
      <c r="E3267" s="7" t="inlineStr">
        <is>
          <t>South</t>
        </is>
      </c>
      <c r="F3267" s="7" t="inlineStr">
        <is>
          <t>Office Supplies</t>
        </is>
      </c>
      <c r="G3267" s="7" t="inlineStr">
        <is>
          <t>Stapler</t>
        </is>
      </c>
      <c r="H3267" s="7" t="inlineStr">
        <is>
          <t>Consumer</t>
        </is>
      </c>
      <c r="I3267" s="7" t="n">
        <v>7</v>
      </c>
      <c r="J3267" s="10" t="n">
        <v>15.67</v>
      </c>
      <c r="K3267" s="11" t="n">
        <v>0.1</v>
      </c>
      <c r="L3267" s="10">
        <f>I3267*J3267*(1-K3267)</f>
        <v/>
      </c>
      <c r="M3267" s="10" t="n">
        <v>52.5</v>
      </c>
      <c r="N3267" s="10">
        <f>L3267-M3267</f>
        <v/>
      </c>
    </row>
    <row r="3268">
      <c r="A3268" s="7" t="inlineStr">
        <is>
          <t>ORD-02519</t>
        </is>
      </c>
      <c r="B3268" s="8" t="n">
        <v>45612</v>
      </c>
      <c r="C3268" s="9" t="n">
        <v>45597</v>
      </c>
      <c r="D3268" s="7" t="n">
        <v>2024</v>
      </c>
      <c r="E3268" s="7" t="inlineStr">
        <is>
          <t>East</t>
        </is>
      </c>
      <c r="F3268" s="7" t="inlineStr">
        <is>
          <t>Office Supplies</t>
        </is>
      </c>
      <c r="G3268" s="7" t="inlineStr">
        <is>
          <t>Stapler</t>
        </is>
      </c>
      <c r="H3268" s="7" t="inlineStr">
        <is>
          <t>Consumer</t>
        </is>
      </c>
      <c r="I3268" s="7" t="n">
        <v>2</v>
      </c>
      <c r="J3268" s="10" t="n">
        <v>15.71</v>
      </c>
      <c r="K3268" s="11" t="n">
        <v>0</v>
      </c>
      <c r="L3268" s="10">
        <f>I3268*J3268*(1-K3268)</f>
        <v/>
      </c>
      <c r="M3268" s="10" t="n">
        <v>15</v>
      </c>
      <c r="N3268" s="10">
        <f>L3268-M3268</f>
        <v/>
      </c>
    </row>
    <row r="3269">
      <c r="A3269" s="7" t="inlineStr">
        <is>
          <t>ORD-00496</t>
        </is>
      </c>
      <c r="B3269" s="8" t="n">
        <v>45612</v>
      </c>
      <c r="C3269" s="9" t="n">
        <v>45597</v>
      </c>
      <c r="D3269" s="7" t="n">
        <v>2024</v>
      </c>
      <c r="E3269" s="7" t="inlineStr">
        <is>
          <t>West</t>
        </is>
      </c>
      <c r="F3269" s="7" t="inlineStr">
        <is>
          <t>Office Supplies</t>
        </is>
      </c>
      <c r="G3269" s="7" t="inlineStr">
        <is>
          <t>Binder</t>
        </is>
      </c>
      <c r="H3269" s="7" t="inlineStr">
        <is>
          <t>Home Office</t>
        </is>
      </c>
      <c r="I3269" s="7" t="n">
        <v>13</v>
      </c>
      <c r="J3269" s="10" t="n">
        <v>7.72</v>
      </c>
      <c r="K3269" s="11" t="n">
        <v>0</v>
      </c>
      <c r="L3269" s="10">
        <f>I3269*J3269*(1-K3269)</f>
        <v/>
      </c>
      <c r="M3269" s="10" t="n">
        <v>41.6</v>
      </c>
      <c r="N3269" s="10">
        <f>L3269-M3269</f>
        <v/>
      </c>
    </row>
    <row r="3270">
      <c r="A3270" s="7" t="inlineStr">
        <is>
          <t>ORD-05778</t>
        </is>
      </c>
      <c r="B3270" s="8" t="n">
        <v>45612</v>
      </c>
      <c r="C3270" s="9" t="n">
        <v>45597</v>
      </c>
      <c r="D3270" s="7" t="n">
        <v>2024</v>
      </c>
      <c r="E3270" s="7" t="inlineStr">
        <is>
          <t>East</t>
        </is>
      </c>
      <c r="F3270" s="7" t="inlineStr">
        <is>
          <t>Office Supplies</t>
        </is>
      </c>
      <c r="G3270" s="7" t="inlineStr">
        <is>
          <t>Binder</t>
        </is>
      </c>
      <c r="H3270" s="7" t="inlineStr">
        <is>
          <t>Consumer</t>
        </is>
      </c>
      <c r="I3270" s="7" t="n">
        <v>8</v>
      </c>
      <c r="J3270" s="10" t="n">
        <v>8.369999999999999</v>
      </c>
      <c r="K3270" s="11" t="n">
        <v>0.05</v>
      </c>
      <c r="L3270" s="10">
        <f>I3270*J3270*(1-K3270)</f>
        <v/>
      </c>
      <c r="M3270" s="10" t="n">
        <v>25.6</v>
      </c>
      <c r="N3270" s="10">
        <f>L3270-M3270</f>
        <v/>
      </c>
    </row>
    <row r="3271">
      <c r="A3271" s="7" t="inlineStr">
        <is>
          <t>ORD-02988</t>
        </is>
      </c>
      <c r="B3271" s="8" t="n">
        <v>45612</v>
      </c>
      <c r="C3271" s="9" t="n">
        <v>45597</v>
      </c>
      <c r="D3271" s="7" t="n">
        <v>2024</v>
      </c>
      <c r="E3271" s="7" t="inlineStr">
        <is>
          <t>North</t>
        </is>
      </c>
      <c r="F3271" s="7" t="inlineStr">
        <is>
          <t>Technology</t>
        </is>
      </c>
      <c r="G3271" s="7" t="inlineStr">
        <is>
          <t>Keyboard</t>
        </is>
      </c>
      <c r="H3271" s="7" t="inlineStr">
        <is>
          <t>Consumer</t>
        </is>
      </c>
      <c r="I3271" s="7" t="n">
        <v>1</v>
      </c>
      <c r="J3271" s="10" t="n">
        <v>43.08</v>
      </c>
      <c r="K3271" s="11" t="n">
        <v>0</v>
      </c>
      <c r="L3271" s="10">
        <f>I3271*J3271*(1-K3271)</f>
        <v/>
      </c>
      <c r="M3271" s="10" t="n">
        <v>24.75</v>
      </c>
      <c r="N3271" s="10">
        <f>L3271-M3271</f>
        <v/>
      </c>
    </row>
    <row r="3272">
      <c r="A3272" s="7" t="inlineStr">
        <is>
          <t>ORD-01914</t>
        </is>
      </c>
      <c r="B3272" s="8" t="n">
        <v>45612</v>
      </c>
      <c r="C3272" s="9" t="n">
        <v>45597</v>
      </c>
      <c r="D3272" s="7" t="n">
        <v>2024</v>
      </c>
      <c r="E3272" s="7" t="inlineStr">
        <is>
          <t>North</t>
        </is>
      </c>
      <c r="F3272" s="7" t="inlineStr">
        <is>
          <t>Office Supplies</t>
        </is>
      </c>
      <c r="G3272" s="7" t="inlineStr">
        <is>
          <t>Pens</t>
        </is>
      </c>
      <c r="H3272" s="7" t="inlineStr">
        <is>
          <t>Consumer</t>
        </is>
      </c>
      <c r="I3272" s="7" t="n">
        <v>4</v>
      </c>
      <c r="J3272" s="10" t="n">
        <v>12.35</v>
      </c>
      <c r="K3272" s="11" t="n">
        <v>0</v>
      </c>
      <c r="L3272" s="10">
        <f>I3272*J3272*(1-K3272)</f>
        <v/>
      </c>
      <c r="M3272" s="10" t="n">
        <v>21.6</v>
      </c>
      <c r="N3272" s="10">
        <f>L3272-M3272</f>
        <v/>
      </c>
    </row>
    <row r="3273">
      <c r="A3273" s="7" t="inlineStr">
        <is>
          <t>ORD-05542</t>
        </is>
      </c>
      <c r="B3273" s="8" t="n">
        <v>45612</v>
      </c>
      <c r="C3273" s="9" t="n">
        <v>45597</v>
      </c>
      <c r="D3273" s="7" t="n">
        <v>2024</v>
      </c>
      <c r="E3273" s="7" t="inlineStr">
        <is>
          <t>West</t>
        </is>
      </c>
      <c r="F3273" s="7" t="inlineStr">
        <is>
          <t>Furniture</t>
        </is>
      </c>
      <c r="G3273" s="7" t="inlineStr">
        <is>
          <t>Office Chair</t>
        </is>
      </c>
      <c r="H3273" s="7" t="inlineStr">
        <is>
          <t>Consumer</t>
        </is>
      </c>
      <c r="I3273" s="7" t="n">
        <v>3</v>
      </c>
      <c r="J3273" s="10" t="n">
        <v>226.77</v>
      </c>
      <c r="K3273" s="11" t="n">
        <v>0</v>
      </c>
      <c r="L3273" s="10">
        <f>I3273*J3273*(1-K3273)</f>
        <v/>
      </c>
      <c r="M3273" s="10" t="n">
        <v>541.2</v>
      </c>
      <c r="N3273" s="10">
        <f>L3273-M3273</f>
        <v/>
      </c>
    </row>
    <row r="3274">
      <c r="A3274" s="7" t="inlineStr">
        <is>
          <t>ORD-03387</t>
        </is>
      </c>
      <c r="B3274" s="8" t="n">
        <v>45612</v>
      </c>
      <c r="C3274" s="9" t="n">
        <v>45597</v>
      </c>
      <c r="D3274" s="7" t="n">
        <v>2024</v>
      </c>
      <c r="E3274" s="7" t="inlineStr">
        <is>
          <t>North</t>
        </is>
      </c>
      <c r="F3274" s="7" t="inlineStr">
        <is>
          <t>Office Supplies</t>
        </is>
      </c>
      <c r="G3274" s="7" t="inlineStr">
        <is>
          <t>Pens</t>
        </is>
      </c>
      <c r="H3274" s="7" t="inlineStr">
        <is>
          <t>Consumer</t>
        </is>
      </c>
      <c r="I3274" s="7" t="n">
        <v>3</v>
      </c>
      <c r="J3274" s="10" t="n">
        <v>11.93</v>
      </c>
      <c r="K3274" s="11" t="n">
        <v>0.3</v>
      </c>
      <c r="L3274" s="10">
        <f>I3274*J3274*(1-K3274)</f>
        <v/>
      </c>
      <c r="M3274" s="10" t="n">
        <v>16.2</v>
      </c>
      <c r="N3274" s="10">
        <f>L3274-M3274</f>
        <v/>
      </c>
    </row>
    <row r="3275">
      <c r="A3275" s="7" t="inlineStr">
        <is>
          <t>ORD-02883</t>
        </is>
      </c>
      <c r="B3275" s="8" t="n">
        <v>45612</v>
      </c>
      <c r="C3275" s="9" t="n">
        <v>45597</v>
      </c>
      <c r="D3275" s="7" t="n">
        <v>2024</v>
      </c>
      <c r="E3275" s="7" t="inlineStr">
        <is>
          <t>South</t>
        </is>
      </c>
      <c r="F3275" s="7" t="inlineStr">
        <is>
          <t>Office Supplies</t>
        </is>
      </c>
      <c r="G3275" s="7" t="inlineStr">
        <is>
          <t>Pens</t>
        </is>
      </c>
      <c r="H3275" s="7" t="inlineStr">
        <is>
          <t>Consumer</t>
        </is>
      </c>
      <c r="I3275" s="7" t="n">
        <v>3</v>
      </c>
      <c r="J3275" s="10" t="n">
        <v>11.8</v>
      </c>
      <c r="K3275" s="11" t="n">
        <v>0</v>
      </c>
      <c r="L3275" s="10">
        <f>I3275*J3275*(1-K3275)</f>
        <v/>
      </c>
      <c r="M3275" s="10" t="n">
        <v>16.2</v>
      </c>
      <c r="N3275" s="10">
        <f>L3275-M3275</f>
        <v/>
      </c>
    </row>
    <row r="3276">
      <c r="A3276" s="7" t="inlineStr">
        <is>
          <t>ORD-05835</t>
        </is>
      </c>
      <c r="B3276" s="8" t="n">
        <v>45612</v>
      </c>
      <c r="C3276" s="9" t="n">
        <v>45597</v>
      </c>
      <c r="D3276" s="7" t="n">
        <v>2024</v>
      </c>
      <c r="E3276" s="7" t="inlineStr">
        <is>
          <t>West</t>
        </is>
      </c>
      <c r="F3276" s="7" t="inlineStr">
        <is>
          <t>Office Supplies</t>
        </is>
      </c>
      <c r="G3276" s="7" t="inlineStr">
        <is>
          <t>Paper</t>
        </is>
      </c>
      <c r="H3276" s="7" t="inlineStr">
        <is>
          <t>Corporate</t>
        </is>
      </c>
      <c r="I3276" s="7" t="n">
        <v>5</v>
      </c>
      <c r="J3276" s="10" t="n">
        <v>26.02</v>
      </c>
      <c r="K3276" s="11" t="n">
        <v>0</v>
      </c>
      <c r="L3276" s="10">
        <f>I3276*J3276*(1-K3276)</f>
        <v/>
      </c>
      <c r="M3276" s="10" t="n">
        <v>62.5</v>
      </c>
      <c r="N3276" s="10">
        <f>L3276-M3276</f>
        <v/>
      </c>
    </row>
    <row r="3277">
      <c r="A3277" s="7" t="inlineStr">
        <is>
          <t>ORD-01202</t>
        </is>
      </c>
      <c r="B3277" s="8" t="n">
        <v>45613</v>
      </c>
      <c r="C3277" s="9" t="n">
        <v>45597</v>
      </c>
      <c r="D3277" s="7" t="n">
        <v>2024</v>
      </c>
      <c r="E3277" s="7" t="inlineStr">
        <is>
          <t>East</t>
        </is>
      </c>
      <c r="F3277" s="7" t="inlineStr">
        <is>
          <t>Office Supplies</t>
        </is>
      </c>
      <c r="G3277" s="7" t="inlineStr">
        <is>
          <t>Paper</t>
        </is>
      </c>
      <c r="H3277" s="7" t="inlineStr">
        <is>
          <t>Consumer</t>
        </is>
      </c>
      <c r="I3277" s="7" t="n">
        <v>6</v>
      </c>
      <c r="J3277" s="10" t="n">
        <v>25.57</v>
      </c>
      <c r="K3277" s="11" t="n">
        <v>0</v>
      </c>
      <c r="L3277" s="10">
        <f>I3277*J3277*(1-K3277)</f>
        <v/>
      </c>
      <c r="M3277" s="10" t="n">
        <v>75</v>
      </c>
      <c r="N3277" s="10">
        <f>L3277-M3277</f>
        <v/>
      </c>
    </row>
    <row r="3278">
      <c r="A3278" s="7" t="inlineStr">
        <is>
          <t>ORD-01957</t>
        </is>
      </c>
      <c r="B3278" s="8" t="n">
        <v>45613</v>
      </c>
      <c r="C3278" s="9" t="n">
        <v>45597</v>
      </c>
      <c r="D3278" s="7" t="n">
        <v>2024</v>
      </c>
      <c r="E3278" s="7" t="inlineStr">
        <is>
          <t>East</t>
        </is>
      </c>
      <c r="F3278" s="7" t="inlineStr">
        <is>
          <t>Technology</t>
        </is>
      </c>
      <c r="G3278" s="7" t="inlineStr">
        <is>
          <t>Smartphone</t>
        </is>
      </c>
      <c r="H3278" s="7" t="inlineStr">
        <is>
          <t>Consumer</t>
        </is>
      </c>
      <c r="I3278" s="7" t="n">
        <v>1</v>
      </c>
      <c r="J3278" s="10" t="n">
        <v>588.72</v>
      </c>
      <c r="K3278" s="11" t="n">
        <v>0.2</v>
      </c>
      <c r="L3278" s="10">
        <f>I3278*J3278*(1-K3278)</f>
        <v/>
      </c>
      <c r="M3278" s="10" t="n">
        <v>450</v>
      </c>
      <c r="N3278" s="10">
        <f>L3278-M3278</f>
        <v/>
      </c>
    </row>
    <row r="3279">
      <c r="A3279" s="7" t="inlineStr">
        <is>
          <t>ORD-04530</t>
        </is>
      </c>
      <c r="B3279" s="8" t="n">
        <v>45613</v>
      </c>
      <c r="C3279" s="9" t="n">
        <v>45597</v>
      </c>
      <c r="D3279" s="7" t="n">
        <v>2024</v>
      </c>
      <c r="E3279" s="7" t="inlineStr">
        <is>
          <t>East</t>
        </is>
      </c>
      <c r="F3279" s="7" t="inlineStr">
        <is>
          <t>Technology</t>
        </is>
      </c>
      <c r="G3279" s="7" t="inlineStr">
        <is>
          <t>Headphones</t>
        </is>
      </c>
      <c r="H3279" s="7" t="inlineStr">
        <is>
          <t>Consumer</t>
        </is>
      </c>
      <c r="I3279" s="7" t="n">
        <v>2</v>
      </c>
      <c r="J3279" s="10" t="n">
        <v>124.96</v>
      </c>
      <c r="K3279" s="11" t="n">
        <v>0.3</v>
      </c>
      <c r="L3279" s="10">
        <f>I3279*J3279*(1-K3279)</f>
        <v/>
      </c>
      <c r="M3279" s="10" t="n">
        <v>144</v>
      </c>
      <c r="N3279" s="10">
        <f>L3279-M3279</f>
        <v/>
      </c>
    </row>
    <row r="3280">
      <c r="A3280" s="7" t="inlineStr">
        <is>
          <t>ORD-04326</t>
        </is>
      </c>
      <c r="B3280" s="8" t="n">
        <v>45613</v>
      </c>
      <c r="C3280" s="9" t="n">
        <v>45597</v>
      </c>
      <c r="D3280" s="7" t="n">
        <v>2024</v>
      </c>
      <c r="E3280" s="7" t="inlineStr">
        <is>
          <t>West</t>
        </is>
      </c>
      <c r="F3280" s="7" t="inlineStr">
        <is>
          <t>Office Supplies</t>
        </is>
      </c>
      <c r="G3280" s="7" t="inlineStr">
        <is>
          <t>Stapler</t>
        </is>
      </c>
      <c r="H3280" s="7" t="inlineStr">
        <is>
          <t>Consumer</t>
        </is>
      </c>
      <c r="I3280" s="7" t="n">
        <v>3</v>
      </c>
      <c r="J3280" s="10" t="n">
        <v>14.65</v>
      </c>
      <c r="K3280" s="11" t="n">
        <v>0.2</v>
      </c>
      <c r="L3280" s="10">
        <f>I3280*J3280*(1-K3280)</f>
        <v/>
      </c>
      <c r="M3280" s="10" t="n">
        <v>22.5</v>
      </c>
      <c r="N3280" s="10">
        <f>L3280-M3280</f>
        <v/>
      </c>
    </row>
    <row r="3281">
      <c r="A3281" s="7" t="inlineStr">
        <is>
          <t>ORD-05545</t>
        </is>
      </c>
      <c r="B3281" s="8" t="n">
        <v>45613</v>
      </c>
      <c r="C3281" s="9" t="n">
        <v>45597</v>
      </c>
      <c r="D3281" s="7" t="n">
        <v>2024</v>
      </c>
      <c r="E3281" s="7" t="inlineStr">
        <is>
          <t>East</t>
        </is>
      </c>
      <c r="F3281" s="7" t="inlineStr">
        <is>
          <t>Office Supplies</t>
        </is>
      </c>
      <c r="G3281" s="7" t="inlineStr">
        <is>
          <t>Printer Ink</t>
        </is>
      </c>
      <c r="H3281" s="7" t="inlineStr">
        <is>
          <t>Corporate</t>
        </is>
      </c>
      <c r="I3281" s="7" t="n">
        <v>13</v>
      </c>
      <c r="J3281" s="10" t="n">
        <v>59.26</v>
      </c>
      <c r="K3281" s="11" t="n">
        <v>0.05</v>
      </c>
      <c r="L3281" s="10">
        <f>I3281*J3281*(1-K3281)</f>
        <v/>
      </c>
      <c r="M3281" s="10" t="n">
        <v>468</v>
      </c>
      <c r="N3281" s="10">
        <f>L3281-M3281</f>
        <v/>
      </c>
    </row>
    <row r="3282">
      <c r="A3282" s="7" t="inlineStr">
        <is>
          <t>ORD-01533</t>
        </is>
      </c>
      <c r="B3282" s="8" t="n">
        <v>45613</v>
      </c>
      <c r="C3282" s="9" t="n">
        <v>45597</v>
      </c>
      <c r="D3282" s="7" t="n">
        <v>2024</v>
      </c>
      <c r="E3282" s="7" t="inlineStr">
        <is>
          <t>East</t>
        </is>
      </c>
      <c r="F3282" s="7" t="inlineStr">
        <is>
          <t>Office Supplies</t>
        </is>
      </c>
      <c r="G3282" s="7" t="inlineStr">
        <is>
          <t>Paper</t>
        </is>
      </c>
      <c r="H3282" s="7" t="inlineStr">
        <is>
          <t>Consumer</t>
        </is>
      </c>
      <c r="I3282" s="7" t="n">
        <v>3</v>
      </c>
      <c r="J3282" s="10" t="n">
        <v>24.07</v>
      </c>
      <c r="K3282" s="11" t="n">
        <v>0</v>
      </c>
      <c r="L3282" s="10">
        <f>I3282*J3282*(1-K3282)</f>
        <v/>
      </c>
      <c r="M3282" s="10" t="n">
        <v>37.5</v>
      </c>
      <c r="N3282" s="10">
        <f>L3282-M3282</f>
        <v/>
      </c>
    </row>
    <row r="3283">
      <c r="A3283" s="7" t="inlineStr">
        <is>
          <t>ORD-04322</t>
        </is>
      </c>
      <c r="B3283" s="8" t="n">
        <v>45613</v>
      </c>
      <c r="C3283" s="9" t="n">
        <v>45597</v>
      </c>
      <c r="D3283" s="7" t="n">
        <v>2024</v>
      </c>
      <c r="E3283" s="7" t="inlineStr">
        <is>
          <t>East</t>
        </is>
      </c>
      <c r="F3283" s="7" t="inlineStr">
        <is>
          <t>Technology</t>
        </is>
      </c>
      <c r="G3283" s="7" t="inlineStr">
        <is>
          <t>Keyboard</t>
        </is>
      </c>
      <c r="H3283" s="7" t="inlineStr">
        <is>
          <t>Corporate</t>
        </is>
      </c>
      <c r="I3283" s="7" t="n">
        <v>2</v>
      </c>
      <c r="J3283" s="10" t="n">
        <v>43.12</v>
      </c>
      <c r="K3283" s="11" t="n">
        <v>0.1</v>
      </c>
      <c r="L3283" s="10">
        <f>I3283*J3283*(1-K3283)</f>
        <v/>
      </c>
      <c r="M3283" s="10" t="n">
        <v>49.5</v>
      </c>
      <c r="N3283" s="10">
        <f>L3283-M3283</f>
        <v/>
      </c>
    </row>
    <row r="3284">
      <c r="A3284" s="7" t="inlineStr">
        <is>
          <t>ORD-05712</t>
        </is>
      </c>
      <c r="B3284" s="8" t="n">
        <v>45613</v>
      </c>
      <c r="C3284" s="9" t="n">
        <v>45597</v>
      </c>
      <c r="D3284" s="7" t="n">
        <v>2024</v>
      </c>
      <c r="E3284" s="7" t="inlineStr">
        <is>
          <t>West</t>
        </is>
      </c>
      <c r="F3284" s="7" t="inlineStr">
        <is>
          <t>Furniture</t>
        </is>
      </c>
      <c r="G3284" s="7" t="inlineStr">
        <is>
          <t>Desk</t>
        </is>
      </c>
      <c r="H3284" s="7" t="inlineStr">
        <is>
          <t>Consumer</t>
        </is>
      </c>
      <c r="I3284" s="7" t="n">
        <v>1</v>
      </c>
      <c r="J3284" s="10" t="n">
        <v>471.65</v>
      </c>
      <c r="K3284" s="11" t="n">
        <v>0.2</v>
      </c>
      <c r="L3284" s="10">
        <f>I3284*J3284*(1-K3284)</f>
        <v/>
      </c>
      <c r="M3284" s="10" t="n">
        <v>382.5</v>
      </c>
      <c r="N3284" s="10">
        <f>L3284-M3284</f>
        <v/>
      </c>
    </row>
    <row r="3285">
      <c r="A3285" s="7" t="inlineStr">
        <is>
          <t>ORD-01126</t>
        </is>
      </c>
      <c r="B3285" s="8" t="n">
        <v>45614</v>
      </c>
      <c r="C3285" s="9" t="n">
        <v>45597</v>
      </c>
      <c r="D3285" s="7" t="n">
        <v>2024</v>
      </c>
      <c r="E3285" s="7" t="inlineStr">
        <is>
          <t>North</t>
        </is>
      </c>
      <c r="F3285" s="7" t="inlineStr">
        <is>
          <t>Office Supplies</t>
        </is>
      </c>
      <c r="G3285" s="7" t="inlineStr">
        <is>
          <t>Pens</t>
        </is>
      </c>
      <c r="H3285" s="7" t="inlineStr">
        <is>
          <t>Consumer</t>
        </is>
      </c>
      <c r="I3285" s="7" t="n">
        <v>10</v>
      </c>
      <c r="J3285" s="10" t="n">
        <v>11.87</v>
      </c>
      <c r="K3285" s="11" t="n">
        <v>0.2</v>
      </c>
      <c r="L3285" s="10">
        <f>I3285*J3285*(1-K3285)</f>
        <v/>
      </c>
      <c r="M3285" s="10" t="n">
        <v>54</v>
      </c>
      <c r="N3285" s="10">
        <f>L3285-M3285</f>
        <v/>
      </c>
    </row>
    <row r="3286">
      <c r="A3286" s="7" t="inlineStr">
        <is>
          <t>ORD-02497</t>
        </is>
      </c>
      <c r="B3286" s="8" t="n">
        <v>45614</v>
      </c>
      <c r="C3286" s="9" t="n">
        <v>45597</v>
      </c>
      <c r="D3286" s="7" t="n">
        <v>2024</v>
      </c>
      <c r="E3286" s="7" t="inlineStr">
        <is>
          <t>West</t>
        </is>
      </c>
      <c r="F3286" s="7" t="inlineStr">
        <is>
          <t>Office Supplies</t>
        </is>
      </c>
      <c r="G3286" s="7" t="inlineStr">
        <is>
          <t>Printer Ink</t>
        </is>
      </c>
      <c r="H3286" s="7" t="inlineStr">
        <is>
          <t>Home Office</t>
        </is>
      </c>
      <c r="I3286" s="7" t="n">
        <v>3</v>
      </c>
      <c r="J3286" s="10" t="n">
        <v>58.53</v>
      </c>
      <c r="K3286" s="11" t="n">
        <v>0</v>
      </c>
      <c r="L3286" s="10">
        <f>I3286*J3286*(1-K3286)</f>
        <v/>
      </c>
      <c r="M3286" s="10" t="n">
        <v>108</v>
      </c>
      <c r="N3286" s="10">
        <f>L3286-M3286</f>
        <v/>
      </c>
    </row>
    <row r="3287">
      <c r="A3287" s="7" t="inlineStr">
        <is>
          <t>ORD-01573</t>
        </is>
      </c>
      <c r="B3287" s="8" t="n">
        <v>45614</v>
      </c>
      <c r="C3287" s="9" t="n">
        <v>45597</v>
      </c>
      <c r="D3287" s="7" t="n">
        <v>2024</v>
      </c>
      <c r="E3287" s="7" t="inlineStr">
        <is>
          <t>West</t>
        </is>
      </c>
      <c r="F3287" s="7" t="inlineStr">
        <is>
          <t>Office Supplies</t>
        </is>
      </c>
      <c r="G3287" s="7" t="inlineStr">
        <is>
          <t>Pens</t>
        </is>
      </c>
      <c r="H3287" s="7" t="inlineStr">
        <is>
          <t>Home Office</t>
        </is>
      </c>
      <c r="I3287" s="7" t="n">
        <v>2</v>
      </c>
      <c r="J3287" s="10" t="n">
        <v>11.43</v>
      </c>
      <c r="K3287" s="11" t="n">
        <v>0</v>
      </c>
      <c r="L3287" s="10">
        <f>I3287*J3287*(1-K3287)</f>
        <v/>
      </c>
      <c r="M3287" s="10" t="n">
        <v>10.8</v>
      </c>
      <c r="N3287" s="10">
        <f>L3287-M3287</f>
        <v/>
      </c>
    </row>
    <row r="3288">
      <c r="A3288" s="7" t="inlineStr">
        <is>
          <t>ORD-03473</t>
        </is>
      </c>
      <c r="B3288" s="8" t="n">
        <v>45614</v>
      </c>
      <c r="C3288" s="9" t="n">
        <v>45597</v>
      </c>
      <c r="D3288" s="7" t="n">
        <v>2024</v>
      </c>
      <c r="E3288" s="7" t="inlineStr">
        <is>
          <t>West</t>
        </is>
      </c>
      <c r="F3288" s="7" t="inlineStr">
        <is>
          <t>Office Supplies</t>
        </is>
      </c>
      <c r="G3288" s="7" t="inlineStr">
        <is>
          <t>Printer Ink</t>
        </is>
      </c>
      <c r="H3288" s="7" t="inlineStr">
        <is>
          <t>Corporate</t>
        </is>
      </c>
      <c r="I3288" s="7" t="n">
        <v>5</v>
      </c>
      <c r="J3288" s="10" t="n">
        <v>57.97</v>
      </c>
      <c r="K3288" s="11" t="n">
        <v>0.05</v>
      </c>
      <c r="L3288" s="10">
        <f>I3288*J3288*(1-K3288)</f>
        <v/>
      </c>
      <c r="M3288" s="10" t="n">
        <v>180</v>
      </c>
      <c r="N3288" s="10">
        <f>L3288-M3288</f>
        <v/>
      </c>
    </row>
    <row r="3289">
      <c r="A3289" s="7" t="inlineStr">
        <is>
          <t>ORD-05125</t>
        </is>
      </c>
      <c r="B3289" s="8" t="n">
        <v>45615</v>
      </c>
      <c r="C3289" s="9" t="n">
        <v>45597</v>
      </c>
      <c r="D3289" s="7" t="n">
        <v>2024</v>
      </c>
      <c r="E3289" s="7" t="inlineStr">
        <is>
          <t>North</t>
        </is>
      </c>
      <c r="F3289" s="7" t="inlineStr">
        <is>
          <t>Office Supplies</t>
        </is>
      </c>
      <c r="G3289" s="7" t="inlineStr">
        <is>
          <t>Binder</t>
        </is>
      </c>
      <c r="H3289" s="7" t="inlineStr">
        <is>
          <t>Consumer</t>
        </is>
      </c>
      <c r="I3289" s="7" t="n">
        <v>15</v>
      </c>
      <c r="J3289" s="10" t="n">
        <v>7.89</v>
      </c>
      <c r="K3289" s="11" t="n">
        <v>0.2</v>
      </c>
      <c r="L3289" s="10">
        <f>I3289*J3289*(1-K3289)</f>
        <v/>
      </c>
      <c r="M3289" s="10" t="n">
        <v>48</v>
      </c>
      <c r="N3289" s="10">
        <f>L3289-M3289</f>
        <v/>
      </c>
    </row>
    <row r="3290">
      <c r="A3290" s="7" t="inlineStr">
        <is>
          <t>ORD-03475</t>
        </is>
      </c>
      <c r="B3290" s="8" t="n">
        <v>45615</v>
      </c>
      <c r="C3290" s="9" t="n">
        <v>45597</v>
      </c>
      <c r="D3290" s="7" t="n">
        <v>2024</v>
      </c>
      <c r="E3290" s="7" t="inlineStr">
        <is>
          <t>East</t>
        </is>
      </c>
      <c r="F3290" s="7" t="inlineStr">
        <is>
          <t>Office Supplies</t>
        </is>
      </c>
      <c r="G3290" s="7" t="inlineStr">
        <is>
          <t>Binder</t>
        </is>
      </c>
      <c r="H3290" s="7" t="inlineStr">
        <is>
          <t>Corporate</t>
        </is>
      </c>
      <c r="I3290" s="7" t="n">
        <v>13</v>
      </c>
      <c r="J3290" s="10" t="n">
        <v>8.300000000000001</v>
      </c>
      <c r="K3290" s="11" t="n">
        <v>0.1</v>
      </c>
      <c r="L3290" s="10">
        <f>I3290*J3290*(1-K3290)</f>
        <v/>
      </c>
      <c r="M3290" s="10" t="n">
        <v>41.6</v>
      </c>
      <c r="N3290" s="10">
        <f>L3290-M3290</f>
        <v/>
      </c>
    </row>
    <row r="3291">
      <c r="A3291" s="7" t="inlineStr">
        <is>
          <t>ORD-04307</t>
        </is>
      </c>
      <c r="B3291" s="8" t="n">
        <v>45615</v>
      </c>
      <c r="C3291" s="9" t="n">
        <v>45597</v>
      </c>
      <c r="D3291" s="7" t="n">
        <v>2024</v>
      </c>
      <c r="E3291" s="7" t="inlineStr">
        <is>
          <t>East</t>
        </is>
      </c>
      <c r="F3291" s="7" t="inlineStr">
        <is>
          <t>Technology</t>
        </is>
      </c>
      <c r="G3291" s="7" t="inlineStr">
        <is>
          <t>Smartphone</t>
        </is>
      </c>
      <c r="H3291" s="7" t="inlineStr">
        <is>
          <t>Corporate</t>
        </is>
      </c>
      <c r="I3291" s="7" t="n">
        <v>3</v>
      </c>
      <c r="J3291" s="10" t="n">
        <v>609.5599999999999</v>
      </c>
      <c r="K3291" s="11" t="n">
        <v>0.1</v>
      </c>
      <c r="L3291" s="10">
        <f>I3291*J3291*(1-K3291)</f>
        <v/>
      </c>
      <c r="M3291" s="10" t="n">
        <v>1350</v>
      </c>
      <c r="N3291" s="10">
        <f>L3291-M3291</f>
        <v/>
      </c>
    </row>
    <row r="3292">
      <c r="A3292" s="7" t="inlineStr">
        <is>
          <t>ORD-03552</t>
        </is>
      </c>
      <c r="B3292" s="8" t="n">
        <v>45615</v>
      </c>
      <c r="C3292" s="9" t="n">
        <v>45597</v>
      </c>
      <c r="D3292" s="7" t="n">
        <v>2024</v>
      </c>
      <c r="E3292" s="7" t="inlineStr">
        <is>
          <t>West</t>
        </is>
      </c>
      <c r="F3292" s="7" t="inlineStr">
        <is>
          <t>Office Supplies</t>
        </is>
      </c>
      <c r="G3292" s="7" t="inlineStr">
        <is>
          <t>Binder</t>
        </is>
      </c>
      <c r="H3292" s="7" t="inlineStr">
        <is>
          <t>Consumer</t>
        </is>
      </c>
      <c r="I3292" s="7" t="n">
        <v>11</v>
      </c>
      <c r="J3292" s="10" t="n">
        <v>8.359999999999999</v>
      </c>
      <c r="K3292" s="11" t="n">
        <v>0.05</v>
      </c>
      <c r="L3292" s="10">
        <f>I3292*J3292*(1-K3292)</f>
        <v/>
      </c>
      <c r="M3292" s="10" t="n">
        <v>35.2</v>
      </c>
      <c r="N3292" s="10">
        <f>L3292-M3292</f>
        <v/>
      </c>
    </row>
    <row r="3293">
      <c r="A3293" s="7" t="inlineStr">
        <is>
          <t>ORD-05936</t>
        </is>
      </c>
      <c r="B3293" s="8" t="n">
        <v>45615</v>
      </c>
      <c r="C3293" s="9" t="n">
        <v>45597</v>
      </c>
      <c r="D3293" s="7" t="n">
        <v>2024</v>
      </c>
      <c r="E3293" s="7" t="inlineStr">
        <is>
          <t>South</t>
        </is>
      </c>
      <c r="F3293" s="7" t="inlineStr">
        <is>
          <t>Office Supplies</t>
        </is>
      </c>
      <c r="G3293" s="7" t="inlineStr">
        <is>
          <t>Paper</t>
        </is>
      </c>
      <c r="H3293" s="7" t="inlineStr">
        <is>
          <t>Consumer</t>
        </is>
      </c>
      <c r="I3293" s="7" t="n">
        <v>4</v>
      </c>
      <c r="J3293" s="10" t="n">
        <v>26.21</v>
      </c>
      <c r="K3293" s="11" t="n">
        <v>0.3</v>
      </c>
      <c r="L3293" s="10">
        <f>I3293*J3293*(1-K3293)</f>
        <v/>
      </c>
      <c r="M3293" s="10" t="n">
        <v>50</v>
      </c>
      <c r="N3293" s="10">
        <f>L3293-M3293</f>
        <v/>
      </c>
    </row>
    <row r="3294">
      <c r="A3294" s="7" t="inlineStr">
        <is>
          <t>ORD-00920</t>
        </is>
      </c>
      <c r="B3294" s="8" t="n">
        <v>45615</v>
      </c>
      <c r="C3294" s="9" t="n">
        <v>45597</v>
      </c>
      <c r="D3294" s="7" t="n">
        <v>2024</v>
      </c>
      <c r="E3294" s="7" t="inlineStr">
        <is>
          <t>East</t>
        </is>
      </c>
      <c r="F3294" s="7" t="inlineStr">
        <is>
          <t>Office Supplies</t>
        </is>
      </c>
      <c r="G3294" s="7" t="inlineStr">
        <is>
          <t>Paper</t>
        </is>
      </c>
      <c r="H3294" s="7" t="inlineStr">
        <is>
          <t>Corporate</t>
        </is>
      </c>
      <c r="I3294" s="7" t="n">
        <v>11</v>
      </c>
      <c r="J3294" s="10" t="n">
        <v>25.08</v>
      </c>
      <c r="K3294" s="11" t="n">
        <v>0</v>
      </c>
      <c r="L3294" s="10">
        <f>I3294*J3294*(1-K3294)</f>
        <v/>
      </c>
      <c r="M3294" s="10" t="n">
        <v>137.5</v>
      </c>
      <c r="N3294" s="10">
        <f>L3294-M3294</f>
        <v/>
      </c>
    </row>
    <row r="3295">
      <c r="A3295" s="7" t="inlineStr">
        <is>
          <t>ORD-00611</t>
        </is>
      </c>
      <c r="B3295" s="8" t="n">
        <v>45615</v>
      </c>
      <c r="C3295" s="9" t="n">
        <v>45597</v>
      </c>
      <c r="D3295" s="7" t="n">
        <v>2024</v>
      </c>
      <c r="E3295" s="7" t="inlineStr">
        <is>
          <t>South</t>
        </is>
      </c>
      <c r="F3295" s="7" t="inlineStr">
        <is>
          <t>Office Supplies</t>
        </is>
      </c>
      <c r="G3295" s="7" t="inlineStr">
        <is>
          <t>Paper</t>
        </is>
      </c>
      <c r="H3295" s="7" t="inlineStr">
        <is>
          <t>Corporate</t>
        </is>
      </c>
      <c r="I3295" s="7" t="n">
        <v>5</v>
      </c>
      <c r="J3295" s="10" t="n">
        <v>25.6</v>
      </c>
      <c r="K3295" s="11" t="n">
        <v>0.05</v>
      </c>
      <c r="L3295" s="10">
        <f>I3295*J3295*(1-K3295)</f>
        <v/>
      </c>
      <c r="M3295" s="10" t="n">
        <v>62.5</v>
      </c>
      <c r="N3295" s="10">
        <f>L3295-M3295</f>
        <v/>
      </c>
    </row>
    <row r="3296">
      <c r="A3296" s="7" t="inlineStr">
        <is>
          <t>ORD-04193</t>
        </is>
      </c>
      <c r="B3296" s="8" t="n">
        <v>45615</v>
      </c>
      <c r="C3296" s="9" t="n">
        <v>45597</v>
      </c>
      <c r="D3296" s="7" t="n">
        <v>2024</v>
      </c>
      <c r="E3296" s="7" t="inlineStr">
        <is>
          <t>West</t>
        </is>
      </c>
      <c r="F3296" s="7" t="inlineStr">
        <is>
          <t>Technology</t>
        </is>
      </c>
      <c r="G3296" s="7" t="inlineStr">
        <is>
          <t>Laptop</t>
        </is>
      </c>
      <c r="H3296" s="7" t="inlineStr">
        <is>
          <t>Home Office</t>
        </is>
      </c>
      <c r="I3296" s="7" t="n">
        <v>3</v>
      </c>
      <c r="J3296" s="10" t="n">
        <v>868.22</v>
      </c>
      <c r="K3296" s="11" t="n">
        <v>0.05</v>
      </c>
      <c r="L3296" s="10">
        <f>I3296*J3296*(1-K3296)</f>
        <v/>
      </c>
      <c r="M3296" s="10" t="n">
        <v>2106</v>
      </c>
      <c r="N3296" s="10">
        <f>L3296-M3296</f>
        <v/>
      </c>
    </row>
    <row r="3297">
      <c r="A3297" s="7" t="inlineStr">
        <is>
          <t>ORD-00381</t>
        </is>
      </c>
      <c r="B3297" s="8" t="n">
        <v>45615</v>
      </c>
      <c r="C3297" s="9" t="n">
        <v>45597</v>
      </c>
      <c r="D3297" s="7" t="n">
        <v>2024</v>
      </c>
      <c r="E3297" s="7" t="inlineStr">
        <is>
          <t>South</t>
        </is>
      </c>
      <c r="F3297" s="7" t="inlineStr">
        <is>
          <t>Technology</t>
        </is>
      </c>
      <c r="G3297" s="7" t="inlineStr">
        <is>
          <t>Monitor</t>
        </is>
      </c>
      <c r="H3297" s="7" t="inlineStr">
        <is>
          <t>Corporate</t>
        </is>
      </c>
      <c r="I3297" s="7" t="n">
        <v>1</v>
      </c>
      <c r="J3297" s="10" t="n">
        <v>238.66</v>
      </c>
      <c r="K3297" s="11" t="n">
        <v>0</v>
      </c>
      <c r="L3297" s="10">
        <f>I3297*J3297*(1-K3297)</f>
        <v/>
      </c>
      <c r="M3297" s="10" t="n">
        <v>180</v>
      </c>
      <c r="N3297" s="10">
        <f>L3297-M3297</f>
        <v/>
      </c>
    </row>
    <row r="3298">
      <c r="A3298" s="7" t="inlineStr">
        <is>
          <t>ORD-05405</t>
        </is>
      </c>
      <c r="B3298" s="8" t="n">
        <v>45615</v>
      </c>
      <c r="C3298" s="9" t="n">
        <v>45597</v>
      </c>
      <c r="D3298" s="7" t="n">
        <v>2024</v>
      </c>
      <c r="E3298" s="7" t="inlineStr">
        <is>
          <t>South</t>
        </is>
      </c>
      <c r="F3298" s="7" t="inlineStr">
        <is>
          <t>Furniture</t>
        </is>
      </c>
      <c r="G3298" s="7" t="inlineStr">
        <is>
          <t>Desk</t>
        </is>
      </c>
      <c r="H3298" s="7" t="inlineStr">
        <is>
          <t>Consumer</t>
        </is>
      </c>
      <c r="I3298" s="7" t="n">
        <v>2</v>
      </c>
      <c r="J3298" s="10" t="n">
        <v>459.32</v>
      </c>
      <c r="K3298" s="11" t="n">
        <v>0.05</v>
      </c>
      <c r="L3298" s="10">
        <f>I3298*J3298*(1-K3298)</f>
        <v/>
      </c>
      <c r="M3298" s="10" t="n">
        <v>765</v>
      </c>
      <c r="N3298" s="10">
        <f>L3298-M3298</f>
        <v/>
      </c>
    </row>
    <row r="3299">
      <c r="A3299" s="7" t="inlineStr">
        <is>
          <t>ORD-00066</t>
        </is>
      </c>
      <c r="B3299" s="8" t="n">
        <v>45615</v>
      </c>
      <c r="C3299" s="9" t="n">
        <v>45597</v>
      </c>
      <c r="D3299" s="7" t="n">
        <v>2024</v>
      </c>
      <c r="E3299" s="7" t="inlineStr">
        <is>
          <t>North</t>
        </is>
      </c>
      <c r="F3299" s="7" t="inlineStr">
        <is>
          <t>Office Supplies</t>
        </is>
      </c>
      <c r="G3299" s="7" t="inlineStr">
        <is>
          <t>Pens</t>
        </is>
      </c>
      <c r="H3299" s="7" t="inlineStr">
        <is>
          <t>Consumer</t>
        </is>
      </c>
      <c r="I3299" s="7" t="n">
        <v>12</v>
      </c>
      <c r="J3299" s="10" t="n">
        <v>11.46</v>
      </c>
      <c r="K3299" s="11" t="n">
        <v>0</v>
      </c>
      <c r="L3299" s="10">
        <f>I3299*J3299*(1-K3299)</f>
        <v/>
      </c>
      <c r="M3299" s="10" t="n">
        <v>64.8</v>
      </c>
      <c r="N3299" s="10">
        <f>L3299-M3299</f>
        <v/>
      </c>
    </row>
    <row r="3300">
      <c r="A3300" s="7" t="inlineStr">
        <is>
          <t>ORD-03252</t>
        </is>
      </c>
      <c r="B3300" s="8" t="n">
        <v>45615</v>
      </c>
      <c r="C3300" s="9" t="n">
        <v>45597</v>
      </c>
      <c r="D3300" s="7" t="n">
        <v>2024</v>
      </c>
      <c r="E3300" s="7" t="inlineStr">
        <is>
          <t>East</t>
        </is>
      </c>
      <c r="F3300" s="7" t="inlineStr">
        <is>
          <t>Office Supplies</t>
        </is>
      </c>
      <c r="G3300" s="7" t="inlineStr">
        <is>
          <t>Paper</t>
        </is>
      </c>
      <c r="H3300" s="7" t="inlineStr">
        <is>
          <t>Consumer</t>
        </is>
      </c>
      <c r="I3300" s="7" t="n">
        <v>2</v>
      </c>
      <c r="J3300" s="10" t="n">
        <v>24.73</v>
      </c>
      <c r="K3300" s="11" t="n">
        <v>0</v>
      </c>
      <c r="L3300" s="10">
        <f>I3300*J3300*(1-K3300)</f>
        <v/>
      </c>
      <c r="M3300" s="10" t="n">
        <v>25</v>
      </c>
      <c r="N3300" s="10">
        <f>L3300-M3300</f>
        <v/>
      </c>
    </row>
    <row r="3301">
      <c r="A3301" s="7" t="inlineStr">
        <is>
          <t>ORD-04820</t>
        </is>
      </c>
      <c r="B3301" s="8" t="n">
        <v>45615</v>
      </c>
      <c r="C3301" s="9" t="n">
        <v>45597</v>
      </c>
      <c r="D3301" s="7" t="n">
        <v>2024</v>
      </c>
      <c r="E3301" s="7" t="inlineStr">
        <is>
          <t>East</t>
        </is>
      </c>
      <c r="F3301" s="7" t="inlineStr">
        <is>
          <t>Office Supplies</t>
        </is>
      </c>
      <c r="G3301" s="7" t="inlineStr">
        <is>
          <t>Paper</t>
        </is>
      </c>
      <c r="H3301" s="7" t="inlineStr">
        <is>
          <t>Corporate</t>
        </is>
      </c>
      <c r="I3301" s="7" t="n">
        <v>11</v>
      </c>
      <c r="J3301" s="10" t="n">
        <v>24.71</v>
      </c>
      <c r="K3301" s="11" t="n">
        <v>0</v>
      </c>
      <c r="L3301" s="10">
        <f>I3301*J3301*(1-K3301)</f>
        <v/>
      </c>
      <c r="M3301" s="10" t="n">
        <v>137.5</v>
      </c>
      <c r="N3301" s="10">
        <f>L3301-M3301</f>
        <v/>
      </c>
    </row>
    <row r="3302">
      <c r="A3302" s="7" t="inlineStr">
        <is>
          <t>ORD-03193</t>
        </is>
      </c>
      <c r="B3302" s="8" t="n">
        <v>45615</v>
      </c>
      <c r="C3302" s="9" t="n">
        <v>45597</v>
      </c>
      <c r="D3302" s="7" t="n">
        <v>2024</v>
      </c>
      <c r="E3302" s="7" t="inlineStr">
        <is>
          <t>East</t>
        </is>
      </c>
      <c r="F3302" s="7" t="inlineStr">
        <is>
          <t>Furniture</t>
        </is>
      </c>
      <c r="G3302" s="7" t="inlineStr">
        <is>
          <t>Office Chair</t>
        </is>
      </c>
      <c r="H3302" s="7" t="inlineStr">
        <is>
          <t>Consumer</t>
        </is>
      </c>
      <c r="I3302" s="7" t="n">
        <v>4</v>
      </c>
      <c r="J3302" s="10" t="n">
        <v>215.9</v>
      </c>
      <c r="K3302" s="11" t="n">
        <v>0.3</v>
      </c>
      <c r="L3302" s="10">
        <f>I3302*J3302*(1-K3302)</f>
        <v/>
      </c>
      <c r="M3302" s="10" t="n">
        <v>721.6</v>
      </c>
      <c r="N3302" s="10">
        <f>L3302-M3302</f>
        <v/>
      </c>
    </row>
    <row r="3303">
      <c r="A3303" s="7" t="inlineStr">
        <is>
          <t>ORD-01799</t>
        </is>
      </c>
      <c r="B3303" s="8" t="n">
        <v>45616</v>
      </c>
      <c r="C3303" s="9" t="n">
        <v>45597</v>
      </c>
      <c r="D3303" s="7" t="n">
        <v>2024</v>
      </c>
      <c r="E3303" s="7" t="inlineStr">
        <is>
          <t>East</t>
        </is>
      </c>
      <c r="F3303" s="7" t="inlineStr">
        <is>
          <t>Office Supplies</t>
        </is>
      </c>
      <c r="G3303" s="7" t="inlineStr">
        <is>
          <t>Binder</t>
        </is>
      </c>
      <c r="H3303" s="7" t="inlineStr">
        <is>
          <t>Consumer</t>
        </is>
      </c>
      <c r="I3303" s="7" t="n">
        <v>4</v>
      </c>
      <c r="J3303" s="10" t="n">
        <v>7.72</v>
      </c>
      <c r="K3303" s="11" t="n">
        <v>0.05</v>
      </c>
      <c r="L3303" s="10">
        <f>I3303*J3303*(1-K3303)</f>
        <v/>
      </c>
      <c r="M3303" s="10" t="n">
        <v>12.8</v>
      </c>
      <c r="N3303" s="10">
        <f>L3303-M3303</f>
        <v/>
      </c>
    </row>
    <row r="3304">
      <c r="A3304" s="7" t="inlineStr">
        <is>
          <t>ORD-01293</t>
        </is>
      </c>
      <c r="B3304" s="8" t="n">
        <v>45616</v>
      </c>
      <c r="C3304" s="9" t="n">
        <v>45597</v>
      </c>
      <c r="D3304" s="7" t="n">
        <v>2024</v>
      </c>
      <c r="E3304" s="7" t="inlineStr">
        <is>
          <t>North</t>
        </is>
      </c>
      <c r="F3304" s="7" t="inlineStr">
        <is>
          <t>Office Supplies</t>
        </is>
      </c>
      <c r="G3304" s="7" t="inlineStr">
        <is>
          <t>Paper</t>
        </is>
      </c>
      <c r="H3304" s="7" t="inlineStr">
        <is>
          <t>Corporate</t>
        </is>
      </c>
      <c r="I3304" s="7" t="n">
        <v>4</v>
      </c>
      <c r="J3304" s="10" t="n">
        <v>25.32</v>
      </c>
      <c r="K3304" s="11" t="n">
        <v>0.1</v>
      </c>
      <c r="L3304" s="10">
        <f>I3304*J3304*(1-K3304)</f>
        <v/>
      </c>
      <c r="M3304" s="10" t="n">
        <v>50</v>
      </c>
      <c r="N3304" s="10">
        <f>L3304-M3304</f>
        <v/>
      </c>
    </row>
    <row r="3305">
      <c r="A3305" s="7" t="inlineStr">
        <is>
          <t>ORD-04569</t>
        </is>
      </c>
      <c r="B3305" s="8" t="n">
        <v>45616</v>
      </c>
      <c r="C3305" s="9" t="n">
        <v>45597</v>
      </c>
      <c r="D3305" s="7" t="n">
        <v>2024</v>
      </c>
      <c r="E3305" s="7" t="inlineStr">
        <is>
          <t>East</t>
        </is>
      </c>
      <c r="F3305" s="7" t="inlineStr">
        <is>
          <t>Office Supplies</t>
        </is>
      </c>
      <c r="G3305" s="7" t="inlineStr">
        <is>
          <t>Stapler</t>
        </is>
      </c>
      <c r="H3305" s="7" t="inlineStr">
        <is>
          <t>Home Office</t>
        </is>
      </c>
      <c r="I3305" s="7" t="n">
        <v>14</v>
      </c>
      <c r="J3305" s="10" t="n">
        <v>14.49</v>
      </c>
      <c r="K3305" s="11" t="n">
        <v>0</v>
      </c>
      <c r="L3305" s="10">
        <f>I3305*J3305*(1-K3305)</f>
        <v/>
      </c>
      <c r="M3305" s="10" t="n">
        <v>105</v>
      </c>
      <c r="N3305" s="10">
        <f>L3305-M3305</f>
        <v/>
      </c>
    </row>
    <row r="3306">
      <c r="A3306" s="7" t="inlineStr">
        <is>
          <t>ORD-05859</t>
        </is>
      </c>
      <c r="B3306" s="8" t="n">
        <v>45616</v>
      </c>
      <c r="C3306" s="9" t="n">
        <v>45597</v>
      </c>
      <c r="D3306" s="7" t="n">
        <v>2024</v>
      </c>
      <c r="E3306" s="7" t="inlineStr">
        <is>
          <t>South</t>
        </is>
      </c>
      <c r="F3306" s="7" t="inlineStr">
        <is>
          <t>Office Supplies</t>
        </is>
      </c>
      <c r="G3306" s="7" t="inlineStr">
        <is>
          <t>Binder</t>
        </is>
      </c>
      <c r="H3306" s="7" t="inlineStr">
        <is>
          <t>Consumer</t>
        </is>
      </c>
      <c r="I3306" s="7" t="n">
        <v>6</v>
      </c>
      <c r="J3306" s="10" t="n">
        <v>8.220000000000001</v>
      </c>
      <c r="K3306" s="11" t="n">
        <v>0</v>
      </c>
      <c r="L3306" s="10">
        <f>I3306*J3306*(1-K3306)</f>
        <v/>
      </c>
      <c r="M3306" s="10" t="n">
        <v>19.2</v>
      </c>
      <c r="N3306" s="10">
        <f>L3306-M3306</f>
        <v/>
      </c>
    </row>
    <row r="3307">
      <c r="A3307" s="7" t="inlineStr">
        <is>
          <t>ORD-00165</t>
        </is>
      </c>
      <c r="B3307" s="8" t="n">
        <v>45616</v>
      </c>
      <c r="C3307" s="9" t="n">
        <v>45597</v>
      </c>
      <c r="D3307" s="7" t="n">
        <v>2024</v>
      </c>
      <c r="E3307" s="7" t="inlineStr">
        <is>
          <t>North</t>
        </is>
      </c>
      <c r="F3307" s="7" t="inlineStr">
        <is>
          <t>Furniture</t>
        </is>
      </c>
      <c r="G3307" s="7" t="inlineStr">
        <is>
          <t>Office Chair</t>
        </is>
      </c>
      <c r="H3307" s="7" t="inlineStr">
        <is>
          <t>Consumer</t>
        </is>
      </c>
      <c r="I3307" s="7" t="n">
        <v>3</v>
      </c>
      <c r="J3307" s="10" t="n">
        <v>217.17</v>
      </c>
      <c r="K3307" s="11" t="n">
        <v>0.05</v>
      </c>
      <c r="L3307" s="10">
        <f>I3307*J3307*(1-K3307)</f>
        <v/>
      </c>
      <c r="M3307" s="10" t="n">
        <v>541.2</v>
      </c>
      <c r="N3307" s="10">
        <f>L3307-M3307</f>
        <v/>
      </c>
    </row>
    <row r="3308">
      <c r="A3308" s="7" t="inlineStr">
        <is>
          <t>ORD-04449</t>
        </is>
      </c>
      <c r="B3308" s="8" t="n">
        <v>45616</v>
      </c>
      <c r="C3308" s="9" t="n">
        <v>45597</v>
      </c>
      <c r="D3308" s="7" t="n">
        <v>2024</v>
      </c>
      <c r="E3308" s="7" t="inlineStr">
        <is>
          <t>West</t>
        </is>
      </c>
      <c r="F3308" s="7" t="inlineStr">
        <is>
          <t>Technology</t>
        </is>
      </c>
      <c r="G3308" s="7" t="inlineStr">
        <is>
          <t>Monitor</t>
        </is>
      </c>
      <c r="H3308" s="7" t="inlineStr">
        <is>
          <t>Consumer</t>
        </is>
      </c>
      <c r="I3308" s="7" t="n">
        <v>1</v>
      </c>
      <c r="J3308" s="10" t="n">
        <v>261.54</v>
      </c>
      <c r="K3308" s="11" t="n">
        <v>0</v>
      </c>
      <c r="L3308" s="10">
        <f>I3308*J3308*(1-K3308)</f>
        <v/>
      </c>
      <c r="M3308" s="10" t="n">
        <v>180</v>
      </c>
      <c r="N3308" s="10">
        <f>L3308-M3308</f>
        <v/>
      </c>
    </row>
    <row r="3309">
      <c r="A3309" s="7" t="inlineStr">
        <is>
          <t>ORD-05288</t>
        </is>
      </c>
      <c r="B3309" s="8" t="n">
        <v>45616</v>
      </c>
      <c r="C3309" s="9" t="n">
        <v>45597</v>
      </c>
      <c r="D3309" s="7" t="n">
        <v>2024</v>
      </c>
      <c r="E3309" s="7" t="inlineStr">
        <is>
          <t>North</t>
        </is>
      </c>
      <c r="F3309" s="7" t="inlineStr">
        <is>
          <t>Technology</t>
        </is>
      </c>
      <c r="G3309" s="7" t="inlineStr">
        <is>
          <t>Headphones</t>
        </is>
      </c>
      <c r="H3309" s="7" t="inlineStr">
        <is>
          <t>Corporate</t>
        </is>
      </c>
      <c r="I3309" s="7" t="n">
        <v>2</v>
      </c>
      <c r="J3309" s="10" t="n">
        <v>120.09</v>
      </c>
      <c r="K3309" s="11" t="n">
        <v>0.1</v>
      </c>
      <c r="L3309" s="10">
        <f>I3309*J3309*(1-K3309)</f>
        <v/>
      </c>
      <c r="M3309" s="10" t="n">
        <v>144</v>
      </c>
      <c r="N3309" s="10">
        <f>L3309-M3309</f>
        <v/>
      </c>
    </row>
    <row r="3310">
      <c r="A3310" s="7" t="inlineStr">
        <is>
          <t>ORD-01893</t>
        </is>
      </c>
      <c r="B3310" s="8" t="n">
        <v>45616</v>
      </c>
      <c r="C3310" s="9" t="n">
        <v>45597</v>
      </c>
      <c r="D3310" s="7" t="n">
        <v>2024</v>
      </c>
      <c r="E3310" s="7" t="inlineStr">
        <is>
          <t>West</t>
        </is>
      </c>
      <c r="F3310" s="7" t="inlineStr">
        <is>
          <t>Office Supplies</t>
        </is>
      </c>
      <c r="G3310" s="7" t="inlineStr">
        <is>
          <t>Pens</t>
        </is>
      </c>
      <c r="H3310" s="7" t="inlineStr">
        <is>
          <t>Home Office</t>
        </is>
      </c>
      <c r="I3310" s="7" t="n">
        <v>11</v>
      </c>
      <c r="J3310" s="10" t="n">
        <v>11.83</v>
      </c>
      <c r="K3310" s="11" t="n">
        <v>0</v>
      </c>
      <c r="L3310" s="10">
        <f>I3310*J3310*(1-K3310)</f>
        <v/>
      </c>
      <c r="M3310" s="10" t="n">
        <v>59.4</v>
      </c>
      <c r="N3310" s="10">
        <f>L3310-M3310</f>
        <v/>
      </c>
    </row>
    <row r="3311">
      <c r="A3311" s="7" t="inlineStr">
        <is>
          <t>ORD-00154</t>
        </is>
      </c>
      <c r="B3311" s="8" t="n">
        <v>45616</v>
      </c>
      <c r="C3311" s="9" t="n">
        <v>45597</v>
      </c>
      <c r="D3311" s="7" t="n">
        <v>2024</v>
      </c>
      <c r="E3311" s="7" t="inlineStr">
        <is>
          <t>West</t>
        </is>
      </c>
      <c r="F3311" s="7" t="inlineStr">
        <is>
          <t>Furniture</t>
        </is>
      </c>
      <c r="G3311" s="7" t="inlineStr">
        <is>
          <t>Desk</t>
        </is>
      </c>
      <c r="H3311" s="7" t="inlineStr">
        <is>
          <t>Corporate</t>
        </is>
      </c>
      <c r="I3311" s="7" t="n">
        <v>3</v>
      </c>
      <c r="J3311" s="10" t="n">
        <v>459.1</v>
      </c>
      <c r="K3311" s="11" t="n">
        <v>0.05</v>
      </c>
      <c r="L3311" s="10">
        <f>I3311*J3311*(1-K3311)</f>
        <v/>
      </c>
      <c r="M3311" s="10" t="n">
        <v>1147.5</v>
      </c>
      <c r="N3311" s="10">
        <f>L3311-M3311</f>
        <v/>
      </c>
    </row>
    <row r="3312">
      <c r="A3312" s="7" t="inlineStr">
        <is>
          <t>ORD-00969</t>
        </is>
      </c>
      <c r="B3312" s="8" t="n">
        <v>45616</v>
      </c>
      <c r="C3312" s="9" t="n">
        <v>45597</v>
      </c>
      <c r="D3312" s="7" t="n">
        <v>2024</v>
      </c>
      <c r="E3312" s="7" t="inlineStr">
        <is>
          <t>East</t>
        </is>
      </c>
      <c r="F3312" s="7" t="inlineStr">
        <is>
          <t>Office Supplies</t>
        </is>
      </c>
      <c r="G3312" s="7" t="inlineStr">
        <is>
          <t>Paper</t>
        </is>
      </c>
      <c r="H3312" s="7" t="inlineStr">
        <is>
          <t>Consumer</t>
        </is>
      </c>
      <c r="I3312" s="7" t="n">
        <v>3</v>
      </c>
      <c r="J3312" s="10" t="n">
        <v>25.24</v>
      </c>
      <c r="K3312" s="11" t="n">
        <v>0</v>
      </c>
      <c r="L3312" s="10">
        <f>I3312*J3312*(1-K3312)</f>
        <v/>
      </c>
      <c r="M3312" s="10" t="n">
        <v>37.5</v>
      </c>
      <c r="N3312" s="10">
        <f>L3312-M3312</f>
        <v/>
      </c>
    </row>
    <row r="3313">
      <c r="A3313" s="7" t="inlineStr">
        <is>
          <t>ORD-04876</t>
        </is>
      </c>
      <c r="B3313" s="8" t="n">
        <v>45616</v>
      </c>
      <c r="C3313" s="9" t="n">
        <v>45597</v>
      </c>
      <c r="D3313" s="7" t="n">
        <v>2024</v>
      </c>
      <c r="E3313" s="7" t="inlineStr">
        <is>
          <t>East</t>
        </is>
      </c>
      <c r="F3313" s="7" t="inlineStr">
        <is>
          <t>Office Supplies</t>
        </is>
      </c>
      <c r="G3313" s="7" t="inlineStr">
        <is>
          <t>Pens</t>
        </is>
      </c>
      <c r="H3313" s="7" t="inlineStr">
        <is>
          <t>Consumer</t>
        </is>
      </c>
      <c r="I3313" s="7" t="n">
        <v>10</v>
      </c>
      <c r="J3313" s="10" t="n">
        <v>11.67</v>
      </c>
      <c r="K3313" s="11" t="n">
        <v>0</v>
      </c>
      <c r="L3313" s="10">
        <f>I3313*J3313*(1-K3313)</f>
        <v/>
      </c>
      <c r="M3313" s="10" t="n">
        <v>54</v>
      </c>
      <c r="N3313" s="10">
        <f>L3313-M3313</f>
        <v/>
      </c>
    </row>
    <row r="3314">
      <c r="A3314" s="7" t="inlineStr">
        <is>
          <t>ORD-05301</t>
        </is>
      </c>
      <c r="B3314" s="8" t="n">
        <v>45616</v>
      </c>
      <c r="C3314" s="9" t="n">
        <v>45597</v>
      </c>
      <c r="D3314" s="7" t="n">
        <v>2024</v>
      </c>
      <c r="E3314" s="7" t="inlineStr">
        <is>
          <t>East</t>
        </is>
      </c>
      <c r="F3314" s="7" t="inlineStr">
        <is>
          <t>Furniture</t>
        </is>
      </c>
      <c r="G3314" s="7" t="inlineStr">
        <is>
          <t>Bookcase</t>
        </is>
      </c>
      <c r="H3314" s="7" t="inlineStr">
        <is>
          <t>Consumer</t>
        </is>
      </c>
      <c r="I3314" s="7" t="n">
        <v>1</v>
      </c>
      <c r="J3314" s="10" t="n">
        <v>176.2</v>
      </c>
      <c r="K3314" s="11" t="n">
        <v>0</v>
      </c>
      <c r="L3314" s="10">
        <f>I3314*J3314*(1-K3314)</f>
        <v/>
      </c>
      <c r="M3314" s="10" t="n">
        <v>144</v>
      </c>
      <c r="N3314" s="10">
        <f>L3314-M3314</f>
        <v/>
      </c>
    </row>
    <row r="3315">
      <c r="A3315" s="7" t="inlineStr">
        <is>
          <t>ORD-05124</t>
        </is>
      </c>
      <c r="B3315" s="8" t="n">
        <v>45616</v>
      </c>
      <c r="C3315" s="9" t="n">
        <v>45597</v>
      </c>
      <c r="D3315" s="7" t="n">
        <v>2024</v>
      </c>
      <c r="E3315" s="7" t="inlineStr">
        <is>
          <t>West</t>
        </is>
      </c>
      <c r="F3315" s="7" t="inlineStr">
        <is>
          <t>Office Supplies</t>
        </is>
      </c>
      <c r="G3315" s="7" t="inlineStr">
        <is>
          <t>Pens</t>
        </is>
      </c>
      <c r="H3315" s="7" t="inlineStr">
        <is>
          <t>Home Office</t>
        </is>
      </c>
      <c r="I3315" s="7" t="n">
        <v>5</v>
      </c>
      <c r="J3315" s="10" t="n">
        <v>12.28</v>
      </c>
      <c r="K3315" s="11" t="n">
        <v>0.3</v>
      </c>
      <c r="L3315" s="10">
        <f>I3315*J3315*(1-K3315)</f>
        <v/>
      </c>
      <c r="M3315" s="10" t="n">
        <v>27</v>
      </c>
      <c r="N3315" s="10">
        <f>L3315-M3315</f>
        <v/>
      </c>
    </row>
    <row r="3316">
      <c r="A3316" s="7" t="inlineStr">
        <is>
          <t>ORD-00017</t>
        </is>
      </c>
      <c r="B3316" s="8" t="n">
        <v>45616</v>
      </c>
      <c r="C3316" s="9" t="n">
        <v>45597</v>
      </c>
      <c r="D3316" s="7" t="n">
        <v>2024</v>
      </c>
      <c r="E3316" s="7" t="inlineStr">
        <is>
          <t>West</t>
        </is>
      </c>
      <c r="F3316" s="7" t="inlineStr">
        <is>
          <t>Office Supplies</t>
        </is>
      </c>
      <c r="G3316" s="7" t="inlineStr">
        <is>
          <t>Printer Ink</t>
        </is>
      </c>
      <c r="H3316" s="7" t="inlineStr">
        <is>
          <t>Home Office</t>
        </is>
      </c>
      <c r="I3316" s="7" t="n">
        <v>11</v>
      </c>
      <c r="J3316" s="10" t="n">
        <v>62.49</v>
      </c>
      <c r="K3316" s="11" t="n">
        <v>0.3</v>
      </c>
      <c r="L3316" s="10">
        <f>I3316*J3316*(1-K3316)</f>
        <v/>
      </c>
      <c r="M3316" s="10" t="n">
        <v>396</v>
      </c>
      <c r="N3316" s="10">
        <f>L3316-M3316</f>
        <v/>
      </c>
    </row>
    <row r="3317">
      <c r="A3317" s="7" t="inlineStr">
        <is>
          <t>ORD-00629</t>
        </is>
      </c>
      <c r="B3317" s="8" t="n">
        <v>45617</v>
      </c>
      <c r="C3317" s="9" t="n">
        <v>45597</v>
      </c>
      <c r="D3317" s="7" t="n">
        <v>2024</v>
      </c>
      <c r="E3317" s="7" t="inlineStr">
        <is>
          <t>West</t>
        </is>
      </c>
      <c r="F3317" s="7" t="inlineStr">
        <is>
          <t>Technology</t>
        </is>
      </c>
      <c r="G3317" s="7" t="inlineStr">
        <is>
          <t>Headphones</t>
        </is>
      </c>
      <c r="H3317" s="7" t="inlineStr">
        <is>
          <t>Consumer</t>
        </is>
      </c>
      <c r="I3317" s="7" t="n">
        <v>3</v>
      </c>
      <c r="J3317" s="10" t="n">
        <v>119.21</v>
      </c>
      <c r="K3317" s="11" t="n">
        <v>0.05</v>
      </c>
      <c r="L3317" s="10">
        <f>I3317*J3317*(1-K3317)</f>
        <v/>
      </c>
      <c r="M3317" s="10" t="n">
        <v>216</v>
      </c>
      <c r="N3317" s="10">
        <f>L3317-M3317</f>
        <v/>
      </c>
    </row>
    <row r="3318">
      <c r="A3318" s="7" t="inlineStr">
        <is>
          <t>ORD-02407</t>
        </is>
      </c>
      <c r="B3318" s="8" t="n">
        <v>45617</v>
      </c>
      <c r="C3318" s="9" t="n">
        <v>45597</v>
      </c>
      <c r="D3318" s="7" t="n">
        <v>2024</v>
      </c>
      <c r="E3318" s="7" t="inlineStr">
        <is>
          <t>West</t>
        </is>
      </c>
      <c r="F3318" s="7" t="inlineStr">
        <is>
          <t>Office Supplies</t>
        </is>
      </c>
      <c r="G3318" s="7" t="inlineStr">
        <is>
          <t>Paper</t>
        </is>
      </c>
      <c r="H3318" s="7" t="inlineStr">
        <is>
          <t>Consumer</t>
        </is>
      </c>
      <c r="I3318" s="7" t="n">
        <v>10</v>
      </c>
      <c r="J3318" s="10" t="n">
        <v>25.55</v>
      </c>
      <c r="K3318" s="11" t="n">
        <v>0.2</v>
      </c>
      <c r="L3318" s="10">
        <f>I3318*J3318*(1-K3318)</f>
        <v/>
      </c>
      <c r="M3318" s="10" t="n">
        <v>125</v>
      </c>
      <c r="N3318" s="10">
        <f>L3318-M3318</f>
        <v/>
      </c>
    </row>
    <row r="3319">
      <c r="A3319" s="7" t="inlineStr">
        <is>
          <t>ORD-03197</t>
        </is>
      </c>
      <c r="B3319" s="8" t="n">
        <v>45617</v>
      </c>
      <c r="C3319" s="9" t="n">
        <v>45597</v>
      </c>
      <c r="D3319" s="7" t="n">
        <v>2024</v>
      </c>
      <c r="E3319" s="7" t="inlineStr">
        <is>
          <t>East</t>
        </is>
      </c>
      <c r="F3319" s="7" t="inlineStr">
        <is>
          <t>Technology</t>
        </is>
      </c>
      <c r="G3319" s="7" t="inlineStr">
        <is>
          <t>Keyboard</t>
        </is>
      </c>
      <c r="H3319" s="7" t="inlineStr">
        <is>
          <t>Home Office</t>
        </is>
      </c>
      <c r="I3319" s="7" t="n">
        <v>2</v>
      </c>
      <c r="J3319" s="10" t="n">
        <v>47</v>
      </c>
      <c r="K3319" s="11" t="n">
        <v>0.1</v>
      </c>
      <c r="L3319" s="10">
        <f>I3319*J3319*(1-K3319)</f>
        <v/>
      </c>
      <c r="M3319" s="10" t="n">
        <v>49.5</v>
      </c>
      <c r="N3319" s="10">
        <f>L3319-M3319</f>
        <v/>
      </c>
    </row>
    <row r="3320">
      <c r="A3320" s="7" t="inlineStr">
        <is>
          <t>ORD-02277</t>
        </is>
      </c>
      <c r="B3320" s="8" t="n">
        <v>45617</v>
      </c>
      <c r="C3320" s="9" t="n">
        <v>45597</v>
      </c>
      <c r="D3320" s="7" t="n">
        <v>2024</v>
      </c>
      <c r="E3320" s="7" t="inlineStr">
        <is>
          <t>East</t>
        </is>
      </c>
      <c r="F3320" s="7" t="inlineStr">
        <is>
          <t>Furniture</t>
        </is>
      </c>
      <c r="G3320" s="7" t="inlineStr">
        <is>
          <t>Office Chair</t>
        </is>
      </c>
      <c r="H3320" s="7" t="inlineStr">
        <is>
          <t>Corporate</t>
        </is>
      </c>
      <c r="I3320" s="7" t="n">
        <v>4</v>
      </c>
      <c r="J3320" s="10" t="n">
        <v>210.76</v>
      </c>
      <c r="K3320" s="11" t="n">
        <v>0.05</v>
      </c>
      <c r="L3320" s="10">
        <f>I3320*J3320*(1-K3320)</f>
        <v/>
      </c>
      <c r="M3320" s="10" t="n">
        <v>721.6</v>
      </c>
      <c r="N3320" s="10">
        <f>L3320-M3320</f>
        <v/>
      </c>
    </row>
    <row r="3321">
      <c r="A3321" s="7" t="inlineStr">
        <is>
          <t>ORD-00228</t>
        </is>
      </c>
      <c r="B3321" s="8" t="n">
        <v>45617</v>
      </c>
      <c r="C3321" s="9" t="n">
        <v>45597</v>
      </c>
      <c r="D3321" s="7" t="n">
        <v>2024</v>
      </c>
      <c r="E3321" s="7" t="inlineStr">
        <is>
          <t>West</t>
        </is>
      </c>
      <c r="F3321" s="7" t="inlineStr">
        <is>
          <t>Furniture</t>
        </is>
      </c>
      <c r="G3321" s="7" t="inlineStr">
        <is>
          <t>Desk</t>
        </is>
      </c>
      <c r="H3321" s="7" t="inlineStr">
        <is>
          <t>Corporate</t>
        </is>
      </c>
      <c r="I3321" s="7" t="n">
        <v>1</v>
      </c>
      <c r="J3321" s="10" t="n">
        <v>466.21</v>
      </c>
      <c r="K3321" s="11" t="n">
        <v>0</v>
      </c>
      <c r="L3321" s="10">
        <f>I3321*J3321*(1-K3321)</f>
        <v/>
      </c>
      <c r="M3321" s="10" t="n">
        <v>382.5</v>
      </c>
      <c r="N3321" s="10">
        <f>L3321-M3321</f>
        <v/>
      </c>
    </row>
    <row r="3322">
      <c r="A3322" s="7" t="inlineStr">
        <is>
          <t>ORD-05096</t>
        </is>
      </c>
      <c r="B3322" s="8" t="n">
        <v>45617</v>
      </c>
      <c r="C3322" s="9" t="n">
        <v>45597</v>
      </c>
      <c r="D3322" s="7" t="n">
        <v>2024</v>
      </c>
      <c r="E3322" s="7" t="inlineStr">
        <is>
          <t>South</t>
        </is>
      </c>
      <c r="F3322" s="7" t="inlineStr">
        <is>
          <t>Office Supplies</t>
        </is>
      </c>
      <c r="G3322" s="7" t="inlineStr">
        <is>
          <t>Pens</t>
        </is>
      </c>
      <c r="H3322" s="7" t="inlineStr">
        <is>
          <t>Corporate</t>
        </is>
      </c>
      <c r="I3322" s="7" t="n">
        <v>11</v>
      </c>
      <c r="J3322" s="10" t="n">
        <v>11.56</v>
      </c>
      <c r="K3322" s="11" t="n">
        <v>0</v>
      </c>
      <c r="L3322" s="10">
        <f>I3322*J3322*(1-K3322)</f>
        <v/>
      </c>
      <c r="M3322" s="10" t="n">
        <v>59.4</v>
      </c>
      <c r="N3322" s="10">
        <f>L3322-M3322</f>
        <v/>
      </c>
    </row>
    <row r="3323">
      <c r="A3323" s="7" t="inlineStr">
        <is>
          <t>ORD-02733</t>
        </is>
      </c>
      <c r="B3323" s="8" t="n">
        <v>45617</v>
      </c>
      <c r="C3323" s="9" t="n">
        <v>45597</v>
      </c>
      <c r="D3323" s="7" t="n">
        <v>2024</v>
      </c>
      <c r="E3323" s="7" t="inlineStr">
        <is>
          <t>East</t>
        </is>
      </c>
      <c r="F3323" s="7" t="inlineStr">
        <is>
          <t>Office Supplies</t>
        </is>
      </c>
      <c r="G3323" s="7" t="inlineStr">
        <is>
          <t>Pens</t>
        </is>
      </c>
      <c r="H3323" s="7" t="inlineStr">
        <is>
          <t>Consumer</t>
        </is>
      </c>
      <c r="I3323" s="7" t="n">
        <v>6</v>
      </c>
      <c r="J3323" s="10" t="n">
        <v>11.84</v>
      </c>
      <c r="K3323" s="11" t="n">
        <v>0</v>
      </c>
      <c r="L3323" s="10">
        <f>I3323*J3323*(1-K3323)</f>
        <v/>
      </c>
      <c r="M3323" s="10" t="n">
        <v>32.4</v>
      </c>
      <c r="N3323" s="10">
        <f>L3323-M3323</f>
        <v/>
      </c>
    </row>
    <row r="3324">
      <c r="A3324" s="7" t="inlineStr">
        <is>
          <t>ORD-00542</t>
        </is>
      </c>
      <c r="B3324" s="8" t="n">
        <v>45617</v>
      </c>
      <c r="C3324" s="9" t="n">
        <v>45597</v>
      </c>
      <c r="D3324" s="7" t="n">
        <v>2024</v>
      </c>
      <c r="E3324" s="7" t="inlineStr">
        <is>
          <t>West</t>
        </is>
      </c>
      <c r="F3324" s="7" t="inlineStr">
        <is>
          <t>Office Supplies</t>
        </is>
      </c>
      <c r="G3324" s="7" t="inlineStr">
        <is>
          <t>Binder</t>
        </is>
      </c>
      <c r="H3324" s="7" t="inlineStr">
        <is>
          <t>Corporate</t>
        </is>
      </c>
      <c r="I3324" s="7" t="n">
        <v>15</v>
      </c>
      <c r="J3324" s="10" t="n">
        <v>7.79</v>
      </c>
      <c r="K3324" s="11" t="n">
        <v>0</v>
      </c>
      <c r="L3324" s="10">
        <f>I3324*J3324*(1-K3324)</f>
        <v/>
      </c>
      <c r="M3324" s="10" t="n">
        <v>48</v>
      </c>
      <c r="N3324" s="10">
        <f>L3324-M3324</f>
        <v/>
      </c>
    </row>
    <row r="3325">
      <c r="A3325" s="7" t="inlineStr">
        <is>
          <t>ORD-02400</t>
        </is>
      </c>
      <c r="B3325" s="8" t="n">
        <v>45617</v>
      </c>
      <c r="C3325" s="9" t="n">
        <v>45597</v>
      </c>
      <c r="D3325" s="7" t="n">
        <v>2024</v>
      </c>
      <c r="E3325" s="7" t="inlineStr">
        <is>
          <t>South</t>
        </is>
      </c>
      <c r="F3325" s="7" t="inlineStr">
        <is>
          <t>Office Supplies</t>
        </is>
      </c>
      <c r="G3325" s="7" t="inlineStr">
        <is>
          <t>Paper</t>
        </is>
      </c>
      <c r="H3325" s="7" t="inlineStr">
        <is>
          <t>Corporate</t>
        </is>
      </c>
      <c r="I3325" s="7" t="n">
        <v>3</v>
      </c>
      <c r="J3325" s="10" t="n">
        <v>24.89</v>
      </c>
      <c r="K3325" s="11" t="n">
        <v>0</v>
      </c>
      <c r="L3325" s="10">
        <f>I3325*J3325*(1-K3325)</f>
        <v/>
      </c>
      <c r="M3325" s="10" t="n">
        <v>37.5</v>
      </c>
      <c r="N3325" s="10">
        <f>L3325-M3325</f>
        <v/>
      </c>
    </row>
    <row r="3326">
      <c r="A3326" s="7" t="inlineStr">
        <is>
          <t>ORD-04176</t>
        </is>
      </c>
      <c r="B3326" s="8" t="n">
        <v>45617</v>
      </c>
      <c r="C3326" s="9" t="n">
        <v>45597</v>
      </c>
      <c r="D3326" s="7" t="n">
        <v>2024</v>
      </c>
      <c r="E3326" s="7" t="inlineStr">
        <is>
          <t>South</t>
        </is>
      </c>
      <c r="F3326" s="7" t="inlineStr">
        <is>
          <t>Technology</t>
        </is>
      </c>
      <c r="G3326" s="7" t="inlineStr">
        <is>
          <t>Smartphone</t>
        </is>
      </c>
      <c r="H3326" s="7" t="inlineStr">
        <is>
          <t>Corporate</t>
        </is>
      </c>
      <c r="I3326" s="7" t="n">
        <v>1</v>
      </c>
      <c r="J3326" s="10" t="n">
        <v>591.22</v>
      </c>
      <c r="K3326" s="11" t="n">
        <v>0.05</v>
      </c>
      <c r="L3326" s="10">
        <f>I3326*J3326*(1-K3326)</f>
        <v/>
      </c>
      <c r="M3326" s="10" t="n">
        <v>450</v>
      </c>
      <c r="N3326" s="10">
        <f>L3326-M3326</f>
        <v/>
      </c>
    </row>
    <row r="3327">
      <c r="A3327" s="7" t="inlineStr">
        <is>
          <t>ORD-03246</t>
        </is>
      </c>
      <c r="B3327" s="8" t="n">
        <v>45618</v>
      </c>
      <c r="C3327" s="9" t="n">
        <v>45597</v>
      </c>
      <c r="D3327" s="7" t="n">
        <v>2024</v>
      </c>
      <c r="E3327" s="7" t="inlineStr">
        <is>
          <t>East</t>
        </is>
      </c>
      <c r="F3327" s="7" t="inlineStr">
        <is>
          <t>Office Supplies</t>
        </is>
      </c>
      <c r="G3327" s="7" t="inlineStr">
        <is>
          <t>Pens</t>
        </is>
      </c>
      <c r="H3327" s="7" t="inlineStr">
        <is>
          <t>Home Office</t>
        </is>
      </c>
      <c r="I3327" s="7" t="n">
        <v>5</v>
      </c>
      <c r="J3327" s="10" t="n">
        <v>12.1</v>
      </c>
      <c r="K3327" s="11" t="n">
        <v>0</v>
      </c>
      <c r="L3327" s="10">
        <f>I3327*J3327*(1-K3327)</f>
        <v/>
      </c>
      <c r="M3327" s="10" t="n">
        <v>27</v>
      </c>
      <c r="N3327" s="10">
        <f>L3327-M3327</f>
        <v/>
      </c>
    </row>
    <row r="3328">
      <c r="A3328" s="7" t="inlineStr">
        <is>
          <t>ORD-02720</t>
        </is>
      </c>
      <c r="B3328" s="8" t="n">
        <v>45618</v>
      </c>
      <c r="C3328" s="9" t="n">
        <v>45597</v>
      </c>
      <c r="D3328" s="7" t="n">
        <v>2024</v>
      </c>
      <c r="E3328" s="7" t="inlineStr">
        <is>
          <t>West</t>
        </is>
      </c>
      <c r="F3328" s="7" t="inlineStr">
        <is>
          <t>Technology</t>
        </is>
      </c>
      <c r="G3328" s="7" t="inlineStr">
        <is>
          <t>Laptop</t>
        </is>
      </c>
      <c r="H3328" s="7" t="inlineStr">
        <is>
          <t>Consumer</t>
        </is>
      </c>
      <c r="I3328" s="7" t="n">
        <v>1</v>
      </c>
      <c r="J3328" s="10" t="n">
        <v>876.45</v>
      </c>
      <c r="K3328" s="11" t="n">
        <v>0.1</v>
      </c>
      <c r="L3328" s="10">
        <f>I3328*J3328*(1-K3328)</f>
        <v/>
      </c>
      <c r="M3328" s="10" t="n">
        <v>702</v>
      </c>
      <c r="N3328" s="10">
        <f>L3328-M3328</f>
        <v/>
      </c>
    </row>
    <row r="3329">
      <c r="A3329" s="7" t="inlineStr">
        <is>
          <t>ORD-04229</t>
        </is>
      </c>
      <c r="B3329" s="8" t="n">
        <v>45618</v>
      </c>
      <c r="C3329" s="9" t="n">
        <v>45597</v>
      </c>
      <c r="D3329" s="7" t="n">
        <v>2024</v>
      </c>
      <c r="E3329" s="7" t="inlineStr">
        <is>
          <t>West</t>
        </is>
      </c>
      <c r="F3329" s="7" t="inlineStr">
        <is>
          <t>Technology</t>
        </is>
      </c>
      <c r="G3329" s="7" t="inlineStr">
        <is>
          <t>Laptop</t>
        </is>
      </c>
      <c r="H3329" s="7" t="inlineStr">
        <is>
          <t>Consumer</t>
        </is>
      </c>
      <c r="I3329" s="7" t="n">
        <v>3</v>
      </c>
      <c r="J3329" s="10" t="n">
        <v>928.51</v>
      </c>
      <c r="K3329" s="11" t="n">
        <v>0</v>
      </c>
      <c r="L3329" s="10">
        <f>I3329*J3329*(1-K3329)</f>
        <v/>
      </c>
      <c r="M3329" s="10" t="n">
        <v>2106</v>
      </c>
      <c r="N3329" s="10">
        <f>L3329-M3329</f>
        <v/>
      </c>
    </row>
    <row r="3330">
      <c r="A3330" s="7" t="inlineStr">
        <is>
          <t>ORD-02868</t>
        </is>
      </c>
      <c r="B3330" s="8" t="n">
        <v>45618</v>
      </c>
      <c r="C3330" s="9" t="n">
        <v>45597</v>
      </c>
      <c r="D3330" s="7" t="n">
        <v>2024</v>
      </c>
      <c r="E3330" s="7" t="inlineStr">
        <is>
          <t>East</t>
        </is>
      </c>
      <c r="F3330" s="7" t="inlineStr">
        <is>
          <t>Technology</t>
        </is>
      </c>
      <c r="G3330" s="7" t="inlineStr">
        <is>
          <t>Laptop</t>
        </is>
      </c>
      <c r="H3330" s="7" t="inlineStr">
        <is>
          <t>Consumer</t>
        </is>
      </c>
      <c r="I3330" s="7" t="n">
        <v>3</v>
      </c>
      <c r="J3330" s="10" t="n">
        <v>944.27</v>
      </c>
      <c r="K3330" s="11" t="n">
        <v>0</v>
      </c>
      <c r="L3330" s="10">
        <f>I3330*J3330*(1-K3330)</f>
        <v/>
      </c>
      <c r="M3330" s="10" t="n">
        <v>2106</v>
      </c>
      <c r="N3330" s="10">
        <f>L3330-M3330</f>
        <v/>
      </c>
    </row>
    <row r="3331">
      <c r="A3331" s="7" t="inlineStr">
        <is>
          <t>ORD-05606</t>
        </is>
      </c>
      <c r="B3331" s="8" t="n">
        <v>45618</v>
      </c>
      <c r="C3331" s="9" t="n">
        <v>45597</v>
      </c>
      <c r="D3331" s="7" t="n">
        <v>2024</v>
      </c>
      <c r="E3331" s="7" t="inlineStr">
        <is>
          <t>West</t>
        </is>
      </c>
      <c r="F3331" s="7" t="inlineStr">
        <is>
          <t>Technology</t>
        </is>
      </c>
      <c r="G3331" s="7" t="inlineStr">
        <is>
          <t>Monitor</t>
        </is>
      </c>
      <c r="H3331" s="7" t="inlineStr">
        <is>
          <t>Corporate</t>
        </is>
      </c>
      <c r="I3331" s="7" t="n">
        <v>1</v>
      </c>
      <c r="J3331" s="10" t="n">
        <v>250.73</v>
      </c>
      <c r="K3331" s="11" t="n">
        <v>0</v>
      </c>
      <c r="L3331" s="10">
        <f>I3331*J3331*(1-K3331)</f>
        <v/>
      </c>
      <c r="M3331" s="10" t="n">
        <v>180</v>
      </c>
      <c r="N3331" s="10">
        <f>L3331-M3331</f>
        <v/>
      </c>
    </row>
    <row r="3332">
      <c r="A3332" s="7" t="inlineStr">
        <is>
          <t>ORD-00079</t>
        </is>
      </c>
      <c r="B3332" s="8" t="n">
        <v>45618</v>
      </c>
      <c r="C3332" s="9" t="n">
        <v>45597</v>
      </c>
      <c r="D3332" s="7" t="n">
        <v>2024</v>
      </c>
      <c r="E3332" s="7" t="inlineStr">
        <is>
          <t>West</t>
        </is>
      </c>
      <c r="F3332" s="7" t="inlineStr">
        <is>
          <t>Technology</t>
        </is>
      </c>
      <c r="G3332" s="7" t="inlineStr">
        <is>
          <t>Keyboard</t>
        </is>
      </c>
      <c r="H3332" s="7" t="inlineStr">
        <is>
          <t>Consumer</t>
        </is>
      </c>
      <c r="I3332" s="7" t="n">
        <v>3</v>
      </c>
      <c r="J3332" s="10" t="n">
        <v>45.13</v>
      </c>
      <c r="K3332" s="11" t="n">
        <v>0.1</v>
      </c>
      <c r="L3332" s="10">
        <f>I3332*J3332*(1-K3332)</f>
        <v/>
      </c>
      <c r="M3332" s="10" t="n">
        <v>74.25</v>
      </c>
      <c r="N3332" s="10">
        <f>L3332-M3332</f>
        <v/>
      </c>
    </row>
    <row r="3333">
      <c r="A3333" s="7" t="inlineStr">
        <is>
          <t>ORD-01588</t>
        </is>
      </c>
      <c r="B3333" s="8" t="n">
        <v>45618</v>
      </c>
      <c r="C3333" s="9" t="n">
        <v>45597</v>
      </c>
      <c r="D3333" s="7" t="n">
        <v>2024</v>
      </c>
      <c r="E3333" s="7" t="inlineStr">
        <is>
          <t>North</t>
        </is>
      </c>
      <c r="F3333" s="7" t="inlineStr">
        <is>
          <t>Technology</t>
        </is>
      </c>
      <c r="G3333" s="7" t="inlineStr">
        <is>
          <t>Keyboard</t>
        </is>
      </c>
      <c r="H3333" s="7" t="inlineStr">
        <is>
          <t>Corporate</t>
        </is>
      </c>
      <c r="I3333" s="7" t="n">
        <v>3</v>
      </c>
      <c r="J3333" s="10" t="n">
        <v>43.53</v>
      </c>
      <c r="K3333" s="11" t="n">
        <v>0</v>
      </c>
      <c r="L3333" s="10">
        <f>I3333*J3333*(1-K3333)</f>
        <v/>
      </c>
      <c r="M3333" s="10" t="n">
        <v>74.25</v>
      </c>
      <c r="N3333" s="10">
        <f>L3333-M3333</f>
        <v/>
      </c>
    </row>
    <row r="3334">
      <c r="A3334" s="7" t="inlineStr">
        <is>
          <t>ORD-03384</t>
        </is>
      </c>
      <c r="B3334" s="8" t="n">
        <v>45618</v>
      </c>
      <c r="C3334" s="9" t="n">
        <v>45597</v>
      </c>
      <c r="D3334" s="7" t="n">
        <v>2024</v>
      </c>
      <c r="E3334" s="7" t="inlineStr">
        <is>
          <t>North</t>
        </is>
      </c>
      <c r="F3334" s="7" t="inlineStr">
        <is>
          <t>Technology</t>
        </is>
      </c>
      <c r="G3334" s="7" t="inlineStr">
        <is>
          <t>Headphones</t>
        </is>
      </c>
      <c r="H3334" s="7" t="inlineStr">
        <is>
          <t>Home Office</t>
        </is>
      </c>
      <c r="I3334" s="7" t="n">
        <v>2</v>
      </c>
      <c r="J3334" s="10" t="n">
        <v>120.39</v>
      </c>
      <c r="K3334" s="11" t="n">
        <v>0.1</v>
      </c>
      <c r="L3334" s="10">
        <f>I3334*J3334*(1-K3334)</f>
        <v/>
      </c>
      <c r="M3334" s="10" t="n">
        <v>144</v>
      </c>
      <c r="N3334" s="10">
        <f>L3334-M3334</f>
        <v/>
      </c>
    </row>
    <row r="3335">
      <c r="A3335" s="7" t="inlineStr">
        <is>
          <t>ORD-04526</t>
        </is>
      </c>
      <c r="B3335" s="8" t="n">
        <v>45619</v>
      </c>
      <c r="C3335" s="9" t="n">
        <v>45597</v>
      </c>
      <c r="D3335" s="7" t="n">
        <v>2024</v>
      </c>
      <c r="E3335" s="7" t="inlineStr">
        <is>
          <t>East</t>
        </is>
      </c>
      <c r="F3335" s="7" t="inlineStr">
        <is>
          <t>Office Supplies</t>
        </is>
      </c>
      <c r="G3335" s="7" t="inlineStr">
        <is>
          <t>Binder</t>
        </is>
      </c>
      <c r="H3335" s="7" t="inlineStr">
        <is>
          <t>Corporate</t>
        </is>
      </c>
      <c r="I3335" s="7" t="n">
        <v>8</v>
      </c>
      <c r="J3335" s="10" t="n">
        <v>7.88</v>
      </c>
      <c r="K3335" s="11" t="n">
        <v>0.05</v>
      </c>
      <c r="L3335" s="10">
        <f>I3335*J3335*(1-K3335)</f>
        <v/>
      </c>
      <c r="M3335" s="10" t="n">
        <v>25.6</v>
      </c>
      <c r="N3335" s="10">
        <f>L3335-M3335</f>
        <v/>
      </c>
    </row>
    <row r="3336">
      <c r="A3336" s="7" t="inlineStr">
        <is>
          <t>ORD-03432</t>
        </is>
      </c>
      <c r="B3336" s="8" t="n">
        <v>45619</v>
      </c>
      <c r="C3336" s="9" t="n">
        <v>45597</v>
      </c>
      <c r="D3336" s="7" t="n">
        <v>2024</v>
      </c>
      <c r="E3336" s="7" t="inlineStr">
        <is>
          <t>West</t>
        </is>
      </c>
      <c r="F3336" s="7" t="inlineStr">
        <is>
          <t>Office Supplies</t>
        </is>
      </c>
      <c r="G3336" s="7" t="inlineStr">
        <is>
          <t>Printer Ink</t>
        </is>
      </c>
      <c r="H3336" s="7" t="inlineStr">
        <is>
          <t>Corporate</t>
        </is>
      </c>
      <c r="I3336" s="7" t="n">
        <v>5</v>
      </c>
      <c r="J3336" s="10" t="n">
        <v>62.44</v>
      </c>
      <c r="K3336" s="11" t="n">
        <v>0.05</v>
      </c>
      <c r="L3336" s="10">
        <f>I3336*J3336*(1-K3336)</f>
        <v/>
      </c>
      <c r="M3336" s="10" t="n">
        <v>180</v>
      </c>
      <c r="N3336" s="10">
        <f>L3336-M3336</f>
        <v/>
      </c>
    </row>
    <row r="3337">
      <c r="A3337" s="7" t="inlineStr">
        <is>
          <t>ORD-02816</t>
        </is>
      </c>
      <c r="B3337" s="8" t="n">
        <v>45619</v>
      </c>
      <c r="C3337" s="9" t="n">
        <v>45597</v>
      </c>
      <c r="D3337" s="7" t="n">
        <v>2024</v>
      </c>
      <c r="E3337" s="7" t="inlineStr">
        <is>
          <t>West</t>
        </is>
      </c>
      <c r="F3337" s="7" t="inlineStr">
        <is>
          <t>Office Supplies</t>
        </is>
      </c>
      <c r="G3337" s="7" t="inlineStr">
        <is>
          <t>Stapler</t>
        </is>
      </c>
      <c r="H3337" s="7" t="inlineStr">
        <is>
          <t>Consumer</t>
        </is>
      </c>
      <c r="I3337" s="7" t="n">
        <v>14</v>
      </c>
      <c r="J3337" s="10" t="n">
        <v>14.74</v>
      </c>
      <c r="K3337" s="11" t="n">
        <v>0.2</v>
      </c>
      <c r="L3337" s="10">
        <f>I3337*J3337*(1-K3337)</f>
        <v/>
      </c>
      <c r="M3337" s="10" t="n">
        <v>105</v>
      </c>
      <c r="N3337" s="10">
        <f>L3337-M3337</f>
        <v/>
      </c>
    </row>
    <row r="3338">
      <c r="A3338" s="7" t="inlineStr">
        <is>
          <t>ORD-05053</t>
        </is>
      </c>
      <c r="B3338" s="8" t="n">
        <v>45619</v>
      </c>
      <c r="C3338" s="9" t="n">
        <v>45597</v>
      </c>
      <c r="D3338" s="7" t="n">
        <v>2024</v>
      </c>
      <c r="E3338" s="7" t="inlineStr">
        <is>
          <t>North</t>
        </is>
      </c>
      <c r="F3338" s="7" t="inlineStr">
        <is>
          <t>Office Supplies</t>
        </is>
      </c>
      <c r="G3338" s="7" t="inlineStr">
        <is>
          <t>Pens</t>
        </is>
      </c>
      <c r="H3338" s="7" t="inlineStr">
        <is>
          <t>Corporate</t>
        </is>
      </c>
      <c r="I3338" s="7" t="n">
        <v>14</v>
      </c>
      <c r="J3338" s="10" t="n">
        <v>12.36</v>
      </c>
      <c r="K3338" s="11" t="n">
        <v>0.05</v>
      </c>
      <c r="L3338" s="10">
        <f>I3338*J3338*(1-K3338)</f>
        <v/>
      </c>
      <c r="M3338" s="10" t="n">
        <v>75.59999999999999</v>
      </c>
      <c r="N3338" s="10">
        <f>L3338-M3338</f>
        <v/>
      </c>
    </row>
    <row r="3339">
      <c r="A3339" s="7" t="inlineStr">
        <is>
          <t>ORD-02572</t>
        </is>
      </c>
      <c r="B3339" s="8" t="n">
        <v>45619</v>
      </c>
      <c r="C3339" s="9" t="n">
        <v>45597</v>
      </c>
      <c r="D3339" s="7" t="n">
        <v>2024</v>
      </c>
      <c r="E3339" s="7" t="inlineStr">
        <is>
          <t>North</t>
        </is>
      </c>
      <c r="F3339" s="7" t="inlineStr">
        <is>
          <t>Technology</t>
        </is>
      </c>
      <c r="G3339" s="7" t="inlineStr">
        <is>
          <t>Smartphone</t>
        </is>
      </c>
      <c r="H3339" s="7" t="inlineStr">
        <is>
          <t>Consumer</t>
        </is>
      </c>
      <c r="I3339" s="7" t="n">
        <v>2</v>
      </c>
      <c r="J3339" s="10" t="n">
        <v>610.92</v>
      </c>
      <c r="K3339" s="11" t="n">
        <v>0.05</v>
      </c>
      <c r="L3339" s="10">
        <f>I3339*J3339*(1-K3339)</f>
        <v/>
      </c>
      <c r="M3339" s="10" t="n">
        <v>900</v>
      </c>
      <c r="N3339" s="10">
        <f>L3339-M3339</f>
        <v/>
      </c>
    </row>
    <row r="3340">
      <c r="A3340" s="7" t="inlineStr">
        <is>
          <t>ORD-03926</t>
        </is>
      </c>
      <c r="B3340" s="8" t="n">
        <v>45620</v>
      </c>
      <c r="C3340" s="9" t="n">
        <v>45597</v>
      </c>
      <c r="D3340" s="7" t="n">
        <v>2024</v>
      </c>
      <c r="E3340" s="7" t="inlineStr">
        <is>
          <t>North</t>
        </is>
      </c>
      <c r="F3340" s="7" t="inlineStr">
        <is>
          <t>Technology</t>
        </is>
      </c>
      <c r="G3340" s="7" t="inlineStr">
        <is>
          <t>Laptop</t>
        </is>
      </c>
      <c r="H3340" s="7" t="inlineStr">
        <is>
          <t>Home Office</t>
        </is>
      </c>
      <c r="I3340" s="7" t="n">
        <v>3</v>
      </c>
      <c r="J3340" s="10" t="n">
        <v>897.8200000000001</v>
      </c>
      <c r="K3340" s="11" t="n">
        <v>0</v>
      </c>
      <c r="L3340" s="10">
        <f>I3340*J3340*(1-K3340)</f>
        <v/>
      </c>
      <c r="M3340" s="10" t="n">
        <v>2106</v>
      </c>
      <c r="N3340" s="10">
        <f>L3340-M3340</f>
        <v/>
      </c>
    </row>
    <row r="3341">
      <c r="A3341" s="7" t="inlineStr">
        <is>
          <t>ORD-00067</t>
        </is>
      </c>
      <c r="B3341" s="8" t="n">
        <v>45620</v>
      </c>
      <c r="C3341" s="9" t="n">
        <v>45597</v>
      </c>
      <c r="D3341" s="7" t="n">
        <v>2024</v>
      </c>
      <c r="E3341" s="7" t="inlineStr">
        <is>
          <t>East</t>
        </is>
      </c>
      <c r="F3341" s="7" t="inlineStr">
        <is>
          <t>Technology</t>
        </is>
      </c>
      <c r="G3341" s="7" t="inlineStr">
        <is>
          <t>Headphones</t>
        </is>
      </c>
      <c r="H3341" s="7" t="inlineStr">
        <is>
          <t>Consumer</t>
        </is>
      </c>
      <c r="I3341" s="7" t="n">
        <v>1</v>
      </c>
      <c r="J3341" s="10" t="n">
        <v>122.16</v>
      </c>
      <c r="K3341" s="11" t="n">
        <v>0.1</v>
      </c>
      <c r="L3341" s="10">
        <f>I3341*J3341*(1-K3341)</f>
        <v/>
      </c>
      <c r="M3341" s="10" t="n">
        <v>72</v>
      </c>
      <c r="N3341" s="10">
        <f>L3341-M3341</f>
        <v/>
      </c>
    </row>
    <row r="3342">
      <c r="A3342" s="7" t="inlineStr">
        <is>
          <t>ORD-03452</t>
        </is>
      </c>
      <c r="B3342" s="8" t="n">
        <v>45620</v>
      </c>
      <c r="C3342" s="9" t="n">
        <v>45597</v>
      </c>
      <c r="D3342" s="7" t="n">
        <v>2024</v>
      </c>
      <c r="E3342" s="7" t="inlineStr">
        <is>
          <t>West</t>
        </is>
      </c>
      <c r="F3342" s="7" t="inlineStr">
        <is>
          <t>Technology</t>
        </is>
      </c>
      <c r="G3342" s="7" t="inlineStr">
        <is>
          <t>Smartphone</t>
        </is>
      </c>
      <c r="H3342" s="7" t="inlineStr">
        <is>
          <t>Corporate</t>
        </is>
      </c>
      <c r="I3342" s="7" t="n">
        <v>1</v>
      </c>
      <c r="J3342" s="10" t="n">
        <v>611.8099999999999</v>
      </c>
      <c r="K3342" s="11" t="n">
        <v>0</v>
      </c>
      <c r="L3342" s="10">
        <f>I3342*J3342*(1-K3342)</f>
        <v/>
      </c>
      <c r="M3342" s="10" t="n">
        <v>450</v>
      </c>
      <c r="N3342" s="10">
        <f>L3342-M3342</f>
        <v/>
      </c>
    </row>
    <row r="3343">
      <c r="A3343" s="7" t="inlineStr">
        <is>
          <t>ORD-04103</t>
        </is>
      </c>
      <c r="B3343" s="8" t="n">
        <v>45620</v>
      </c>
      <c r="C3343" s="9" t="n">
        <v>45597</v>
      </c>
      <c r="D3343" s="7" t="n">
        <v>2024</v>
      </c>
      <c r="E3343" s="7" t="inlineStr">
        <is>
          <t>North</t>
        </is>
      </c>
      <c r="F3343" s="7" t="inlineStr">
        <is>
          <t>Office Supplies</t>
        </is>
      </c>
      <c r="G3343" s="7" t="inlineStr">
        <is>
          <t>Printer Ink</t>
        </is>
      </c>
      <c r="H3343" s="7" t="inlineStr">
        <is>
          <t>Consumer</t>
        </is>
      </c>
      <c r="I3343" s="7" t="n">
        <v>12</v>
      </c>
      <c r="J3343" s="10" t="n">
        <v>61.1</v>
      </c>
      <c r="K3343" s="11" t="n">
        <v>0</v>
      </c>
      <c r="L3343" s="10">
        <f>I3343*J3343*(1-K3343)</f>
        <v/>
      </c>
      <c r="M3343" s="10" t="n">
        <v>432</v>
      </c>
      <c r="N3343" s="10">
        <f>L3343-M3343</f>
        <v/>
      </c>
    </row>
    <row r="3344">
      <c r="A3344" s="7" t="inlineStr">
        <is>
          <t>ORD-02627</t>
        </is>
      </c>
      <c r="B3344" s="8" t="n">
        <v>45621</v>
      </c>
      <c r="C3344" s="9" t="n">
        <v>45597</v>
      </c>
      <c r="D3344" s="7" t="n">
        <v>2024</v>
      </c>
      <c r="E3344" s="7" t="inlineStr">
        <is>
          <t>West</t>
        </is>
      </c>
      <c r="F3344" s="7" t="inlineStr">
        <is>
          <t>Technology</t>
        </is>
      </c>
      <c r="G3344" s="7" t="inlineStr">
        <is>
          <t>Smartphone</t>
        </is>
      </c>
      <c r="H3344" s="7" t="inlineStr">
        <is>
          <t>Corporate</t>
        </is>
      </c>
      <c r="I3344" s="7" t="n">
        <v>3</v>
      </c>
      <c r="J3344" s="10" t="n">
        <v>606.26</v>
      </c>
      <c r="K3344" s="11" t="n">
        <v>0.1</v>
      </c>
      <c r="L3344" s="10">
        <f>I3344*J3344*(1-K3344)</f>
        <v/>
      </c>
      <c r="M3344" s="10" t="n">
        <v>1350</v>
      </c>
      <c r="N3344" s="10">
        <f>L3344-M3344</f>
        <v/>
      </c>
    </row>
    <row r="3345">
      <c r="A3345" s="7" t="inlineStr">
        <is>
          <t>ORD-01880</t>
        </is>
      </c>
      <c r="B3345" s="8" t="n">
        <v>45621</v>
      </c>
      <c r="C3345" s="9" t="n">
        <v>45597</v>
      </c>
      <c r="D3345" s="7" t="n">
        <v>2024</v>
      </c>
      <c r="E3345" s="7" t="inlineStr">
        <is>
          <t>North</t>
        </is>
      </c>
      <c r="F3345" s="7" t="inlineStr">
        <is>
          <t>Office Supplies</t>
        </is>
      </c>
      <c r="G3345" s="7" t="inlineStr">
        <is>
          <t>Binder</t>
        </is>
      </c>
      <c r="H3345" s="7" t="inlineStr">
        <is>
          <t>Consumer</t>
        </is>
      </c>
      <c r="I3345" s="7" t="n">
        <v>8</v>
      </c>
      <c r="J3345" s="10" t="n">
        <v>8.15</v>
      </c>
      <c r="K3345" s="11" t="n">
        <v>0.05</v>
      </c>
      <c r="L3345" s="10">
        <f>I3345*J3345*(1-K3345)</f>
        <v/>
      </c>
      <c r="M3345" s="10" t="n">
        <v>25.6</v>
      </c>
      <c r="N3345" s="10">
        <f>L3345-M3345</f>
        <v/>
      </c>
    </row>
    <row r="3346">
      <c r="A3346" s="7" t="inlineStr">
        <is>
          <t>ORD-05222</t>
        </is>
      </c>
      <c r="B3346" s="8" t="n">
        <v>45621</v>
      </c>
      <c r="C3346" s="9" t="n">
        <v>45597</v>
      </c>
      <c r="D3346" s="7" t="n">
        <v>2024</v>
      </c>
      <c r="E3346" s="7" t="inlineStr">
        <is>
          <t>South</t>
        </is>
      </c>
      <c r="F3346" s="7" t="inlineStr">
        <is>
          <t>Office Supplies</t>
        </is>
      </c>
      <c r="G3346" s="7" t="inlineStr">
        <is>
          <t>Stapler</t>
        </is>
      </c>
      <c r="H3346" s="7" t="inlineStr">
        <is>
          <t>Consumer</t>
        </is>
      </c>
      <c r="I3346" s="7" t="n">
        <v>5</v>
      </c>
      <c r="J3346" s="10" t="n">
        <v>15.18</v>
      </c>
      <c r="K3346" s="11" t="n">
        <v>0.2</v>
      </c>
      <c r="L3346" s="10">
        <f>I3346*J3346*(1-K3346)</f>
        <v/>
      </c>
      <c r="M3346" s="10" t="n">
        <v>37.5</v>
      </c>
      <c r="N3346" s="10">
        <f>L3346-M3346</f>
        <v/>
      </c>
    </row>
    <row r="3347">
      <c r="A3347" s="7" t="inlineStr">
        <is>
          <t>ORD-03357</t>
        </is>
      </c>
      <c r="B3347" s="8" t="n">
        <v>45621</v>
      </c>
      <c r="C3347" s="9" t="n">
        <v>45597</v>
      </c>
      <c r="D3347" s="7" t="n">
        <v>2024</v>
      </c>
      <c r="E3347" s="7" t="inlineStr">
        <is>
          <t>North</t>
        </is>
      </c>
      <c r="F3347" s="7" t="inlineStr">
        <is>
          <t>Office Supplies</t>
        </is>
      </c>
      <c r="G3347" s="7" t="inlineStr">
        <is>
          <t>Printer Ink</t>
        </is>
      </c>
      <c r="H3347" s="7" t="inlineStr">
        <is>
          <t>Consumer</t>
        </is>
      </c>
      <c r="I3347" s="7" t="n">
        <v>8</v>
      </c>
      <c r="J3347" s="10" t="n">
        <v>58.35</v>
      </c>
      <c r="K3347" s="11" t="n">
        <v>0</v>
      </c>
      <c r="L3347" s="10">
        <f>I3347*J3347*(1-K3347)</f>
        <v/>
      </c>
      <c r="M3347" s="10" t="n">
        <v>288</v>
      </c>
      <c r="N3347" s="10">
        <f>L3347-M3347</f>
        <v/>
      </c>
    </row>
    <row r="3348">
      <c r="A3348" s="7" t="inlineStr">
        <is>
          <t>ORD-03626</t>
        </is>
      </c>
      <c r="B3348" s="8" t="n">
        <v>45621</v>
      </c>
      <c r="C3348" s="9" t="n">
        <v>45597</v>
      </c>
      <c r="D3348" s="7" t="n">
        <v>2024</v>
      </c>
      <c r="E3348" s="7" t="inlineStr">
        <is>
          <t>South</t>
        </is>
      </c>
      <c r="F3348" s="7" t="inlineStr">
        <is>
          <t>Furniture</t>
        </is>
      </c>
      <c r="G3348" s="7" t="inlineStr">
        <is>
          <t>Bookcase</t>
        </is>
      </c>
      <c r="H3348" s="7" t="inlineStr">
        <is>
          <t>Corporate</t>
        </is>
      </c>
      <c r="I3348" s="7" t="n">
        <v>3</v>
      </c>
      <c r="J3348" s="10" t="n">
        <v>171.69</v>
      </c>
      <c r="K3348" s="11" t="n">
        <v>0.2</v>
      </c>
      <c r="L3348" s="10">
        <f>I3348*J3348*(1-K3348)</f>
        <v/>
      </c>
      <c r="M3348" s="10" t="n">
        <v>432</v>
      </c>
      <c r="N3348" s="10">
        <f>L3348-M3348</f>
        <v/>
      </c>
    </row>
    <row r="3349">
      <c r="A3349" s="7" t="inlineStr">
        <is>
          <t>ORD-01213</t>
        </is>
      </c>
      <c r="B3349" s="8" t="n">
        <v>45621</v>
      </c>
      <c r="C3349" s="9" t="n">
        <v>45597</v>
      </c>
      <c r="D3349" s="7" t="n">
        <v>2024</v>
      </c>
      <c r="E3349" s="7" t="inlineStr">
        <is>
          <t>South</t>
        </is>
      </c>
      <c r="F3349" s="7" t="inlineStr">
        <is>
          <t>Office Supplies</t>
        </is>
      </c>
      <c r="G3349" s="7" t="inlineStr">
        <is>
          <t>Stapler</t>
        </is>
      </c>
      <c r="H3349" s="7" t="inlineStr">
        <is>
          <t>Consumer</t>
        </is>
      </c>
      <c r="I3349" s="7" t="n">
        <v>9</v>
      </c>
      <c r="J3349" s="10" t="n">
        <v>15.17</v>
      </c>
      <c r="K3349" s="11" t="n">
        <v>0.05</v>
      </c>
      <c r="L3349" s="10">
        <f>I3349*J3349*(1-K3349)</f>
        <v/>
      </c>
      <c r="M3349" s="10" t="n">
        <v>67.5</v>
      </c>
      <c r="N3349" s="10">
        <f>L3349-M3349</f>
        <v/>
      </c>
    </row>
    <row r="3350">
      <c r="A3350" s="7" t="inlineStr">
        <is>
          <t>ORD-03436</t>
        </is>
      </c>
      <c r="B3350" s="8" t="n">
        <v>45622</v>
      </c>
      <c r="C3350" s="9" t="n">
        <v>45597</v>
      </c>
      <c r="D3350" s="7" t="n">
        <v>2024</v>
      </c>
      <c r="E3350" s="7" t="inlineStr">
        <is>
          <t>East</t>
        </is>
      </c>
      <c r="F3350" s="7" t="inlineStr">
        <is>
          <t>Office Supplies</t>
        </is>
      </c>
      <c r="G3350" s="7" t="inlineStr">
        <is>
          <t>Pens</t>
        </is>
      </c>
      <c r="H3350" s="7" t="inlineStr">
        <is>
          <t>Consumer</t>
        </is>
      </c>
      <c r="I3350" s="7" t="n">
        <v>10</v>
      </c>
      <c r="J3350" s="10" t="n">
        <v>11.43</v>
      </c>
      <c r="K3350" s="11" t="n">
        <v>0</v>
      </c>
      <c r="L3350" s="10">
        <f>I3350*J3350*(1-K3350)</f>
        <v/>
      </c>
      <c r="M3350" s="10" t="n">
        <v>54</v>
      </c>
      <c r="N3350" s="10">
        <f>L3350-M3350</f>
        <v/>
      </c>
    </row>
    <row r="3351">
      <c r="A3351" s="7" t="inlineStr">
        <is>
          <t>ORD-05391</t>
        </is>
      </c>
      <c r="B3351" s="8" t="n">
        <v>45622</v>
      </c>
      <c r="C3351" s="9" t="n">
        <v>45597</v>
      </c>
      <c r="D3351" s="7" t="n">
        <v>2024</v>
      </c>
      <c r="E3351" s="7" t="inlineStr">
        <is>
          <t>East</t>
        </is>
      </c>
      <c r="F3351" s="7" t="inlineStr">
        <is>
          <t>Furniture</t>
        </is>
      </c>
      <c r="G3351" s="7" t="inlineStr">
        <is>
          <t>Sofa</t>
        </is>
      </c>
      <c r="H3351" s="7" t="inlineStr">
        <is>
          <t>Corporate</t>
        </is>
      </c>
      <c r="I3351" s="7" t="n">
        <v>1</v>
      </c>
      <c r="J3351" s="10" t="n">
        <v>723.5</v>
      </c>
      <c r="K3351" s="11" t="n">
        <v>0.05</v>
      </c>
      <c r="L3351" s="10">
        <f>I3351*J3351*(1-K3351)</f>
        <v/>
      </c>
      <c r="M3351" s="10" t="n">
        <v>616</v>
      </c>
      <c r="N3351" s="10">
        <f>L3351-M3351</f>
        <v/>
      </c>
    </row>
    <row r="3352">
      <c r="A3352" s="7" t="inlineStr">
        <is>
          <t>ORD-01031</t>
        </is>
      </c>
      <c r="B3352" s="8" t="n">
        <v>45622</v>
      </c>
      <c r="C3352" s="9" t="n">
        <v>45597</v>
      </c>
      <c r="D3352" s="7" t="n">
        <v>2024</v>
      </c>
      <c r="E3352" s="7" t="inlineStr">
        <is>
          <t>West</t>
        </is>
      </c>
      <c r="F3352" s="7" t="inlineStr">
        <is>
          <t>Office Supplies</t>
        </is>
      </c>
      <c r="G3352" s="7" t="inlineStr">
        <is>
          <t>Binder</t>
        </is>
      </c>
      <c r="H3352" s="7" t="inlineStr">
        <is>
          <t>Consumer</t>
        </is>
      </c>
      <c r="I3352" s="7" t="n">
        <v>8</v>
      </c>
      <c r="J3352" s="10" t="n">
        <v>7.86</v>
      </c>
      <c r="K3352" s="11" t="n">
        <v>0</v>
      </c>
      <c r="L3352" s="10">
        <f>I3352*J3352*(1-K3352)</f>
        <v/>
      </c>
      <c r="M3352" s="10" t="n">
        <v>25.6</v>
      </c>
      <c r="N3352" s="10">
        <f>L3352-M3352</f>
        <v/>
      </c>
    </row>
    <row r="3353">
      <c r="A3353" s="7" t="inlineStr">
        <is>
          <t>ORD-00717</t>
        </is>
      </c>
      <c r="B3353" s="8" t="n">
        <v>45622</v>
      </c>
      <c r="C3353" s="9" t="n">
        <v>45597</v>
      </c>
      <c r="D3353" s="7" t="n">
        <v>2024</v>
      </c>
      <c r="E3353" s="7" t="inlineStr">
        <is>
          <t>South</t>
        </is>
      </c>
      <c r="F3353" s="7" t="inlineStr">
        <is>
          <t>Office Supplies</t>
        </is>
      </c>
      <c r="G3353" s="7" t="inlineStr">
        <is>
          <t>Paper</t>
        </is>
      </c>
      <c r="H3353" s="7" t="inlineStr">
        <is>
          <t>Corporate</t>
        </is>
      </c>
      <c r="I3353" s="7" t="n">
        <v>15</v>
      </c>
      <c r="J3353" s="10" t="n">
        <v>26.09</v>
      </c>
      <c r="K3353" s="11" t="n">
        <v>0.3</v>
      </c>
      <c r="L3353" s="10">
        <f>I3353*J3353*(1-K3353)</f>
        <v/>
      </c>
      <c r="M3353" s="10" t="n">
        <v>187.5</v>
      </c>
      <c r="N3353" s="10">
        <f>L3353-M3353</f>
        <v/>
      </c>
    </row>
    <row r="3354">
      <c r="A3354" s="7" t="inlineStr">
        <is>
          <t>ORD-03431</t>
        </is>
      </c>
      <c r="B3354" s="8" t="n">
        <v>45622</v>
      </c>
      <c r="C3354" s="9" t="n">
        <v>45597</v>
      </c>
      <c r="D3354" s="7" t="n">
        <v>2024</v>
      </c>
      <c r="E3354" s="7" t="inlineStr">
        <is>
          <t>East</t>
        </is>
      </c>
      <c r="F3354" s="7" t="inlineStr">
        <is>
          <t>Office Supplies</t>
        </is>
      </c>
      <c r="G3354" s="7" t="inlineStr">
        <is>
          <t>Pens</t>
        </is>
      </c>
      <c r="H3354" s="7" t="inlineStr">
        <is>
          <t>Corporate</t>
        </is>
      </c>
      <c r="I3354" s="7" t="n">
        <v>10</v>
      </c>
      <c r="J3354" s="10" t="n">
        <v>11.93</v>
      </c>
      <c r="K3354" s="11" t="n">
        <v>0.05</v>
      </c>
      <c r="L3354" s="10">
        <f>I3354*J3354*(1-K3354)</f>
        <v/>
      </c>
      <c r="M3354" s="10" t="n">
        <v>54</v>
      </c>
      <c r="N3354" s="10">
        <f>L3354-M3354</f>
        <v/>
      </c>
    </row>
    <row r="3355">
      <c r="A3355" s="7" t="inlineStr">
        <is>
          <t>ORD-00706</t>
        </is>
      </c>
      <c r="B3355" s="8" t="n">
        <v>45622</v>
      </c>
      <c r="C3355" s="9" t="n">
        <v>45597</v>
      </c>
      <c r="D3355" s="7" t="n">
        <v>2024</v>
      </c>
      <c r="E3355" s="7" t="inlineStr">
        <is>
          <t>East</t>
        </is>
      </c>
      <c r="F3355" s="7" t="inlineStr">
        <is>
          <t>Office Supplies</t>
        </is>
      </c>
      <c r="G3355" s="7" t="inlineStr">
        <is>
          <t>Paper</t>
        </is>
      </c>
      <c r="H3355" s="7" t="inlineStr">
        <is>
          <t>Home Office</t>
        </is>
      </c>
      <c r="I3355" s="7" t="n">
        <v>10</v>
      </c>
      <c r="J3355" s="10" t="n">
        <v>23.77</v>
      </c>
      <c r="K3355" s="11" t="n">
        <v>0.05</v>
      </c>
      <c r="L3355" s="10">
        <f>I3355*J3355*(1-K3355)</f>
        <v/>
      </c>
      <c r="M3355" s="10" t="n">
        <v>125</v>
      </c>
      <c r="N3355" s="10">
        <f>L3355-M3355</f>
        <v/>
      </c>
    </row>
    <row r="3356">
      <c r="A3356" s="7" t="inlineStr">
        <is>
          <t>ORD-05925</t>
        </is>
      </c>
      <c r="B3356" s="8" t="n">
        <v>45622</v>
      </c>
      <c r="C3356" s="9" t="n">
        <v>45597</v>
      </c>
      <c r="D3356" s="7" t="n">
        <v>2024</v>
      </c>
      <c r="E3356" s="7" t="inlineStr">
        <is>
          <t>West</t>
        </is>
      </c>
      <c r="F3356" s="7" t="inlineStr">
        <is>
          <t>Furniture</t>
        </is>
      </c>
      <c r="G3356" s="7" t="inlineStr">
        <is>
          <t>Bookcase</t>
        </is>
      </c>
      <c r="H3356" s="7" t="inlineStr">
        <is>
          <t>Home Office</t>
        </is>
      </c>
      <c r="I3356" s="7" t="n">
        <v>1</v>
      </c>
      <c r="J3356" s="10" t="n">
        <v>186.53</v>
      </c>
      <c r="K3356" s="11" t="n">
        <v>0.3</v>
      </c>
      <c r="L3356" s="10">
        <f>I3356*J3356*(1-K3356)</f>
        <v/>
      </c>
      <c r="M3356" s="10" t="n">
        <v>144</v>
      </c>
      <c r="N3356" s="10">
        <f>L3356-M3356</f>
        <v/>
      </c>
    </row>
    <row r="3357">
      <c r="A3357" s="7" t="inlineStr">
        <is>
          <t>ORD-03795</t>
        </is>
      </c>
      <c r="B3357" s="8" t="n">
        <v>45622</v>
      </c>
      <c r="C3357" s="9" t="n">
        <v>45597</v>
      </c>
      <c r="D3357" s="7" t="n">
        <v>2024</v>
      </c>
      <c r="E3357" s="7" t="inlineStr">
        <is>
          <t>West</t>
        </is>
      </c>
      <c r="F3357" s="7" t="inlineStr">
        <is>
          <t>Furniture</t>
        </is>
      </c>
      <c r="G3357" s="7" t="inlineStr">
        <is>
          <t>Sofa</t>
        </is>
      </c>
      <c r="H3357" s="7" t="inlineStr">
        <is>
          <t>Consumer</t>
        </is>
      </c>
      <c r="I3357" s="7" t="n">
        <v>3</v>
      </c>
      <c r="J3357" s="10" t="n">
        <v>725.34</v>
      </c>
      <c r="K3357" s="11" t="n">
        <v>0.05</v>
      </c>
      <c r="L3357" s="10">
        <f>I3357*J3357*(1-K3357)</f>
        <v/>
      </c>
      <c r="M3357" s="10" t="n">
        <v>1848</v>
      </c>
      <c r="N3357" s="10">
        <f>L3357-M3357</f>
        <v/>
      </c>
    </row>
    <row r="3358">
      <c r="A3358" s="7" t="inlineStr">
        <is>
          <t>ORD-02265</t>
        </is>
      </c>
      <c r="B3358" s="8" t="n">
        <v>45622</v>
      </c>
      <c r="C3358" s="9" t="n">
        <v>45597</v>
      </c>
      <c r="D3358" s="7" t="n">
        <v>2024</v>
      </c>
      <c r="E3358" s="7" t="inlineStr">
        <is>
          <t>South</t>
        </is>
      </c>
      <c r="F3358" s="7" t="inlineStr">
        <is>
          <t>Office Supplies</t>
        </is>
      </c>
      <c r="G3358" s="7" t="inlineStr">
        <is>
          <t>Binder</t>
        </is>
      </c>
      <c r="H3358" s="7" t="inlineStr">
        <is>
          <t>Corporate</t>
        </is>
      </c>
      <c r="I3358" s="7" t="n">
        <v>15</v>
      </c>
      <c r="J3358" s="10" t="n">
        <v>8.140000000000001</v>
      </c>
      <c r="K3358" s="11" t="n">
        <v>0.05</v>
      </c>
      <c r="L3358" s="10">
        <f>I3358*J3358*(1-K3358)</f>
        <v/>
      </c>
      <c r="M3358" s="10" t="n">
        <v>48</v>
      </c>
      <c r="N3358" s="10">
        <f>L3358-M3358</f>
        <v/>
      </c>
    </row>
    <row r="3359">
      <c r="A3359" s="7" t="inlineStr">
        <is>
          <t>ORD-03484</t>
        </is>
      </c>
      <c r="B3359" s="8" t="n">
        <v>45623</v>
      </c>
      <c r="C3359" s="9" t="n">
        <v>45597</v>
      </c>
      <c r="D3359" s="7" t="n">
        <v>2024</v>
      </c>
      <c r="E3359" s="7" t="inlineStr">
        <is>
          <t>South</t>
        </is>
      </c>
      <c r="F3359" s="7" t="inlineStr">
        <is>
          <t>Technology</t>
        </is>
      </c>
      <c r="G3359" s="7" t="inlineStr">
        <is>
          <t>Keyboard</t>
        </is>
      </c>
      <c r="H3359" s="7" t="inlineStr">
        <is>
          <t>Consumer</t>
        </is>
      </c>
      <c r="I3359" s="7" t="n">
        <v>1</v>
      </c>
      <c r="J3359" s="10" t="n">
        <v>42.89</v>
      </c>
      <c r="K3359" s="11" t="n">
        <v>0.2</v>
      </c>
      <c r="L3359" s="10">
        <f>I3359*J3359*(1-K3359)</f>
        <v/>
      </c>
      <c r="M3359" s="10" t="n">
        <v>24.75</v>
      </c>
      <c r="N3359" s="10">
        <f>L3359-M3359</f>
        <v/>
      </c>
    </row>
    <row r="3360">
      <c r="A3360" s="7" t="inlineStr">
        <is>
          <t>ORD-02522</t>
        </is>
      </c>
      <c r="B3360" s="8" t="n">
        <v>45623</v>
      </c>
      <c r="C3360" s="9" t="n">
        <v>45597</v>
      </c>
      <c r="D3360" s="7" t="n">
        <v>2024</v>
      </c>
      <c r="E3360" s="7" t="inlineStr">
        <is>
          <t>East</t>
        </is>
      </c>
      <c r="F3360" s="7" t="inlineStr">
        <is>
          <t>Technology</t>
        </is>
      </c>
      <c r="G3360" s="7" t="inlineStr">
        <is>
          <t>Headphones</t>
        </is>
      </c>
      <c r="H3360" s="7" t="inlineStr">
        <is>
          <t>Consumer</t>
        </is>
      </c>
      <c r="I3360" s="7" t="n">
        <v>1</v>
      </c>
      <c r="J3360" s="10" t="n">
        <v>122.21</v>
      </c>
      <c r="K3360" s="11" t="n">
        <v>0.1</v>
      </c>
      <c r="L3360" s="10">
        <f>I3360*J3360*(1-K3360)</f>
        <v/>
      </c>
      <c r="M3360" s="10" t="n">
        <v>72</v>
      </c>
      <c r="N3360" s="10">
        <f>L3360-M3360</f>
        <v/>
      </c>
    </row>
    <row r="3361">
      <c r="A3361" s="7" t="inlineStr">
        <is>
          <t>ORD-05640</t>
        </is>
      </c>
      <c r="B3361" s="8" t="n">
        <v>45623</v>
      </c>
      <c r="C3361" s="9" t="n">
        <v>45597</v>
      </c>
      <c r="D3361" s="7" t="n">
        <v>2024</v>
      </c>
      <c r="E3361" s="7" t="inlineStr">
        <is>
          <t>North</t>
        </is>
      </c>
      <c r="F3361" s="7" t="inlineStr">
        <is>
          <t>Office Supplies</t>
        </is>
      </c>
      <c r="G3361" s="7" t="inlineStr">
        <is>
          <t>Pens</t>
        </is>
      </c>
      <c r="H3361" s="7" t="inlineStr">
        <is>
          <t>Home Office</t>
        </is>
      </c>
      <c r="I3361" s="7" t="n">
        <v>8</v>
      </c>
      <c r="J3361" s="10" t="n">
        <v>11.48</v>
      </c>
      <c r="K3361" s="11" t="n">
        <v>0.2</v>
      </c>
      <c r="L3361" s="10">
        <f>I3361*J3361*(1-K3361)</f>
        <v/>
      </c>
      <c r="M3361" s="10" t="n">
        <v>43.2</v>
      </c>
      <c r="N3361" s="10">
        <f>L3361-M3361</f>
        <v/>
      </c>
    </row>
    <row r="3362">
      <c r="A3362" s="7" t="inlineStr">
        <is>
          <t>ORD-01302</t>
        </is>
      </c>
      <c r="B3362" s="8" t="n">
        <v>45623</v>
      </c>
      <c r="C3362" s="9" t="n">
        <v>45597</v>
      </c>
      <c r="D3362" s="7" t="n">
        <v>2024</v>
      </c>
      <c r="E3362" s="7" t="inlineStr">
        <is>
          <t>South</t>
        </is>
      </c>
      <c r="F3362" s="7" t="inlineStr">
        <is>
          <t>Office Supplies</t>
        </is>
      </c>
      <c r="G3362" s="7" t="inlineStr">
        <is>
          <t>Printer Ink</t>
        </is>
      </c>
      <c r="H3362" s="7" t="inlineStr">
        <is>
          <t>Home Office</t>
        </is>
      </c>
      <c r="I3362" s="7" t="n">
        <v>15</v>
      </c>
      <c r="J3362" s="10" t="n">
        <v>62.92</v>
      </c>
      <c r="K3362" s="11" t="n">
        <v>0</v>
      </c>
      <c r="L3362" s="10">
        <f>I3362*J3362*(1-K3362)</f>
        <v/>
      </c>
      <c r="M3362" s="10" t="n">
        <v>540</v>
      </c>
      <c r="N3362" s="10">
        <f>L3362-M3362</f>
        <v/>
      </c>
    </row>
    <row r="3363">
      <c r="A3363" s="7" t="inlineStr">
        <is>
          <t>ORD-03242</t>
        </is>
      </c>
      <c r="B3363" s="8" t="n">
        <v>45623</v>
      </c>
      <c r="C3363" s="9" t="n">
        <v>45597</v>
      </c>
      <c r="D3363" s="7" t="n">
        <v>2024</v>
      </c>
      <c r="E3363" s="7" t="inlineStr">
        <is>
          <t>East</t>
        </is>
      </c>
      <c r="F3363" s="7" t="inlineStr">
        <is>
          <t>Office Supplies</t>
        </is>
      </c>
      <c r="G3363" s="7" t="inlineStr">
        <is>
          <t>Paper</t>
        </is>
      </c>
      <c r="H3363" s="7" t="inlineStr">
        <is>
          <t>Home Office</t>
        </is>
      </c>
      <c r="I3363" s="7" t="n">
        <v>2</v>
      </c>
      <c r="J3363" s="10" t="n">
        <v>25.58</v>
      </c>
      <c r="K3363" s="11" t="n">
        <v>0</v>
      </c>
      <c r="L3363" s="10">
        <f>I3363*J3363*(1-K3363)</f>
        <v/>
      </c>
      <c r="M3363" s="10" t="n">
        <v>25</v>
      </c>
      <c r="N3363" s="10">
        <f>L3363-M3363</f>
        <v/>
      </c>
    </row>
    <row r="3364">
      <c r="A3364" s="7" t="inlineStr">
        <is>
          <t>ORD-02995</t>
        </is>
      </c>
      <c r="B3364" s="8" t="n">
        <v>45623</v>
      </c>
      <c r="C3364" s="9" t="n">
        <v>45597</v>
      </c>
      <c r="D3364" s="7" t="n">
        <v>2024</v>
      </c>
      <c r="E3364" s="7" t="inlineStr">
        <is>
          <t>East</t>
        </is>
      </c>
      <c r="F3364" s="7" t="inlineStr">
        <is>
          <t>Furniture</t>
        </is>
      </c>
      <c r="G3364" s="7" t="inlineStr">
        <is>
          <t>Bookcase</t>
        </is>
      </c>
      <c r="H3364" s="7" t="inlineStr">
        <is>
          <t>Corporate</t>
        </is>
      </c>
      <c r="I3364" s="7" t="n">
        <v>2</v>
      </c>
      <c r="J3364" s="10" t="n">
        <v>172.96</v>
      </c>
      <c r="K3364" s="11" t="n">
        <v>0.3</v>
      </c>
      <c r="L3364" s="10">
        <f>I3364*J3364*(1-K3364)</f>
        <v/>
      </c>
      <c r="M3364" s="10" t="n">
        <v>288</v>
      </c>
      <c r="N3364" s="10">
        <f>L3364-M3364</f>
        <v/>
      </c>
    </row>
    <row r="3365">
      <c r="A3365" s="7" t="inlineStr">
        <is>
          <t>ORD-05142</t>
        </is>
      </c>
      <c r="B3365" s="8" t="n">
        <v>45623</v>
      </c>
      <c r="C3365" s="9" t="n">
        <v>45597</v>
      </c>
      <c r="D3365" s="7" t="n">
        <v>2024</v>
      </c>
      <c r="E3365" s="7" t="inlineStr">
        <is>
          <t>West</t>
        </is>
      </c>
      <c r="F3365" s="7" t="inlineStr">
        <is>
          <t>Office Supplies</t>
        </is>
      </c>
      <c r="G3365" s="7" t="inlineStr">
        <is>
          <t>Paper</t>
        </is>
      </c>
      <c r="H3365" s="7" t="inlineStr">
        <is>
          <t>Consumer</t>
        </is>
      </c>
      <c r="I3365" s="7" t="n">
        <v>7</v>
      </c>
      <c r="J3365" s="10" t="n">
        <v>25.02</v>
      </c>
      <c r="K3365" s="11" t="n">
        <v>0.05</v>
      </c>
      <c r="L3365" s="10">
        <f>I3365*J3365*(1-K3365)</f>
        <v/>
      </c>
      <c r="M3365" s="10" t="n">
        <v>87.5</v>
      </c>
      <c r="N3365" s="10">
        <f>L3365-M3365</f>
        <v/>
      </c>
    </row>
    <row r="3366">
      <c r="A3366" s="7" t="inlineStr">
        <is>
          <t>ORD-03867</t>
        </is>
      </c>
      <c r="B3366" s="8" t="n">
        <v>45623</v>
      </c>
      <c r="C3366" s="9" t="n">
        <v>45597</v>
      </c>
      <c r="D3366" s="7" t="n">
        <v>2024</v>
      </c>
      <c r="E3366" s="7" t="inlineStr">
        <is>
          <t>West</t>
        </is>
      </c>
      <c r="F3366" s="7" t="inlineStr">
        <is>
          <t>Office Supplies</t>
        </is>
      </c>
      <c r="G3366" s="7" t="inlineStr">
        <is>
          <t>Pens</t>
        </is>
      </c>
      <c r="H3366" s="7" t="inlineStr">
        <is>
          <t>Consumer</t>
        </is>
      </c>
      <c r="I3366" s="7" t="n">
        <v>9</v>
      </c>
      <c r="J3366" s="10" t="n">
        <v>11.67</v>
      </c>
      <c r="K3366" s="11" t="n">
        <v>0</v>
      </c>
      <c r="L3366" s="10">
        <f>I3366*J3366*(1-K3366)</f>
        <v/>
      </c>
      <c r="M3366" s="10" t="n">
        <v>48.6</v>
      </c>
      <c r="N3366" s="10">
        <f>L3366-M3366</f>
        <v/>
      </c>
    </row>
    <row r="3367">
      <c r="A3367" s="7" t="inlineStr">
        <is>
          <t>ORD-05101</t>
        </is>
      </c>
      <c r="B3367" s="8" t="n">
        <v>45623</v>
      </c>
      <c r="C3367" s="9" t="n">
        <v>45597</v>
      </c>
      <c r="D3367" s="7" t="n">
        <v>2024</v>
      </c>
      <c r="E3367" s="7" t="inlineStr">
        <is>
          <t>North</t>
        </is>
      </c>
      <c r="F3367" s="7" t="inlineStr">
        <is>
          <t>Technology</t>
        </is>
      </c>
      <c r="G3367" s="7" t="inlineStr">
        <is>
          <t>Headphones</t>
        </is>
      </c>
      <c r="H3367" s="7" t="inlineStr">
        <is>
          <t>Consumer</t>
        </is>
      </c>
      <c r="I3367" s="7" t="n">
        <v>3</v>
      </c>
      <c r="J3367" s="10" t="n">
        <v>121.61</v>
      </c>
      <c r="K3367" s="11" t="n">
        <v>0</v>
      </c>
      <c r="L3367" s="10">
        <f>I3367*J3367*(1-K3367)</f>
        <v/>
      </c>
      <c r="M3367" s="10" t="n">
        <v>216</v>
      </c>
      <c r="N3367" s="10">
        <f>L3367-M3367</f>
        <v/>
      </c>
    </row>
    <row r="3368">
      <c r="A3368" s="7" t="inlineStr">
        <is>
          <t>ORD-01317</t>
        </is>
      </c>
      <c r="B3368" s="8" t="n">
        <v>45623</v>
      </c>
      <c r="C3368" s="9" t="n">
        <v>45597</v>
      </c>
      <c r="D3368" s="7" t="n">
        <v>2024</v>
      </c>
      <c r="E3368" s="7" t="inlineStr">
        <is>
          <t>North</t>
        </is>
      </c>
      <c r="F3368" s="7" t="inlineStr">
        <is>
          <t>Office Supplies</t>
        </is>
      </c>
      <c r="G3368" s="7" t="inlineStr">
        <is>
          <t>Paper</t>
        </is>
      </c>
      <c r="H3368" s="7" t="inlineStr">
        <is>
          <t>Consumer</t>
        </is>
      </c>
      <c r="I3368" s="7" t="n">
        <v>5</v>
      </c>
      <c r="J3368" s="10" t="n">
        <v>26.23</v>
      </c>
      <c r="K3368" s="11" t="n">
        <v>0.05</v>
      </c>
      <c r="L3368" s="10">
        <f>I3368*J3368*(1-K3368)</f>
        <v/>
      </c>
      <c r="M3368" s="10" t="n">
        <v>62.5</v>
      </c>
      <c r="N3368" s="10">
        <f>L3368-M3368</f>
        <v/>
      </c>
    </row>
    <row r="3369">
      <c r="A3369" s="7" t="inlineStr">
        <is>
          <t>ORD-02192</t>
        </is>
      </c>
      <c r="B3369" s="8" t="n">
        <v>45623</v>
      </c>
      <c r="C3369" s="9" t="n">
        <v>45597</v>
      </c>
      <c r="D3369" s="7" t="n">
        <v>2024</v>
      </c>
      <c r="E3369" s="7" t="inlineStr">
        <is>
          <t>North</t>
        </is>
      </c>
      <c r="F3369" s="7" t="inlineStr">
        <is>
          <t>Office Supplies</t>
        </is>
      </c>
      <c r="G3369" s="7" t="inlineStr">
        <is>
          <t>Binder</t>
        </is>
      </c>
      <c r="H3369" s="7" t="inlineStr">
        <is>
          <t>Corporate</t>
        </is>
      </c>
      <c r="I3369" s="7" t="n">
        <v>12</v>
      </c>
      <c r="J3369" s="10" t="n">
        <v>8.07</v>
      </c>
      <c r="K3369" s="11" t="n">
        <v>0</v>
      </c>
      <c r="L3369" s="10">
        <f>I3369*J3369*(1-K3369)</f>
        <v/>
      </c>
      <c r="M3369" s="10" t="n">
        <v>38.4</v>
      </c>
      <c r="N3369" s="10">
        <f>L3369-M3369</f>
        <v/>
      </c>
    </row>
    <row r="3370">
      <c r="A3370" s="7" t="inlineStr">
        <is>
          <t>ORD-02933</t>
        </is>
      </c>
      <c r="B3370" s="8" t="n">
        <v>45623</v>
      </c>
      <c r="C3370" s="9" t="n">
        <v>45597</v>
      </c>
      <c r="D3370" s="7" t="n">
        <v>2024</v>
      </c>
      <c r="E3370" s="7" t="inlineStr">
        <is>
          <t>West</t>
        </is>
      </c>
      <c r="F3370" s="7" t="inlineStr">
        <is>
          <t>Office Supplies</t>
        </is>
      </c>
      <c r="G3370" s="7" t="inlineStr">
        <is>
          <t>Pens</t>
        </is>
      </c>
      <c r="H3370" s="7" t="inlineStr">
        <is>
          <t>Home Office</t>
        </is>
      </c>
      <c r="I3370" s="7" t="n">
        <v>7</v>
      </c>
      <c r="J3370" s="10" t="n">
        <v>12.49</v>
      </c>
      <c r="K3370" s="11" t="n">
        <v>0.2</v>
      </c>
      <c r="L3370" s="10">
        <f>I3370*J3370*(1-K3370)</f>
        <v/>
      </c>
      <c r="M3370" s="10" t="n">
        <v>37.8</v>
      </c>
      <c r="N3370" s="10">
        <f>L3370-M3370</f>
        <v/>
      </c>
    </row>
    <row r="3371">
      <c r="A3371" s="7" t="inlineStr">
        <is>
          <t>ORD-01724</t>
        </is>
      </c>
      <c r="B3371" s="8" t="n">
        <v>45623</v>
      </c>
      <c r="C3371" s="9" t="n">
        <v>45597</v>
      </c>
      <c r="D3371" s="7" t="n">
        <v>2024</v>
      </c>
      <c r="E3371" s="7" t="inlineStr">
        <is>
          <t>East</t>
        </is>
      </c>
      <c r="F3371" s="7" t="inlineStr">
        <is>
          <t>Furniture</t>
        </is>
      </c>
      <c r="G3371" s="7" t="inlineStr">
        <is>
          <t>Bookcase</t>
        </is>
      </c>
      <c r="H3371" s="7" t="inlineStr">
        <is>
          <t>Corporate</t>
        </is>
      </c>
      <c r="I3371" s="7" t="n">
        <v>2</v>
      </c>
      <c r="J3371" s="10" t="n">
        <v>176.93</v>
      </c>
      <c r="K3371" s="11" t="n">
        <v>0.3</v>
      </c>
      <c r="L3371" s="10">
        <f>I3371*J3371*(1-K3371)</f>
        <v/>
      </c>
      <c r="M3371" s="10" t="n">
        <v>288</v>
      </c>
      <c r="N3371" s="10">
        <f>L3371-M3371</f>
        <v/>
      </c>
    </row>
    <row r="3372">
      <c r="A3372" s="7" t="inlineStr">
        <is>
          <t>ORD-00353</t>
        </is>
      </c>
      <c r="B3372" s="8" t="n">
        <v>45624</v>
      </c>
      <c r="C3372" s="9" t="n">
        <v>45597</v>
      </c>
      <c r="D3372" s="7" t="n">
        <v>2024</v>
      </c>
      <c r="E3372" s="7" t="inlineStr">
        <is>
          <t>South</t>
        </is>
      </c>
      <c r="F3372" s="7" t="inlineStr">
        <is>
          <t>Office Supplies</t>
        </is>
      </c>
      <c r="G3372" s="7" t="inlineStr">
        <is>
          <t>Paper</t>
        </is>
      </c>
      <c r="H3372" s="7" t="inlineStr">
        <is>
          <t>Consumer</t>
        </is>
      </c>
      <c r="I3372" s="7" t="n">
        <v>15</v>
      </c>
      <c r="J3372" s="10" t="n">
        <v>23.93</v>
      </c>
      <c r="K3372" s="11" t="n">
        <v>0</v>
      </c>
      <c r="L3372" s="10">
        <f>I3372*J3372*(1-K3372)</f>
        <v/>
      </c>
      <c r="M3372" s="10" t="n">
        <v>187.5</v>
      </c>
      <c r="N3372" s="10">
        <f>L3372-M3372</f>
        <v/>
      </c>
    </row>
    <row r="3373">
      <c r="A3373" s="7" t="inlineStr">
        <is>
          <t>ORD-03813</t>
        </is>
      </c>
      <c r="B3373" s="8" t="n">
        <v>45624</v>
      </c>
      <c r="C3373" s="9" t="n">
        <v>45597</v>
      </c>
      <c r="D3373" s="7" t="n">
        <v>2024</v>
      </c>
      <c r="E3373" s="7" t="inlineStr">
        <is>
          <t>South</t>
        </is>
      </c>
      <c r="F3373" s="7" t="inlineStr">
        <is>
          <t>Office Supplies</t>
        </is>
      </c>
      <c r="G3373" s="7" t="inlineStr">
        <is>
          <t>Pens</t>
        </is>
      </c>
      <c r="H3373" s="7" t="inlineStr">
        <is>
          <t>Consumer</t>
        </is>
      </c>
      <c r="I3373" s="7" t="n">
        <v>13</v>
      </c>
      <c r="J3373" s="10" t="n">
        <v>12.43</v>
      </c>
      <c r="K3373" s="11" t="n">
        <v>0.1</v>
      </c>
      <c r="L3373" s="10">
        <f>I3373*J3373*(1-K3373)</f>
        <v/>
      </c>
      <c r="M3373" s="10" t="n">
        <v>70.2</v>
      </c>
      <c r="N3373" s="10">
        <f>L3373-M3373</f>
        <v/>
      </c>
    </row>
    <row r="3374">
      <c r="A3374" s="7" t="inlineStr">
        <is>
          <t>ORD-00063</t>
        </is>
      </c>
      <c r="B3374" s="8" t="n">
        <v>45624</v>
      </c>
      <c r="C3374" s="9" t="n">
        <v>45597</v>
      </c>
      <c r="D3374" s="7" t="n">
        <v>2024</v>
      </c>
      <c r="E3374" s="7" t="inlineStr">
        <is>
          <t>West</t>
        </is>
      </c>
      <c r="F3374" s="7" t="inlineStr">
        <is>
          <t>Office Supplies</t>
        </is>
      </c>
      <c r="G3374" s="7" t="inlineStr">
        <is>
          <t>Printer Ink</t>
        </is>
      </c>
      <c r="H3374" s="7" t="inlineStr">
        <is>
          <t>Corporate</t>
        </is>
      </c>
      <c r="I3374" s="7" t="n">
        <v>8</v>
      </c>
      <c r="J3374" s="10" t="n">
        <v>58.98</v>
      </c>
      <c r="K3374" s="11" t="n">
        <v>0</v>
      </c>
      <c r="L3374" s="10">
        <f>I3374*J3374*(1-K3374)</f>
        <v/>
      </c>
      <c r="M3374" s="10" t="n">
        <v>288</v>
      </c>
      <c r="N3374" s="10">
        <f>L3374-M3374</f>
        <v/>
      </c>
    </row>
    <row r="3375">
      <c r="A3375" s="7" t="inlineStr">
        <is>
          <t>ORD-01218</t>
        </is>
      </c>
      <c r="B3375" s="8" t="n">
        <v>45624</v>
      </c>
      <c r="C3375" s="9" t="n">
        <v>45597</v>
      </c>
      <c r="D3375" s="7" t="n">
        <v>2024</v>
      </c>
      <c r="E3375" s="7" t="inlineStr">
        <is>
          <t>South</t>
        </is>
      </c>
      <c r="F3375" s="7" t="inlineStr">
        <is>
          <t>Office Supplies</t>
        </is>
      </c>
      <c r="G3375" s="7" t="inlineStr">
        <is>
          <t>Binder</t>
        </is>
      </c>
      <c r="H3375" s="7" t="inlineStr">
        <is>
          <t>Corporate</t>
        </is>
      </c>
      <c r="I3375" s="7" t="n">
        <v>7</v>
      </c>
      <c r="J3375" s="10" t="n">
        <v>7.79</v>
      </c>
      <c r="K3375" s="11" t="n">
        <v>0.05</v>
      </c>
      <c r="L3375" s="10">
        <f>I3375*J3375*(1-K3375)</f>
        <v/>
      </c>
      <c r="M3375" s="10" t="n">
        <v>22.4</v>
      </c>
      <c r="N3375" s="10">
        <f>L3375-M3375</f>
        <v/>
      </c>
    </row>
    <row r="3376">
      <c r="A3376" s="7" t="inlineStr">
        <is>
          <t>ORD-01328</t>
        </is>
      </c>
      <c r="B3376" s="8" t="n">
        <v>45624</v>
      </c>
      <c r="C3376" s="9" t="n">
        <v>45597</v>
      </c>
      <c r="D3376" s="7" t="n">
        <v>2024</v>
      </c>
      <c r="E3376" s="7" t="inlineStr">
        <is>
          <t>East</t>
        </is>
      </c>
      <c r="F3376" s="7" t="inlineStr">
        <is>
          <t>Technology</t>
        </is>
      </c>
      <c r="G3376" s="7" t="inlineStr">
        <is>
          <t>Laptop</t>
        </is>
      </c>
      <c r="H3376" s="7" t="inlineStr">
        <is>
          <t>Consumer</t>
        </is>
      </c>
      <c r="I3376" s="7" t="n">
        <v>1</v>
      </c>
      <c r="J3376" s="10" t="n">
        <v>874.62</v>
      </c>
      <c r="K3376" s="11" t="n">
        <v>0.2</v>
      </c>
      <c r="L3376" s="10">
        <f>I3376*J3376*(1-K3376)</f>
        <v/>
      </c>
      <c r="M3376" s="10" t="n">
        <v>702</v>
      </c>
      <c r="N3376" s="10">
        <f>L3376-M3376</f>
        <v/>
      </c>
    </row>
    <row r="3377">
      <c r="A3377" s="7" t="inlineStr">
        <is>
          <t>ORD-05804</t>
        </is>
      </c>
      <c r="B3377" s="8" t="n">
        <v>45624</v>
      </c>
      <c r="C3377" s="9" t="n">
        <v>45597</v>
      </c>
      <c r="D3377" s="7" t="n">
        <v>2024</v>
      </c>
      <c r="E3377" s="7" t="inlineStr">
        <is>
          <t>South</t>
        </is>
      </c>
      <c r="F3377" s="7" t="inlineStr">
        <is>
          <t>Office Supplies</t>
        </is>
      </c>
      <c r="G3377" s="7" t="inlineStr">
        <is>
          <t>Paper</t>
        </is>
      </c>
      <c r="H3377" s="7" t="inlineStr">
        <is>
          <t>Corporate</t>
        </is>
      </c>
      <c r="I3377" s="7" t="n">
        <v>8</v>
      </c>
      <c r="J3377" s="10" t="n">
        <v>25.87</v>
      </c>
      <c r="K3377" s="11" t="n">
        <v>0.1</v>
      </c>
      <c r="L3377" s="10">
        <f>I3377*J3377*(1-K3377)</f>
        <v/>
      </c>
      <c r="M3377" s="10" t="n">
        <v>100</v>
      </c>
      <c r="N3377" s="10">
        <f>L3377-M3377</f>
        <v/>
      </c>
    </row>
    <row r="3378">
      <c r="A3378" s="7" t="inlineStr">
        <is>
          <t>ORD-04015</t>
        </is>
      </c>
      <c r="B3378" s="8" t="n">
        <v>45624</v>
      </c>
      <c r="C3378" s="9" t="n">
        <v>45597</v>
      </c>
      <c r="D3378" s="7" t="n">
        <v>2024</v>
      </c>
      <c r="E3378" s="7" t="inlineStr">
        <is>
          <t>North</t>
        </is>
      </c>
      <c r="F3378" s="7" t="inlineStr">
        <is>
          <t>Technology</t>
        </is>
      </c>
      <c r="G3378" s="7" t="inlineStr">
        <is>
          <t>Keyboard</t>
        </is>
      </c>
      <c r="H3378" s="7" t="inlineStr">
        <is>
          <t>Corporate</t>
        </is>
      </c>
      <c r="I3378" s="7" t="n">
        <v>2</v>
      </c>
      <c r="J3378" s="10" t="n">
        <v>45.44</v>
      </c>
      <c r="K3378" s="11" t="n">
        <v>0.05</v>
      </c>
      <c r="L3378" s="10">
        <f>I3378*J3378*(1-K3378)</f>
        <v/>
      </c>
      <c r="M3378" s="10" t="n">
        <v>49.5</v>
      </c>
      <c r="N3378" s="10">
        <f>L3378-M3378</f>
        <v/>
      </c>
    </row>
    <row r="3379">
      <c r="A3379" s="7" t="inlineStr">
        <is>
          <t>ORD-05240</t>
        </is>
      </c>
      <c r="B3379" s="8" t="n">
        <v>45624</v>
      </c>
      <c r="C3379" s="9" t="n">
        <v>45597</v>
      </c>
      <c r="D3379" s="7" t="n">
        <v>2024</v>
      </c>
      <c r="E3379" s="7" t="inlineStr">
        <is>
          <t>West</t>
        </is>
      </c>
      <c r="F3379" s="7" t="inlineStr">
        <is>
          <t>Office Supplies</t>
        </is>
      </c>
      <c r="G3379" s="7" t="inlineStr">
        <is>
          <t>Binder</t>
        </is>
      </c>
      <c r="H3379" s="7" t="inlineStr">
        <is>
          <t>Consumer</t>
        </is>
      </c>
      <c r="I3379" s="7" t="n">
        <v>10</v>
      </c>
      <c r="J3379" s="10" t="n">
        <v>7.84</v>
      </c>
      <c r="K3379" s="11" t="n">
        <v>0</v>
      </c>
      <c r="L3379" s="10">
        <f>I3379*J3379*(1-K3379)</f>
        <v/>
      </c>
      <c r="M3379" s="10" t="n">
        <v>32</v>
      </c>
      <c r="N3379" s="10">
        <f>L3379-M3379</f>
        <v/>
      </c>
    </row>
    <row r="3380">
      <c r="A3380" s="7" t="inlineStr">
        <is>
          <t>ORD-03480</t>
        </is>
      </c>
      <c r="B3380" s="8" t="n">
        <v>45624</v>
      </c>
      <c r="C3380" s="9" t="n">
        <v>45597</v>
      </c>
      <c r="D3380" s="7" t="n">
        <v>2024</v>
      </c>
      <c r="E3380" s="7" t="inlineStr">
        <is>
          <t>South</t>
        </is>
      </c>
      <c r="F3380" s="7" t="inlineStr">
        <is>
          <t>Technology</t>
        </is>
      </c>
      <c r="G3380" s="7" t="inlineStr">
        <is>
          <t>Smartphone</t>
        </is>
      </c>
      <c r="H3380" s="7" t="inlineStr">
        <is>
          <t>Consumer</t>
        </is>
      </c>
      <c r="I3380" s="7" t="n">
        <v>1</v>
      </c>
      <c r="J3380" s="10" t="n">
        <v>574.5599999999999</v>
      </c>
      <c r="K3380" s="11" t="n">
        <v>0.2</v>
      </c>
      <c r="L3380" s="10">
        <f>I3380*J3380*(1-K3380)</f>
        <v/>
      </c>
      <c r="M3380" s="10" t="n">
        <v>450</v>
      </c>
      <c r="N3380" s="10">
        <f>L3380-M3380</f>
        <v/>
      </c>
    </row>
    <row r="3381">
      <c r="A3381" s="7" t="inlineStr">
        <is>
          <t>ORD-01344</t>
        </is>
      </c>
      <c r="B3381" s="8" t="n">
        <v>45624</v>
      </c>
      <c r="C3381" s="9" t="n">
        <v>45597</v>
      </c>
      <c r="D3381" s="7" t="n">
        <v>2024</v>
      </c>
      <c r="E3381" s="7" t="inlineStr">
        <is>
          <t>West</t>
        </is>
      </c>
      <c r="F3381" s="7" t="inlineStr">
        <is>
          <t>Office Supplies</t>
        </is>
      </c>
      <c r="G3381" s="7" t="inlineStr">
        <is>
          <t>Printer Ink</t>
        </is>
      </c>
      <c r="H3381" s="7" t="inlineStr">
        <is>
          <t>Consumer</t>
        </is>
      </c>
      <c r="I3381" s="7" t="n">
        <v>13</v>
      </c>
      <c r="J3381" s="10" t="n">
        <v>61.3</v>
      </c>
      <c r="K3381" s="11" t="n">
        <v>0.1</v>
      </c>
      <c r="L3381" s="10">
        <f>I3381*J3381*(1-K3381)</f>
        <v/>
      </c>
      <c r="M3381" s="10" t="n">
        <v>468</v>
      </c>
      <c r="N3381" s="10">
        <f>L3381-M3381</f>
        <v/>
      </c>
    </row>
    <row r="3382">
      <c r="A3382" s="7" t="inlineStr">
        <is>
          <t>ORD-02176</t>
        </is>
      </c>
      <c r="B3382" s="8" t="n">
        <v>45625</v>
      </c>
      <c r="C3382" s="9" t="n">
        <v>45597</v>
      </c>
      <c r="D3382" s="7" t="n">
        <v>2024</v>
      </c>
      <c r="E3382" s="7" t="inlineStr">
        <is>
          <t>North</t>
        </is>
      </c>
      <c r="F3382" s="7" t="inlineStr">
        <is>
          <t>Office Supplies</t>
        </is>
      </c>
      <c r="G3382" s="7" t="inlineStr">
        <is>
          <t>Printer Ink</t>
        </is>
      </c>
      <c r="H3382" s="7" t="inlineStr">
        <is>
          <t>Consumer</t>
        </is>
      </c>
      <c r="I3382" s="7" t="n">
        <v>15</v>
      </c>
      <c r="J3382" s="10" t="n">
        <v>60.24</v>
      </c>
      <c r="K3382" s="11" t="n">
        <v>0</v>
      </c>
      <c r="L3382" s="10">
        <f>I3382*J3382*(1-K3382)</f>
        <v/>
      </c>
      <c r="M3382" s="10" t="n">
        <v>540</v>
      </c>
      <c r="N3382" s="10">
        <f>L3382-M3382</f>
        <v/>
      </c>
    </row>
    <row r="3383">
      <c r="A3383" s="7" t="inlineStr">
        <is>
          <t>ORD-01201</t>
        </is>
      </c>
      <c r="B3383" s="8" t="n">
        <v>45625</v>
      </c>
      <c r="C3383" s="9" t="n">
        <v>45597</v>
      </c>
      <c r="D3383" s="7" t="n">
        <v>2024</v>
      </c>
      <c r="E3383" s="7" t="inlineStr">
        <is>
          <t>East</t>
        </is>
      </c>
      <c r="F3383" s="7" t="inlineStr">
        <is>
          <t>Office Supplies</t>
        </is>
      </c>
      <c r="G3383" s="7" t="inlineStr">
        <is>
          <t>Pens</t>
        </is>
      </c>
      <c r="H3383" s="7" t="inlineStr">
        <is>
          <t>Home Office</t>
        </is>
      </c>
      <c r="I3383" s="7" t="n">
        <v>2</v>
      </c>
      <c r="J3383" s="10" t="n">
        <v>11.6</v>
      </c>
      <c r="K3383" s="11" t="n">
        <v>0.05</v>
      </c>
      <c r="L3383" s="10">
        <f>I3383*J3383*(1-K3383)</f>
        <v/>
      </c>
      <c r="M3383" s="10" t="n">
        <v>10.8</v>
      </c>
      <c r="N3383" s="10">
        <f>L3383-M3383</f>
        <v/>
      </c>
    </row>
    <row r="3384">
      <c r="A3384" s="7" t="inlineStr">
        <is>
          <t>ORD-00490</t>
        </is>
      </c>
      <c r="B3384" s="8" t="n">
        <v>45625</v>
      </c>
      <c r="C3384" s="9" t="n">
        <v>45597</v>
      </c>
      <c r="D3384" s="7" t="n">
        <v>2024</v>
      </c>
      <c r="E3384" s="7" t="inlineStr">
        <is>
          <t>North</t>
        </is>
      </c>
      <c r="F3384" s="7" t="inlineStr">
        <is>
          <t>Technology</t>
        </is>
      </c>
      <c r="G3384" s="7" t="inlineStr">
        <is>
          <t>Monitor</t>
        </is>
      </c>
      <c r="H3384" s="7" t="inlineStr">
        <is>
          <t>Consumer</t>
        </is>
      </c>
      <c r="I3384" s="7" t="n">
        <v>2</v>
      </c>
      <c r="J3384" s="10" t="n">
        <v>253.12</v>
      </c>
      <c r="K3384" s="11" t="n">
        <v>0.3</v>
      </c>
      <c r="L3384" s="10">
        <f>I3384*J3384*(1-K3384)</f>
        <v/>
      </c>
      <c r="M3384" s="10" t="n">
        <v>360</v>
      </c>
      <c r="N3384" s="10">
        <f>L3384-M3384</f>
        <v/>
      </c>
    </row>
    <row r="3385">
      <c r="A3385" s="7" t="inlineStr">
        <is>
          <t>ORD-02658</t>
        </is>
      </c>
      <c r="B3385" s="8" t="n">
        <v>45625</v>
      </c>
      <c r="C3385" s="9" t="n">
        <v>45597</v>
      </c>
      <c r="D3385" s="7" t="n">
        <v>2024</v>
      </c>
      <c r="E3385" s="7" t="inlineStr">
        <is>
          <t>East</t>
        </is>
      </c>
      <c r="F3385" s="7" t="inlineStr">
        <is>
          <t>Furniture</t>
        </is>
      </c>
      <c r="G3385" s="7" t="inlineStr">
        <is>
          <t>Office Chair</t>
        </is>
      </c>
      <c r="H3385" s="7" t="inlineStr">
        <is>
          <t>Consumer</t>
        </is>
      </c>
      <c r="I3385" s="7" t="n">
        <v>1</v>
      </c>
      <c r="J3385" s="10" t="n">
        <v>210.98</v>
      </c>
      <c r="K3385" s="11" t="n">
        <v>0.1</v>
      </c>
      <c r="L3385" s="10">
        <f>I3385*J3385*(1-K3385)</f>
        <v/>
      </c>
      <c r="M3385" s="10" t="n">
        <v>180.4</v>
      </c>
      <c r="N3385" s="10">
        <f>L3385-M3385</f>
        <v/>
      </c>
    </row>
    <row r="3386">
      <c r="A3386" s="7" t="inlineStr">
        <is>
          <t>ORD-03259</t>
        </is>
      </c>
      <c r="B3386" s="8" t="n">
        <v>45625</v>
      </c>
      <c r="C3386" s="9" t="n">
        <v>45597</v>
      </c>
      <c r="D3386" s="7" t="n">
        <v>2024</v>
      </c>
      <c r="E3386" s="7" t="inlineStr">
        <is>
          <t>East</t>
        </is>
      </c>
      <c r="F3386" s="7" t="inlineStr">
        <is>
          <t>Technology</t>
        </is>
      </c>
      <c r="G3386" s="7" t="inlineStr">
        <is>
          <t>Headphones</t>
        </is>
      </c>
      <c r="H3386" s="7" t="inlineStr">
        <is>
          <t>Consumer</t>
        </is>
      </c>
      <c r="I3386" s="7" t="n">
        <v>2</v>
      </c>
      <c r="J3386" s="10" t="n">
        <v>119.31</v>
      </c>
      <c r="K3386" s="11" t="n">
        <v>0.05</v>
      </c>
      <c r="L3386" s="10">
        <f>I3386*J3386*(1-K3386)</f>
        <v/>
      </c>
      <c r="M3386" s="10" t="n">
        <v>144</v>
      </c>
      <c r="N3386" s="10">
        <f>L3386-M3386</f>
        <v/>
      </c>
    </row>
    <row r="3387">
      <c r="A3387" s="7" t="inlineStr">
        <is>
          <t>ORD-02339</t>
        </is>
      </c>
      <c r="B3387" s="8" t="n">
        <v>45626</v>
      </c>
      <c r="C3387" s="9" t="n">
        <v>45597</v>
      </c>
      <c r="D3387" s="7" t="n">
        <v>2024</v>
      </c>
      <c r="E3387" s="7" t="inlineStr">
        <is>
          <t>East</t>
        </is>
      </c>
      <c r="F3387" s="7" t="inlineStr">
        <is>
          <t>Office Supplies</t>
        </is>
      </c>
      <c r="G3387" s="7" t="inlineStr">
        <is>
          <t>Paper</t>
        </is>
      </c>
      <c r="H3387" s="7" t="inlineStr">
        <is>
          <t>Consumer</t>
        </is>
      </c>
      <c r="I3387" s="7" t="n">
        <v>9</v>
      </c>
      <c r="J3387" s="10" t="n">
        <v>24.32</v>
      </c>
      <c r="K3387" s="11" t="n">
        <v>0</v>
      </c>
      <c r="L3387" s="10">
        <f>I3387*J3387*(1-K3387)</f>
        <v/>
      </c>
      <c r="M3387" s="10" t="n">
        <v>112.5</v>
      </c>
      <c r="N3387" s="10">
        <f>L3387-M3387</f>
        <v/>
      </c>
    </row>
    <row r="3388">
      <c r="A3388" s="7" t="inlineStr">
        <is>
          <t>ORD-00836</t>
        </is>
      </c>
      <c r="B3388" s="8" t="n">
        <v>45626</v>
      </c>
      <c r="C3388" s="9" t="n">
        <v>45597</v>
      </c>
      <c r="D3388" s="7" t="n">
        <v>2024</v>
      </c>
      <c r="E3388" s="7" t="inlineStr">
        <is>
          <t>West</t>
        </is>
      </c>
      <c r="F3388" s="7" t="inlineStr">
        <is>
          <t>Office Supplies</t>
        </is>
      </c>
      <c r="G3388" s="7" t="inlineStr">
        <is>
          <t>Binder</t>
        </is>
      </c>
      <c r="H3388" s="7" t="inlineStr">
        <is>
          <t>Consumer</t>
        </is>
      </c>
      <c r="I3388" s="7" t="n">
        <v>6</v>
      </c>
      <c r="J3388" s="10" t="n">
        <v>7.97</v>
      </c>
      <c r="K3388" s="11" t="n">
        <v>0</v>
      </c>
      <c r="L3388" s="10">
        <f>I3388*J3388*(1-K3388)</f>
        <v/>
      </c>
      <c r="M3388" s="10" t="n">
        <v>19.2</v>
      </c>
      <c r="N3388" s="10">
        <f>L3388-M3388</f>
        <v/>
      </c>
    </row>
    <row r="3389">
      <c r="A3389" s="7" t="inlineStr">
        <is>
          <t>ORD-01399</t>
        </is>
      </c>
      <c r="B3389" s="8" t="n">
        <v>45626</v>
      </c>
      <c r="C3389" s="9" t="n">
        <v>45597</v>
      </c>
      <c r="D3389" s="7" t="n">
        <v>2024</v>
      </c>
      <c r="E3389" s="7" t="inlineStr">
        <is>
          <t>North</t>
        </is>
      </c>
      <c r="F3389" s="7" t="inlineStr">
        <is>
          <t>Office Supplies</t>
        </is>
      </c>
      <c r="G3389" s="7" t="inlineStr">
        <is>
          <t>Pens</t>
        </is>
      </c>
      <c r="H3389" s="7" t="inlineStr">
        <is>
          <t>Corporate</t>
        </is>
      </c>
      <c r="I3389" s="7" t="n">
        <v>2</v>
      </c>
      <c r="J3389" s="10" t="n">
        <v>12.25</v>
      </c>
      <c r="K3389" s="11" t="n">
        <v>0.1</v>
      </c>
      <c r="L3389" s="10">
        <f>I3389*J3389*(1-K3389)</f>
        <v/>
      </c>
      <c r="M3389" s="10" t="n">
        <v>10.8</v>
      </c>
      <c r="N3389" s="10">
        <f>L3389-M3389</f>
        <v/>
      </c>
    </row>
    <row r="3390">
      <c r="A3390" s="7" t="inlineStr">
        <is>
          <t>ORD-04215</t>
        </is>
      </c>
      <c r="B3390" s="8" t="n">
        <v>45626</v>
      </c>
      <c r="C3390" s="9" t="n">
        <v>45597</v>
      </c>
      <c r="D3390" s="7" t="n">
        <v>2024</v>
      </c>
      <c r="E3390" s="7" t="inlineStr">
        <is>
          <t>South</t>
        </is>
      </c>
      <c r="F3390" s="7" t="inlineStr">
        <is>
          <t>Technology</t>
        </is>
      </c>
      <c r="G3390" s="7" t="inlineStr">
        <is>
          <t>Monitor</t>
        </is>
      </c>
      <c r="H3390" s="7" t="inlineStr">
        <is>
          <t>Corporate</t>
        </is>
      </c>
      <c r="I3390" s="7" t="n">
        <v>1</v>
      </c>
      <c r="J3390" s="10" t="n">
        <v>243.32</v>
      </c>
      <c r="K3390" s="11" t="n">
        <v>0.1</v>
      </c>
      <c r="L3390" s="10">
        <f>I3390*J3390*(1-K3390)</f>
        <v/>
      </c>
      <c r="M3390" s="10" t="n">
        <v>180</v>
      </c>
      <c r="N3390" s="10">
        <f>L3390-M3390</f>
        <v/>
      </c>
    </row>
    <row r="3391">
      <c r="A3391" s="7" t="inlineStr">
        <is>
          <t>ORD-04436</t>
        </is>
      </c>
      <c r="B3391" s="8" t="n">
        <v>45626</v>
      </c>
      <c r="C3391" s="9" t="n">
        <v>45597</v>
      </c>
      <c r="D3391" s="7" t="n">
        <v>2024</v>
      </c>
      <c r="E3391" s="7" t="inlineStr">
        <is>
          <t>North</t>
        </is>
      </c>
      <c r="F3391" s="7" t="inlineStr">
        <is>
          <t>Furniture</t>
        </is>
      </c>
      <c r="G3391" s="7" t="inlineStr">
        <is>
          <t>Office Chair</t>
        </is>
      </c>
      <c r="H3391" s="7" t="inlineStr">
        <is>
          <t>Corporate</t>
        </is>
      </c>
      <c r="I3391" s="7" t="n">
        <v>4</v>
      </c>
      <c r="J3391" s="10" t="n">
        <v>220.31</v>
      </c>
      <c r="K3391" s="11" t="n">
        <v>0.2</v>
      </c>
      <c r="L3391" s="10">
        <f>I3391*J3391*(1-K3391)</f>
        <v/>
      </c>
      <c r="M3391" s="10" t="n">
        <v>721.6</v>
      </c>
      <c r="N3391" s="10">
        <f>L3391-M3391</f>
        <v/>
      </c>
    </row>
    <row r="3392">
      <c r="A3392" s="7" t="inlineStr">
        <is>
          <t>ORD-03811</t>
        </is>
      </c>
      <c r="B3392" s="8" t="n">
        <v>45626</v>
      </c>
      <c r="C3392" s="9" t="n">
        <v>45597</v>
      </c>
      <c r="D3392" s="7" t="n">
        <v>2024</v>
      </c>
      <c r="E3392" s="7" t="inlineStr">
        <is>
          <t>West</t>
        </is>
      </c>
      <c r="F3392" s="7" t="inlineStr">
        <is>
          <t>Office Supplies</t>
        </is>
      </c>
      <c r="G3392" s="7" t="inlineStr">
        <is>
          <t>Pens</t>
        </is>
      </c>
      <c r="H3392" s="7" t="inlineStr">
        <is>
          <t>Corporate</t>
        </is>
      </c>
      <c r="I3392" s="7" t="n">
        <v>7</v>
      </c>
      <c r="J3392" s="10" t="n">
        <v>12.05</v>
      </c>
      <c r="K3392" s="11" t="n">
        <v>0.1</v>
      </c>
      <c r="L3392" s="10">
        <f>I3392*J3392*(1-K3392)</f>
        <v/>
      </c>
      <c r="M3392" s="10" t="n">
        <v>37.8</v>
      </c>
      <c r="N3392" s="10">
        <f>L3392-M3392</f>
        <v/>
      </c>
    </row>
    <row r="3393">
      <c r="A3393" s="7" t="inlineStr">
        <is>
          <t>ORD-04715</t>
        </is>
      </c>
      <c r="B3393" s="8" t="n">
        <v>45626</v>
      </c>
      <c r="C3393" s="9" t="n">
        <v>45597</v>
      </c>
      <c r="D3393" s="7" t="n">
        <v>2024</v>
      </c>
      <c r="E3393" s="7" t="inlineStr">
        <is>
          <t>South</t>
        </is>
      </c>
      <c r="F3393" s="7" t="inlineStr">
        <is>
          <t>Office Supplies</t>
        </is>
      </c>
      <c r="G3393" s="7" t="inlineStr">
        <is>
          <t>Binder</t>
        </is>
      </c>
      <c r="H3393" s="7" t="inlineStr">
        <is>
          <t>Consumer</t>
        </is>
      </c>
      <c r="I3393" s="7" t="n">
        <v>3</v>
      </c>
      <c r="J3393" s="10" t="n">
        <v>7.73</v>
      </c>
      <c r="K3393" s="11" t="n">
        <v>0</v>
      </c>
      <c r="L3393" s="10">
        <f>I3393*J3393*(1-K3393)</f>
        <v/>
      </c>
      <c r="M3393" s="10" t="n">
        <v>9.6</v>
      </c>
      <c r="N3393" s="10">
        <f>L3393-M3393</f>
        <v/>
      </c>
    </row>
    <row r="3394">
      <c r="A3394" s="7" t="inlineStr">
        <is>
          <t>ORD-02910</t>
        </is>
      </c>
      <c r="B3394" s="8" t="n">
        <v>45626</v>
      </c>
      <c r="C3394" s="9" t="n">
        <v>45597</v>
      </c>
      <c r="D3394" s="7" t="n">
        <v>2024</v>
      </c>
      <c r="E3394" s="7" t="inlineStr">
        <is>
          <t>West</t>
        </is>
      </c>
      <c r="F3394" s="7" t="inlineStr">
        <is>
          <t>Office Supplies</t>
        </is>
      </c>
      <c r="G3394" s="7" t="inlineStr">
        <is>
          <t>Binder</t>
        </is>
      </c>
      <c r="H3394" s="7" t="inlineStr">
        <is>
          <t>Corporate</t>
        </is>
      </c>
      <c r="I3394" s="7" t="n">
        <v>2</v>
      </c>
      <c r="J3394" s="10" t="n">
        <v>8.16</v>
      </c>
      <c r="K3394" s="11" t="n">
        <v>0.1</v>
      </c>
      <c r="L3394" s="10">
        <f>I3394*J3394*(1-K3394)</f>
        <v/>
      </c>
      <c r="M3394" s="10" t="n">
        <v>6.4</v>
      </c>
      <c r="N3394" s="10">
        <f>L3394-M3394</f>
        <v/>
      </c>
    </row>
    <row r="3395">
      <c r="A3395" s="7" t="inlineStr">
        <is>
          <t>ORD-05844</t>
        </is>
      </c>
      <c r="B3395" s="8" t="n">
        <v>45626</v>
      </c>
      <c r="C3395" s="9" t="n">
        <v>45597</v>
      </c>
      <c r="D3395" s="7" t="n">
        <v>2024</v>
      </c>
      <c r="E3395" s="7" t="inlineStr">
        <is>
          <t>East</t>
        </is>
      </c>
      <c r="F3395" s="7" t="inlineStr">
        <is>
          <t>Office Supplies</t>
        </is>
      </c>
      <c r="G3395" s="7" t="inlineStr">
        <is>
          <t>Printer Ink</t>
        </is>
      </c>
      <c r="H3395" s="7" t="inlineStr">
        <is>
          <t>Corporate</t>
        </is>
      </c>
      <c r="I3395" s="7" t="n">
        <v>10</v>
      </c>
      <c r="J3395" s="10" t="n">
        <v>57.5</v>
      </c>
      <c r="K3395" s="11" t="n">
        <v>0.05</v>
      </c>
      <c r="L3395" s="10">
        <f>I3395*J3395*(1-K3395)</f>
        <v/>
      </c>
      <c r="M3395" s="10" t="n">
        <v>360</v>
      </c>
      <c r="N3395" s="10">
        <f>L3395-M3395</f>
        <v/>
      </c>
    </row>
    <row r="3396">
      <c r="A3396" s="7" t="inlineStr">
        <is>
          <t>ORD-03506</t>
        </is>
      </c>
      <c r="B3396" s="8" t="n">
        <v>45626</v>
      </c>
      <c r="C3396" s="9" t="n">
        <v>45597</v>
      </c>
      <c r="D3396" s="7" t="n">
        <v>2024</v>
      </c>
      <c r="E3396" s="7" t="inlineStr">
        <is>
          <t>South</t>
        </is>
      </c>
      <c r="F3396" s="7" t="inlineStr">
        <is>
          <t>Technology</t>
        </is>
      </c>
      <c r="G3396" s="7" t="inlineStr">
        <is>
          <t>Smartphone</t>
        </is>
      </c>
      <c r="H3396" s="7" t="inlineStr">
        <is>
          <t>Corporate</t>
        </is>
      </c>
      <c r="I3396" s="7" t="n">
        <v>2</v>
      </c>
      <c r="J3396" s="10" t="n">
        <v>629.86</v>
      </c>
      <c r="K3396" s="11" t="n">
        <v>0</v>
      </c>
      <c r="L3396" s="10">
        <f>I3396*J3396*(1-K3396)</f>
        <v/>
      </c>
      <c r="M3396" s="10" t="n">
        <v>900</v>
      </c>
      <c r="N3396" s="10">
        <f>L3396-M3396</f>
        <v/>
      </c>
    </row>
    <row r="3397">
      <c r="A3397" s="7" t="inlineStr">
        <is>
          <t>ORD-01572</t>
        </is>
      </c>
      <c r="B3397" s="8" t="n">
        <v>45627</v>
      </c>
      <c r="C3397" s="9" t="n">
        <v>45627</v>
      </c>
      <c r="D3397" s="7" t="n">
        <v>2024</v>
      </c>
      <c r="E3397" s="7" t="inlineStr">
        <is>
          <t>North</t>
        </is>
      </c>
      <c r="F3397" s="7" t="inlineStr">
        <is>
          <t>Office Supplies</t>
        </is>
      </c>
      <c r="G3397" s="7" t="inlineStr">
        <is>
          <t>Pens</t>
        </is>
      </c>
      <c r="H3397" s="7" t="inlineStr">
        <is>
          <t>Consumer</t>
        </is>
      </c>
      <c r="I3397" s="7" t="n">
        <v>12</v>
      </c>
      <c r="J3397" s="10" t="n">
        <v>11.75</v>
      </c>
      <c r="K3397" s="11" t="n">
        <v>0</v>
      </c>
      <c r="L3397" s="10">
        <f>I3397*J3397*(1-K3397)</f>
        <v/>
      </c>
      <c r="M3397" s="10" t="n">
        <v>64.8</v>
      </c>
      <c r="N3397" s="10">
        <f>L3397-M3397</f>
        <v/>
      </c>
    </row>
    <row r="3398">
      <c r="A3398" s="7" t="inlineStr">
        <is>
          <t>ORD-04343</t>
        </is>
      </c>
      <c r="B3398" s="8" t="n">
        <v>45627</v>
      </c>
      <c r="C3398" s="9" t="n">
        <v>45627</v>
      </c>
      <c r="D3398" s="7" t="n">
        <v>2024</v>
      </c>
      <c r="E3398" s="7" t="inlineStr">
        <is>
          <t>West</t>
        </is>
      </c>
      <c r="F3398" s="7" t="inlineStr">
        <is>
          <t>Technology</t>
        </is>
      </c>
      <c r="G3398" s="7" t="inlineStr">
        <is>
          <t>Smartphone</t>
        </is>
      </c>
      <c r="H3398" s="7" t="inlineStr">
        <is>
          <t>Consumer</t>
        </is>
      </c>
      <c r="I3398" s="7" t="n">
        <v>3</v>
      </c>
      <c r="J3398" s="10" t="n">
        <v>629.51</v>
      </c>
      <c r="K3398" s="11" t="n">
        <v>0</v>
      </c>
      <c r="L3398" s="10">
        <f>I3398*J3398*(1-K3398)</f>
        <v/>
      </c>
      <c r="M3398" s="10" t="n">
        <v>1350</v>
      </c>
      <c r="N3398" s="10">
        <f>L3398-M3398</f>
        <v/>
      </c>
    </row>
    <row r="3399">
      <c r="A3399" s="7" t="inlineStr">
        <is>
          <t>ORD-01797</t>
        </is>
      </c>
      <c r="B3399" s="8" t="n">
        <v>45627</v>
      </c>
      <c r="C3399" s="9" t="n">
        <v>45627</v>
      </c>
      <c r="D3399" s="7" t="n">
        <v>2024</v>
      </c>
      <c r="E3399" s="7" t="inlineStr">
        <is>
          <t>West</t>
        </is>
      </c>
      <c r="F3399" s="7" t="inlineStr">
        <is>
          <t>Office Supplies</t>
        </is>
      </c>
      <c r="G3399" s="7" t="inlineStr">
        <is>
          <t>Binder</t>
        </is>
      </c>
      <c r="H3399" s="7" t="inlineStr">
        <is>
          <t>Consumer</t>
        </is>
      </c>
      <c r="I3399" s="7" t="n">
        <v>8</v>
      </c>
      <c r="J3399" s="10" t="n">
        <v>8.050000000000001</v>
      </c>
      <c r="K3399" s="11" t="n">
        <v>0.05</v>
      </c>
      <c r="L3399" s="10">
        <f>I3399*J3399*(1-K3399)</f>
        <v/>
      </c>
      <c r="M3399" s="10" t="n">
        <v>25.6</v>
      </c>
      <c r="N3399" s="10">
        <f>L3399-M3399</f>
        <v/>
      </c>
    </row>
    <row r="3400">
      <c r="A3400" s="7" t="inlineStr">
        <is>
          <t>ORD-01290</t>
        </is>
      </c>
      <c r="B3400" s="8" t="n">
        <v>45627</v>
      </c>
      <c r="C3400" s="9" t="n">
        <v>45627</v>
      </c>
      <c r="D3400" s="7" t="n">
        <v>2024</v>
      </c>
      <c r="E3400" s="7" t="inlineStr">
        <is>
          <t>West</t>
        </is>
      </c>
      <c r="F3400" s="7" t="inlineStr">
        <is>
          <t>Technology</t>
        </is>
      </c>
      <c r="G3400" s="7" t="inlineStr">
        <is>
          <t>Monitor</t>
        </is>
      </c>
      <c r="H3400" s="7" t="inlineStr">
        <is>
          <t>Home Office</t>
        </is>
      </c>
      <c r="I3400" s="7" t="n">
        <v>1</v>
      </c>
      <c r="J3400" s="10" t="n">
        <v>259.06</v>
      </c>
      <c r="K3400" s="11" t="n">
        <v>0.3</v>
      </c>
      <c r="L3400" s="10">
        <f>I3400*J3400*(1-K3400)</f>
        <v/>
      </c>
      <c r="M3400" s="10" t="n">
        <v>180</v>
      </c>
      <c r="N3400" s="10">
        <f>L3400-M3400</f>
        <v/>
      </c>
    </row>
    <row r="3401">
      <c r="A3401" s="7" t="inlineStr">
        <is>
          <t>ORD-05587</t>
        </is>
      </c>
      <c r="B3401" s="8" t="n">
        <v>45627</v>
      </c>
      <c r="C3401" s="9" t="n">
        <v>45627</v>
      </c>
      <c r="D3401" s="7" t="n">
        <v>2024</v>
      </c>
      <c r="E3401" s="7" t="inlineStr">
        <is>
          <t>South</t>
        </is>
      </c>
      <c r="F3401" s="7" t="inlineStr">
        <is>
          <t>Technology</t>
        </is>
      </c>
      <c r="G3401" s="7" t="inlineStr">
        <is>
          <t>Headphones</t>
        </is>
      </c>
      <c r="H3401" s="7" t="inlineStr">
        <is>
          <t>Home Office</t>
        </is>
      </c>
      <c r="I3401" s="7" t="n">
        <v>3</v>
      </c>
      <c r="J3401" s="10" t="n">
        <v>119.81</v>
      </c>
      <c r="K3401" s="11" t="n">
        <v>0.1</v>
      </c>
      <c r="L3401" s="10">
        <f>I3401*J3401*(1-K3401)</f>
        <v/>
      </c>
      <c r="M3401" s="10" t="n">
        <v>216</v>
      </c>
      <c r="N3401" s="10">
        <f>L3401-M3401</f>
        <v/>
      </c>
    </row>
    <row r="3402">
      <c r="A3402" s="7" t="inlineStr">
        <is>
          <t>ORD-00058</t>
        </is>
      </c>
      <c r="B3402" s="8" t="n">
        <v>45627</v>
      </c>
      <c r="C3402" s="9" t="n">
        <v>45627</v>
      </c>
      <c r="D3402" s="7" t="n">
        <v>2024</v>
      </c>
      <c r="E3402" s="7" t="inlineStr">
        <is>
          <t>East</t>
        </is>
      </c>
      <c r="F3402" s="7" t="inlineStr">
        <is>
          <t>Office Supplies</t>
        </is>
      </c>
      <c r="G3402" s="7" t="inlineStr">
        <is>
          <t>Paper</t>
        </is>
      </c>
      <c r="H3402" s="7" t="inlineStr">
        <is>
          <t>Home Office</t>
        </is>
      </c>
      <c r="I3402" s="7" t="n">
        <v>7</v>
      </c>
      <c r="J3402" s="10" t="n">
        <v>25.11</v>
      </c>
      <c r="K3402" s="11" t="n">
        <v>0</v>
      </c>
      <c r="L3402" s="10">
        <f>I3402*J3402*(1-K3402)</f>
        <v/>
      </c>
      <c r="M3402" s="10" t="n">
        <v>87.5</v>
      </c>
      <c r="N3402" s="10">
        <f>L3402-M3402</f>
        <v/>
      </c>
    </row>
    <row r="3403">
      <c r="A3403" s="7" t="inlineStr">
        <is>
          <t>ORD-01446</t>
        </is>
      </c>
      <c r="B3403" s="8" t="n">
        <v>45627</v>
      </c>
      <c r="C3403" s="9" t="n">
        <v>45627</v>
      </c>
      <c r="D3403" s="7" t="n">
        <v>2024</v>
      </c>
      <c r="E3403" s="7" t="inlineStr">
        <is>
          <t>South</t>
        </is>
      </c>
      <c r="F3403" s="7" t="inlineStr">
        <is>
          <t>Office Supplies</t>
        </is>
      </c>
      <c r="G3403" s="7" t="inlineStr">
        <is>
          <t>Paper</t>
        </is>
      </c>
      <c r="H3403" s="7" t="inlineStr">
        <is>
          <t>Consumer</t>
        </is>
      </c>
      <c r="I3403" s="7" t="n">
        <v>5</v>
      </c>
      <c r="J3403" s="10" t="n">
        <v>25.42</v>
      </c>
      <c r="K3403" s="11" t="n">
        <v>0.2</v>
      </c>
      <c r="L3403" s="10">
        <f>I3403*J3403*(1-K3403)</f>
        <v/>
      </c>
      <c r="M3403" s="10" t="n">
        <v>62.5</v>
      </c>
      <c r="N3403" s="10">
        <f>L3403-M3403</f>
        <v/>
      </c>
    </row>
    <row r="3404">
      <c r="A3404" s="7" t="inlineStr">
        <is>
          <t>ORD-03502</t>
        </is>
      </c>
      <c r="B3404" s="8" t="n">
        <v>45628</v>
      </c>
      <c r="C3404" s="9" t="n">
        <v>45627</v>
      </c>
      <c r="D3404" s="7" t="n">
        <v>2024</v>
      </c>
      <c r="E3404" s="7" t="inlineStr">
        <is>
          <t>South</t>
        </is>
      </c>
      <c r="F3404" s="7" t="inlineStr">
        <is>
          <t>Furniture</t>
        </is>
      </c>
      <c r="G3404" s="7" t="inlineStr">
        <is>
          <t>Sofa</t>
        </is>
      </c>
      <c r="H3404" s="7" t="inlineStr">
        <is>
          <t>Home Office</t>
        </is>
      </c>
      <c r="I3404" s="7" t="n">
        <v>1</v>
      </c>
      <c r="J3404" s="10" t="n">
        <v>702.08</v>
      </c>
      <c r="K3404" s="11" t="n">
        <v>0.05</v>
      </c>
      <c r="L3404" s="10">
        <f>I3404*J3404*(1-K3404)</f>
        <v/>
      </c>
      <c r="M3404" s="10" t="n">
        <v>616</v>
      </c>
      <c r="N3404" s="10">
        <f>L3404-M3404</f>
        <v/>
      </c>
    </row>
    <row r="3405">
      <c r="A3405" s="7" t="inlineStr">
        <is>
          <t>ORD-01842</t>
        </is>
      </c>
      <c r="B3405" s="8" t="n">
        <v>45628</v>
      </c>
      <c r="C3405" s="9" t="n">
        <v>45627</v>
      </c>
      <c r="D3405" s="7" t="n">
        <v>2024</v>
      </c>
      <c r="E3405" s="7" t="inlineStr">
        <is>
          <t>West</t>
        </is>
      </c>
      <c r="F3405" s="7" t="inlineStr">
        <is>
          <t>Office Supplies</t>
        </is>
      </c>
      <c r="G3405" s="7" t="inlineStr">
        <is>
          <t>Stapler</t>
        </is>
      </c>
      <c r="H3405" s="7" t="inlineStr">
        <is>
          <t>Corporate</t>
        </is>
      </c>
      <c r="I3405" s="7" t="n">
        <v>2</v>
      </c>
      <c r="J3405" s="10" t="n">
        <v>15.48</v>
      </c>
      <c r="K3405" s="11" t="n">
        <v>0.05</v>
      </c>
      <c r="L3405" s="10">
        <f>I3405*J3405*(1-K3405)</f>
        <v/>
      </c>
      <c r="M3405" s="10" t="n">
        <v>15</v>
      </c>
      <c r="N3405" s="10">
        <f>L3405-M3405</f>
        <v/>
      </c>
    </row>
    <row r="3406">
      <c r="A3406" s="7" t="inlineStr">
        <is>
          <t>ORD-00864</t>
        </is>
      </c>
      <c r="B3406" s="8" t="n">
        <v>45628</v>
      </c>
      <c r="C3406" s="9" t="n">
        <v>45627</v>
      </c>
      <c r="D3406" s="7" t="n">
        <v>2024</v>
      </c>
      <c r="E3406" s="7" t="inlineStr">
        <is>
          <t>East</t>
        </is>
      </c>
      <c r="F3406" s="7" t="inlineStr">
        <is>
          <t>Office Supplies</t>
        </is>
      </c>
      <c r="G3406" s="7" t="inlineStr">
        <is>
          <t>Pens</t>
        </is>
      </c>
      <c r="H3406" s="7" t="inlineStr">
        <is>
          <t>Consumer</t>
        </is>
      </c>
      <c r="I3406" s="7" t="n">
        <v>4</v>
      </c>
      <c r="J3406" s="10" t="n">
        <v>12.56</v>
      </c>
      <c r="K3406" s="11" t="n">
        <v>0.05</v>
      </c>
      <c r="L3406" s="10">
        <f>I3406*J3406*(1-K3406)</f>
        <v/>
      </c>
      <c r="M3406" s="10" t="n">
        <v>21.6</v>
      </c>
      <c r="N3406" s="10">
        <f>L3406-M3406</f>
        <v/>
      </c>
    </row>
    <row r="3407">
      <c r="A3407" s="7" t="inlineStr">
        <is>
          <t>ORD-05520</t>
        </is>
      </c>
      <c r="B3407" s="8" t="n">
        <v>45628</v>
      </c>
      <c r="C3407" s="9" t="n">
        <v>45627</v>
      </c>
      <c r="D3407" s="7" t="n">
        <v>2024</v>
      </c>
      <c r="E3407" s="7" t="inlineStr">
        <is>
          <t>East</t>
        </is>
      </c>
      <c r="F3407" s="7" t="inlineStr">
        <is>
          <t>Office Supplies</t>
        </is>
      </c>
      <c r="G3407" s="7" t="inlineStr">
        <is>
          <t>Binder</t>
        </is>
      </c>
      <c r="H3407" s="7" t="inlineStr">
        <is>
          <t>Home Office</t>
        </is>
      </c>
      <c r="I3407" s="7" t="n">
        <v>3</v>
      </c>
      <c r="J3407" s="10" t="n">
        <v>8.16</v>
      </c>
      <c r="K3407" s="11" t="n">
        <v>0.3</v>
      </c>
      <c r="L3407" s="10">
        <f>I3407*J3407*(1-K3407)</f>
        <v/>
      </c>
      <c r="M3407" s="10" t="n">
        <v>9.6</v>
      </c>
      <c r="N3407" s="10">
        <f>L3407-M3407</f>
        <v/>
      </c>
    </row>
    <row r="3408">
      <c r="A3408" s="7" t="inlineStr">
        <is>
          <t>ORD-05595</t>
        </is>
      </c>
      <c r="B3408" s="8" t="n">
        <v>45628</v>
      </c>
      <c r="C3408" s="9" t="n">
        <v>45627</v>
      </c>
      <c r="D3408" s="7" t="n">
        <v>2024</v>
      </c>
      <c r="E3408" s="7" t="inlineStr">
        <is>
          <t>East</t>
        </is>
      </c>
      <c r="F3408" s="7" t="inlineStr">
        <is>
          <t>Office Supplies</t>
        </is>
      </c>
      <c r="G3408" s="7" t="inlineStr">
        <is>
          <t>Pens</t>
        </is>
      </c>
      <c r="H3408" s="7" t="inlineStr">
        <is>
          <t>Home Office</t>
        </is>
      </c>
      <c r="I3408" s="7" t="n">
        <v>15</v>
      </c>
      <c r="J3408" s="10" t="n">
        <v>11.91</v>
      </c>
      <c r="K3408" s="11" t="n">
        <v>0.3</v>
      </c>
      <c r="L3408" s="10">
        <f>I3408*J3408*(1-K3408)</f>
        <v/>
      </c>
      <c r="M3408" s="10" t="n">
        <v>81</v>
      </c>
      <c r="N3408" s="10">
        <f>L3408-M3408</f>
        <v/>
      </c>
    </row>
    <row r="3409">
      <c r="A3409" s="7" t="inlineStr">
        <is>
          <t>ORD-00772</t>
        </is>
      </c>
      <c r="B3409" s="8" t="n">
        <v>45628</v>
      </c>
      <c r="C3409" s="9" t="n">
        <v>45627</v>
      </c>
      <c r="D3409" s="7" t="n">
        <v>2024</v>
      </c>
      <c r="E3409" s="7" t="inlineStr">
        <is>
          <t>East</t>
        </is>
      </c>
      <c r="F3409" s="7" t="inlineStr">
        <is>
          <t>Office Supplies</t>
        </is>
      </c>
      <c r="G3409" s="7" t="inlineStr">
        <is>
          <t>Paper</t>
        </is>
      </c>
      <c r="H3409" s="7" t="inlineStr">
        <is>
          <t>Consumer</t>
        </is>
      </c>
      <c r="I3409" s="7" t="n">
        <v>5</v>
      </c>
      <c r="J3409" s="10" t="n">
        <v>26.22</v>
      </c>
      <c r="K3409" s="11" t="n">
        <v>0</v>
      </c>
      <c r="L3409" s="10">
        <f>I3409*J3409*(1-K3409)</f>
        <v/>
      </c>
      <c r="M3409" s="10" t="n">
        <v>62.5</v>
      </c>
      <c r="N3409" s="10">
        <f>L3409-M3409</f>
        <v/>
      </c>
    </row>
    <row r="3410">
      <c r="A3410" s="7" t="inlineStr">
        <is>
          <t>ORD-04768</t>
        </is>
      </c>
      <c r="B3410" s="8" t="n">
        <v>45628</v>
      </c>
      <c r="C3410" s="9" t="n">
        <v>45627</v>
      </c>
      <c r="D3410" s="7" t="n">
        <v>2024</v>
      </c>
      <c r="E3410" s="7" t="inlineStr">
        <is>
          <t>East</t>
        </is>
      </c>
      <c r="F3410" s="7" t="inlineStr">
        <is>
          <t>Office Supplies</t>
        </is>
      </c>
      <c r="G3410" s="7" t="inlineStr">
        <is>
          <t>Stapler</t>
        </is>
      </c>
      <c r="H3410" s="7" t="inlineStr">
        <is>
          <t>Corporate</t>
        </is>
      </c>
      <c r="I3410" s="7" t="n">
        <v>14</v>
      </c>
      <c r="J3410" s="10" t="n">
        <v>15.36</v>
      </c>
      <c r="K3410" s="11" t="n">
        <v>0</v>
      </c>
      <c r="L3410" s="10">
        <f>I3410*J3410*(1-K3410)</f>
        <v/>
      </c>
      <c r="M3410" s="10" t="n">
        <v>105</v>
      </c>
      <c r="N3410" s="10">
        <f>L3410-M3410</f>
        <v/>
      </c>
    </row>
    <row r="3411">
      <c r="A3411" s="7" t="inlineStr">
        <is>
          <t>ORD-03678</t>
        </is>
      </c>
      <c r="B3411" s="8" t="n">
        <v>45629</v>
      </c>
      <c r="C3411" s="9" t="n">
        <v>45627</v>
      </c>
      <c r="D3411" s="7" t="n">
        <v>2024</v>
      </c>
      <c r="E3411" s="7" t="inlineStr">
        <is>
          <t>South</t>
        </is>
      </c>
      <c r="F3411" s="7" t="inlineStr">
        <is>
          <t>Technology</t>
        </is>
      </c>
      <c r="G3411" s="7" t="inlineStr">
        <is>
          <t>Smartphone</t>
        </is>
      </c>
      <c r="H3411" s="7" t="inlineStr">
        <is>
          <t>Consumer</t>
        </is>
      </c>
      <c r="I3411" s="7" t="n">
        <v>2</v>
      </c>
      <c r="J3411" s="10" t="n">
        <v>584</v>
      </c>
      <c r="K3411" s="11" t="n">
        <v>0.3</v>
      </c>
      <c r="L3411" s="10">
        <f>I3411*J3411*(1-K3411)</f>
        <v/>
      </c>
      <c r="M3411" s="10" t="n">
        <v>900</v>
      </c>
      <c r="N3411" s="10">
        <f>L3411-M3411</f>
        <v/>
      </c>
    </row>
    <row r="3412">
      <c r="A3412" s="7" t="inlineStr">
        <is>
          <t>ORD-00285</t>
        </is>
      </c>
      <c r="B3412" s="8" t="n">
        <v>45629</v>
      </c>
      <c r="C3412" s="9" t="n">
        <v>45627</v>
      </c>
      <c r="D3412" s="7" t="n">
        <v>2024</v>
      </c>
      <c r="E3412" s="7" t="inlineStr">
        <is>
          <t>North</t>
        </is>
      </c>
      <c r="F3412" s="7" t="inlineStr">
        <is>
          <t>Office Supplies</t>
        </is>
      </c>
      <c r="G3412" s="7" t="inlineStr">
        <is>
          <t>Pens</t>
        </is>
      </c>
      <c r="H3412" s="7" t="inlineStr">
        <is>
          <t>Corporate</t>
        </is>
      </c>
      <c r="I3412" s="7" t="n">
        <v>11</v>
      </c>
      <c r="J3412" s="10" t="n">
        <v>12.41</v>
      </c>
      <c r="K3412" s="11" t="n">
        <v>0</v>
      </c>
      <c r="L3412" s="10">
        <f>I3412*J3412*(1-K3412)</f>
        <v/>
      </c>
      <c r="M3412" s="10" t="n">
        <v>59.4</v>
      </c>
      <c r="N3412" s="10">
        <f>L3412-M3412</f>
        <v/>
      </c>
    </row>
    <row r="3413">
      <c r="A3413" s="7" t="inlineStr">
        <is>
          <t>ORD-01618</t>
        </is>
      </c>
      <c r="B3413" s="8" t="n">
        <v>45629</v>
      </c>
      <c r="C3413" s="9" t="n">
        <v>45627</v>
      </c>
      <c r="D3413" s="7" t="n">
        <v>2024</v>
      </c>
      <c r="E3413" s="7" t="inlineStr">
        <is>
          <t>South</t>
        </is>
      </c>
      <c r="F3413" s="7" t="inlineStr">
        <is>
          <t>Furniture</t>
        </is>
      </c>
      <c r="G3413" s="7" t="inlineStr">
        <is>
          <t>Sofa</t>
        </is>
      </c>
      <c r="H3413" s="7" t="inlineStr">
        <is>
          <t>Home Office</t>
        </is>
      </c>
      <c r="I3413" s="7" t="n">
        <v>2</v>
      </c>
      <c r="J3413" s="10" t="n">
        <v>695.71</v>
      </c>
      <c r="K3413" s="11" t="n">
        <v>0</v>
      </c>
      <c r="L3413" s="10">
        <f>I3413*J3413*(1-K3413)</f>
        <v/>
      </c>
      <c r="M3413" s="10" t="n">
        <v>1232</v>
      </c>
      <c r="N3413" s="10">
        <f>L3413-M3413</f>
        <v/>
      </c>
    </row>
    <row r="3414">
      <c r="A3414" s="7" t="inlineStr">
        <is>
          <t>ORD-00144</t>
        </is>
      </c>
      <c r="B3414" s="8" t="n">
        <v>45629</v>
      </c>
      <c r="C3414" s="9" t="n">
        <v>45627</v>
      </c>
      <c r="D3414" s="7" t="n">
        <v>2024</v>
      </c>
      <c r="E3414" s="7" t="inlineStr">
        <is>
          <t>South</t>
        </is>
      </c>
      <c r="F3414" s="7" t="inlineStr">
        <is>
          <t>Technology</t>
        </is>
      </c>
      <c r="G3414" s="7" t="inlineStr">
        <is>
          <t>Smartphone</t>
        </is>
      </c>
      <c r="H3414" s="7" t="inlineStr">
        <is>
          <t>Consumer</t>
        </is>
      </c>
      <c r="I3414" s="7" t="n">
        <v>2</v>
      </c>
      <c r="J3414" s="10" t="n">
        <v>606.15</v>
      </c>
      <c r="K3414" s="11" t="n">
        <v>0.05</v>
      </c>
      <c r="L3414" s="10">
        <f>I3414*J3414*(1-K3414)</f>
        <v/>
      </c>
      <c r="M3414" s="10" t="n">
        <v>900</v>
      </c>
      <c r="N3414" s="10">
        <f>L3414-M3414</f>
        <v/>
      </c>
    </row>
    <row r="3415">
      <c r="A3415" s="7" t="inlineStr">
        <is>
          <t>ORD-02625</t>
        </is>
      </c>
      <c r="B3415" s="8" t="n">
        <v>45629</v>
      </c>
      <c r="C3415" s="9" t="n">
        <v>45627</v>
      </c>
      <c r="D3415" s="7" t="n">
        <v>2024</v>
      </c>
      <c r="E3415" s="7" t="inlineStr">
        <is>
          <t>East</t>
        </is>
      </c>
      <c r="F3415" s="7" t="inlineStr">
        <is>
          <t>Office Supplies</t>
        </is>
      </c>
      <c r="G3415" s="7" t="inlineStr">
        <is>
          <t>Paper</t>
        </is>
      </c>
      <c r="H3415" s="7" t="inlineStr">
        <is>
          <t>Home Office</t>
        </is>
      </c>
      <c r="I3415" s="7" t="n">
        <v>4</v>
      </c>
      <c r="J3415" s="10" t="n">
        <v>24.09</v>
      </c>
      <c r="K3415" s="11" t="n">
        <v>0</v>
      </c>
      <c r="L3415" s="10">
        <f>I3415*J3415*(1-K3415)</f>
        <v/>
      </c>
      <c r="M3415" s="10" t="n">
        <v>50</v>
      </c>
      <c r="N3415" s="10">
        <f>L3415-M3415</f>
        <v/>
      </c>
    </row>
    <row r="3416">
      <c r="A3416" s="7" t="inlineStr">
        <is>
          <t>ORD-02446</t>
        </is>
      </c>
      <c r="B3416" s="8" t="n">
        <v>45629</v>
      </c>
      <c r="C3416" s="9" t="n">
        <v>45627</v>
      </c>
      <c r="D3416" s="7" t="n">
        <v>2024</v>
      </c>
      <c r="E3416" s="7" t="inlineStr">
        <is>
          <t>West</t>
        </is>
      </c>
      <c r="F3416" s="7" t="inlineStr">
        <is>
          <t>Furniture</t>
        </is>
      </c>
      <c r="G3416" s="7" t="inlineStr">
        <is>
          <t>Sofa</t>
        </is>
      </c>
      <c r="H3416" s="7" t="inlineStr">
        <is>
          <t>Consumer</t>
        </is>
      </c>
      <c r="I3416" s="7" t="n">
        <v>2</v>
      </c>
      <c r="J3416" s="10" t="n">
        <v>666.62</v>
      </c>
      <c r="K3416" s="11" t="n">
        <v>0.05</v>
      </c>
      <c r="L3416" s="10">
        <f>I3416*J3416*(1-K3416)</f>
        <v/>
      </c>
      <c r="M3416" s="10" t="n">
        <v>1232</v>
      </c>
      <c r="N3416" s="10">
        <f>L3416-M3416</f>
        <v/>
      </c>
    </row>
    <row r="3417">
      <c r="A3417" s="7" t="inlineStr">
        <is>
          <t>ORD-02093</t>
        </is>
      </c>
      <c r="B3417" s="8" t="n">
        <v>45629</v>
      </c>
      <c r="C3417" s="9" t="n">
        <v>45627</v>
      </c>
      <c r="D3417" s="7" t="n">
        <v>2024</v>
      </c>
      <c r="E3417" s="7" t="inlineStr">
        <is>
          <t>West</t>
        </is>
      </c>
      <c r="F3417" s="7" t="inlineStr">
        <is>
          <t>Office Supplies</t>
        </is>
      </c>
      <c r="G3417" s="7" t="inlineStr">
        <is>
          <t>Paper</t>
        </is>
      </c>
      <c r="H3417" s="7" t="inlineStr">
        <is>
          <t>Home Office</t>
        </is>
      </c>
      <c r="I3417" s="7" t="n">
        <v>11</v>
      </c>
      <c r="J3417" s="10" t="n">
        <v>24.67</v>
      </c>
      <c r="K3417" s="11" t="n">
        <v>0</v>
      </c>
      <c r="L3417" s="10">
        <f>I3417*J3417*(1-K3417)</f>
        <v/>
      </c>
      <c r="M3417" s="10" t="n">
        <v>137.5</v>
      </c>
      <c r="N3417" s="10">
        <f>L3417-M3417</f>
        <v/>
      </c>
    </row>
    <row r="3418">
      <c r="A3418" s="7" t="inlineStr">
        <is>
          <t>ORD-03024</t>
        </is>
      </c>
      <c r="B3418" s="8" t="n">
        <v>45629</v>
      </c>
      <c r="C3418" s="9" t="n">
        <v>45627</v>
      </c>
      <c r="D3418" s="7" t="n">
        <v>2024</v>
      </c>
      <c r="E3418" s="7" t="inlineStr">
        <is>
          <t>East</t>
        </is>
      </c>
      <c r="F3418" s="7" t="inlineStr">
        <is>
          <t>Office Supplies</t>
        </is>
      </c>
      <c r="G3418" s="7" t="inlineStr">
        <is>
          <t>Binder</t>
        </is>
      </c>
      <c r="H3418" s="7" t="inlineStr">
        <is>
          <t>Corporate</t>
        </is>
      </c>
      <c r="I3418" s="7" t="n">
        <v>8</v>
      </c>
      <c r="J3418" s="10" t="n">
        <v>7.68</v>
      </c>
      <c r="K3418" s="11" t="n">
        <v>0.3</v>
      </c>
      <c r="L3418" s="10">
        <f>I3418*J3418*(1-K3418)</f>
        <v/>
      </c>
      <c r="M3418" s="10" t="n">
        <v>25.6</v>
      </c>
      <c r="N3418" s="10">
        <f>L3418-M3418</f>
        <v/>
      </c>
    </row>
    <row r="3419">
      <c r="A3419" s="7" t="inlineStr">
        <is>
          <t>ORD-00461</t>
        </is>
      </c>
      <c r="B3419" s="8" t="n">
        <v>45630</v>
      </c>
      <c r="C3419" s="9" t="n">
        <v>45627</v>
      </c>
      <c r="D3419" s="7" t="n">
        <v>2024</v>
      </c>
      <c r="E3419" s="7" t="inlineStr">
        <is>
          <t>West</t>
        </is>
      </c>
      <c r="F3419" s="7" t="inlineStr">
        <is>
          <t>Technology</t>
        </is>
      </c>
      <c r="G3419" s="7" t="inlineStr">
        <is>
          <t>Keyboard</t>
        </is>
      </c>
      <c r="H3419" s="7" t="inlineStr">
        <is>
          <t>Home Office</t>
        </is>
      </c>
      <c r="I3419" s="7" t="n">
        <v>2</v>
      </c>
      <c r="J3419" s="10" t="n">
        <v>46.72</v>
      </c>
      <c r="K3419" s="11" t="n">
        <v>0.05</v>
      </c>
      <c r="L3419" s="10">
        <f>I3419*J3419*(1-K3419)</f>
        <v/>
      </c>
      <c r="M3419" s="10" t="n">
        <v>49.5</v>
      </c>
      <c r="N3419" s="10">
        <f>L3419-M3419</f>
        <v/>
      </c>
    </row>
    <row r="3420">
      <c r="A3420" s="7" t="inlineStr">
        <is>
          <t>ORD-05995</t>
        </is>
      </c>
      <c r="B3420" s="8" t="n">
        <v>45630</v>
      </c>
      <c r="C3420" s="9" t="n">
        <v>45627</v>
      </c>
      <c r="D3420" s="7" t="n">
        <v>2024</v>
      </c>
      <c r="E3420" s="7" t="inlineStr">
        <is>
          <t>West</t>
        </is>
      </c>
      <c r="F3420" s="7" t="inlineStr">
        <is>
          <t>Office Supplies</t>
        </is>
      </c>
      <c r="G3420" s="7" t="inlineStr">
        <is>
          <t>Printer Ink</t>
        </is>
      </c>
      <c r="H3420" s="7" t="inlineStr">
        <is>
          <t>Consumer</t>
        </is>
      </c>
      <c r="I3420" s="7" t="n">
        <v>11</v>
      </c>
      <c r="J3420" s="10" t="n">
        <v>61.61</v>
      </c>
      <c r="K3420" s="11" t="n">
        <v>0.05</v>
      </c>
      <c r="L3420" s="10">
        <f>I3420*J3420*(1-K3420)</f>
        <v/>
      </c>
      <c r="M3420" s="10" t="n">
        <v>396</v>
      </c>
      <c r="N3420" s="10">
        <f>L3420-M3420</f>
        <v/>
      </c>
    </row>
    <row r="3421">
      <c r="A3421" s="7" t="inlineStr">
        <is>
          <t>ORD-05190</t>
        </is>
      </c>
      <c r="B3421" s="8" t="n">
        <v>45630</v>
      </c>
      <c r="C3421" s="9" t="n">
        <v>45627</v>
      </c>
      <c r="D3421" s="7" t="n">
        <v>2024</v>
      </c>
      <c r="E3421" s="7" t="inlineStr">
        <is>
          <t>East</t>
        </is>
      </c>
      <c r="F3421" s="7" t="inlineStr">
        <is>
          <t>Office Supplies</t>
        </is>
      </c>
      <c r="G3421" s="7" t="inlineStr">
        <is>
          <t>Stapler</t>
        </is>
      </c>
      <c r="H3421" s="7" t="inlineStr">
        <is>
          <t>Consumer</t>
        </is>
      </c>
      <c r="I3421" s="7" t="n">
        <v>8</v>
      </c>
      <c r="J3421" s="10" t="n">
        <v>15.55</v>
      </c>
      <c r="K3421" s="11" t="n">
        <v>0</v>
      </c>
      <c r="L3421" s="10">
        <f>I3421*J3421*(1-K3421)</f>
        <v/>
      </c>
      <c r="M3421" s="10" t="n">
        <v>60</v>
      </c>
      <c r="N3421" s="10">
        <f>L3421-M3421</f>
        <v/>
      </c>
    </row>
    <row r="3422">
      <c r="A3422" s="7" t="inlineStr">
        <is>
          <t>ORD-00489</t>
        </is>
      </c>
      <c r="B3422" s="8" t="n">
        <v>45630</v>
      </c>
      <c r="C3422" s="9" t="n">
        <v>45627</v>
      </c>
      <c r="D3422" s="7" t="n">
        <v>2024</v>
      </c>
      <c r="E3422" s="7" t="inlineStr">
        <is>
          <t>West</t>
        </is>
      </c>
      <c r="F3422" s="7" t="inlineStr">
        <is>
          <t>Office Supplies</t>
        </is>
      </c>
      <c r="G3422" s="7" t="inlineStr">
        <is>
          <t>Paper</t>
        </is>
      </c>
      <c r="H3422" s="7" t="inlineStr">
        <is>
          <t>Home Office</t>
        </is>
      </c>
      <c r="I3422" s="7" t="n">
        <v>11</v>
      </c>
      <c r="J3422" s="10" t="n">
        <v>24.14</v>
      </c>
      <c r="K3422" s="11" t="n">
        <v>0</v>
      </c>
      <c r="L3422" s="10">
        <f>I3422*J3422*(1-K3422)</f>
        <v/>
      </c>
      <c r="M3422" s="10" t="n">
        <v>137.5</v>
      </c>
      <c r="N3422" s="10">
        <f>L3422-M3422</f>
        <v/>
      </c>
    </row>
    <row r="3423">
      <c r="A3423" s="7" t="inlineStr">
        <is>
          <t>ORD-00354</t>
        </is>
      </c>
      <c r="B3423" s="8" t="n">
        <v>45630</v>
      </c>
      <c r="C3423" s="9" t="n">
        <v>45627</v>
      </c>
      <c r="D3423" s="7" t="n">
        <v>2024</v>
      </c>
      <c r="E3423" s="7" t="inlineStr">
        <is>
          <t>East</t>
        </is>
      </c>
      <c r="F3423" s="7" t="inlineStr">
        <is>
          <t>Office Supplies</t>
        </is>
      </c>
      <c r="G3423" s="7" t="inlineStr">
        <is>
          <t>Paper</t>
        </is>
      </c>
      <c r="H3423" s="7" t="inlineStr">
        <is>
          <t>Corporate</t>
        </is>
      </c>
      <c r="I3423" s="7" t="n">
        <v>4</v>
      </c>
      <c r="J3423" s="10" t="n">
        <v>25.31</v>
      </c>
      <c r="K3423" s="11" t="n">
        <v>0.05</v>
      </c>
      <c r="L3423" s="10">
        <f>I3423*J3423*(1-K3423)</f>
        <v/>
      </c>
      <c r="M3423" s="10" t="n">
        <v>50</v>
      </c>
      <c r="N3423" s="10">
        <f>L3423-M3423</f>
        <v/>
      </c>
    </row>
    <row r="3424">
      <c r="A3424" s="7" t="inlineStr">
        <is>
          <t>ORD-04906</t>
        </is>
      </c>
      <c r="B3424" s="8" t="n">
        <v>45630</v>
      </c>
      <c r="C3424" s="9" t="n">
        <v>45627</v>
      </c>
      <c r="D3424" s="7" t="n">
        <v>2024</v>
      </c>
      <c r="E3424" s="7" t="inlineStr">
        <is>
          <t>West</t>
        </is>
      </c>
      <c r="F3424" s="7" t="inlineStr">
        <is>
          <t>Office Supplies</t>
        </is>
      </c>
      <c r="G3424" s="7" t="inlineStr">
        <is>
          <t>Paper</t>
        </is>
      </c>
      <c r="H3424" s="7" t="inlineStr">
        <is>
          <t>Consumer</t>
        </is>
      </c>
      <c r="I3424" s="7" t="n">
        <v>5</v>
      </c>
      <c r="J3424" s="10" t="n">
        <v>24.54</v>
      </c>
      <c r="K3424" s="11" t="n">
        <v>0</v>
      </c>
      <c r="L3424" s="10">
        <f>I3424*J3424*(1-K3424)</f>
        <v/>
      </c>
      <c r="M3424" s="10" t="n">
        <v>62.5</v>
      </c>
      <c r="N3424" s="10">
        <f>L3424-M3424</f>
        <v/>
      </c>
    </row>
    <row r="3425">
      <c r="A3425" s="7" t="inlineStr">
        <is>
          <t>ORD-05479</t>
        </is>
      </c>
      <c r="B3425" s="8" t="n">
        <v>45630</v>
      </c>
      <c r="C3425" s="9" t="n">
        <v>45627</v>
      </c>
      <c r="D3425" s="7" t="n">
        <v>2024</v>
      </c>
      <c r="E3425" s="7" t="inlineStr">
        <is>
          <t>South</t>
        </is>
      </c>
      <c r="F3425" s="7" t="inlineStr">
        <is>
          <t>Furniture</t>
        </is>
      </c>
      <c r="G3425" s="7" t="inlineStr">
        <is>
          <t>Office Chair</t>
        </is>
      </c>
      <c r="H3425" s="7" t="inlineStr">
        <is>
          <t>Corporate</t>
        </is>
      </c>
      <c r="I3425" s="7" t="n">
        <v>3</v>
      </c>
      <c r="J3425" s="10" t="n">
        <v>230.36</v>
      </c>
      <c r="K3425" s="11" t="n">
        <v>0</v>
      </c>
      <c r="L3425" s="10">
        <f>I3425*J3425*(1-K3425)</f>
        <v/>
      </c>
      <c r="M3425" s="10" t="n">
        <v>541.2</v>
      </c>
      <c r="N3425" s="10">
        <f>L3425-M3425</f>
        <v/>
      </c>
    </row>
    <row r="3426">
      <c r="A3426" s="7" t="inlineStr">
        <is>
          <t>ORD-03733</t>
        </is>
      </c>
      <c r="B3426" s="8" t="n">
        <v>45631</v>
      </c>
      <c r="C3426" s="9" t="n">
        <v>45627</v>
      </c>
      <c r="D3426" s="7" t="n">
        <v>2024</v>
      </c>
      <c r="E3426" s="7" t="inlineStr">
        <is>
          <t>North</t>
        </is>
      </c>
      <c r="F3426" s="7" t="inlineStr">
        <is>
          <t>Office Supplies</t>
        </is>
      </c>
      <c r="G3426" s="7" t="inlineStr">
        <is>
          <t>Printer Ink</t>
        </is>
      </c>
      <c r="H3426" s="7" t="inlineStr">
        <is>
          <t>Consumer</t>
        </is>
      </c>
      <c r="I3426" s="7" t="n">
        <v>2</v>
      </c>
      <c r="J3426" s="10" t="n">
        <v>58.34</v>
      </c>
      <c r="K3426" s="11" t="n">
        <v>0</v>
      </c>
      <c r="L3426" s="10">
        <f>I3426*J3426*(1-K3426)</f>
        <v/>
      </c>
      <c r="M3426" s="10" t="n">
        <v>72</v>
      </c>
      <c r="N3426" s="10">
        <f>L3426-M3426</f>
        <v/>
      </c>
    </row>
    <row r="3427">
      <c r="A3427" s="7" t="inlineStr">
        <is>
          <t>ORD-05599</t>
        </is>
      </c>
      <c r="B3427" s="8" t="n">
        <v>45631</v>
      </c>
      <c r="C3427" s="9" t="n">
        <v>45627</v>
      </c>
      <c r="D3427" s="7" t="n">
        <v>2024</v>
      </c>
      <c r="E3427" s="7" t="inlineStr">
        <is>
          <t>South</t>
        </is>
      </c>
      <c r="F3427" s="7" t="inlineStr">
        <is>
          <t>Office Supplies</t>
        </is>
      </c>
      <c r="G3427" s="7" t="inlineStr">
        <is>
          <t>Pens</t>
        </is>
      </c>
      <c r="H3427" s="7" t="inlineStr">
        <is>
          <t>Consumer</t>
        </is>
      </c>
      <c r="I3427" s="7" t="n">
        <v>2</v>
      </c>
      <c r="J3427" s="10" t="n">
        <v>11.69</v>
      </c>
      <c r="K3427" s="11" t="n">
        <v>0</v>
      </c>
      <c r="L3427" s="10">
        <f>I3427*J3427*(1-K3427)</f>
        <v/>
      </c>
      <c r="M3427" s="10" t="n">
        <v>10.8</v>
      </c>
      <c r="N3427" s="10">
        <f>L3427-M3427</f>
        <v/>
      </c>
    </row>
    <row r="3428">
      <c r="A3428" s="7" t="inlineStr">
        <is>
          <t>ORD-04659</t>
        </is>
      </c>
      <c r="B3428" s="8" t="n">
        <v>45631</v>
      </c>
      <c r="C3428" s="9" t="n">
        <v>45627</v>
      </c>
      <c r="D3428" s="7" t="n">
        <v>2024</v>
      </c>
      <c r="E3428" s="7" t="inlineStr">
        <is>
          <t>East</t>
        </is>
      </c>
      <c r="F3428" s="7" t="inlineStr">
        <is>
          <t>Office Supplies</t>
        </is>
      </c>
      <c r="G3428" s="7" t="inlineStr">
        <is>
          <t>Paper</t>
        </is>
      </c>
      <c r="H3428" s="7" t="inlineStr">
        <is>
          <t>Corporate</t>
        </is>
      </c>
      <c r="I3428" s="7" t="n">
        <v>12</v>
      </c>
      <c r="J3428" s="10" t="n">
        <v>25.63</v>
      </c>
      <c r="K3428" s="11" t="n">
        <v>0</v>
      </c>
      <c r="L3428" s="10">
        <f>I3428*J3428*(1-K3428)</f>
        <v/>
      </c>
      <c r="M3428" s="10" t="n">
        <v>150</v>
      </c>
      <c r="N3428" s="10">
        <f>L3428-M3428</f>
        <v/>
      </c>
    </row>
    <row r="3429">
      <c r="A3429" s="7" t="inlineStr">
        <is>
          <t>ORD-04078</t>
        </is>
      </c>
      <c r="B3429" s="8" t="n">
        <v>45631</v>
      </c>
      <c r="C3429" s="9" t="n">
        <v>45627</v>
      </c>
      <c r="D3429" s="7" t="n">
        <v>2024</v>
      </c>
      <c r="E3429" s="7" t="inlineStr">
        <is>
          <t>West</t>
        </is>
      </c>
      <c r="F3429" s="7" t="inlineStr">
        <is>
          <t>Office Supplies</t>
        </is>
      </c>
      <c r="G3429" s="7" t="inlineStr">
        <is>
          <t>Binder</t>
        </is>
      </c>
      <c r="H3429" s="7" t="inlineStr">
        <is>
          <t>Consumer</t>
        </is>
      </c>
      <c r="I3429" s="7" t="n">
        <v>6</v>
      </c>
      <c r="J3429" s="10" t="n">
        <v>7.77</v>
      </c>
      <c r="K3429" s="11" t="n">
        <v>0.1</v>
      </c>
      <c r="L3429" s="10">
        <f>I3429*J3429*(1-K3429)</f>
        <v/>
      </c>
      <c r="M3429" s="10" t="n">
        <v>19.2</v>
      </c>
      <c r="N3429" s="10">
        <f>L3429-M3429</f>
        <v/>
      </c>
    </row>
    <row r="3430">
      <c r="A3430" s="7" t="inlineStr">
        <is>
          <t>ORD-02969</t>
        </is>
      </c>
      <c r="B3430" s="8" t="n">
        <v>45631</v>
      </c>
      <c r="C3430" s="9" t="n">
        <v>45627</v>
      </c>
      <c r="D3430" s="7" t="n">
        <v>2024</v>
      </c>
      <c r="E3430" s="7" t="inlineStr">
        <is>
          <t>North</t>
        </is>
      </c>
      <c r="F3430" s="7" t="inlineStr">
        <is>
          <t>Furniture</t>
        </is>
      </c>
      <c r="G3430" s="7" t="inlineStr">
        <is>
          <t>Office Chair</t>
        </is>
      </c>
      <c r="H3430" s="7" t="inlineStr">
        <is>
          <t>Corporate</t>
        </is>
      </c>
      <c r="I3430" s="7" t="n">
        <v>3</v>
      </c>
      <c r="J3430" s="10" t="n">
        <v>217.08</v>
      </c>
      <c r="K3430" s="11" t="n">
        <v>0</v>
      </c>
      <c r="L3430" s="10">
        <f>I3430*J3430*(1-K3430)</f>
        <v/>
      </c>
      <c r="M3430" s="10" t="n">
        <v>541.2</v>
      </c>
      <c r="N3430" s="10">
        <f>L3430-M3430</f>
        <v/>
      </c>
    </row>
    <row r="3431">
      <c r="A3431" s="7" t="inlineStr">
        <is>
          <t>ORD-03703</t>
        </is>
      </c>
      <c r="B3431" s="8" t="n">
        <v>45631</v>
      </c>
      <c r="C3431" s="9" t="n">
        <v>45627</v>
      </c>
      <c r="D3431" s="7" t="n">
        <v>2024</v>
      </c>
      <c r="E3431" s="7" t="inlineStr">
        <is>
          <t>North</t>
        </is>
      </c>
      <c r="F3431" s="7" t="inlineStr">
        <is>
          <t>Office Supplies</t>
        </is>
      </c>
      <c r="G3431" s="7" t="inlineStr">
        <is>
          <t>Paper</t>
        </is>
      </c>
      <c r="H3431" s="7" t="inlineStr">
        <is>
          <t>Consumer</t>
        </is>
      </c>
      <c r="I3431" s="7" t="n">
        <v>6</v>
      </c>
      <c r="J3431" s="10" t="n">
        <v>26.23</v>
      </c>
      <c r="K3431" s="11" t="n">
        <v>0</v>
      </c>
      <c r="L3431" s="10">
        <f>I3431*J3431*(1-K3431)</f>
        <v/>
      </c>
      <c r="M3431" s="10" t="n">
        <v>75</v>
      </c>
      <c r="N3431" s="10">
        <f>L3431-M3431</f>
        <v/>
      </c>
    </row>
    <row r="3432">
      <c r="A3432" s="7" t="inlineStr">
        <is>
          <t>ORD-05452</t>
        </is>
      </c>
      <c r="B3432" s="8" t="n">
        <v>45631</v>
      </c>
      <c r="C3432" s="9" t="n">
        <v>45627</v>
      </c>
      <c r="D3432" s="7" t="n">
        <v>2024</v>
      </c>
      <c r="E3432" s="7" t="inlineStr">
        <is>
          <t>North</t>
        </is>
      </c>
      <c r="F3432" s="7" t="inlineStr">
        <is>
          <t>Technology</t>
        </is>
      </c>
      <c r="G3432" s="7" t="inlineStr">
        <is>
          <t>Headphones</t>
        </is>
      </c>
      <c r="H3432" s="7" t="inlineStr">
        <is>
          <t>Consumer</t>
        </is>
      </c>
      <c r="I3432" s="7" t="n">
        <v>2</v>
      </c>
      <c r="J3432" s="10" t="n">
        <v>116.15</v>
      </c>
      <c r="K3432" s="11" t="n">
        <v>0.1</v>
      </c>
      <c r="L3432" s="10">
        <f>I3432*J3432*(1-K3432)</f>
        <v/>
      </c>
      <c r="M3432" s="10" t="n">
        <v>144</v>
      </c>
      <c r="N3432" s="10">
        <f>L3432-M3432</f>
        <v/>
      </c>
    </row>
    <row r="3433">
      <c r="A3433" s="7" t="inlineStr">
        <is>
          <t>ORD-02329</t>
        </is>
      </c>
      <c r="B3433" s="8" t="n">
        <v>45631</v>
      </c>
      <c r="C3433" s="9" t="n">
        <v>45627</v>
      </c>
      <c r="D3433" s="7" t="n">
        <v>2024</v>
      </c>
      <c r="E3433" s="7" t="inlineStr">
        <is>
          <t>South</t>
        </is>
      </c>
      <c r="F3433" s="7" t="inlineStr">
        <is>
          <t>Office Supplies</t>
        </is>
      </c>
      <c r="G3433" s="7" t="inlineStr">
        <is>
          <t>Pens</t>
        </is>
      </c>
      <c r="H3433" s="7" t="inlineStr">
        <is>
          <t>Home Office</t>
        </is>
      </c>
      <c r="I3433" s="7" t="n">
        <v>3</v>
      </c>
      <c r="J3433" s="10" t="n">
        <v>11.63</v>
      </c>
      <c r="K3433" s="11" t="n">
        <v>0.05</v>
      </c>
      <c r="L3433" s="10">
        <f>I3433*J3433*(1-K3433)</f>
        <v/>
      </c>
      <c r="M3433" s="10" t="n">
        <v>16.2</v>
      </c>
      <c r="N3433" s="10">
        <f>L3433-M3433</f>
        <v/>
      </c>
    </row>
    <row r="3434">
      <c r="A3434" s="7" t="inlineStr">
        <is>
          <t>ORD-04435</t>
        </is>
      </c>
      <c r="B3434" s="8" t="n">
        <v>45632</v>
      </c>
      <c r="C3434" s="9" t="n">
        <v>45627</v>
      </c>
      <c r="D3434" s="7" t="n">
        <v>2024</v>
      </c>
      <c r="E3434" s="7" t="inlineStr">
        <is>
          <t>West</t>
        </is>
      </c>
      <c r="F3434" s="7" t="inlineStr">
        <is>
          <t>Office Supplies</t>
        </is>
      </c>
      <c r="G3434" s="7" t="inlineStr">
        <is>
          <t>Paper</t>
        </is>
      </c>
      <c r="H3434" s="7" t="inlineStr">
        <is>
          <t>Consumer</t>
        </is>
      </c>
      <c r="I3434" s="7" t="n">
        <v>5</v>
      </c>
      <c r="J3434" s="10" t="n">
        <v>24.86</v>
      </c>
      <c r="K3434" s="11" t="n">
        <v>0</v>
      </c>
      <c r="L3434" s="10">
        <f>I3434*J3434*(1-K3434)</f>
        <v/>
      </c>
      <c r="M3434" s="10" t="n">
        <v>62.5</v>
      </c>
      <c r="N3434" s="10">
        <f>L3434-M3434</f>
        <v/>
      </c>
    </row>
    <row r="3435">
      <c r="A3435" s="7" t="inlineStr">
        <is>
          <t>ORD-02643</t>
        </is>
      </c>
      <c r="B3435" s="8" t="n">
        <v>45632</v>
      </c>
      <c r="C3435" s="9" t="n">
        <v>45627</v>
      </c>
      <c r="D3435" s="7" t="n">
        <v>2024</v>
      </c>
      <c r="E3435" s="7" t="inlineStr">
        <is>
          <t>West</t>
        </is>
      </c>
      <c r="F3435" s="7" t="inlineStr">
        <is>
          <t>Office Supplies</t>
        </is>
      </c>
      <c r="G3435" s="7" t="inlineStr">
        <is>
          <t>Binder</t>
        </is>
      </c>
      <c r="H3435" s="7" t="inlineStr">
        <is>
          <t>Corporate</t>
        </is>
      </c>
      <c r="I3435" s="7" t="n">
        <v>11</v>
      </c>
      <c r="J3435" s="10" t="n">
        <v>8.34</v>
      </c>
      <c r="K3435" s="11" t="n">
        <v>0</v>
      </c>
      <c r="L3435" s="10">
        <f>I3435*J3435*(1-K3435)</f>
        <v/>
      </c>
      <c r="M3435" s="10" t="n">
        <v>35.2</v>
      </c>
      <c r="N3435" s="10">
        <f>L3435-M3435</f>
        <v/>
      </c>
    </row>
    <row r="3436">
      <c r="A3436" s="7" t="inlineStr">
        <is>
          <t>ORD-02740</t>
        </is>
      </c>
      <c r="B3436" s="8" t="n">
        <v>45632</v>
      </c>
      <c r="C3436" s="9" t="n">
        <v>45627</v>
      </c>
      <c r="D3436" s="7" t="n">
        <v>2024</v>
      </c>
      <c r="E3436" s="7" t="inlineStr">
        <is>
          <t>South</t>
        </is>
      </c>
      <c r="F3436" s="7" t="inlineStr">
        <is>
          <t>Furniture</t>
        </is>
      </c>
      <c r="G3436" s="7" t="inlineStr">
        <is>
          <t>Office Chair</t>
        </is>
      </c>
      <c r="H3436" s="7" t="inlineStr">
        <is>
          <t>Corporate</t>
        </is>
      </c>
      <c r="I3436" s="7" t="n">
        <v>4</v>
      </c>
      <c r="J3436" s="10" t="n">
        <v>223.73</v>
      </c>
      <c r="K3436" s="11" t="n">
        <v>0.2</v>
      </c>
      <c r="L3436" s="10">
        <f>I3436*J3436*(1-K3436)</f>
        <v/>
      </c>
      <c r="M3436" s="10" t="n">
        <v>721.6</v>
      </c>
      <c r="N3436" s="10">
        <f>L3436-M3436</f>
        <v/>
      </c>
    </row>
    <row r="3437">
      <c r="A3437" s="7" t="inlineStr">
        <is>
          <t>ORD-03670</t>
        </is>
      </c>
      <c r="B3437" s="8" t="n">
        <v>45632</v>
      </c>
      <c r="C3437" s="9" t="n">
        <v>45627</v>
      </c>
      <c r="D3437" s="7" t="n">
        <v>2024</v>
      </c>
      <c r="E3437" s="7" t="inlineStr">
        <is>
          <t>North</t>
        </is>
      </c>
      <c r="F3437" s="7" t="inlineStr">
        <is>
          <t>Office Supplies</t>
        </is>
      </c>
      <c r="G3437" s="7" t="inlineStr">
        <is>
          <t>Paper</t>
        </is>
      </c>
      <c r="H3437" s="7" t="inlineStr">
        <is>
          <t>Consumer</t>
        </is>
      </c>
      <c r="I3437" s="7" t="n">
        <v>11</v>
      </c>
      <c r="J3437" s="10" t="n">
        <v>25.12</v>
      </c>
      <c r="K3437" s="11" t="n">
        <v>0.05</v>
      </c>
      <c r="L3437" s="10">
        <f>I3437*J3437*(1-K3437)</f>
        <v/>
      </c>
      <c r="M3437" s="10" t="n">
        <v>137.5</v>
      </c>
      <c r="N3437" s="10">
        <f>L3437-M3437</f>
        <v/>
      </c>
    </row>
    <row r="3438">
      <c r="A3438" s="7" t="inlineStr">
        <is>
          <t>ORD-00672</t>
        </is>
      </c>
      <c r="B3438" s="8" t="n">
        <v>45632</v>
      </c>
      <c r="C3438" s="9" t="n">
        <v>45627</v>
      </c>
      <c r="D3438" s="7" t="n">
        <v>2024</v>
      </c>
      <c r="E3438" s="7" t="inlineStr">
        <is>
          <t>East</t>
        </is>
      </c>
      <c r="F3438" s="7" t="inlineStr">
        <is>
          <t>Office Supplies</t>
        </is>
      </c>
      <c r="G3438" s="7" t="inlineStr">
        <is>
          <t>Binder</t>
        </is>
      </c>
      <c r="H3438" s="7" t="inlineStr">
        <is>
          <t>Home Office</t>
        </is>
      </c>
      <c r="I3438" s="7" t="n">
        <v>13</v>
      </c>
      <c r="J3438" s="10" t="n">
        <v>8.31</v>
      </c>
      <c r="K3438" s="11" t="n">
        <v>0.2</v>
      </c>
      <c r="L3438" s="10">
        <f>I3438*J3438*(1-K3438)</f>
        <v/>
      </c>
      <c r="M3438" s="10" t="n">
        <v>41.6</v>
      </c>
      <c r="N3438" s="10">
        <f>L3438-M3438</f>
        <v/>
      </c>
    </row>
    <row r="3439">
      <c r="A3439" s="7" t="inlineStr">
        <is>
          <t>ORD-02669</t>
        </is>
      </c>
      <c r="B3439" s="8" t="n">
        <v>45632</v>
      </c>
      <c r="C3439" s="9" t="n">
        <v>45627</v>
      </c>
      <c r="D3439" s="7" t="n">
        <v>2024</v>
      </c>
      <c r="E3439" s="7" t="inlineStr">
        <is>
          <t>East</t>
        </is>
      </c>
      <c r="F3439" s="7" t="inlineStr">
        <is>
          <t>Furniture</t>
        </is>
      </c>
      <c r="G3439" s="7" t="inlineStr">
        <is>
          <t>Office Chair</t>
        </is>
      </c>
      <c r="H3439" s="7" t="inlineStr">
        <is>
          <t>Consumer</t>
        </is>
      </c>
      <c r="I3439" s="7" t="n">
        <v>3</v>
      </c>
      <c r="J3439" s="10" t="n">
        <v>221.66</v>
      </c>
      <c r="K3439" s="11" t="n">
        <v>0.2</v>
      </c>
      <c r="L3439" s="10">
        <f>I3439*J3439*(1-K3439)</f>
        <v/>
      </c>
      <c r="M3439" s="10" t="n">
        <v>541.2</v>
      </c>
      <c r="N3439" s="10">
        <f>L3439-M3439</f>
        <v/>
      </c>
    </row>
    <row r="3440">
      <c r="A3440" s="7" t="inlineStr">
        <is>
          <t>ORD-04570</t>
        </is>
      </c>
      <c r="B3440" s="8" t="n">
        <v>45632</v>
      </c>
      <c r="C3440" s="9" t="n">
        <v>45627</v>
      </c>
      <c r="D3440" s="7" t="n">
        <v>2024</v>
      </c>
      <c r="E3440" s="7" t="inlineStr">
        <is>
          <t>North</t>
        </is>
      </c>
      <c r="F3440" s="7" t="inlineStr">
        <is>
          <t>Furniture</t>
        </is>
      </c>
      <c r="G3440" s="7" t="inlineStr">
        <is>
          <t>Bookcase</t>
        </is>
      </c>
      <c r="H3440" s="7" t="inlineStr">
        <is>
          <t>Consumer</t>
        </is>
      </c>
      <c r="I3440" s="7" t="n">
        <v>1</v>
      </c>
      <c r="J3440" s="10" t="n">
        <v>174.9</v>
      </c>
      <c r="K3440" s="11" t="n">
        <v>0.3</v>
      </c>
      <c r="L3440" s="10">
        <f>I3440*J3440*(1-K3440)</f>
        <v/>
      </c>
      <c r="M3440" s="10" t="n">
        <v>144</v>
      </c>
      <c r="N3440" s="10">
        <f>L3440-M3440</f>
        <v/>
      </c>
    </row>
    <row r="3441">
      <c r="A3441" s="7" t="inlineStr">
        <is>
          <t>ORD-05277</t>
        </is>
      </c>
      <c r="B3441" s="8" t="n">
        <v>45633</v>
      </c>
      <c r="C3441" s="9" t="n">
        <v>45627</v>
      </c>
      <c r="D3441" s="7" t="n">
        <v>2024</v>
      </c>
      <c r="E3441" s="7" t="inlineStr">
        <is>
          <t>West</t>
        </is>
      </c>
      <c r="F3441" s="7" t="inlineStr">
        <is>
          <t>Office Supplies</t>
        </is>
      </c>
      <c r="G3441" s="7" t="inlineStr">
        <is>
          <t>Printer Ink</t>
        </is>
      </c>
      <c r="H3441" s="7" t="inlineStr">
        <is>
          <t>Home Office</t>
        </is>
      </c>
      <c r="I3441" s="7" t="n">
        <v>13</v>
      </c>
      <c r="J3441" s="10" t="n">
        <v>58.92</v>
      </c>
      <c r="K3441" s="11" t="n">
        <v>0.05</v>
      </c>
      <c r="L3441" s="10">
        <f>I3441*J3441*(1-K3441)</f>
        <v/>
      </c>
      <c r="M3441" s="10" t="n">
        <v>468</v>
      </c>
      <c r="N3441" s="10">
        <f>L3441-M3441</f>
        <v/>
      </c>
    </row>
    <row r="3442">
      <c r="A3442" s="7" t="inlineStr">
        <is>
          <t>ORD-01265</t>
        </is>
      </c>
      <c r="B3442" s="8" t="n">
        <v>45633</v>
      </c>
      <c r="C3442" s="9" t="n">
        <v>45627</v>
      </c>
      <c r="D3442" s="7" t="n">
        <v>2024</v>
      </c>
      <c r="E3442" s="7" t="inlineStr">
        <is>
          <t>East</t>
        </is>
      </c>
      <c r="F3442" s="7" t="inlineStr">
        <is>
          <t>Technology</t>
        </is>
      </c>
      <c r="G3442" s="7" t="inlineStr">
        <is>
          <t>Smartphone</t>
        </is>
      </c>
      <c r="H3442" s="7" t="inlineStr">
        <is>
          <t>Consumer</t>
        </is>
      </c>
      <c r="I3442" s="7" t="n">
        <v>2</v>
      </c>
      <c r="J3442" s="10" t="n">
        <v>579.5700000000001</v>
      </c>
      <c r="K3442" s="11" t="n">
        <v>0</v>
      </c>
      <c r="L3442" s="10">
        <f>I3442*J3442*(1-K3442)</f>
        <v/>
      </c>
      <c r="M3442" s="10" t="n">
        <v>900</v>
      </c>
      <c r="N3442" s="10">
        <f>L3442-M3442</f>
        <v/>
      </c>
    </row>
    <row r="3443">
      <c r="A3443" s="7" t="inlineStr">
        <is>
          <t>ORD-00465</t>
        </is>
      </c>
      <c r="B3443" s="8" t="n">
        <v>45634</v>
      </c>
      <c r="C3443" s="9" t="n">
        <v>45627</v>
      </c>
      <c r="D3443" s="7" t="n">
        <v>2024</v>
      </c>
      <c r="E3443" s="7" t="inlineStr">
        <is>
          <t>East</t>
        </is>
      </c>
      <c r="F3443" s="7" t="inlineStr">
        <is>
          <t>Office Supplies</t>
        </is>
      </c>
      <c r="G3443" s="7" t="inlineStr">
        <is>
          <t>Pens</t>
        </is>
      </c>
      <c r="H3443" s="7" t="inlineStr">
        <is>
          <t>Home Office</t>
        </is>
      </c>
      <c r="I3443" s="7" t="n">
        <v>10</v>
      </c>
      <c r="J3443" s="10" t="n">
        <v>11.43</v>
      </c>
      <c r="K3443" s="11" t="n">
        <v>0.3</v>
      </c>
      <c r="L3443" s="10">
        <f>I3443*J3443*(1-K3443)</f>
        <v/>
      </c>
      <c r="M3443" s="10" t="n">
        <v>54</v>
      </c>
      <c r="N3443" s="10">
        <f>L3443-M3443</f>
        <v/>
      </c>
    </row>
    <row r="3444">
      <c r="A3444" s="7" t="inlineStr">
        <is>
          <t>ORD-01756</t>
        </is>
      </c>
      <c r="B3444" s="8" t="n">
        <v>45634</v>
      </c>
      <c r="C3444" s="9" t="n">
        <v>45627</v>
      </c>
      <c r="D3444" s="7" t="n">
        <v>2024</v>
      </c>
      <c r="E3444" s="7" t="inlineStr">
        <is>
          <t>North</t>
        </is>
      </c>
      <c r="F3444" s="7" t="inlineStr">
        <is>
          <t>Office Supplies</t>
        </is>
      </c>
      <c r="G3444" s="7" t="inlineStr">
        <is>
          <t>Binder</t>
        </is>
      </c>
      <c r="H3444" s="7" t="inlineStr">
        <is>
          <t>Home Office</t>
        </is>
      </c>
      <c r="I3444" s="7" t="n">
        <v>8</v>
      </c>
      <c r="J3444" s="10" t="n">
        <v>7.82</v>
      </c>
      <c r="K3444" s="11" t="n">
        <v>0.1</v>
      </c>
      <c r="L3444" s="10">
        <f>I3444*J3444*(1-K3444)</f>
        <v/>
      </c>
      <c r="M3444" s="10" t="n">
        <v>25.6</v>
      </c>
      <c r="N3444" s="10">
        <f>L3444-M3444</f>
        <v/>
      </c>
    </row>
    <row r="3445">
      <c r="A3445" s="7" t="inlineStr">
        <is>
          <t>ORD-05678</t>
        </is>
      </c>
      <c r="B3445" s="8" t="n">
        <v>45634</v>
      </c>
      <c r="C3445" s="9" t="n">
        <v>45627</v>
      </c>
      <c r="D3445" s="7" t="n">
        <v>2024</v>
      </c>
      <c r="E3445" s="7" t="inlineStr">
        <is>
          <t>North</t>
        </is>
      </c>
      <c r="F3445" s="7" t="inlineStr">
        <is>
          <t>Technology</t>
        </is>
      </c>
      <c r="G3445" s="7" t="inlineStr">
        <is>
          <t>Headphones</t>
        </is>
      </c>
      <c r="H3445" s="7" t="inlineStr">
        <is>
          <t>Corporate</t>
        </is>
      </c>
      <c r="I3445" s="7" t="n">
        <v>2</v>
      </c>
      <c r="J3445" s="10" t="n">
        <v>120.13</v>
      </c>
      <c r="K3445" s="11" t="n">
        <v>0</v>
      </c>
      <c r="L3445" s="10">
        <f>I3445*J3445*(1-K3445)</f>
        <v/>
      </c>
      <c r="M3445" s="10" t="n">
        <v>144</v>
      </c>
      <c r="N3445" s="10">
        <f>L3445-M3445</f>
        <v/>
      </c>
    </row>
    <row r="3446">
      <c r="A3446" s="7" t="inlineStr">
        <is>
          <t>ORD-04810</t>
        </is>
      </c>
      <c r="B3446" s="8" t="n">
        <v>45635</v>
      </c>
      <c r="C3446" s="9" t="n">
        <v>45627</v>
      </c>
      <c r="D3446" s="7" t="n">
        <v>2024</v>
      </c>
      <c r="E3446" s="7" t="inlineStr">
        <is>
          <t>North</t>
        </is>
      </c>
      <c r="F3446" s="7" t="inlineStr">
        <is>
          <t>Office Supplies</t>
        </is>
      </c>
      <c r="G3446" s="7" t="inlineStr">
        <is>
          <t>Paper</t>
        </is>
      </c>
      <c r="H3446" s="7" t="inlineStr">
        <is>
          <t>Consumer</t>
        </is>
      </c>
      <c r="I3446" s="7" t="n">
        <v>13</v>
      </c>
      <c r="J3446" s="10" t="n">
        <v>23.97</v>
      </c>
      <c r="K3446" s="11" t="n">
        <v>0.3</v>
      </c>
      <c r="L3446" s="10">
        <f>I3446*J3446*(1-K3446)</f>
        <v/>
      </c>
      <c r="M3446" s="10" t="n">
        <v>162.5</v>
      </c>
      <c r="N3446" s="10">
        <f>L3446-M3446</f>
        <v/>
      </c>
    </row>
    <row r="3447">
      <c r="A3447" s="7" t="inlineStr">
        <is>
          <t>ORD-01313</t>
        </is>
      </c>
      <c r="B3447" s="8" t="n">
        <v>45635</v>
      </c>
      <c r="C3447" s="9" t="n">
        <v>45627</v>
      </c>
      <c r="D3447" s="7" t="n">
        <v>2024</v>
      </c>
      <c r="E3447" s="7" t="inlineStr">
        <is>
          <t>East</t>
        </is>
      </c>
      <c r="F3447" s="7" t="inlineStr">
        <is>
          <t>Office Supplies</t>
        </is>
      </c>
      <c r="G3447" s="7" t="inlineStr">
        <is>
          <t>Pens</t>
        </is>
      </c>
      <c r="H3447" s="7" t="inlineStr">
        <is>
          <t>Consumer</t>
        </is>
      </c>
      <c r="I3447" s="7" t="n">
        <v>4</v>
      </c>
      <c r="J3447" s="10" t="n">
        <v>12.07</v>
      </c>
      <c r="K3447" s="11" t="n">
        <v>0</v>
      </c>
      <c r="L3447" s="10">
        <f>I3447*J3447*(1-K3447)</f>
        <v/>
      </c>
      <c r="M3447" s="10" t="n">
        <v>21.6</v>
      </c>
      <c r="N3447" s="10">
        <f>L3447-M3447</f>
        <v/>
      </c>
    </row>
    <row r="3448">
      <c r="A3448" s="7" t="inlineStr">
        <is>
          <t>ORD-04665</t>
        </is>
      </c>
      <c r="B3448" s="8" t="n">
        <v>45635</v>
      </c>
      <c r="C3448" s="9" t="n">
        <v>45627</v>
      </c>
      <c r="D3448" s="7" t="n">
        <v>2024</v>
      </c>
      <c r="E3448" s="7" t="inlineStr">
        <is>
          <t>West</t>
        </is>
      </c>
      <c r="F3448" s="7" t="inlineStr">
        <is>
          <t>Technology</t>
        </is>
      </c>
      <c r="G3448" s="7" t="inlineStr">
        <is>
          <t>Smartphone</t>
        </is>
      </c>
      <c r="H3448" s="7" t="inlineStr">
        <is>
          <t>Corporate</t>
        </is>
      </c>
      <c r="I3448" s="7" t="n">
        <v>2</v>
      </c>
      <c r="J3448" s="10" t="n">
        <v>580.78</v>
      </c>
      <c r="K3448" s="11" t="n">
        <v>0</v>
      </c>
      <c r="L3448" s="10">
        <f>I3448*J3448*(1-K3448)</f>
        <v/>
      </c>
      <c r="M3448" s="10" t="n">
        <v>900</v>
      </c>
      <c r="N3448" s="10">
        <f>L3448-M3448</f>
        <v/>
      </c>
    </row>
    <row r="3449">
      <c r="A3449" s="7" t="inlineStr">
        <is>
          <t>ORD-03734</t>
        </is>
      </c>
      <c r="B3449" s="8" t="n">
        <v>45635</v>
      </c>
      <c r="C3449" s="9" t="n">
        <v>45627</v>
      </c>
      <c r="D3449" s="7" t="n">
        <v>2024</v>
      </c>
      <c r="E3449" s="7" t="inlineStr">
        <is>
          <t>West</t>
        </is>
      </c>
      <c r="F3449" s="7" t="inlineStr">
        <is>
          <t>Technology</t>
        </is>
      </c>
      <c r="G3449" s="7" t="inlineStr">
        <is>
          <t>Smartphone</t>
        </is>
      </c>
      <c r="H3449" s="7" t="inlineStr">
        <is>
          <t>Corporate</t>
        </is>
      </c>
      <c r="I3449" s="7" t="n">
        <v>2</v>
      </c>
      <c r="J3449" s="10" t="n">
        <v>592.41</v>
      </c>
      <c r="K3449" s="11" t="n">
        <v>0</v>
      </c>
      <c r="L3449" s="10">
        <f>I3449*J3449*(1-K3449)</f>
        <v/>
      </c>
      <c r="M3449" s="10" t="n">
        <v>900</v>
      </c>
      <c r="N3449" s="10">
        <f>L3449-M3449</f>
        <v/>
      </c>
    </row>
    <row r="3450">
      <c r="A3450" s="7" t="inlineStr">
        <is>
          <t>ORD-02796</t>
        </is>
      </c>
      <c r="B3450" s="8" t="n">
        <v>45635</v>
      </c>
      <c r="C3450" s="9" t="n">
        <v>45627</v>
      </c>
      <c r="D3450" s="7" t="n">
        <v>2024</v>
      </c>
      <c r="E3450" s="7" t="inlineStr">
        <is>
          <t>East</t>
        </is>
      </c>
      <c r="F3450" s="7" t="inlineStr">
        <is>
          <t>Furniture</t>
        </is>
      </c>
      <c r="G3450" s="7" t="inlineStr">
        <is>
          <t>Desk</t>
        </is>
      </c>
      <c r="H3450" s="7" t="inlineStr">
        <is>
          <t>Corporate</t>
        </is>
      </c>
      <c r="I3450" s="7" t="n">
        <v>3</v>
      </c>
      <c r="J3450" s="10" t="n">
        <v>435.64</v>
      </c>
      <c r="K3450" s="11" t="n">
        <v>0.3</v>
      </c>
      <c r="L3450" s="10">
        <f>I3450*J3450*(1-K3450)</f>
        <v/>
      </c>
      <c r="M3450" s="10" t="n">
        <v>1147.5</v>
      </c>
      <c r="N3450" s="10">
        <f>L3450-M3450</f>
        <v/>
      </c>
    </row>
    <row r="3451">
      <c r="A3451" s="7" t="inlineStr">
        <is>
          <t>ORD-03293</t>
        </is>
      </c>
      <c r="B3451" s="8" t="n">
        <v>45635</v>
      </c>
      <c r="C3451" s="9" t="n">
        <v>45627</v>
      </c>
      <c r="D3451" s="7" t="n">
        <v>2024</v>
      </c>
      <c r="E3451" s="7" t="inlineStr">
        <is>
          <t>South</t>
        </is>
      </c>
      <c r="F3451" s="7" t="inlineStr">
        <is>
          <t>Technology</t>
        </is>
      </c>
      <c r="G3451" s="7" t="inlineStr">
        <is>
          <t>Laptop</t>
        </is>
      </c>
      <c r="H3451" s="7" t="inlineStr">
        <is>
          <t>Corporate</t>
        </is>
      </c>
      <c r="I3451" s="7" t="n">
        <v>1</v>
      </c>
      <c r="J3451" s="10" t="n">
        <v>941.98</v>
      </c>
      <c r="K3451" s="11" t="n">
        <v>0.2</v>
      </c>
      <c r="L3451" s="10">
        <f>I3451*J3451*(1-K3451)</f>
        <v/>
      </c>
      <c r="M3451" s="10" t="n">
        <v>702</v>
      </c>
      <c r="N3451" s="10">
        <f>L3451-M3451</f>
        <v/>
      </c>
    </row>
    <row r="3452">
      <c r="A3452" s="7" t="inlineStr">
        <is>
          <t>ORD-00114</t>
        </is>
      </c>
      <c r="B3452" s="8" t="n">
        <v>45635</v>
      </c>
      <c r="C3452" s="9" t="n">
        <v>45627</v>
      </c>
      <c r="D3452" s="7" t="n">
        <v>2024</v>
      </c>
      <c r="E3452" s="7" t="inlineStr">
        <is>
          <t>North</t>
        </is>
      </c>
      <c r="F3452" s="7" t="inlineStr">
        <is>
          <t>Furniture</t>
        </is>
      </c>
      <c r="G3452" s="7" t="inlineStr">
        <is>
          <t>Desk</t>
        </is>
      </c>
      <c r="H3452" s="7" t="inlineStr">
        <is>
          <t>Consumer</t>
        </is>
      </c>
      <c r="I3452" s="7" t="n">
        <v>1</v>
      </c>
      <c r="J3452" s="10" t="n">
        <v>447.26</v>
      </c>
      <c r="K3452" s="11" t="n">
        <v>0.2</v>
      </c>
      <c r="L3452" s="10">
        <f>I3452*J3452*(1-K3452)</f>
        <v/>
      </c>
      <c r="M3452" s="10" t="n">
        <v>382.5</v>
      </c>
      <c r="N3452" s="10">
        <f>L3452-M3452</f>
        <v/>
      </c>
    </row>
    <row r="3453">
      <c r="A3453" s="7" t="inlineStr">
        <is>
          <t>ORD-05647</t>
        </is>
      </c>
      <c r="B3453" s="8" t="n">
        <v>45636</v>
      </c>
      <c r="C3453" s="9" t="n">
        <v>45627</v>
      </c>
      <c r="D3453" s="7" t="n">
        <v>2024</v>
      </c>
      <c r="E3453" s="7" t="inlineStr">
        <is>
          <t>East</t>
        </is>
      </c>
      <c r="F3453" s="7" t="inlineStr">
        <is>
          <t>Technology</t>
        </is>
      </c>
      <c r="G3453" s="7" t="inlineStr">
        <is>
          <t>Keyboard</t>
        </is>
      </c>
      <c r="H3453" s="7" t="inlineStr">
        <is>
          <t>Corporate</t>
        </is>
      </c>
      <c r="I3453" s="7" t="n">
        <v>1</v>
      </c>
      <c r="J3453" s="10" t="n">
        <v>46.47</v>
      </c>
      <c r="K3453" s="11" t="n">
        <v>0</v>
      </c>
      <c r="L3453" s="10">
        <f>I3453*J3453*(1-K3453)</f>
        <v/>
      </c>
      <c r="M3453" s="10" t="n">
        <v>24.75</v>
      </c>
      <c r="N3453" s="10">
        <f>L3453-M3453</f>
        <v/>
      </c>
    </row>
    <row r="3454">
      <c r="A3454" s="7" t="inlineStr">
        <is>
          <t>ORD-00133</t>
        </is>
      </c>
      <c r="B3454" s="8" t="n">
        <v>45636</v>
      </c>
      <c r="C3454" s="9" t="n">
        <v>45627</v>
      </c>
      <c r="D3454" s="7" t="n">
        <v>2024</v>
      </c>
      <c r="E3454" s="7" t="inlineStr">
        <is>
          <t>South</t>
        </is>
      </c>
      <c r="F3454" s="7" t="inlineStr">
        <is>
          <t>Technology</t>
        </is>
      </c>
      <c r="G3454" s="7" t="inlineStr">
        <is>
          <t>Headphones</t>
        </is>
      </c>
      <c r="H3454" s="7" t="inlineStr">
        <is>
          <t>Consumer</t>
        </is>
      </c>
      <c r="I3454" s="7" t="n">
        <v>1</v>
      </c>
      <c r="J3454" s="10" t="n">
        <v>116.52</v>
      </c>
      <c r="K3454" s="11" t="n">
        <v>0.2</v>
      </c>
      <c r="L3454" s="10">
        <f>I3454*J3454*(1-K3454)</f>
        <v/>
      </c>
      <c r="M3454" s="10" t="n">
        <v>72</v>
      </c>
      <c r="N3454" s="10">
        <f>L3454-M3454</f>
        <v/>
      </c>
    </row>
    <row r="3455">
      <c r="A3455" s="7" t="inlineStr">
        <is>
          <t>ORD-03983</t>
        </is>
      </c>
      <c r="B3455" s="8" t="n">
        <v>45636</v>
      </c>
      <c r="C3455" s="9" t="n">
        <v>45627</v>
      </c>
      <c r="D3455" s="7" t="n">
        <v>2024</v>
      </c>
      <c r="E3455" s="7" t="inlineStr">
        <is>
          <t>North</t>
        </is>
      </c>
      <c r="F3455" s="7" t="inlineStr">
        <is>
          <t>Office Supplies</t>
        </is>
      </c>
      <c r="G3455" s="7" t="inlineStr">
        <is>
          <t>Stapler</t>
        </is>
      </c>
      <c r="H3455" s="7" t="inlineStr">
        <is>
          <t>Corporate</t>
        </is>
      </c>
      <c r="I3455" s="7" t="n">
        <v>7</v>
      </c>
      <c r="J3455" s="10" t="n">
        <v>14.74</v>
      </c>
      <c r="K3455" s="11" t="n">
        <v>0.05</v>
      </c>
      <c r="L3455" s="10">
        <f>I3455*J3455*(1-K3455)</f>
        <v/>
      </c>
      <c r="M3455" s="10" t="n">
        <v>52.5</v>
      </c>
      <c r="N3455" s="10">
        <f>L3455-M3455</f>
        <v/>
      </c>
    </row>
    <row r="3456">
      <c r="A3456" s="7" t="inlineStr">
        <is>
          <t>ORD-02331</t>
        </is>
      </c>
      <c r="B3456" s="8" t="n">
        <v>45636</v>
      </c>
      <c r="C3456" s="9" t="n">
        <v>45627</v>
      </c>
      <c r="D3456" s="7" t="n">
        <v>2024</v>
      </c>
      <c r="E3456" s="7" t="inlineStr">
        <is>
          <t>West</t>
        </is>
      </c>
      <c r="F3456" s="7" t="inlineStr">
        <is>
          <t>Technology</t>
        </is>
      </c>
      <c r="G3456" s="7" t="inlineStr">
        <is>
          <t>Smartphone</t>
        </is>
      </c>
      <c r="H3456" s="7" t="inlineStr">
        <is>
          <t>Consumer</t>
        </is>
      </c>
      <c r="I3456" s="7" t="n">
        <v>1</v>
      </c>
      <c r="J3456" s="10" t="n">
        <v>580.5599999999999</v>
      </c>
      <c r="K3456" s="11" t="n">
        <v>0</v>
      </c>
      <c r="L3456" s="10">
        <f>I3456*J3456*(1-K3456)</f>
        <v/>
      </c>
      <c r="M3456" s="10" t="n">
        <v>450</v>
      </c>
      <c r="N3456" s="10">
        <f>L3456-M3456</f>
        <v/>
      </c>
    </row>
    <row r="3457">
      <c r="A3457" s="7" t="inlineStr">
        <is>
          <t>ORD-01771</t>
        </is>
      </c>
      <c r="B3457" s="8" t="n">
        <v>45636</v>
      </c>
      <c r="C3457" s="9" t="n">
        <v>45627</v>
      </c>
      <c r="D3457" s="7" t="n">
        <v>2024</v>
      </c>
      <c r="E3457" s="7" t="inlineStr">
        <is>
          <t>West</t>
        </is>
      </c>
      <c r="F3457" s="7" t="inlineStr">
        <is>
          <t>Technology</t>
        </is>
      </c>
      <c r="G3457" s="7" t="inlineStr">
        <is>
          <t>Headphones</t>
        </is>
      </c>
      <c r="H3457" s="7" t="inlineStr">
        <is>
          <t>Home Office</t>
        </is>
      </c>
      <c r="I3457" s="7" t="n">
        <v>3</v>
      </c>
      <c r="J3457" s="10" t="n">
        <v>120.19</v>
      </c>
      <c r="K3457" s="11" t="n">
        <v>0</v>
      </c>
      <c r="L3457" s="10">
        <f>I3457*J3457*(1-K3457)</f>
        <v/>
      </c>
      <c r="M3457" s="10" t="n">
        <v>216</v>
      </c>
      <c r="N3457" s="10">
        <f>L3457-M3457</f>
        <v/>
      </c>
    </row>
    <row r="3458">
      <c r="A3458" s="7" t="inlineStr">
        <is>
          <t>ORD-05857</t>
        </is>
      </c>
      <c r="B3458" s="8" t="n">
        <v>45636</v>
      </c>
      <c r="C3458" s="9" t="n">
        <v>45627</v>
      </c>
      <c r="D3458" s="7" t="n">
        <v>2024</v>
      </c>
      <c r="E3458" s="7" t="inlineStr">
        <is>
          <t>West</t>
        </is>
      </c>
      <c r="F3458" s="7" t="inlineStr">
        <is>
          <t>Office Supplies</t>
        </is>
      </c>
      <c r="G3458" s="7" t="inlineStr">
        <is>
          <t>Paper</t>
        </is>
      </c>
      <c r="H3458" s="7" t="inlineStr">
        <is>
          <t>Corporate</t>
        </is>
      </c>
      <c r="I3458" s="7" t="n">
        <v>7</v>
      </c>
      <c r="J3458" s="10" t="n">
        <v>25.37</v>
      </c>
      <c r="K3458" s="11" t="n">
        <v>0.1</v>
      </c>
      <c r="L3458" s="10">
        <f>I3458*J3458*(1-K3458)</f>
        <v/>
      </c>
      <c r="M3458" s="10" t="n">
        <v>87.5</v>
      </c>
      <c r="N3458" s="10">
        <f>L3458-M3458</f>
        <v/>
      </c>
    </row>
    <row r="3459">
      <c r="A3459" s="7" t="inlineStr">
        <is>
          <t>ORD-04155</t>
        </is>
      </c>
      <c r="B3459" s="8" t="n">
        <v>45636</v>
      </c>
      <c r="C3459" s="9" t="n">
        <v>45627</v>
      </c>
      <c r="D3459" s="7" t="n">
        <v>2024</v>
      </c>
      <c r="E3459" s="7" t="inlineStr">
        <is>
          <t>East</t>
        </is>
      </c>
      <c r="F3459" s="7" t="inlineStr">
        <is>
          <t>Furniture</t>
        </is>
      </c>
      <c r="G3459" s="7" t="inlineStr">
        <is>
          <t>Office Chair</t>
        </is>
      </c>
      <c r="H3459" s="7" t="inlineStr">
        <is>
          <t>Consumer</t>
        </is>
      </c>
      <c r="I3459" s="7" t="n">
        <v>1</v>
      </c>
      <c r="J3459" s="10" t="n">
        <v>223.55</v>
      </c>
      <c r="K3459" s="11" t="n">
        <v>0.05</v>
      </c>
      <c r="L3459" s="10">
        <f>I3459*J3459*(1-K3459)</f>
        <v/>
      </c>
      <c r="M3459" s="10" t="n">
        <v>180.4</v>
      </c>
      <c r="N3459" s="10">
        <f>L3459-M3459</f>
        <v/>
      </c>
    </row>
    <row r="3460">
      <c r="A3460" s="7" t="inlineStr">
        <is>
          <t>ORD-05997</t>
        </is>
      </c>
      <c r="B3460" s="8" t="n">
        <v>45636</v>
      </c>
      <c r="C3460" s="9" t="n">
        <v>45627</v>
      </c>
      <c r="D3460" s="7" t="n">
        <v>2024</v>
      </c>
      <c r="E3460" s="7" t="inlineStr">
        <is>
          <t>West</t>
        </is>
      </c>
      <c r="F3460" s="7" t="inlineStr">
        <is>
          <t>Furniture</t>
        </is>
      </c>
      <c r="G3460" s="7" t="inlineStr">
        <is>
          <t>Desk</t>
        </is>
      </c>
      <c r="H3460" s="7" t="inlineStr">
        <is>
          <t>Corporate</t>
        </is>
      </c>
      <c r="I3460" s="7" t="n">
        <v>4</v>
      </c>
      <c r="J3460" s="10" t="n">
        <v>467.64</v>
      </c>
      <c r="K3460" s="11" t="n">
        <v>0.1</v>
      </c>
      <c r="L3460" s="10">
        <f>I3460*J3460*(1-K3460)</f>
        <v/>
      </c>
      <c r="M3460" s="10" t="n">
        <v>1530</v>
      </c>
      <c r="N3460" s="10">
        <f>L3460-M3460</f>
        <v/>
      </c>
    </row>
    <row r="3461">
      <c r="A3461" s="7" t="inlineStr">
        <is>
          <t>ORD-00880</t>
        </is>
      </c>
      <c r="B3461" s="8" t="n">
        <v>45636</v>
      </c>
      <c r="C3461" s="9" t="n">
        <v>45627</v>
      </c>
      <c r="D3461" s="7" t="n">
        <v>2024</v>
      </c>
      <c r="E3461" s="7" t="inlineStr">
        <is>
          <t>West</t>
        </is>
      </c>
      <c r="F3461" s="7" t="inlineStr">
        <is>
          <t>Office Supplies</t>
        </is>
      </c>
      <c r="G3461" s="7" t="inlineStr">
        <is>
          <t>Paper</t>
        </is>
      </c>
      <c r="H3461" s="7" t="inlineStr">
        <is>
          <t>Consumer</t>
        </is>
      </c>
      <c r="I3461" s="7" t="n">
        <v>3</v>
      </c>
      <c r="J3461" s="10" t="n">
        <v>25.24</v>
      </c>
      <c r="K3461" s="11" t="n">
        <v>0</v>
      </c>
      <c r="L3461" s="10">
        <f>I3461*J3461*(1-K3461)</f>
        <v/>
      </c>
      <c r="M3461" s="10" t="n">
        <v>37.5</v>
      </c>
      <c r="N3461" s="10">
        <f>L3461-M3461</f>
        <v/>
      </c>
    </row>
    <row r="3462">
      <c r="A3462" s="7" t="inlineStr">
        <is>
          <t>ORD-00212</t>
        </is>
      </c>
      <c r="B3462" s="8" t="n">
        <v>45636</v>
      </c>
      <c r="C3462" s="9" t="n">
        <v>45627</v>
      </c>
      <c r="D3462" s="7" t="n">
        <v>2024</v>
      </c>
      <c r="E3462" s="7" t="inlineStr">
        <is>
          <t>South</t>
        </is>
      </c>
      <c r="F3462" s="7" t="inlineStr">
        <is>
          <t>Office Supplies</t>
        </is>
      </c>
      <c r="G3462" s="7" t="inlineStr">
        <is>
          <t>Pens</t>
        </is>
      </c>
      <c r="H3462" s="7" t="inlineStr">
        <is>
          <t>Consumer</t>
        </is>
      </c>
      <c r="I3462" s="7" t="n">
        <v>9</v>
      </c>
      <c r="J3462" s="10" t="n">
        <v>12.13</v>
      </c>
      <c r="K3462" s="11" t="n">
        <v>0.05</v>
      </c>
      <c r="L3462" s="10">
        <f>I3462*J3462*(1-K3462)</f>
        <v/>
      </c>
      <c r="M3462" s="10" t="n">
        <v>48.6</v>
      </c>
      <c r="N3462" s="10">
        <f>L3462-M3462</f>
        <v/>
      </c>
    </row>
    <row r="3463">
      <c r="A3463" s="7" t="inlineStr">
        <is>
          <t>ORD-05082</t>
        </is>
      </c>
      <c r="B3463" s="8" t="n">
        <v>45636</v>
      </c>
      <c r="C3463" s="9" t="n">
        <v>45627</v>
      </c>
      <c r="D3463" s="7" t="n">
        <v>2024</v>
      </c>
      <c r="E3463" s="7" t="inlineStr">
        <is>
          <t>South</t>
        </is>
      </c>
      <c r="F3463" s="7" t="inlineStr">
        <is>
          <t>Furniture</t>
        </is>
      </c>
      <c r="G3463" s="7" t="inlineStr">
        <is>
          <t>Bookcase</t>
        </is>
      </c>
      <c r="H3463" s="7" t="inlineStr">
        <is>
          <t>Consumer</t>
        </is>
      </c>
      <c r="I3463" s="7" t="n">
        <v>4</v>
      </c>
      <c r="J3463" s="10" t="n">
        <v>176.43</v>
      </c>
      <c r="K3463" s="11" t="n">
        <v>0.3</v>
      </c>
      <c r="L3463" s="10">
        <f>I3463*J3463*(1-K3463)</f>
        <v/>
      </c>
      <c r="M3463" s="10" t="n">
        <v>576</v>
      </c>
      <c r="N3463" s="10">
        <f>L3463-M3463</f>
        <v/>
      </c>
    </row>
    <row r="3464">
      <c r="A3464" s="7" t="inlineStr">
        <is>
          <t>ORD-02675</t>
        </is>
      </c>
      <c r="B3464" s="8" t="n">
        <v>45637</v>
      </c>
      <c r="C3464" s="9" t="n">
        <v>45627</v>
      </c>
      <c r="D3464" s="7" t="n">
        <v>2024</v>
      </c>
      <c r="E3464" s="7" t="inlineStr">
        <is>
          <t>West</t>
        </is>
      </c>
      <c r="F3464" s="7" t="inlineStr">
        <is>
          <t>Office Supplies</t>
        </is>
      </c>
      <c r="G3464" s="7" t="inlineStr">
        <is>
          <t>Paper</t>
        </is>
      </c>
      <c r="H3464" s="7" t="inlineStr">
        <is>
          <t>Home Office</t>
        </is>
      </c>
      <c r="I3464" s="7" t="n">
        <v>13</v>
      </c>
      <c r="J3464" s="10" t="n">
        <v>26</v>
      </c>
      <c r="K3464" s="11" t="n">
        <v>0.1</v>
      </c>
      <c r="L3464" s="10">
        <f>I3464*J3464*(1-K3464)</f>
        <v/>
      </c>
      <c r="M3464" s="10" t="n">
        <v>162.5</v>
      </c>
      <c r="N3464" s="10">
        <f>L3464-M3464</f>
        <v/>
      </c>
    </row>
    <row r="3465">
      <c r="A3465" s="7" t="inlineStr">
        <is>
          <t>ORD-05344</t>
        </is>
      </c>
      <c r="B3465" s="8" t="n">
        <v>45637</v>
      </c>
      <c r="C3465" s="9" t="n">
        <v>45627</v>
      </c>
      <c r="D3465" s="7" t="n">
        <v>2024</v>
      </c>
      <c r="E3465" s="7" t="inlineStr">
        <is>
          <t>West</t>
        </is>
      </c>
      <c r="F3465" s="7" t="inlineStr">
        <is>
          <t>Office Supplies</t>
        </is>
      </c>
      <c r="G3465" s="7" t="inlineStr">
        <is>
          <t>Binder</t>
        </is>
      </c>
      <c r="H3465" s="7" t="inlineStr">
        <is>
          <t>Corporate</t>
        </is>
      </c>
      <c r="I3465" s="7" t="n">
        <v>9</v>
      </c>
      <c r="J3465" s="10" t="n">
        <v>7.9</v>
      </c>
      <c r="K3465" s="11" t="n">
        <v>0.3</v>
      </c>
      <c r="L3465" s="10">
        <f>I3465*J3465*(1-K3465)</f>
        <v/>
      </c>
      <c r="M3465" s="10" t="n">
        <v>28.8</v>
      </c>
      <c r="N3465" s="10">
        <f>L3465-M3465</f>
        <v/>
      </c>
    </row>
    <row r="3466">
      <c r="A3466" s="7" t="inlineStr">
        <is>
          <t>ORD-04390</t>
        </is>
      </c>
      <c r="B3466" s="8" t="n">
        <v>45637</v>
      </c>
      <c r="C3466" s="9" t="n">
        <v>45627</v>
      </c>
      <c r="D3466" s="7" t="n">
        <v>2024</v>
      </c>
      <c r="E3466" s="7" t="inlineStr">
        <is>
          <t>West</t>
        </is>
      </c>
      <c r="F3466" s="7" t="inlineStr">
        <is>
          <t>Office Supplies</t>
        </is>
      </c>
      <c r="G3466" s="7" t="inlineStr">
        <is>
          <t>Pens</t>
        </is>
      </c>
      <c r="H3466" s="7" t="inlineStr">
        <is>
          <t>Consumer</t>
        </is>
      </c>
      <c r="I3466" s="7" t="n">
        <v>12</v>
      </c>
      <c r="J3466" s="10" t="n">
        <v>12.16</v>
      </c>
      <c r="K3466" s="11" t="n">
        <v>0.05</v>
      </c>
      <c r="L3466" s="10">
        <f>I3466*J3466*(1-K3466)</f>
        <v/>
      </c>
      <c r="M3466" s="10" t="n">
        <v>64.8</v>
      </c>
      <c r="N3466" s="10">
        <f>L3466-M3466</f>
        <v/>
      </c>
    </row>
    <row r="3467">
      <c r="A3467" s="7" t="inlineStr">
        <is>
          <t>ORD-01689</t>
        </is>
      </c>
      <c r="B3467" s="8" t="n">
        <v>45637</v>
      </c>
      <c r="C3467" s="9" t="n">
        <v>45627</v>
      </c>
      <c r="D3467" s="7" t="n">
        <v>2024</v>
      </c>
      <c r="E3467" s="7" t="inlineStr">
        <is>
          <t>East</t>
        </is>
      </c>
      <c r="F3467" s="7" t="inlineStr">
        <is>
          <t>Technology</t>
        </is>
      </c>
      <c r="G3467" s="7" t="inlineStr">
        <is>
          <t>Monitor</t>
        </is>
      </c>
      <c r="H3467" s="7" t="inlineStr">
        <is>
          <t>Consumer</t>
        </is>
      </c>
      <c r="I3467" s="7" t="n">
        <v>3</v>
      </c>
      <c r="J3467" s="10" t="n">
        <v>244.03</v>
      </c>
      <c r="K3467" s="11" t="n">
        <v>0</v>
      </c>
      <c r="L3467" s="10">
        <f>I3467*J3467*(1-K3467)</f>
        <v/>
      </c>
      <c r="M3467" s="10" t="n">
        <v>540</v>
      </c>
      <c r="N3467" s="10">
        <f>L3467-M3467</f>
        <v/>
      </c>
    </row>
    <row r="3468">
      <c r="A3468" s="7" t="inlineStr">
        <is>
          <t>ORD-04975</t>
        </is>
      </c>
      <c r="B3468" s="8" t="n">
        <v>45637</v>
      </c>
      <c r="C3468" s="9" t="n">
        <v>45627</v>
      </c>
      <c r="D3468" s="7" t="n">
        <v>2024</v>
      </c>
      <c r="E3468" s="7" t="inlineStr">
        <is>
          <t>South</t>
        </is>
      </c>
      <c r="F3468" s="7" t="inlineStr">
        <is>
          <t>Office Supplies</t>
        </is>
      </c>
      <c r="G3468" s="7" t="inlineStr">
        <is>
          <t>Printer Ink</t>
        </is>
      </c>
      <c r="H3468" s="7" t="inlineStr">
        <is>
          <t>Home Office</t>
        </is>
      </c>
      <c r="I3468" s="7" t="n">
        <v>4</v>
      </c>
      <c r="J3468" s="10" t="n">
        <v>59.22</v>
      </c>
      <c r="K3468" s="11" t="n">
        <v>0</v>
      </c>
      <c r="L3468" s="10">
        <f>I3468*J3468*(1-K3468)</f>
        <v/>
      </c>
      <c r="M3468" s="10" t="n">
        <v>144</v>
      </c>
      <c r="N3468" s="10">
        <f>L3468-M3468</f>
        <v/>
      </c>
    </row>
    <row r="3469">
      <c r="A3469" s="7" t="inlineStr">
        <is>
          <t>ORD-01901</t>
        </is>
      </c>
      <c r="B3469" s="8" t="n">
        <v>45637</v>
      </c>
      <c r="C3469" s="9" t="n">
        <v>45627</v>
      </c>
      <c r="D3469" s="7" t="n">
        <v>2024</v>
      </c>
      <c r="E3469" s="7" t="inlineStr">
        <is>
          <t>East</t>
        </is>
      </c>
      <c r="F3469" s="7" t="inlineStr">
        <is>
          <t>Furniture</t>
        </is>
      </c>
      <c r="G3469" s="7" t="inlineStr">
        <is>
          <t>Office Chair</t>
        </is>
      </c>
      <c r="H3469" s="7" t="inlineStr">
        <is>
          <t>Consumer</t>
        </is>
      </c>
      <c r="I3469" s="7" t="n">
        <v>2</v>
      </c>
      <c r="J3469" s="10" t="n">
        <v>218.97</v>
      </c>
      <c r="K3469" s="11" t="n">
        <v>0.3</v>
      </c>
      <c r="L3469" s="10">
        <f>I3469*J3469*(1-K3469)</f>
        <v/>
      </c>
      <c r="M3469" s="10" t="n">
        <v>360.8</v>
      </c>
      <c r="N3469" s="10">
        <f>L3469-M3469</f>
        <v/>
      </c>
    </row>
    <row r="3470">
      <c r="A3470" s="7" t="inlineStr">
        <is>
          <t>ORD-02684</t>
        </is>
      </c>
      <c r="B3470" s="8" t="n">
        <v>45637</v>
      </c>
      <c r="C3470" s="9" t="n">
        <v>45627</v>
      </c>
      <c r="D3470" s="7" t="n">
        <v>2024</v>
      </c>
      <c r="E3470" s="7" t="inlineStr">
        <is>
          <t>North</t>
        </is>
      </c>
      <c r="F3470" s="7" t="inlineStr">
        <is>
          <t>Office Supplies</t>
        </is>
      </c>
      <c r="G3470" s="7" t="inlineStr">
        <is>
          <t>Pens</t>
        </is>
      </c>
      <c r="H3470" s="7" t="inlineStr">
        <is>
          <t>Corporate</t>
        </is>
      </c>
      <c r="I3470" s="7" t="n">
        <v>5</v>
      </c>
      <c r="J3470" s="10" t="n">
        <v>11.69</v>
      </c>
      <c r="K3470" s="11" t="n">
        <v>0</v>
      </c>
      <c r="L3470" s="10">
        <f>I3470*J3470*(1-K3470)</f>
        <v/>
      </c>
      <c r="M3470" s="10" t="n">
        <v>27</v>
      </c>
      <c r="N3470" s="10">
        <f>L3470-M3470</f>
        <v/>
      </c>
    </row>
    <row r="3471">
      <c r="A3471" s="7" t="inlineStr">
        <is>
          <t>ORD-01861</t>
        </is>
      </c>
      <c r="B3471" s="8" t="n">
        <v>45637</v>
      </c>
      <c r="C3471" s="9" t="n">
        <v>45627</v>
      </c>
      <c r="D3471" s="7" t="n">
        <v>2024</v>
      </c>
      <c r="E3471" s="7" t="inlineStr">
        <is>
          <t>South</t>
        </is>
      </c>
      <c r="F3471" s="7" t="inlineStr">
        <is>
          <t>Technology</t>
        </is>
      </c>
      <c r="G3471" s="7" t="inlineStr">
        <is>
          <t>Smartphone</t>
        </is>
      </c>
      <c r="H3471" s="7" t="inlineStr">
        <is>
          <t>Consumer</t>
        </is>
      </c>
      <c r="I3471" s="7" t="n">
        <v>3</v>
      </c>
      <c r="J3471" s="10" t="n">
        <v>575.58</v>
      </c>
      <c r="K3471" s="11" t="n">
        <v>0</v>
      </c>
      <c r="L3471" s="10">
        <f>I3471*J3471*(1-K3471)</f>
        <v/>
      </c>
      <c r="M3471" s="10" t="n">
        <v>1350</v>
      </c>
      <c r="N3471" s="10">
        <f>L3471-M3471</f>
        <v/>
      </c>
    </row>
    <row r="3472">
      <c r="A3472" s="7" t="inlineStr">
        <is>
          <t>ORD-05684</t>
        </is>
      </c>
      <c r="B3472" s="8" t="n">
        <v>45638</v>
      </c>
      <c r="C3472" s="9" t="n">
        <v>45627</v>
      </c>
      <c r="D3472" s="7" t="n">
        <v>2024</v>
      </c>
      <c r="E3472" s="7" t="inlineStr">
        <is>
          <t>North</t>
        </is>
      </c>
      <c r="F3472" s="7" t="inlineStr">
        <is>
          <t>Furniture</t>
        </is>
      </c>
      <c r="G3472" s="7" t="inlineStr">
        <is>
          <t>Bookcase</t>
        </is>
      </c>
      <c r="H3472" s="7" t="inlineStr">
        <is>
          <t>Home Office</t>
        </is>
      </c>
      <c r="I3472" s="7" t="n">
        <v>2</v>
      </c>
      <c r="J3472" s="10" t="n">
        <v>175.44</v>
      </c>
      <c r="K3472" s="11" t="n">
        <v>0.2</v>
      </c>
      <c r="L3472" s="10">
        <f>I3472*J3472*(1-K3472)</f>
        <v/>
      </c>
      <c r="M3472" s="10" t="n">
        <v>288</v>
      </c>
      <c r="N3472" s="10">
        <f>L3472-M3472</f>
        <v/>
      </c>
    </row>
    <row r="3473">
      <c r="A3473" s="7" t="inlineStr">
        <is>
          <t>ORD-05296</t>
        </is>
      </c>
      <c r="B3473" s="8" t="n">
        <v>45638</v>
      </c>
      <c r="C3473" s="9" t="n">
        <v>45627</v>
      </c>
      <c r="D3473" s="7" t="n">
        <v>2024</v>
      </c>
      <c r="E3473" s="7" t="inlineStr">
        <is>
          <t>North</t>
        </is>
      </c>
      <c r="F3473" s="7" t="inlineStr">
        <is>
          <t>Office Supplies</t>
        </is>
      </c>
      <c r="G3473" s="7" t="inlineStr">
        <is>
          <t>Pens</t>
        </is>
      </c>
      <c r="H3473" s="7" t="inlineStr">
        <is>
          <t>Home Office</t>
        </is>
      </c>
      <c r="I3473" s="7" t="n">
        <v>12</v>
      </c>
      <c r="J3473" s="10" t="n">
        <v>12.56</v>
      </c>
      <c r="K3473" s="11" t="n">
        <v>0</v>
      </c>
      <c r="L3473" s="10">
        <f>I3473*J3473*(1-K3473)</f>
        <v/>
      </c>
      <c r="M3473" s="10" t="n">
        <v>64.8</v>
      </c>
      <c r="N3473" s="10">
        <f>L3473-M3473</f>
        <v/>
      </c>
    </row>
    <row r="3474">
      <c r="A3474" s="7" t="inlineStr">
        <is>
          <t>ORD-02188</t>
        </is>
      </c>
      <c r="B3474" s="8" t="n">
        <v>45638</v>
      </c>
      <c r="C3474" s="9" t="n">
        <v>45627</v>
      </c>
      <c r="D3474" s="7" t="n">
        <v>2024</v>
      </c>
      <c r="E3474" s="7" t="inlineStr">
        <is>
          <t>East</t>
        </is>
      </c>
      <c r="F3474" s="7" t="inlineStr">
        <is>
          <t>Office Supplies</t>
        </is>
      </c>
      <c r="G3474" s="7" t="inlineStr">
        <is>
          <t>Paper</t>
        </is>
      </c>
      <c r="H3474" s="7" t="inlineStr">
        <is>
          <t>Consumer</t>
        </is>
      </c>
      <c r="I3474" s="7" t="n">
        <v>4</v>
      </c>
      <c r="J3474" s="10" t="n">
        <v>24.07</v>
      </c>
      <c r="K3474" s="11" t="n">
        <v>0</v>
      </c>
      <c r="L3474" s="10">
        <f>I3474*J3474*(1-K3474)</f>
        <v/>
      </c>
      <c r="M3474" s="10" t="n">
        <v>50</v>
      </c>
      <c r="N3474" s="10">
        <f>L3474-M3474</f>
        <v/>
      </c>
    </row>
    <row r="3475">
      <c r="A3475" s="7" t="inlineStr">
        <is>
          <t>ORD-04458</t>
        </is>
      </c>
      <c r="B3475" s="8" t="n">
        <v>45638</v>
      </c>
      <c r="C3475" s="9" t="n">
        <v>45627</v>
      </c>
      <c r="D3475" s="7" t="n">
        <v>2024</v>
      </c>
      <c r="E3475" s="7" t="inlineStr">
        <is>
          <t>West</t>
        </is>
      </c>
      <c r="F3475" s="7" t="inlineStr">
        <is>
          <t>Technology</t>
        </is>
      </c>
      <c r="G3475" s="7" t="inlineStr">
        <is>
          <t>Keyboard</t>
        </is>
      </c>
      <c r="H3475" s="7" t="inlineStr">
        <is>
          <t>Home Office</t>
        </is>
      </c>
      <c r="I3475" s="7" t="n">
        <v>1</v>
      </c>
      <c r="J3475" s="10" t="n">
        <v>43.5</v>
      </c>
      <c r="K3475" s="11" t="n">
        <v>0.2</v>
      </c>
      <c r="L3475" s="10">
        <f>I3475*J3475*(1-K3475)</f>
        <v/>
      </c>
      <c r="M3475" s="10" t="n">
        <v>24.75</v>
      </c>
      <c r="N3475" s="10">
        <f>L3475-M3475</f>
        <v/>
      </c>
    </row>
    <row r="3476">
      <c r="A3476" s="7" t="inlineStr">
        <is>
          <t>ORD-00929</t>
        </is>
      </c>
      <c r="B3476" s="8" t="n">
        <v>45638</v>
      </c>
      <c r="C3476" s="9" t="n">
        <v>45627</v>
      </c>
      <c r="D3476" s="7" t="n">
        <v>2024</v>
      </c>
      <c r="E3476" s="7" t="inlineStr">
        <is>
          <t>West</t>
        </is>
      </c>
      <c r="F3476" s="7" t="inlineStr">
        <is>
          <t>Office Supplies</t>
        </is>
      </c>
      <c r="G3476" s="7" t="inlineStr">
        <is>
          <t>Pens</t>
        </is>
      </c>
      <c r="H3476" s="7" t="inlineStr">
        <is>
          <t>Consumer</t>
        </is>
      </c>
      <c r="I3476" s="7" t="n">
        <v>3</v>
      </c>
      <c r="J3476" s="10" t="n">
        <v>11.86</v>
      </c>
      <c r="K3476" s="11" t="n">
        <v>0</v>
      </c>
      <c r="L3476" s="10">
        <f>I3476*J3476*(1-K3476)</f>
        <v/>
      </c>
      <c r="M3476" s="10" t="n">
        <v>16.2</v>
      </c>
      <c r="N3476" s="10">
        <f>L3476-M3476</f>
        <v/>
      </c>
    </row>
    <row r="3477">
      <c r="A3477" s="7" t="inlineStr">
        <is>
          <t>ORD-00121</t>
        </is>
      </c>
      <c r="B3477" s="8" t="n">
        <v>45638</v>
      </c>
      <c r="C3477" s="9" t="n">
        <v>45627</v>
      </c>
      <c r="D3477" s="7" t="n">
        <v>2024</v>
      </c>
      <c r="E3477" s="7" t="inlineStr">
        <is>
          <t>West</t>
        </is>
      </c>
      <c r="F3477" s="7" t="inlineStr">
        <is>
          <t>Office Supplies</t>
        </is>
      </c>
      <c r="G3477" s="7" t="inlineStr">
        <is>
          <t>Binder</t>
        </is>
      </c>
      <c r="H3477" s="7" t="inlineStr">
        <is>
          <t>Consumer</t>
        </is>
      </c>
      <c r="I3477" s="7" t="n">
        <v>6</v>
      </c>
      <c r="J3477" s="10" t="n">
        <v>7.86</v>
      </c>
      <c r="K3477" s="11" t="n">
        <v>0</v>
      </c>
      <c r="L3477" s="10">
        <f>I3477*J3477*(1-K3477)</f>
        <v/>
      </c>
      <c r="M3477" s="10" t="n">
        <v>19.2</v>
      </c>
      <c r="N3477" s="10">
        <f>L3477-M3477</f>
        <v/>
      </c>
    </row>
    <row r="3478">
      <c r="A3478" s="7" t="inlineStr">
        <is>
          <t>ORD-02449</t>
        </is>
      </c>
      <c r="B3478" s="8" t="n">
        <v>45638</v>
      </c>
      <c r="C3478" s="9" t="n">
        <v>45627</v>
      </c>
      <c r="D3478" s="7" t="n">
        <v>2024</v>
      </c>
      <c r="E3478" s="7" t="inlineStr">
        <is>
          <t>West</t>
        </is>
      </c>
      <c r="F3478" s="7" t="inlineStr">
        <is>
          <t>Office Supplies</t>
        </is>
      </c>
      <c r="G3478" s="7" t="inlineStr">
        <is>
          <t>Pens</t>
        </is>
      </c>
      <c r="H3478" s="7" t="inlineStr">
        <is>
          <t>Corporate</t>
        </is>
      </c>
      <c r="I3478" s="7" t="n">
        <v>8</v>
      </c>
      <c r="J3478" s="10" t="n">
        <v>11.86</v>
      </c>
      <c r="K3478" s="11" t="n">
        <v>0.05</v>
      </c>
      <c r="L3478" s="10">
        <f>I3478*J3478*(1-K3478)</f>
        <v/>
      </c>
      <c r="M3478" s="10" t="n">
        <v>43.2</v>
      </c>
      <c r="N3478" s="10">
        <f>L3478-M3478</f>
        <v/>
      </c>
    </row>
    <row r="3479">
      <c r="A3479" s="7" t="inlineStr">
        <is>
          <t>ORD-03363</t>
        </is>
      </c>
      <c r="B3479" s="8" t="n">
        <v>45639</v>
      </c>
      <c r="C3479" s="9" t="n">
        <v>45627</v>
      </c>
      <c r="D3479" s="7" t="n">
        <v>2024</v>
      </c>
      <c r="E3479" s="7" t="inlineStr">
        <is>
          <t>South</t>
        </is>
      </c>
      <c r="F3479" s="7" t="inlineStr">
        <is>
          <t>Office Supplies</t>
        </is>
      </c>
      <c r="G3479" s="7" t="inlineStr">
        <is>
          <t>Binder</t>
        </is>
      </c>
      <c r="H3479" s="7" t="inlineStr">
        <is>
          <t>Corporate</t>
        </is>
      </c>
      <c r="I3479" s="7" t="n">
        <v>6</v>
      </c>
      <c r="J3479" s="10" t="n">
        <v>8.34</v>
      </c>
      <c r="K3479" s="11" t="n">
        <v>0.05</v>
      </c>
      <c r="L3479" s="10">
        <f>I3479*J3479*(1-K3479)</f>
        <v/>
      </c>
      <c r="M3479" s="10" t="n">
        <v>19.2</v>
      </c>
      <c r="N3479" s="10">
        <f>L3479-M3479</f>
        <v/>
      </c>
    </row>
    <row r="3480">
      <c r="A3480" s="7" t="inlineStr">
        <is>
          <t>ORD-04784</t>
        </is>
      </c>
      <c r="B3480" s="8" t="n">
        <v>45639</v>
      </c>
      <c r="C3480" s="9" t="n">
        <v>45627</v>
      </c>
      <c r="D3480" s="7" t="n">
        <v>2024</v>
      </c>
      <c r="E3480" s="7" t="inlineStr">
        <is>
          <t>West</t>
        </is>
      </c>
      <c r="F3480" s="7" t="inlineStr">
        <is>
          <t>Technology</t>
        </is>
      </c>
      <c r="G3480" s="7" t="inlineStr">
        <is>
          <t>Laptop</t>
        </is>
      </c>
      <c r="H3480" s="7" t="inlineStr">
        <is>
          <t>Consumer</t>
        </is>
      </c>
      <c r="I3480" s="7" t="n">
        <v>3</v>
      </c>
      <c r="J3480" s="10" t="n">
        <v>860.64</v>
      </c>
      <c r="K3480" s="11" t="n">
        <v>0.05</v>
      </c>
      <c r="L3480" s="10">
        <f>I3480*J3480*(1-K3480)</f>
        <v/>
      </c>
      <c r="M3480" s="10" t="n">
        <v>2106</v>
      </c>
      <c r="N3480" s="10">
        <f>L3480-M3480</f>
        <v/>
      </c>
    </row>
    <row r="3481">
      <c r="A3481" s="7" t="inlineStr">
        <is>
          <t>ORD-02536</t>
        </is>
      </c>
      <c r="B3481" s="8" t="n">
        <v>45639</v>
      </c>
      <c r="C3481" s="9" t="n">
        <v>45627</v>
      </c>
      <c r="D3481" s="7" t="n">
        <v>2024</v>
      </c>
      <c r="E3481" s="7" t="inlineStr">
        <is>
          <t>West</t>
        </is>
      </c>
      <c r="F3481" s="7" t="inlineStr">
        <is>
          <t>Office Supplies</t>
        </is>
      </c>
      <c r="G3481" s="7" t="inlineStr">
        <is>
          <t>Paper</t>
        </is>
      </c>
      <c r="H3481" s="7" t="inlineStr">
        <is>
          <t>Corporate</t>
        </is>
      </c>
      <c r="I3481" s="7" t="n">
        <v>11</v>
      </c>
      <c r="J3481" s="10" t="n">
        <v>23.99</v>
      </c>
      <c r="K3481" s="11" t="n">
        <v>0</v>
      </c>
      <c r="L3481" s="10">
        <f>I3481*J3481*(1-K3481)</f>
        <v/>
      </c>
      <c r="M3481" s="10" t="n">
        <v>137.5</v>
      </c>
      <c r="N3481" s="10">
        <f>L3481-M3481</f>
        <v/>
      </c>
    </row>
    <row r="3482">
      <c r="A3482" s="7" t="inlineStr">
        <is>
          <t>ORD-04874</t>
        </is>
      </c>
      <c r="B3482" s="8" t="n">
        <v>45639</v>
      </c>
      <c r="C3482" s="9" t="n">
        <v>45627</v>
      </c>
      <c r="D3482" s="7" t="n">
        <v>2024</v>
      </c>
      <c r="E3482" s="7" t="inlineStr">
        <is>
          <t>West</t>
        </is>
      </c>
      <c r="F3482" s="7" t="inlineStr">
        <is>
          <t>Office Supplies</t>
        </is>
      </c>
      <c r="G3482" s="7" t="inlineStr">
        <is>
          <t>Pens</t>
        </is>
      </c>
      <c r="H3482" s="7" t="inlineStr">
        <is>
          <t>Home Office</t>
        </is>
      </c>
      <c r="I3482" s="7" t="n">
        <v>2</v>
      </c>
      <c r="J3482" s="10" t="n">
        <v>11.8</v>
      </c>
      <c r="K3482" s="11" t="n">
        <v>0</v>
      </c>
      <c r="L3482" s="10">
        <f>I3482*J3482*(1-K3482)</f>
        <v/>
      </c>
      <c r="M3482" s="10" t="n">
        <v>10.8</v>
      </c>
      <c r="N3482" s="10">
        <f>L3482-M3482</f>
        <v/>
      </c>
    </row>
    <row r="3483">
      <c r="A3483" s="7" t="inlineStr">
        <is>
          <t>ORD-05593</t>
        </is>
      </c>
      <c r="B3483" s="8" t="n">
        <v>45639</v>
      </c>
      <c r="C3483" s="9" t="n">
        <v>45627</v>
      </c>
      <c r="D3483" s="7" t="n">
        <v>2024</v>
      </c>
      <c r="E3483" s="7" t="inlineStr">
        <is>
          <t>North</t>
        </is>
      </c>
      <c r="F3483" s="7" t="inlineStr">
        <is>
          <t>Technology</t>
        </is>
      </c>
      <c r="G3483" s="7" t="inlineStr">
        <is>
          <t>Laptop</t>
        </is>
      </c>
      <c r="H3483" s="7" t="inlineStr">
        <is>
          <t>Consumer</t>
        </is>
      </c>
      <c r="I3483" s="7" t="n">
        <v>2</v>
      </c>
      <c r="J3483" s="10" t="n">
        <v>879.7</v>
      </c>
      <c r="K3483" s="11" t="n">
        <v>0.1</v>
      </c>
      <c r="L3483" s="10">
        <f>I3483*J3483*(1-K3483)</f>
        <v/>
      </c>
      <c r="M3483" s="10" t="n">
        <v>1404</v>
      </c>
      <c r="N3483" s="10">
        <f>L3483-M3483</f>
        <v/>
      </c>
    </row>
    <row r="3484">
      <c r="A3484" s="7" t="inlineStr">
        <is>
          <t>ORD-02450</t>
        </is>
      </c>
      <c r="B3484" s="8" t="n">
        <v>45639</v>
      </c>
      <c r="C3484" s="9" t="n">
        <v>45627</v>
      </c>
      <c r="D3484" s="7" t="n">
        <v>2024</v>
      </c>
      <c r="E3484" s="7" t="inlineStr">
        <is>
          <t>South</t>
        </is>
      </c>
      <c r="F3484" s="7" t="inlineStr">
        <is>
          <t>Furniture</t>
        </is>
      </c>
      <c r="G3484" s="7" t="inlineStr">
        <is>
          <t>Desk</t>
        </is>
      </c>
      <c r="H3484" s="7" t="inlineStr">
        <is>
          <t>Corporate</t>
        </is>
      </c>
      <c r="I3484" s="7" t="n">
        <v>4</v>
      </c>
      <c r="J3484" s="10" t="n">
        <v>458.02</v>
      </c>
      <c r="K3484" s="11" t="n">
        <v>0.3</v>
      </c>
      <c r="L3484" s="10">
        <f>I3484*J3484*(1-K3484)</f>
        <v/>
      </c>
      <c r="M3484" s="10" t="n">
        <v>1530</v>
      </c>
      <c r="N3484" s="10">
        <f>L3484-M3484</f>
        <v/>
      </c>
    </row>
    <row r="3485">
      <c r="A3485" s="7" t="inlineStr">
        <is>
          <t>ORD-05262</t>
        </is>
      </c>
      <c r="B3485" s="8" t="n">
        <v>45639</v>
      </c>
      <c r="C3485" s="9" t="n">
        <v>45627</v>
      </c>
      <c r="D3485" s="7" t="n">
        <v>2024</v>
      </c>
      <c r="E3485" s="7" t="inlineStr">
        <is>
          <t>North</t>
        </is>
      </c>
      <c r="F3485" s="7" t="inlineStr">
        <is>
          <t>Office Supplies</t>
        </is>
      </c>
      <c r="G3485" s="7" t="inlineStr">
        <is>
          <t>Binder</t>
        </is>
      </c>
      <c r="H3485" s="7" t="inlineStr">
        <is>
          <t>Consumer</t>
        </is>
      </c>
      <c r="I3485" s="7" t="n">
        <v>4</v>
      </c>
      <c r="J3485" s="10" t="n">
        <v>8.01</v>
      </c>
      <c r="K3485" s="11" t="n">
        <v>0.1</v>
      </c>
      <c r="L3485" s="10">
        <f>I3485*J3485*(1-K3485)</f>
        <v/>
      </c>
      <c r="M3485" s="10" t="n">
        <v>12.8</v>
      </c>
      <c r="N3485" s="10">
        <f>L3485-M3485</f>
        <v/>
      </c>
    </row>
    <row r="3486">
      <c r="A3486" s="7" t="inlineStr">
        <is>
          <t>ORD-00814</t>
        </is>
      </c>
      <c r="B3486" s="8" t="n">
        <v>45639</v>
      </c>
      <c r="C3486" s="9" t="n">
        <v>45627</v>
      </c>
      <c r="D3486" s="7" t="n">
        <v>2024</v>
      </c>
      <c r="E3486" s="7" t="inlineStr">
        <is>
          <t>West</t>
        </is>
      </c>
      <c r="F3486" s="7" t="inlineStr">
        <is>
          <t>Technology</t>
        </is>
      </c>
      <c r="G3486" s="7" t="inlineStr">
        <is>
          <t>Smartphone</t>
        </is>
      </c>
      <c r="H3486" s="7" t="inlineStr">
        <is>
          <t>Consumer</t>
        </is>
      </c>
      <c r="I3486" s="7" t="n">
        <v>1</v>
      </c>
      <c r="J3486" s="10" t="n">
        <v>570.72</v>
      </c>
      <c r="K3486" s="11" t="n">
        <v>0.05</v>
      </c>
      <c r="L3486" s="10">
        <f>I3486*J3486*(1-K3486)</f>
        <v/>
      </c>
      <c r="M3486" s="10" t="n">
        <v>450</v>
      </c>
      <c r="N3486" s="10">
        <f>L3486-M3486</f>
        <v/>
      </c>
    </row>
    <row r="3487">
      <c r="A3487" s="7" t="inlineStr">
        <is>
          <t>ORD-01274</t>
        </is>
      </c>
      <c r="B3487" s="8" t="n">
        <v>45639</v>
      </c>
      <c r="C3487" s="9" t="n">
        <v>45627</v>
      </c>
      <c r="D3487" s="7" t="n">
        <v>2024</v>
      </c>
      <c r="E3487" s="7" t="inlineStr">
        <is>
          <t>West</t>
        </is>
      </c>
      <c r="F3487" s="7" t="inlineStr">
        <is>
          <t>Technology</t>
        </is>
      </c>
      <c r="G3487" s="7" t="inlineStr">
        <is>
          <t>Keyboard</t>
        </is>
      </c>
      <c r="H3487" s="7" t="inlineStr">
        <is>
          <t>Consumer</t>
        </is>
      </c>
      <c r="I3487" s="7" t="n">
        <v>2</v>
      </c>
      <c r="J3487" s="10" t="n">
        <v>46.68</v>
      </c>
      <c r="K3487" s="11" t="n">
        <v>0.1</v>
      </c>
      <c r="L3487" s="10">
        <f>I3487*J3487*(1-K3487)</f>
        <v/>
      </c>
      <c r="M3487" s="10" t="n">
        <v>49.5</v>
      </c>
      <c r="N3487" s="10">
        <f>L3487-M3487</f>
        <v/>
      </c>
    </row>
    <row r="3488">
      <c r="A3488" s="7" t="inlineStr">
        <is>
          <t>ORD-00559</t>
        </is>
      </c>
      <c r="B3488" s="8" t="n">
        <v>45640</v>
      </c>
      <c r="C3488" s="9" t="n">
        <v>45627</v>
      </c>
      <c r="D3488" s="7" t="n">
        <v>2024</v>
      </c>
      <c r="E3488" s="7" t="inlineStr">
        <is>
          <t>North</t>
        </is>
      </c>
      <c r="F3488" s="7" t="inlineStr">
        <is>
          <t>Furniture</t>
        </is>
      </c>
      <c r="G3488" s="7" t="inlineStr">
        <is>
          <t>Office Chair</t>
        </is>
      </c>
      <c r="H3488" s="7" t="inlineStr">
        <is>
          <t>Corporate</t>
        </is>
      </c>
      <c r="I3488" s="7" t="n">
        <v>3</v>
      </c>
      <c r="J3488" s="10" t="n">
        <v>218.93</v>
      </c>
      <c r="K3488" s="11" t="n">
        <v>0.2</v>
      </c>
      <c r="L3488" s="10">
        <f>I3488*J3488*(1-K3488)</f>
        <v/>
      </c>
      <c r="M3488" s="10" t="n">
        <v>541.2</v>
      </c>
      <c r="N3488" s="10">
        <f>L3488-M3488</f>
        <v/>
      </c>
    </row>
    <row r="3489">
      <c r="A3489" s="7" t="inlineStr">
        <is>
          <t>ORD-04064</t>
        </is>
      </c>
      <c r="B3489" s="8" t="n">
        <v>45640</v>
      </c>
      <c r="C3489" s="9" t="n">
        <v>45627</v>
      </c>
      <c r="D3489" s="7" t="n">
        <v>2024</v>
      </c>
      <c r="E3489" s="7" t="inlineStr">
        <is>
          <t>West</t>
        </is>
      </c>
      <c r="F3489" s="7" t="inlineStr">
        <is>
          <t>Technology</t>
        </is>
      </c>
      <c r="G3489" s="7" t="inlineStr">
        <is>
          <t>Headphones</t>
        </is>
      </c>
      <c r="H3489" s="7" t="inlineStr">
        <is>
          <t>Consumer</t>
        </is>
      </c>
      <c r="I3489" s="7" t="n">
        <v>1</v>
      </c>
      <c r="J3489" s="10" t="n">
        <v>117.53</v>
      </c>
      <c r="K3489" s="11" t="n">
        <v>0</v>
      </c>
      <c r="L3489" s="10">
        <f>I3489*J3489*(1-K3489)</f>
        <v/>
      </c>
      <c r="M3489" s="10" t="n">
        <v>72</v>
      </c>
      <c r="N3489" s="10">
        <f>L3489-M3489</f>
        <v/>
      </c>
    </row>
    <row r="3490">
      <c r="A3490" s="7" t="inlineStr">
        <is>
          <t>ORD-03932</t>
        </is>
      </c>
      <c r="B3490" s="8" t="n">
        <v>45640</v>
      </c>
      <c r="C3490" s="9" t="n">
        <v>45627</v>
      </c>
      <c r="D3490" s="7" t="n">
        <v>2024</v>
      </c>
      <c r="E3490" s="7" t="inlineStr">
        <is>
          <t>South</t>
        </is>
      </c>
      <c r="F3490" s="7" t="inlineStr">
        <is>
          <t>Office Supplies</t>
        </is>
      </c>
      <c r="G3490" s="7" t="inlineStr">
        <is>
          <t>Paper</t>
        </is>
      </c>
      <c r="H3490" s="7" t="inlineStr">
        <is>
          <t>Consumer</t>
        </is>
      </c>
      <c r="I3490" s="7" t="n">
        <v>14</v>
      </c>
      <c r="J3490" s="10" t="n">
        <v>24.97</v>
      </c>
      <c r="K3490" s="11" t="n">
        <v>0.05</v>
      </c>
      <c r="L3490" s="10">
        <f>I3490*J3490*(1-K3490)</f>
        <v/>
      </c>
      <c r="M3490" s="10" t="n">
        <v>175</v>
      </c>
      <c r="N3490" s="10">
        <f>L3490-M3490</f>
        <v/>
      </c>
    </row>
    <row r="3491">
      <c r="A3491" s="7" t="inlineStr">
        <is>
          <t>ORD-02433</t>
        </is>
      </c>
      <c r="B3491" s="8" t="n">
        <v>45640</v>
      </c>
      <c r="C3491" s="9" t="n">
        <v>45627</v>
      </c>
      <c r="D3491" s="7" t="n">
        <v>2024</v>
      </c>
      <c r="E3491" s="7" t="inlineStr">
        <is>
          <t>North</t>
        </is>
      </c>
      <c r="F3491" s="7" t="inlineStr">
        <is>
          <t>Office Supplies</t>
        </is>
      </c>
      <c r="G3491" s="7" t="inlineStr">
        <is>
          <t>Binder</t>
        </is>
      </c>
      <c r="H3491" s="7" t="inlineStr">
        <is>
          <t>Home Office</t>
        </is>
      </c>
      <c r="I3491" s="7" t="n">
        <v>3</v>
      </c>
      <c r="J3491" s="10" t="n">
        <v>7.86</v>
      </c>
      <c r="K3491" s="11" t="n">
        <v>0.2</v>
      </c>
      <c r="L3491" s="10">
        <f>I3491*J3491*(1-K3491)</f>
        <v/>
      </c>
      <c r="M3491" s="10" t="n">
        <v>9.6</v>
      </c>
      <c r="N3491" s="10">
        <f>L3491-M3491</f>
        <v/>
      </c>
    </row>
    <row r="3492">
      <c r="A3492" s="7" t="inlineStr">
        <is>
          <t>ORD-01232</t>
        </is>
      </c>
      <c r="B3492" s="8" t="n">
        <v>45640</v>
      </c>
      <c r="C3492" s="9" t="n">
        <v>45627</v>
      </c>
      <c r="D3492" s="7" t="n">
        <v>2024</v>
      </c>
      <c r="E3492" s="7" t="inlineStr">
        <is>
          <t>West</t>
        </is>
      </c>
      <c r="F3492" s="7" t="inlineStr">
        <is>
          <t>Office Supplies</t>
        </is>
      </c>
      <c r="G3492" s="7" t="inlineStr">
        <is>
          <t>Pens</t>
        </is>
      </c>
      <c r="H3492" s="7" t="inlineStr">
        <is>
          <t>Corporate</t>
        </is>
      </c>
      <c r="I3492" s="7" t="n">
        <v>8</v>
      </c>
      <c r="J3492" s="10" t="n">
        <v>12.17</v>
      </c>
      <c r="K3492" s="11" t="n">
        <v>0.3</v>
      </c>
      <c r="L3492" s="10">
        <f>I3492*J3492*(1-K3492)</f>
        <v/>
      </c>
      <c r="M3492" s="10" t="n">
        <v>43.2</v>
      </c>
      <c r="N3492" s="10">
        <f>L3492-M3492</f>
        <v/>
      </c>
    </row>
    <row r="3493">
      <c r="A3493" s="7" t="inlineStr">
        <is>
          <t>ORD-01095</t>
        </is>
      </c>
      <c r="B3493" s="8" t="n">
        <v>45640</v>
      </c>
      <c r="C3493" s="9" t="n">
        <v>45627</v>
      </c>
      <c r="D3493" s="7" t="n">
        <v>2024</v>
      </c>
      <c r="E3493" s="7" t="inlineStr">
        <is>
          <t>South</t>
        </is>
      </c>
      <c r="F3493" s="7" t="inlineStr">
        <is>
          <t>Technology</t>
        </is>
      </c>
      <c r="G3493" s="7" t="inlineStr">
        <is>
          <t>Headphones</t>
        </is>
      </c>
      <c r="H3493" s="7" t="inlineStr">
        <is>
          <t>Consumer</t>
        </is>
      </c>
      <c r="I3493" s="7" t="n">
        <v>2</v>
      </c>
      <c r="J3493" s="10" t="n">
        <v>120.78</v>
      </c>
      <c r="K3493" s="11" t="n">
        <v>0.05</v>
      </c>
      <c r="L3493" s="10">
        <f>I3493*J3493*(1-K3493)</f>
        <v/>
      </c>
      <c r="M3493" s="10" t="n">
        <v>144</v>
      </c>
      <c r="N3493" s="10">
        <f>L3493-M3493</f>
        <v/>
      </c>
    </row>
    <row r="3494">
      <c r="A3494" s="7" t="inlineStr">
        <is>
          <t>ORD-02846</t>
        </is>
      </c>
      <c r="B3494" s="8" t="n">
        <v>45641</v>
      </c>
      <c r="C3494" s="9" t="n">
        <v>45627</v>
      </c>
      <c r="D3494" s="7" t="n">
        <v>2024</v>
      </c>
      <c r="E3494" s="7" t="inlineStr">
        <is>
          <t>East</t>
        </is>
      </c>
      <c r="F3494" s="7" t="inlineStr">
        <is>
          <t>Office Supplies</t>
        </is>
      </c>
      <c r="G3494" s="7" t="inlineStr">
        <is>
          <t>Binder</t>
        </is>
      </c>
      <c r="H3494" s="7" t="inlineStr">
        <is>
          <t>Consumer</t>
        </is>
      </c>
      <c r="I3494" s="7" t="n">
        <v>9</v>
      </c>
      <c r="J3494" s="10" t="n">
        <v>8.279999999999999</v>
      </c>
      <c r="K3494" s="11" t="n">
        <v>0.1</v>
      </c>
      <c r="L3494" s="10">
        <f>I3494*J3494*(1-K3494)</f>
        <v/>
      </c>
      <c r="M3494" s="10" t="n">
        <v>28.8</v>
      </c>
      <c r="N3494" s="10">
        <f>L3494-M3494</f>
        <v/>
      </c>
    </row>
    <row r="3495">
      <c r="A3495" s="7" t="inlineStr">
        <is>
          <t>ORD-00130</t>
        </is>
      </c>
      <c r="B3495" s="8" t="n">
        <v>45641</v>
      </c>
      <c r="C3495" s="9" t="n">
        <v>45627</v>
      </c>
      <c r="D3495" s="7" t="n">
        <v>2024</v>
      </c>
      <c r="E3495" s="7" t="inlineStr">
        <is>
          <t>West</t>
        </is>
      </c>
      <c r="F3495" s="7" t="inlineStr">
        <is>
          <t>Office Supplies</t>
        </is>
      </c>
      <c r="G3495" s="7" t="inlineStr">
        <is>
          <t>Paper</t>
        </is>
      </c>
      <c r="H3495" s="7" t="inlineStr">
        <is>
          <t>Home Office</t>
        </is>
      </c>
      <c r="I3495" s="7" t="n">
        <v>11</v>
      </c>
      <c r="J3495" s="10" t="n">
        <v>25.06</v>
      </c>
      <c r="K3495" s="11" t="n">
        <v>0</v>
      </c>
      <c r="L3495" s="10">
        <f>I3495*J3495*(1-K3495)</f>
        <v/>
      </c>
      <c r="M3495" s="10" t="n">
        <v>137.5</v>
      </c>
      <c r="N3495" s="10">
        <f>L3495-M3495</f>
        <v/>
      </c>
    </row>
    <row r="3496">
      <c r="A3496" s="7" t="inlineStr">
        <is>
          <t>ORD-00578</t>
        </is>
      </c>
      <c r="B3496" s="8" t="n">
        <v>45641</v>
      </c>
      <c r="C3496" s="9" t="n">
        <v>45627</v>
      </c>
      <c r="D3496" s="7" t="n">
        <v>2024</v>
      </c>
      <c r="E3496" s="7" t="inlineStr">
        <is>
          <t>South</t>
        </is>
      </c>
      <c r="F3496" s="7" t="inlineStr">
        <is>
          <t>Technology</t>
        </is>
      </c>
      <c r="G3496" s="7" t="inlineStr">
        <is>
          <t>Smartphone</t>
        </is>
      </c>
      <c r="H3496" s="7" t="inlineStr">
        <is>
          <t>Home Office</t>
        </is>
      </c>
      <c r="I3496" s="7" t="n">
        <v>3</v>
      </c>
      <c r="J3496" s="10" t="n">
        <v>595.28</v>
      </c>
      <c r="K3496" s="11" t="n">
        <v>0</v>
      </c>
      <c r="L3496" s="10">
        <f>I3496*J3496*(1-K3496)</f>
        <v/>
      </c>
      <c r="M3496" s="10" t="n">
        <v>1350</v>
      </c>
      <c r="N3496" s="10">
        <f>L3496-M3496</f>
        <v/>
      </c>
    </row>
    <row r="3497">
      <c r="A3497" s="7" t="inlineStr">
        <is>
          <t>ORD-02206</t>
        </is>
      </c>
      <c r="B3497" s="8" t="n">
        <v>45641</v>
      </c>
      <c r="C3497" s="9" t="n">
        <v>45627</v>
      </c>
      <c r="D3497" s="7" t="n">
        <v>2024</v>
      </c>
      <c r="E3497" s="7" t="inlineStr">
        <is>
          <t>East</t>
        </is>
      </c>
      <c r="F3497" s="7" t="inlineStr">
        <is>
          <t>Office Supplies</t>
        </is>
      </c>
      <c r="G3497" s="7" t="inlineStr">
        <is>
          <t>Pens</t>
        </is>
      </c>
      <c r="H3497" s="7" t="inlineStr">
        <is>
          <t>Consumer</t>
        </is>
      </c>
      <c r="I3497" s="7" t="n">
        <v>3</v>
      </c>
      <c r="J3497" s="10" t="n">
        <v>11.56</v>
      </c>
      <c r="K3497" s="11" t="n">
        <v>0</v>
      </c>
      <c r="L3497" s="10">
        <f>I3497*J3497*(1-K3497)</f>
        <v/>
      </c>
      <c r="M3497" s="10" t="n">
        <v>16.2</v>
      </c>
      <c r="N3497" s="10">
        <f>L3497-M3497</f>
        <v/>
      </c>
    </row>
    <row r="3498">
      <c r="A3498" s="7" t="inlineStr">
        <is>
          <t>ORD-02928</t>
        </is>
      </c>
      <c r="B3498" s="8" t="n">
        <v>45641</v>
      </c>
      <c r="C3498" s="9" t="n">
        <v>45627</v>
      </c>
      <c r="D3498" s="7" t="n">
        <v>2024</v>
      </c>
      <c r="E3498" s="7" t="inlineStr">
        <is>
          <t>North</t>
        </is>
      </c>
      <c r="F3498" s="7" t="inlineStr">
        <is>
          <t>Office Supplies</t>
        </is>
      </c>
      <c r="G3498" s="7" t="inlineStr">
        <is>
          <t>Paper</t>
        </is>
      </c>
      <c r="H3498" s="7" t="inlineStr">
        <is>
          <t>Home Office</t>
        </is>
      </c>
      <c r="I3498" s="7" t="n">
        <v>15</v>
      </c>
      <c r="J3498" s="10" t="n">
        <v>25.46</v>
      </c>
      <c r="K3498" s="11" t="n">
        <v>0.1</v>
      </c>
      <c r="L3498" s="10">
        <f>I3498*J3498*(1-K3498)</f>
        <v/>
      </c>
      <c r="M3498" s="10" t="n">
        <v>187.5</v>
      </c>
      <c r="N3498" s="10">
        <f>L3498-M3498</f>
        <v/>
      </c>
    </row>
    <row r="3499">
      <c r="A3499" s="7" t="inlineStr">
        <is>
          <t>ORD-02254</t>
        </is>
      </c>
      <c r="B3499" s="8" t="n">
        <v>45641</v>
      </c>
      <c r="C3499" s="9" t="n">
        <v>45627</v>
      </c>
      <c r="D3499" s="7" t="n">
        <v>2024</v>
      </c>
      <c r="E3499" s="7" t="inlineStr">
        <is>
          <t>North</t>
        </is>
      </c>
      <c r="F3499" s="7" t="inlineStr">
        <is>
          <t>Technology</t>
        </is>
      </c>
      <c r="G3499" s="7" t="inlineStr">
        <is>
          <t>Headphones</t>
        </is>
      </c>
      <c r="H3499" s="7" t="inlineStr">
        <is>
          <t>Consumer</t>
        </is>
      </c>
      <c r="I3499" s="7" t="n">
        <v>1</v>
      </c>
      <c r="J3499" s="10" t="n">
        <v>116.81</v>
      </c>
      <c r="K3499" s="11" t="n">
        <v>0.2</v>
      </c>
      <c r="L3499" s="10">
        <f>I3499*J3499*(1-K3499)</f>
        <v/>
      </c>
      <c r="M3499" s="10" t="n">
        <v>72</v>
      </c>
      <c r="N3499" s="10">
        <f>L3499-M3499</f>
        <v/>
      </c>
    </row>
    <row r="3500">
      <c r="A3500" s="7" t="inlineStr">
        <is>
          <t>ORD-03491</t>
        </is>
      </c>
      <c r="B3500" s="8" t="n">
        <v>45641</v>
      </c>
      <c r="C3500" s="9" t="n">
        <v>45627</v>
      </c>
      <c r="D3500" s="7" t="n">
        <v>2024</v>
      </c>
      <c r="E3500" s="7" t="inlineStr">
        <is>
          <t>East</t>
        </is>
      </c>
      <c r="F3500" s="7" t="inlineStr">
        <is>
          <t>Technology</t>
        </is>
      </c>
      <c r="G3500" s="7" t="inlineStr">
        <is>
          <t>Headphones</t>
        </is>
      </c>
      <c r="H3500" s="7" t="inlineStr">
        <is>
          <t>Corporate</t>
        </is>
      </c>
      <c r="I3500" s="7" t="n">
        <v>1</v>
      </c>
      <c r="J3500" s="10" t="n">
        <v>119.81</v>
      </c>
      <c r="K3500" s="11" t="n">
        <v>0.05</v>
      </c>
      <c r="L3500" s="10">
        <f>I3500*J3500*(1-K3500)</f>
        <v/>
      </c>
      <c r="M3500" s="10" t="n">
        <v>72</v>
      </c>
      <c r="N3500" s="10">
        <f>L3500-M3500</f>
        <v/>
      </c>
    </row>
    <row r="3501">
      <c r="A3501" s="7" t="inlineStr">
        <is>
          <t>ORD-00393</t>
        </is>
      </c>
      <c r="B3501" s="8" t="n">
        <v>45641</v>
      </c>
      <c r="C3501" s="9" t="n">
        <v>45627</v>
      </c>
      <c r="D3501" s="7" t="n">
        <v>2024</v>
      </c>
      <c r="E3501" s="7" t="inlineStr">
        <is>
          <t>West</t>
        </is>
      </c>
      <c r="F3501" s="7" t="inlineStr">
        <is>
          <t>Technology</t>
        </is>
      </c>
      <c r="G3501" s="7" t="inlineStr">
        <is>
          <t>Keyboard</t>
        </is>
      </c>
      <c r="H3501" s="7" t="inlineStr">
        <is>
          <t>Corporate</t>
        </is>
      </c>
      <c r="I3501" s="7" t="n">
        <v>2</v>
      </c>
      <c r="J3501" s="10" t="n">
        <v>44.61</v>
      </c>
      <c r="K3501" s="11" t="n">
        <v>0</v>
      </c>
      <c r="L3501" s="10">
        <f>I3501*J3501*(1-K3501)</f>
        <v/>
      </c>
      <c r="M3501" s="10" t="n">
        <v>49.5</v>
      </c>
      <c r="N3501" s="10">
        <f>L3501-M3501</f>
        <v/>
      </c>
    </row>
    <row r="3502">
      <c r="A3502" s="7" t="inlineStr">
        <is>
          <t>ORD-02437</t>
        </is>
      </c>
      <c r="B3502" s="8" t="n">
        <v>45641</v>
      </c>
      <c r="C3502" s="9" t="n">
        <v>45627</v>
      </c>
      <c r="D3502" s="7" t="n">
        <v>2024</v>
      </c>
      <c r="E3502" s="7" t="inlineStr">
        <is>
          <t>East</t>
        </is>
      </c>
      <c r="F3502" s="7" t="inlineStr">
        <is>
          <t>Office Supplies</t>
        </is>
      </c>
      <c r="G3502" s="7" t="inlineStr">
        <is>
          <t>Printer Ink</t>
        </is>
      </c>
      <c r="H3502" s="7" t="inlineStr">
        <is>
          <t>Consumer</t>
        </is>
      </c>
      <c r="I3502" s="7" t="n">
        <v>10</v>
      </c>
      <c r="J3502" s="10" t="n">
        <v>60.59</v>
      </c>
      <c r="K3502" s="11" t="n">
        <v>0.05</v>
      </c>
      <c r="L3502" s="10">
        <f>I3502*J3502*(1-K3502)</f>
        <v/>
      </c>
      <c r="M3502" s="10" t="n">
        <v>360</v>
      </c>
      <c r="N3502" s="10">
        <f>L3502-M3502</f>
        <v/>
      </c>
    </row>
    <row r="3503">
      <c r="A3503" s="7" t="inlineStr">
        <is>
          <t>ORD-00483</t>
        </is>
      </c>
      <c r="B3503" s="8" t="n">
        <v>45641</v>
      </c>
      <c r="C3503" s="9" t="n">
        <v>45627</v>
      </c>
      <c r="D3503" s="7" t="n">
        <v>2024</v>
      </c>
      <c r="E3503" s="7" t="inlineStr">
        <is>
          <t>North</t>
        </is>
      </c>
      <c r="F3503" s="7" t="inlineStr">
        <is>
          <t>Office Supplies</t>
        </is>
      </c>
      <c r="G3503" s="7" t="inlineStr">
        <is>
          <t>Paper</t>
        </is>
      </c>
      <c r="H3503" s="7" t="inlineStr">
        <is>
          <t>Consumer</t>
        </is>
      </c>
      <c r="I3503" s="7" t="n">
        <v>9</v>
      </c>
      <c r="J3503" s="10" t="n">
        <v>24.51</v>
      </c>
      <c r="K3503" s="11" t="n">
        <v>0</v>
      </c>
      <c r="L3503" s="10">
        <f>I3503*J3503*(1-K3503)</f>
        <v/>
      </c>
      <c r="M3503" s="10" t="n">
        <v>112.5</v>
      </c>
      <c r="N3503" s="10">
        <f>L3503-M3503</f>
        <v/>
      </c>
    </row>
    <row r="3504">
      <c r="A3504" s="7" t="inlineStr">
        <is>
          <t>ORD-04117</t>
        </is>
      </c>
      <c r="B3504" s="8" t="n">
        <v>45642</v>
      </c>
      <c r="C3504" s="9" t="n">
        <v>45627</v>
      </c>
      <c r="D3504" s="7" t="n">
        <v>2024</v>
      </c>
      <c r="E3504" s="7" t="inlineStr">
        <is>
          <t>North</t>
        </is>
      </c>
      <c r="F3504" s="7" t="inlineStr">
        <is>
          <t>Office Supplies</t>
        </is>
      </c>
      <c r="G3504" s="7" t="inlineStr">
        <is>
          <t>Paper</t>
        </is>
      </c>
      <c r="H3504" s="7" t="inlineStr">
        <is>
          <t>Consumer</t>
        </is>
      </c>
      <c r="I3504" s="7" t="n">
        <v>8</v>
      </c>
      <c r="J3504" s="10" t="n">
        <v>25.3</v>
      </c>
      <c r="K3504" s="11" t="n">
        <v>0.05</v>
      </c>
      <c r="L3504" s="10">
        <f>I3504*J3504*(1-K3504)</f>
        <v/>
      </c>
      <c r="M3504" s="10" t="n">
        <v>100</v>
      </c>
      <c r="N3504" s="10">
        <f>L3504-M3504</f>
        <v/>
      </c>
    </row>
    <row r="3505">
      <c r="A3505" s="7" t="inlineStr">
        <is>
          <t>ORD-02926</t>
        </is>
      </c>
      <c r="B3505" s="8" t="n">
        <v>45642</v>
      </c>
      <c r="C3505" s="9" t="n">
        <v>45627</v>
      </c>
      <c r="D3505" s="7" t="n">
        <v>2024</v>
      </c>
      <c r="E3505" s="7" t="inlineStr">
        <is>
          <t>East</t>
        </is>
      </c>
      <c r="F3505" s="7" t="inlineStr">
        <is>
          <t>Office Supplies</t>
        </is>
      </c>
      <c r="G3505" s="7" t="inlineStr">
        <is>
          <t>Printer Ink</t>
        </is>
      </c>
      <c r="H3505" s="7" t="inlineStr">
        <is>
          <t>Corporate</t>
        </is>
      </c>
      <c r="I3505" s="7" t="n">
        <v>4</v>
      </c>
      <c r="J3505" s="10" t="n">
        <v>59.1</v>
      </c>
      <c r="K3505" s="11" t="n">
        <v>0.05</v>
      </c>
      <c r="L3505" s="10">
        <f>I3505*J3505*(1-K3505)</f>
        <v/>
      </c>
      <c r="M3505" s="10" t="n">
        <v>144</v>
      </c>
      <c r="N3505" s="10">
        <f>L3505-M3505</f>
        <v/>
      </c>
    </row>
    <row r="3506">
      <c r="A3506" s="7" t="inlineStr">
        <is>
          <t>ORD-04511</t>
        </is>
      </c>
      <c r="B3506" s="8" t="n">
        <v>45642</v>
      </c>
      <c r="C3506" s="9" t="n">
        <v>45627</v>
      </c>
      <c r="D3506" s="7" t="n">
        <v>2024</v>
      </c>
      <c r="E3506" s="7" t="inlineStr">
        <is>
          <t>East</t>
        </is>
      </c>
      <c r="F3506" s="7" t="inlineStr">
        <is>
          <t>Office Supplies</t>
        </is>
      </c>
      <c r="G3506" s="7" t="inlineStr">
        <is>
          <t>Paper</t>
        </is>
      </c>
      <c r="H3506" s="7" t="inlineStr">
        <is>
          <t>Consumer</t>
        </is>
      </c>
      <c r="I3506" s="7" t="n">
        <v>5</v>
      </c>
      <c r="J3506" s="10" t="n">
        <v>25.84</v>
      </c>
      <c r="K3506" s="11" t="n">
        <v>0</v>
      </c>
      <c r="L3506" s="10">
        <f>I3506*J3506*(1-K3506)</f>
        <v/>
      </c>
      <c r="M3506" s="10" t="n">
        <v>62.5</v>
      </c>
      <c r="N3506" s="10">
        <f>L3506-M3506</f>
        <v/>
      </c>
    </row>
    <row r="3507">
      <c r="A3507" s="7" t="inlineStr">
        <is>
          <t>ORD-03635</t>
        </is>
      </c>
      <c r="B3507" s="8" t="n">
        <v>45642</v>
      </c>
      <c r="C3507" s="9" t="n">
        <v>45627</v>
      </c>
      <c r="D3507" s="7" t="n">
        <v>2024</v>
      </c>
      <c r="E3507" s="7" t="inlineStr">
        <is>
          <t>South</t>
        </is>
      </c>
      <c r="F3507" s="7" t="inlineStr">
        <is>
          <t>Furniture</t>
        </is>
      </c>
      <c r="G3507" s="7" t="inlineStr">
        <is>
          <t>Office Chair</t>
        </is>
      </c>
      <c r="H3507" s="7" t="inlineStr">
        <is>
          <t>Corporate</t>
        </is>
      </c>
      <c r="I3507" s="7" t="n">
        <v>2</v>
      </c>
      <c r="J3507" s="10" t="n">
        <v>211.08</v>
      </c>
      <c r="K3507" s="11" t="n">
        <v>0.1</v>
      </c>
      <c r="L3507" s="10">
        <f>I3507*J3507*(1-K3507)</f>
        <v/>
      </c>
      <c r="M3507" s="10" t="n">
        <v>360.8</v>
      </c>
      <c r="N3507" s="10">
        <f>L3507-M3507</f>
        <v/>
      </c>
    </row>
    <row r="3508">
      <c r="A3508" s="7" t="inlineStr">
        <is>
          <t>ORD-04298</t>
        </is>
      </c>
      <c r="B3508" s="8" t="n">
        <v>45642</v>
      </c>
      <c r="C3508" s="9" t="n">
        <v>45627</v>
      </c>
      <c r="D3508" s="7" t="n">
        <v>2024</v>
      </c>
      <c r="E3508" s="7" t="inlineStr">
        <is>
          <t>East</t>
        </is>
      </c>
      <c r="F3508" s="7" t="inlineStr">
        <is>
          <t>Office Supplies</t>
        </is>
      </c>
      <c r="G3508" s="7" t="inlineStr">
        <is>
          <t>Printer Ink</t>
        </is>
      </c>
      <c r="H3508" s="7" t="inlineStr">
        <is>
          <t>Home Office</t>
        </is>
      </c>
      <c r="I3508" s="7" t="n">
        <v>11</v>
      </c>
      <c r="J3508" s="10" t="n">
        <v>60.59</v>
      </c>
      <c r="K3508" s="11" t="n">
        <v>0.1</v>
      </c>
      <c r="L3508" s="10">
        <f>I3508*J3508*(1-K3508)</f>
        <v/>
      </c>
      <c r="M3508" s="10" t="n">
        <v>396</v>
      </c>
      <c r="N3508" s="10">
        <f>L3508-M3508</f>
        <v/>
      </c>
    </row>
    <row r="3509">
      <c r="A3509" s="7" t="inlineStr">
        <is>
          <t>ORD-01280</t>
        </is>
      </c>
      <c r="B3509" s="8" t="n">
        <v>45642</v>
      </c>
      <c r="C3509" s="9" t="n">
        <v>45627</v>
      </c>
      <c r="D3509" s="7" t="n">
        <v>2024</v>
      </c>
      <c r="E3509" s="7" t="inlineStr">
        <is>
          <t>South</t>
        </is>
      </c>
      <c r="F3509" s="7" t="inlineStr">
        <is>
          <t>Office Supplies</t>
        </is>
      </c>
      <c r="G3509" s="7" t="inlineStr">
        <is>
          <t>Paper</t>
        </is>
      </c>
      <c r="H3509" s="7" t="inlineStr">
        <is>
          <t>Corporate</t>
        </is>
      </c>
      <c r="I3509" s="7" t="n">
        <v>6</v>
      </c>
      <c r="J3509" s="10" t="n">
        <v>25.38</v>
      </c>
      <c r="K3509" s="11" t="n">
        <v>0.3</v>
      </c>
      <c r="L3509" s="10">
        <f>I3509*J3509*(1-K3509)</f>
        <v/>
      </c>
      <c r="M3509" s="10" t="n">
        <v>75</v>
      </c>
      <c r="N3509" s="10">
        <f>L3509-M3509</f>
        <v/>
      </c>
    </row>
    <row r="3510">
      <c r="A3510" s="7" t="inlineStr">
        <is>
          <t>ORD-05158</t>
        </is>
      </c>
      <c r="B3510" s="8" t="n">
        <v>45642</v>
      </c>
      <c r="C3510" s="9" t="n">
        <v>45627</v>
      </c>
      <c r="D3510" s="7" t="n">
        <v>2024</v>
      </c>
      <c r="E3510" s="7" t="inlineStr">
        <is>
          <t>North</t>
        </is>
      </c>
      <c r="F3510" s="7" t="inlineStr">
        <is>
          <t>Office Supplies</t>
        </is>
      </c>
      <c r="G3510" s="7" t="inlineStr">
        <is>
          <t>Paper</t>
        </is>
      </c>
      <c r="H3510" s="7" t="inlineStr">
        <is>
          <t>Home Office</t>
        </is>
      </c>
      <c r="I3510" s="7" t="n">
        <v>12</v>
      </c>
      <c r="J3510" s="10" t="n">
        <v>24.42</v>
      </c>
      <c r="K3510" s="11" t="n">
        <v>0</v>
      </c>
      <c r="L3510" s="10">
        <f>I3510*J3510*(1-K3510)</f>
        <v/>
      </c>
      <c r="M3510" s="10" t="n">
        <v>150</v>
      </c>
      <c r="N3510" s="10">
        <f>L3510-M3510</f>
        <v/>
      </c>
    </row>
    <row r="3511">
      <c r="A3511" s="7" t="inlineStr">
        <is>
          <t>ORD-05892</t>
        </is>
      </c>
      <c r="B3511" s="8" t="n">
        <v>45642</v>
      </c>
      <c r="C3511" s="9" t="n">
        <v>45627</v>
      </c>
      <c r="D3511" s="7" t="n">
        <v>2024</v>
      </c>
      <c r="E3511" s="7" t="inlineStr">
        <is>
          <t>West</t>
        </is>
      </c>
      <c r="F3511" s="7" t="inlineStr">
        <is>
          <t>Technology</t>
        </is>
      </c>
      <c r="G3511" s="7" t="inlineStr">
        <is>
          <t>Headphones</t>
        </is>
      </c>
      <c r="H3511" s="7" t="inlineStr">
        <is>
          <t>Consumer</t>
        </is>
      </c>
      <c r="I3511" s="7" t="n">
        <v>3</v>
      </c>
      <c r="J3511" s="10" t="n">
        <v>116.07</v>
      </c>
      <c r="K3511" s="11" t="n">
        <v>0.2</v>
      </c>
      <c r="L3511" s="10">
        <f>I3511*J3511*(1-K3511)</f>
        <v/>
      </c>
      <c r="M3511" s="10" t="n">
        <v>216</v>
      </c>
      <c r="N3511" s="10">
        <f>L3511-M3511</f>
        <v/>
      </c>
    </row>
    <row r="3512">
      <c r="A3512" s="7" t="inlineStr">
        <is>
          <t>ORD-04368</t>
        </is>
      </c>
      <c r="B3512" s="8" t="n">
        <v>45642</v>
      </c>
      <c r="C3512" s="9" t="n">
        <v>45627</v>
      </c>
      <c r="D3512" s="7" t="n">
        <v>2024</v>
      </c>
      <c r="E3512" s="7" t="inlineStr">
        <is>
          <t>East</t>
        </is>
      </c>
      <c r="F3512" s="7" t="inlineStr">
        <is>
          <t>Technology</t>
        </is>
      </c>
      <c r="G3512" s="7" t="inlineStr">
        <is>
          <t>Smartphone</t>
        </is>
      </c>
      <c r="H3512" s="7" t="inlineStr">
        <is>
          <t>Corporate</t>
        </is>
      </c>
      <c r="I3512" s="7" t="n">
        <v>1</v>
      </c>
      <c r="J3512" s="10" t="n">
        <v>590.12</v>
      </c>
      <c r="K3512" s="11" t="n">
        <v>0</v>
      </c>
      <c r="L3512" s="10">
        <f>I3512*J3512*(1-K3512)</f>
        <v/>
      </c>
      <c r="M3512" s="10" t="n">
        <v>450</v>
      </c>
      <c r="N3512" s="10">
        <f>L3512-M3512</f>
        <v/>
      </c>
    </row>
    <row r="3513">
      <c r="A3513" s="7" t="inlineStr">
        <is>
          <t>ORD-00274</t>
        </is>
      </c>
      <c r="B3513" s="8" t="n">
        <v>45643</v>
      </c>
      <c r="C3513" s="9" t="n">
        <v>45627</v>
      </c>
      <c r="D3513" s="7" t="n">
        <v>2024</v>
      </c>
      <c r="E3513" s="7" t="inlineStr">
        <is>
          <t>West</t>
        </is>
      </c>
      <c r="F3513" s="7" t="inlineStr">
        <is>
          <t>Furniture</t>
        </is>
      </c>
      <c r="G3513" s="7" t="inlineStr">
        <is>
          <t>Bookcase</t>
        </is>
      </c>
      <c r="H3513" s="7" t="inlineStr">
        <is>
          <t>Consumer</t>
        </is>
      </c>
      <c r="I3513" s="7" t="n">
        <v>1</v>
      </c>
      <c r="J3513" s="10" t="n">
        <v>171.14</v>
      </c>
      <c r="K3513" s="11" t="n">
        <v>0</v>
      </c>
      <c r="L3513" s="10">
        <f>I3513*J3513*(1-K3513)</f>
        <v/>
      </c>
      <c r="M3513" s="10" t="n">
        <v>144</v>
      </c>
      <c r="N3513" s="10">
        <f>L3513-M3513</f>
        <v/>
      </c>
    </row>
    <row r="3514">
      <c r="A3514" s="7" t="inlineStr">
        <is>
          <t>ORD-00698</t>
        </is>
      </c>
      <c r="B3514" s="8" t="n">
        <v>45643</v>
      </c>
      <c r="C3514" s="9" t="n">
        <v>45627</v>
      </c>
      <c r="D3514" s="7" t="n">
        <v>2024</v>
      </c>
      <c r="E3514" s="7" t="inlineStr">
        <is>
          <t>West</t>
        </is>
      </c>
      <c r="F3514" s="7" t="inlineStr">
        <is>
          <t>Office Supplies</t>
        </is>
      </c>
      <c r="G3514" s="7" t="inlineStr">
        <is>
          <t>Binder</t>
        </is>
      </c>
      <c r="H3514" s="7" t="inlineStr">
        <is>
          <t>Corporate</t>
        </is>
      </c>
      <c r="I3514" s="7" t="n">
        <v>4</v>
      </c>
      <c r="J3514" s="10" t="n">
        <v>8.220000000000001</v>
      </c>
      <c r="K3514" s="11" t="n">
        <v>0</v>
      </c>
      <c r="L3514" s="10">
        <f>I3514*J3514*(1-K3514)</f>
        <v/>
      </c>
      <c r="M3514" s="10" t="n">
        <v>12.8</v>
      </c>
      <c r="N3514" s="10">
        <f>L3514-M3514</f>
        <v/>
      </c>
    </row>
    <row r="3515">
      <c r="A3515" s="7" t="inlineStr">
        <is>
          <t>ORD-03214</t>
        </is>
      </c>
      <c r="B3515" s="8" t="n">
        <v>45643</v>
      </c>
      <c r="C3515" s="9" t="n">
        <v>45627</v>
      </c>
      <c r="D3515" s="7" t="n">
        <v>2024</v>
      </c>
      <c r="E3515" s="7" t="inlineStr">
        <is>
          <t>West</t>
        </is>
      </c>
      <c r="F3515" s="7" t="inlineStr">
        <is>
          <t>Technology</t>
        </is>
      </c>
      <c r="G3515" s="7" t="inlineStr">
        <is>
          <t>Laptop</t>
        </is>
      </c>
      <c r="H3515" s="7" t="inlineStr">
        <is>
          <t>Corporate</t>
        </is>
      </c>
      <c r="I3515" s="7" t="n">
        <v>3</v>
      </c>
      <c r="J3515" s="10" t="n">
        <v>900.0700000000001</v>
      </c>
      <c r="K3515" s="11" t="n">
        <v>0.05</v>
      </c>
      <c r="L3515" s="10">
        <f>I3515*J3515*(1-K3515)</f>
        <v/>
      </c>
      <c r="M3515" s="10" t="n">
        <v>2106</v>
      </c>
      <c r="N3515" s="10">
        <f>L3515-M3515</f>
        <v/>
      </c>
    </row>
    <row r="3516">
      <c r="A3516" s="7" t="inlineStr">
        <is>
          <t>ORD-00773</t>
        </is>
      </c>
      <c r="B3516" s="8" t="n">
        <v>45643</v>
      </c>
      <c r="C3516" s="9" t="n">
        <v>45627</v>
      </c>
      <c r="D3516" s="7" t="n">
        <v>2024</v>
      </c>
      <c r="E3516" s="7" t="inlineStr">
        <is>
          <t>East</t>
        </is>
      </c>
      <c r="F3516" s="7" t="inlineStr">
        <is>
          <t>Technology</t>
        </is>
      </c>
      <c r="G3516" s="7" t="inlineStr">
        <is>
          <t>Keyboard</t>
        </is>
      </c>
      <c r="H3516" s="7" t="inlineStr">
        <is>
          <t>Corporate</t>
        </is>
      </c>
      <c r="I3516" s="7" t="n">
        <v>2</v>
      </c>
      <c r="J3516" s="10" t="n">
        <v>47.17</v>
      </c>
      <c r="K3516" s="11" t="n">
        <v>0</v>
      </c>
      <c r="L3516" s="10">
        <f>I3516*J3516*(1-K3516)</f>
        <v/>
      </c>
      <c r="M3516" s="10" t="n">
        <v>49.5</v>
      </c>
      <c r="N3516" s="10">
        <f>L3516-M3516</f>
        <v/>
      </c>
    </row>
    <row r="3517">
      <c r="A3517" s="7" t="inlineStr">
        <is>
          <t>ORD-04097</t>
        </is>
      </c>
      <c r="B3517" s="8" t="n">
        <v>45643</v>
      </c>
      <c r="C3517" s="9" t="n">
        <v>45627</v>
      </c>
      <c r="D3517" s="7" t="n">
        <v>2024</v>
      </c>
      <c r="E3517" s="7" t="inlineStr">
        <is>
          <t>West</t>
        </is>
      </c>
      <c r="F3517" s="7" t="inlineStr">
        <is>
          <t>Furniture</t>
        </is>
      </c>
      <c r="G3517" s="7" t="inlineStr">
        <is>
          <t>Office Chair</t>
        </is>
      </c>
      <c r="H3517" s="7" t="inlineStr">
        <is>
          <t>Consumer</t>
        </is>
      </c>
      <c r="I3517" s="7" t="n">
        <v>4</v>
      </c>
      <c r="J3517" s="10" t="n">
        <v>213.72</v>
      </c>
      <c r="K3517" s="11" t="n">
        <v>0</v>
      </c>
      <c r="L3517" s="10">
        <f>I3517*J3517*(1-K3517)</f>
        <v/>
      </c>
      <c r="M3517" s="10" t="n">
        <v>721.6</v>
      </c>
      <c r="N3517" s="10">
        <f>L3517-M3517</f>
        <v/>
      </c>
    </row>
    <row r="3518">
      <c r="A3518" s="7" t="inlineStr">
        <is>
          <t>ORD-04294</t>
        </is>
      </c>
      <c r="B3518" s="8" t="n">
        <v>45643</v>
      </c>
      <c r="C3518" s="9" t="n">
        <v>45627</v>
      </c>
      <c r="D3518" s="7" t="n">
        <v>2024</v>
      </c>
      <c r="E3518" s="7" t="inlineStr">
        <is>
          <t>East</t>
        </is>
      </c>
      <c r="F3518" s="7" t="inlineStr">
        <is>
          <t>Furniture</t>
        </is>
      </c>
      <c r="G3518" s="7" t="inlineStr">
        <is>
          <t>Bookcase</t>
        </is>
      </c>
      <c r="H3518" s="7" t="inlineStr">
        <is>
          <t>Corporate</t>
        </is>
      </c>
      <c r="I3518" s="7" t="n">
        <v>1</v>
      </c>
      <c r="J3518" s="10" t="n">
        <v>182.68</v>
      </c>
      <c r="K3518" s="11" t="n">
        <v>0.05</v>
      </c>
      <c r="L3518" s="10">
        <f>I3518*J3518*(1-K3518)</f>
        <v/>
      </c>
      <c r="M3518" s="10" t="n">
        <v>144</v>
      </c>
      <c r="N3518" s="10">
        <f>L3518-M3518</f>
        <v/>
      </c>
    </row>
    <row r="3519">
      <c r="A3519" s="7" t="inlineStr">
        <is>
          <t>ORD-00659</t>
        </is>
      </c>
      <c r="B3519" s="8" t="n">
        <v>45643</v>
      </c>
      <c r="C3519" s="9" t="n">
        <v>45627</v>
      </c>
      <c r="D3519" s="7" t="n">
        <v>2024</v>
      </c>
      <c r="E3519" s="7" t="inlineStr">
        <is>
          <t>South</t>
        </is>
      </c>
      <c r="F3519" s="7" t="inlineStr">
        <is>
          <t>Furniture</t>
        </is>
      </c>
      <c r="G3519" s="7" t="inlineStr">
        <is>
          <t>Desk</t>
        </is>
      </c>
      <c r="H3519" s="7" t="inlineStr">
        <is>
          <t>Home Office</t>
        </is>
      </c>
      <c r="I3519" s="7" t="n">
        <v>2</v>
      </c>
      <c r="J3519" s="10" t="n">
        <v>458.66</v>
      </c>
      <c r="K3519" s="11" t="n">
        <v>0.3</v>
      </c>
      <c r="L3519" s="10">
        <f>I3519*J3519*(1-K3519)</f>
        <v/>
      </c>
      <c r="M3519" s="10" t="n">
        <v>765</v>
      </c>
      <c r="N3519" s="10">
        <f>L3519-M3519</f>
        <v/>
      </c>
    </row>
    <row r="3520">
      <c r="A3520" s="7" t="inlineStr">
        <is>
          <t>ORD-00349</t>
        </is>
      </c>
      <c r="B3520" s="8" t="n">
        <v>45643</v>
      </c>
      <c r="C3520" s="9" t="n">
        <v>45627</v>
      </c>
      <c r="D3520" s="7" t="n">
        <v>2024</v>
      </c>
      <c r="E3520" s="7" t="inlineStr">
        <is>
          <t>East</t>
        </is>
      </c>
      <c r="F3520" s="7" t="inlineStr">
        <is>
          <t>Technology</t>
        </is>
      </c>
      <c r="G3520" s="7" t="inlineStr">
        <is>
          <t>Monitor</t>
        </is>
      </c>
      <c r="H3520" s="7" t="inlineStr">
        <is>
          <t>Home Office</t>
        </is>
      </c>
      <c r="I3520" s="7" t="n">
        <v>2</v>
      </c>
      <c r="J3520" s="10" t="n">
        <v>248.64</v>
      </c>
      <c r="K3520" s="11" t="n">
        <v>0.2</v>
      </c>
      <c r="L3520" s="10">
        <f>I3520*J3520*(1-K3520)</f>
        <v/>
      </c>
      <c r="M3520" s="10" t="n">
        <v>360</v>
      </c>
      <c r="N3520" s="10">
        <f>L3520-M3520</f>
        <v/>
      </c>
    </row>
    <row r="3521">
      <c r="A3521" s="7" t="inlineStr">
        <is>
          <t>ORD-03007</t>
        </is>
      </c>
      <c r="B3521" s="8" t="n">
        <v>45643</v>
      </c>
      <c r="C3521" s="9" t="n">
        <v>45627</v>
      </c>
      <c r="D3521" s="7" t="n">
        <v>2024</v>
      </c>
      <c r="E3521" s="7" t="inlineStr">
        <is>
          <t>West</t>
        </is>
      </c>
      <c r="F3521" s="7" t="inlineStr">
        <is>
          <t>Furniture</t>
        </is>
      </c>
      <c r="G3521" s="7" t="inlineStr">
        <is>
          <t>Office Chair</t>
        </is>
      </c>
      <c r="H3521" s="7" t="inlineStr">
        <is>
          <t>Consumer</t>
        </is>
      </c>
      <c r="I3521" s="7" t="n">
        <v>3</v>
      </c>
      <c r="J3521" s="10" t="n">
        <v>228.64</v>
      </c>
      <c r="K3521" s="11" t="n">
        <v>0</v>
      </c>
      <c r="L3521" s="10">
        <f>I3521*J3521*(1-K3521)</f>
        <v/>
      </c>
      <c r="M3521" s="10" t="n">
        <v>541.2</v>
      </c>
      <c r="N3521" s="10">
        <f>L3521-M3521</f>
        <v/>
      </c>
    </row>
    <row r="3522">
      <c r="A3522" s="7" t="inlineStr">
        <is>
          <t>ORD-05653</t>
        </is>
      </c>
      <c r="B3522" s="8" t="n">
        <v>45643</v>
      </c>
      <c r="C3522" s="9" t="n">
        <v>45627</v>
      </c>
      <c r="D3522" s="7" t="n">
        <v>2024</v>
      </c>
      <c r="E3522" s="7" t="inlineStr">
        <is>
          <t>East</t>
        </is>
      </c>
      <c r="F3522" s="7" t="inlineStr">
        <is>
          <t>Office Supplies</t>
        </is>
      </c>
      <c r="G3522" s="7" t="inlineStr">
        <is>
          <t>Printer Ink</t>
        </is>
      </c>
      <c r="H3522" s="7" t="inlineStr">
        <is>
          <t>Consumer</t>
        </is>
      </c>
      <c r="I3522" s="7" t="n">
        <v>14</v>
      </c>
      <c r="J3522" s="10" t="n">
        <v>58.07</v>
      </c>
      <c r="K3522" s="11" t="n">
        <v>0</v>
      </c>
      <c r="L3522" s="10">
        <f>I3522*J3522*(1-K3522)</f>
        <v/>
      </c>
      <c r="M3522" s="10" t="n">
        <v>504</v>
      </c>
      <c r="N3522" s="10">
        <f>L3522-M3522</f>
        <v/>
      </c>
    </row>
    <row r="3523">
      <c r="A3523" s="7" t="inlineStr">
        <is>
          <t>ORD-00135</t>
        </is>
      </c>
      <c r="B3523" s="8" t="n">
        <v>45643</v>
      </c>
      <c r="C3523" s="9" t="n">
        <v>45627</v>
      </c>
      <c r="D3523" s="7" t="n">
        <v>2024</v>
      </c>
      <c r="E3523" s="7" t="inlineStr">
        <is>
          <t>East</t>
        </is>
      </c>
      <c r="F3523" s="7" t="inlineStr">
        <is>
          <t>Office Supplies</t>
        </is>
      </c>
      <c r="G3523" s="7" t="inlineStr">
        <is>
          <t>Stapler</t>
        </is>
      </c>
      <c r="H3523" s="7" t="inlineStr">
        <is>
          <t>Home Office</t>
        </is>
      </c>
      <c r="I3523" s="7" t="n">
        <v>12</v>
      </c>
      <c r="J3523" s="10" t="n">
        <v>15.25</v>
      </c>
      <c r="K3523" s="11" t="n">
        <v>0.1</v>
      </c>
      <c r="L3523" s="10">
        <f>I3523*J3523*(1-K3523)</f>
        <v/>
      </c>
      <c r="M3523" s="10" t="n">
        <v>90</v>
      </c>
      <c r="N3523" s="10">
        <f>L3523-M3523</f>
        <v/>
      </c>
    </row>
    <row r="3524">
      <c r="A3524" s="7" t="inlineStr">
        <is>
          <t>ORD-04375</t>
        </is>
      </c>
      <c r="B3524" s="8" t="n">
        <v>45643</v>
      </c>
      <c r="C3524" s="9" t="n">
        <v>45627</v>
      </c>
      <c r="D3524" s="7" t="n">
        <v>2024</v>
      </c>
      <c r="E3524" s="7" t="inlineStr">
        <is>
          <t>South</t>
        </is>
      </c>
      <c r="F3524" s="7" t="inlineStr">
        <is>
          <t>Furniture</t>
        </is>
      </c>
      <c r="G3524" s="7" t="inlineStr">
        <is>
          <t>Office Chair</t>
        </is>
      </c>
      <c r="H3524" s="7" t="inlineStr">
        <is>
          <t>Corporate</t>
        </is>
      </c>
      <c r="I3524" s="7" t="n">
        <v>2</v>
      </c>
      <c r="J3524" s="10" t="n">
        <v>230.13</v>
      </c>
      <c r="K3524" s="11" t="n">
        <v>0.05</v>
      </c>
      <c r="L3524" s="10">
        <f>I3524*J3524*(1-K3524)</f>
        <v/>
      </c>
      <c r="M3524" s="10" t="n">
        <v>360.8</v>
      </c>
      <c r="N3524" s="10">
        <f>L3524-M3524</f>
        <v/>
      </c>
    </row>
    <row r="3525">
      <c r="A3525" s="7" t="inlineStr">
        <is>
          <t>ORD-04718</t>
        </is>
      </c>
      <c r="B3525" s="8" t="n">
        <v>45643</v>
      </c>
      <c r="C3525" s="9" t="n">
        <v>45627</v>
      </c>
      <c r="D3525" s="7" t="n">
        <v>2024</v>
      </c>
      <c r="E3525" s="7" t="inlineStr">
        <is>
          <t>South</t>
        </is>
      </c>
      <c r="F3525" s="7" t="inlineStr">
        <is>
          <t>Office Supplies</t>
        </is>
      </c>
      <c r="G3525" s="7" t="inlineStr">
        <is>
          <t>Paper</t>
        </is>
      </c>
      <c r="H3525" s="7" t="inlineStr">
        <is>
          <t>Consumer</t>
        </is>
      </c>
      <c r="I3525" s="7" t="n">
        <v>12</v>
      </c>
      <c r="J3525" s="10" t="n">
        <v>25.52</v>
      </c>
      <c r="K3525" s="11" t="n">
        <v>0.05</v>
      </c>
      <c r="L3525" s="10">
        <f>I3525*J3525*(1-K3525)</f>
        <v/>
      </c>
      <c r="M3525" s="10" t="n">
        <v>150</v>
      </c>
      <c r="N3525" s="10">
        <f>L3525-M3525</f>
        <v/>
      </c>
    </row>
    <row r="3526">
      <c r="A3526" s="7" t="inlineStr">
        <is>
          <t>ORD-04425</t>
        </is>
      </c>
      <c r="B3526" s="8" t="n">
        <v>45644</v>
      </c>
      <c r="C3526" s="9" t="n">
        <v>45627</v>
      </c>
      <c r="D3526" s="7" t="n">
        <v>2024</v>
      </c>
      <c r="E3526" s="7" t="inlineStr">
        <is>
          <t>South</t>
        </is>
      </c>
      <c r="F3526" s="7" t="inlineStr">
        <is>
          <t>Office Supplies</t>
        </is>
      </c>
      <c r="G3526" s="7" t="inlineStr">
        <is>
          <t>Pens</t>
        </is>
      </c>
      <c r="H3526" s="7" t="inlineStr">
        <is>
          <t>Corporate</t>
        </is>
      </c>
      <c r="I3526" s="7" t="n">
        <v>15</v>
      </c>
      <c r="J3526" s="10" t="n">
        <v>11.77</v>
      </c>
      <c r="K3526" s="11" t="n">
        <v>0.2</v>
      </c>
      <c r="L3526" s="10">
        <f>I3526*J3526*(1-K3526)</f>
        <v/>
      </c>
      <c r="M3526" s="10" t="n">
        <v>81</v>
      </c>
      <c r="N3526" s="10">
        <f>L3526-M3526</f>
        <v/>
      </c>
    </row>
    <row r="3527">
      <c r="A3527" s="7" t="inlineStr">
        <is>
          <t>ORD-02464</t>
        </is>
      </c>
      <c r="B3527" s="8" t="n">
        <v>45644</v>
      </c>
      <c r="C3527" s="9" t="n">
        <v>45627</v>
      </c>
      <c r="D3527" s="7" t="n">
        <v>2024</v>
      </c>
      <c r="E3527" s="7" t="inlineStr">
        <is>
          <t>North</t>
        </is>
      </c>
      <c r="F3527" s="7" t="inlineStr">
        <is>
          <t>Furniture</t>
        </is>
      </c>
      <c r="G3527" s="7" t="inlineStr">
        <is>
          <t>Sofa</t>
        </is>
      </c>
      <c r="H3527" s="7" t="inlineStr">
        <is>
          <t>Consumer</t>
        </is>
      </c>
      <c r="I3527" s="7" t="n">
        <v>2</v>
      </c>
      <c r="J3527" s="10" t="n">
        <v>713.1</v>
      </c>
      <c r="K3527" s="11" t="n">
        <v>0</v>
      </c>
      <c r="L3527" s="10">
        <f>I3527*J3527*(1-K3527)</f>
        <v/>
      </c>
      <c r="M3527" s="10" t="n">
        <v>1232</v>
      </c>
      <c r="N3527" s="10">
        <f>L3527-M3527</f>
        <v/>
      </c>
    </row>
    <row r="3528">
      <c r="A3528" s="7" t="inlineStr">
        <is>
          <t>ORD-02391</t>
        </is>
      </c>
      <c r="B3528" s="8" t="n">
        <v>45644</v>
      </c>
      <c r="C3528" s="9" t="n">
        <v>45627</v>
      </c>
      <c r="D3528" s="7" t="n">
        <v>2024</v>
      </c>
      <c r="E3528" s="7" t="inlineStr">
        <is>
          <t>South</t>
        </is>
      </c>
      <c r="F3528" s="7" t="inlineStr">
        <is>
          <t>Office Supplies</t>
        </is>
      </c>
      <c r="G3528" s="7" t="inlineStr">
        <is>
          <t>Paper</t>
        </is>
      </c>
      <c r="H3528" s="7" t="inlineStr">
        <is>
          <t>Corporate</t>
        </is>
      </c>
      <c r="I3528" s="7" t="n">
        <v>14</v>
      </c>
      <c r="J3528" s="10" t="n">
        <v>24.22</v>
      </c>
      <c r="K3528" s="11" t="n">
        <v>0.1</v>
      </c>
      <c r="L3528" s="10">
        <f>I3528*J3528*(1-K3528)</f>
        <v/>
      </c>
      <c r="M3528" s="10" t="n">
        <v>175</v>
      </c>
      <c r="N3528" s="10">
        <f>L3528-M3528</f>
        <v/>
      </c>
    </row>
    <row r="3529">
      <c r="A3529" s="7" t="inlineStr">
        <is>
          <t>ORD-05029</t>
        </is>
      </c>
      <c r="B3529" s="8" t="n">
        <v>45644</v>
      </c>
      <c r="C3529" s="9" t="n">
        <v>45627</v>
      </c>
      <c r="D3529" s="7" t="n">
        <v>2024</v>
      </c>
      <c r="E3529" s="7" t="inlineStr">
        <is>
          <t>East</t>
        </is>
      </c>
      <c r="F3529" s="7" t="inlineStr">
        <is>
          <t>Office Supplies</t>
        </is>
      </c>
      <c r="G3529" s="7" t="inlineStr">
        <is>
          <t>Binder</t>
        </is>
      </c>
      <c r="H3529" s="7" t="inlineStr">
        <is>
          <t>Corporate</t>
        </is>
      </c>
      <c r="I3529" s="7" t="n">
        <v>13</v>
      </c>
      <c r="J3529" s="10" t="n">
        <v>8.1</v>
      </c>
      <c r="K3529" s="11" t="n">
        <v>0</v>
      </c>
      <c r="L3529" s="10">
        <f>I3529*J3529*(1-K3529)</f>
        <v/>
      </c>
      <c r="M3529" s="10" t="n">
        <v>41.6</v>
      </c>
      <c r="N3529" s="10">
        <f>L3529-M3529</f>
        <v/>
      </c>
    </row>
    <row r="3530">
      <c r="A3530" s="7" t="inlineStr">
        <is>
          <t>ORD-02964</t>
        </is>
      </c>
      <c r="B3530" s="8" t="n">
        <v>45644</v>
      </c>
      <c r="C3530" s="9" t="n">
        <v>45627</v>
      </c>
      <c r="D3530" s="7" t="n">
        <v>2024</v>
      </c>
      <c r="E3530" s="7" t="inlineStr">
        <is>
          <t>East</t>
        </is>
      </c>
      <c r="F3530" s="7" t="inlineStr">
        <is>
          <t>Technology</t>
        </is>
      </c>
      <c r="G3530" s="7" t="inlineStr">
        <is>
          <t>Monitor</t>
        </is>
      </c>
      <c r="H3530" s="7" t="inlineStr">
        <is>
          <t>Home Office</t>
        </is>
      </c>
      <c r="I3530" s="7" t="n">
        <v>1</v>
      </c>
      <c r="J3530" s="10" t="n">
        <v>255.13</v>
      </c>
      <c r="K3530" s="11" t="n">
        <v>0</v>
      </c>
      <c r="L3530" s="10">
        <f>I3530*J3530*(1-K3530)</f>
        <v/>
      </c>
      <c r="M3530" s="10" t="n">
        <v>180</v>
      </c>
      <c r="N3530" s="10">
        <f>L3530-M3530</f>
        <v/>
      </c>
    </row>
    <row r="3531">
      <c r="A3531" s="7" t="inlineStr">
        <is>
          <t>ORD-05510</t>
        </is>
      </c>
      <c r="B3531" s="8" t="n">
        <v>45644</v>
      </c>
      <c r="C3531" s="9" t="n">
        <v>45627</v>
      </c>
      <c r="D3531" s="7" t="n">
        <v>2024</v>
      </c>
      <c r="E3531" s="7" t="inlineStr">
        <is>
          <t>West</t>
        </is>
      </c>
      <c r="F3531" s="7" t="inlineStr">
        <is>
          <t>Office Supplies</t>
        </is>
      </c>
      <c r="G3531" s="7" t="inlineStr">
        <is>
          <t>Pens</t>
        </is>
      </c>
      <c r="H3531" s="7" t="inlineStr">
        <is>
          <t>Consumer</t>
        </is>
      </c>
      <c r="I3531" s="7" t="n">
        <v>3</v>
      </c>
      <c r="J3531" s="10" t="n">
        <v>12.6</v>
      </c>
      <c r="K3531" s="11" t="n">
        <v>0</v>
      </c>
      <c r="L3531" s="10">
        <f>I3531*J3531*(1-K3531)</f>
        <v/>
      </c>
      <c r="M3531" s="10" t="n">
        <v>16.2</v>
      </c>
      <c r="N3531" s="10">
        <f>L3531-M3531</f>
        <v/>
      </c>
    </row>
    <row r="3532">
      <c r="A3532" s="7" t="inlineStr">
        <is>
          <t>ORD-02469</t>
        </is>
      </c>
      <c r="B3532" s="8" t="n">
        <v>45644</v>
      </c>
      <c r="C3532" s="9" t="n">
        <v>45627</v>
      </c>
      <c r="D3532" s="7" t="n">
        <v>2024</v>
      </c>
      <c r="E3532" s="7" t="inlineStr">
        <is>
          <t>East</t>
        </is>
      </c>
      <c r="F3532" s="7" t="inlineStr">
        <is>
          <t>Office Supplies</t>
        </is>
      </c>
      <c r="G3532" s="7" t="inlineStr">
        <is>
          <t>Stapler</t>
        </is>
      </c>
      <c r="H3532" s="7" t="inlineStr">
        <is>
          <t>Consumer</t>
        </is>
      </c>
      <c r="I3532" s="7" t="n">
        <v>2</v>
      </c>
      <c r="J3532" s="10" t="n">
        <v>14.35</v>
      </c>
      <c r="K3532" s="11" t="n">
        <v>0.2</v>
      </c>
      <c r="L3532" s="10">
        <f>I3532*J3532*(1-K3532)</f>
        <v/>
      </c>
      <c r="M3532" s="10" t="n">
        <v>15</v>
      </c>
      <c r="N3532" s="10">
        <f>L3532-M3532</f>
        <v/>
      </c>
    </row>
    <row r="3533">
      <c r="A3533" s="7" t="inlineStr">
        <is>
          <t>ORD-03538</t>
        </is>
      </c>
      <c r="B3533" s="8" t="n">
        <v>45644</v>
      </c>
      <c r="C3533" s="9" t="n">
        <v>45627</v>
      </c>
      <c r="D3533" s="7" t="n">
        <v>2024</v>
      </c>
      <c r="E3533" s="7" t="inlineStr">
        <is>
          <t>West</t>
        </is>
      </c>
      <c r="F3533" s="7" t="inlineStr">
        <is>
          <t>Furniture</t>
        </is>
      </c>
      <c r="G3533" s="7" t="inlineStr">
        <is>
          <t>Bookcase</t>
        </is>
      </c>
      <c r="H3533" s="7" t="inlineStr">
        <is>
          <t>Consumer</t>
        </is>
      </c>
      <c r="I3533" s="7" t="n">
        <v>4</v>
      </c>
      <c r="J3533" s="10" t="n">
        <v>175.95</v>
      </c>
      <c r="K3533" s="11" t="n">
        <v>0</v>
      </c>
      <c r="L3533" s="10">
        <f>I3533*J3533*(1-K3533)</f>
        <v/>
      </c>
      <c r="M3533" s="10" t="n">
        <v>576</v>
      </c>
      <c r="N3533" s="10">
        <f>L3533-M3533</f>
        <v/>
      </c>
    </row>
    <row r="3534">
      <c r="A3534" s="7" t="inlineStr">
        <is>
          <t>ORD-00344</t>
        </is>
      </c>
      <c r="B3534" s="8" t="n">
        <v>45645</v>
      </c>
      <c r="C3534" s="9" t="n">
        <v>45627</v>
      </c>
      <c r="D3534" s="7" t="n">
        <v>2024</v>
      </c>
      <c r="E3534" s="7" t="inlineStr">
        <is>
          <t>East</t>
        </is>
      </c>
      <c r="F3534" s="7" t="inlineStr">
        <is>
          <t>Office Supplies</t>
        </is>
      </c>
      <c r="G3534" s="7" t="inlineStr">
        <is>
          <t>Binder</t>
        </is>
      </c>
      <c r="H3534" s="7" t="inlineStr">
        <is>
          <t>Home Office</t>
        </is>
      </c>
      <c r="I3534" s="7" t="n">
        <v>7</v>
      </c>
      <c r="J3534" s="10" t="n">
        <v>8.17</v>
      </c>
      <c r="K3534" s="11" t="n">
        <v>0.2</v>
      </c>
      <c r="L3534" s="10">
        <f>I3534*J3534*(1-K3534)</f>
        <v/>
      </c>
      <c r="M3534" s="10" t="n">
        <v>22.4</v>
      </c>
      <c r="N3534" s="10">
        <f>L3534-M3534</f>
        <v/>
      </c>
    </row>
    <row r="3535">
      <c r="A3535" s="7" t="inlineStr">
        <is>
          <t>ORD-00804</t>
        </is>
      </c>
      <c r="B3535" s="8" t="n">
        <v>45645</v>
      </c>
      <c r="C3535" s="9" t="n">
        <v>45627</v>
      </c>
      <c r="D3535" s="7" t="n">
        <v>2024</v>
      </c>
      <c r="E3535" s="7" t="inlineStr">
        <is>
          <t>East</t>
        </is>
      </c>
      <c r="F3535" s="7" t="inlineStr">
        <is>
          <t>Furniture</t>
        </is>
      </c>
      <c r="G3535" s="7" t="inlineStr">
        <is>
          <t>Desk</t>
        </is>
      </c>
      <c r="H3535" s="7" t="inlineStr">
        <is>
          <t>Consumer</t>
        </is>
      </c>
      <c r="I3535" s="7" t="n">
        <v>1</v>
      </c>
      <c r="J3535" s="10" t="n">
        <v>446.05</v>
      </c>
      <c r="K3535" s="11" t="n">
        <v>0.1</v>
      </c>
      <c r="L3535" s="10">
        <f>I3535*J3535*(1-K3535)</f>
        <v/>
      </c>
      <c r="M3535" s="10" t="n">
        <v>382.5</v>
      </c>
      <c r="N3535" s="10">
        <f>L3535-M3535</f>
        <v/>
      </c>
    </row>
    <row r="3536">
      <c r="A3536" s="7" t="inlineStr">
        <is>
          <t>ORD-04831</t>
        </is>
      </c>
      <c r="B3536" s="8" t="n">
        <v>45645</v>
      </c>
      <c r="C3536" s="9" t="n">
        <v>45627</v>
      </c>
      <c r="D3536" s="7" t="n">
        <v>2024</v>
      </c>
      <c r="E3536" s="7" t="inlineStr">
        <is>
          <t>South</t>
        </is>
      </c>
      <c r="F3536" s="7" t="inlineStr">
        <is>
          <t>Office Supplies</t>
        </is>
      </c>
      <c r="G3536" s="7" t="inlineStr">
        <is>
          <t>Pens</t>
        </is>
      </c>
      <c r="H3536" s="7" t="inlineStr">
        <is>
          <t>Consumer</t>
        </is>
      </c>
      <c r="I3536" s="7" t="n">
        <v>13</v>
      </c>
      <c r="J3536" s="10" t="n">
        <v>12.04</v>
      </c>
      <c r="K3536" s="11" t="n">
        <v>0.1</v>
      </c>
      <c r="L3536" s="10">
        <f>I3536*J3536*(1-K3536)</f>
        <v/>
      </c>
      <c r="M3536" s="10" t="n">
        <v>70.2</v>
      </c>
      <c r="N3536" s="10">
        <f>L3536-M3536</f>
        <v/>
      </c>
    </row>
    <row r="3537">
      <c r="A3537" s="7" t="inlineStr">
        <is>
          <t>ORD-03956</t>
        </is>
      </c>
      <c r="B3537" s="8" t="n">
        <v>45645</v>
      </c>
      <c r="C3537" s="9" t="n">
        <v>45627</v>
      </c>
      <c r="D3537" s="7" t="n">
        <v>2024</v>
      </c>
      <c r="E3537" s="7" t="inlineStr">
        <is>
          <t>East</t>
        </is>
      </c>
      <c r="F3537" s="7" t="inlineStr">
        <is>
          <t>Office Supplies</t>
        </is>
      </c>
      <c r="G3537" s="7" t="inlineStr">
        <is>
          <t>Paper</t>
        </is>
      </c>
      <c r="H3537" s="7" t="inlineStr">
        <is>
          <t>Home Office</t>
        </is>
      </c>
      <c r="I3537" s="7" t="n">
        <v>9</v>
      </c>
      <c r="J3537" s="10" t="n">
        <v>25.32</v>
      </c>
      <c r="K3537" s="11" t="n">
        <v>0</v>
      </c>
      <c r="L3537" s="10">
        <f>I3537*J3537*(1-K3537)</f>
        <v/>
      </c>
      <c r="M3537" s="10" t="n">
        <v>112.5</v>
      </c>
      <c r="N3537" s="10">
        <f>L3537-M3537</f>
        <v/>
      </c>
    </row>
    <row r="3538">
      <c r="A3538" s="7" t="inlineStr">
        <is>
          <t>ORD-02030</t>
        </is>
      </c>
      <c r="B3538" s="8" t="n">
        <v>45645</v>
      </c>
      <c r="C3538" s="9" t="n">
        <v>45627</v>
      </c>
      <c r="D3538" s="7" t="n">
        <v>2024</v>
      </c>
      <c r="E3538" s="7" t="inlineStr">
        <is>
          <t>East</t>
        </is>
      </c>
      <c r="F3538" s="7" t="inlineStr">
        <is>
          <t>Furniture</t>
        </is>
      </c>
      <c r="G3538" s="7" t="inlineStr">
        <is>
          <t>Office Chair</t>
        </is>
      </c>
      <c r="H3538" s="7" t="inlineStr">
        <is>
          <t>Corporate</t>
        </is>
      </c>
      <c r="I3538" s="7" t="n">
        <v>1</v>
      </c>
      <c r="J3538" s="10" t="n">
        <v>211.1</v>
      </c>
      <c r="K3538" s="11" t="n">
        <v>0.05</v>
      </c>
      <c r="L3538" s="10">
        <f>I3538*J3538*(1-K3538)</f>
        <v/>
      </c>
      <c r="M3538" s="10" t="n">
        <v>180.4</v>
      </c>
      <c r="N3538" s="10">
        <f>L3538-M3538</f>
        <v/>
      </c>
    </row>
    <row r="3539">
      <c r="A3539" s="7" t="inlineStr">
        <is>
          <t>ORD-01483</t>
        </is>
      </c>
      <c r="B3539" s="8" t="n">
        <v>45645</v>
      </c>
      <c r="C3539" s="9" t="n">
        <v>45627</v>
      </c>
      <c r="D3539" s="7" t="n">
        <v>2024</v>
      </c>
      <c r="E3539" s="7" t="inlineStr">
        <is>
          <t>East</t>
        </is>
      </c>
      <c r="F3539" s="7" t="inlineStr">
        <is>
          <t>Office Supplies</t>
        </is>
      </c>
      <c r="G3539" s="7" t="inlineStr">
        <is>
          <t>Stapler</t>
        </is>
      </c>
      <c r="H3539" s="7" t="inlineStr">
        <is>
          <t>Consumer</t>
        </is>
      </c>
      <c r="I3539" s="7" t="n">
        <v>9</v>
      </c>
      <c r="J3539" s="10" t="n">
        <v>15.12</v>
      </c>
      <c r="K3539" s="11" t="n">
        <v>0.05</v>
      </c>
      <c r="L3539" s="10">
        <f>I3539*J3539*(1-K3539)</f>
        <v/>
      </c>
      <c r="M3539" s="10" t="n">
        <v>67.5</v>
      </c>
      <c r="N3539" s="10">
        <f>L3539-M3539</f>
        <v/>
      </c>
    </row>
    <row r="3540">
      <c r="A3540" s="7" t="inlineStr">
        <is>
          <t>ORD-02395</t>
        </is>
      </c>
      <c r="B3540" s="8" t="n">
        <v>45646</v>
      </c>
      <c r="C3540" s="9" t="n">
        <v>45627</v>
      </c>
      <c r="D3540" s="7" t="n">
        <v>2024</v>
      </c>
      <c r="E3540" s="7" t="inlineStr">
        <is>
          <t>West</t>
        </is>
      </c>
      <c r="F3540" s="7" t="inlineStr">
        <is>
          <t>Office Supplies</t>
        </is>
      </c>
      <c r="G3540" s="7" t="inlineStr">
        <is>
          <t>Stapler</t>
        </is>
      </c>
      <c r="H3540" s="7" t="inlineStr">
        <is>
          <t>Corporate</t>
        </is>
      </c>
      <c r="I3540" s="7" t="n">
        <v>11</v>
      </c>
      <c r="J3540" s="10" t="n">
        <v>15.64</v>
      </c>
      <c r="K3540" s="11" t="n">
        <v>0.2</v>
      </c>
      <c r="L3540" s="10">
        <f>I3540*J3540*(1-K3540)</f>
        <v/>
      </c>
      <c r="M3540" s="10" t="n">
        <v>82.5</v>
      </c>
      <c r="N3540" s="10">
        <f>L3540-M3540</f>
        <v/>
      </c>
    </row>
    <row r="3541">
      <c r="A3541" s="7" t="inlineStr">
        <is>
          <t>ORD-04943</t>
        </is>
      </c>
      <c r="B3541" s="8" t="n">
        <v>45646</v>
      </c>
      <c r="C3541" s="9" t="n">
        <v>45627</v>
      </c>
      <c r="D3541" s="7" t="n">
        <v>2024</v>
      </c>
      <c r="E3541" s="7" t="inlineStr">
        <is>
          <t>East</t>
        </is>
      </c>
      <c r="F3541" s="7" t="inlineStr">
        <is>
          <t>Technology</t>
        </is>
      </c>
      <c r="G3541" s="7" t="inlineStr">
        <is>
          <t>Headphones</t>
        </is>
      </c>
      <c r="H3541" s="7" t="inlineStr">
        <is>
          <t>Consumer</t>
        </is>
      </c>
      <c r="I3541" s="7" t="n">
        <v>3</v>
      </c>
      <c r="J3541" s="10" t="n">
        <v>114.49</v>
      </c>
      <c r="K3541" s="11" t="n">
        <v>0</v>
      </c>
      <c r="L3541" s="10">
        <f>I3541*J3541*(1-K3541)</f>
        <v/>
      </c>
      <c r="M3541" s="10" t="n">
        <v>216</v>
      </c>
      <c r="N3541" s="10">
        <f>L3541-M3541</f>
        <v/>
      </c>
    </row>
    <row r="3542">
      <c r="A3542" s="7" t="inlineStr">
        <is>
          <t>ORD-00260</t>
        </is>
      </c>
      <c r="B3542" s="8" t="n">
        <v>45646</v>
      </c>
      <c r="C3542" s="9" t="n">
        <v>45627</v>
      </c>
      <c r="D3542" s="7" t="n">
        <v>2024</v>
      </c>
      <c r="E3542" s="7" t="inlineStr">
        <is>
          <t>West</t>
        </is>
      </c>
      <c r="F3542" s="7" t="inlineStr">
        <is>
          <t>Office Supplies</t>
        </is>
      </c>
      <c r="G3542" s="7" t="inlineStr">
        <is>
          <t>Pens</t>
        </is>
      </c>
      <c r="H3542" s="7" t="inlineStr">
        <is>
          <t>Corporate</t>
        </is>
      </c>
      <c r="I3542" s="7" t="n">
        <v>4</v>
      </c>
      <c r="J3542" s="10" t="n">
        <v>11.99</v>
      </c>
      <c r="K3542" s="11" t="n">
        <v>0.3</v>
      </c>
      <c r="L3542" s="10">
        <f>I3542*J3542*(1-K3542)</f>
        <v/>
      </c>
      <c r="M3542" s="10" t="n">
        <v>21.6</v>
      </c>
      <c r="N3542" s="10">
        <f>L3542-M3542</f>
        <v/>
      </c>
    </row>
    <row r="3543">
      <c r="A3543" s="7" t="inlineStr">
        <is>
          <t>ORD-04808</t>
        </is>
      </c>
      <c r="B3543" s="8" t="n">
        <v>45646</v>
      </c>
      <c r="C3543" s="9" t="n">
        <v>45627</v>
      </c>
      <c r="D3543" s="7" t="n">
        <v>2024</v>
      </c>
      <c r="E3543" s="7" t="inlineStr">
        <is>
          <t>West</t>
        </is>
      </c>
      <c r="F3543" s="7" t="inlineStr">
        <is>
          <t>Office Supplies</t>
        </is>
      </c>
      <c r="G3543" s="7" t="inlineStr">
        <is>
          <t>Printer Ink</t>
        </is>
      </c>
      <c r="H3543" s="7" t="inlineStr">
        <is>
          <t>Consumer</t>
        </is>
      </c>
      <c r="I3543" s="7" t="n">
        <v>8</v>
      </c>
      <c r="J3543" s="10" t="n">
        <v>57.22</v>
      </c>
      <c r="K3543" s="11" t="n">
        <v>0.2</v>
      </c>
      <c r="L3543" s="10">
        <f>I3543*J3543*(1-K3543)</f>
        <v/>
      </c>
      <c r="M3543" s="10" t="n">
        <v>288</v>
      </c>
      <c r="N3543" s="10">
        <f>L3543-M3543</f>
        <v/>
      </c>
    </row>
    <row r="3544">
      <c r="A3544" s="7" t="inlineStr">
        <is>
          <t>ORD-01338</t>
        </is>
      </c>
      <c r="B3544" s="8" t="n">
        <v>45646</v>
      </c>
      <c r="C3544" s="9" t="n">
        <v>45627</v>
      </c>
      <c r="D3544" s="7" t="n">
        <v>2024</v>
      </c>
      <c r="E3544" s="7" t="inlineStr">
        <is>
          <t>East</t>
        </is>
      </c>
      <c r="F3544" s="7" t="inlineStr">
        <is>
          <t>Office Supplies</t>
        </is>
      </c>
      <c r="G3544" s="7" t="inlineStr">
        <is>
          <t>Stapler</t>
        </is>
      </c>
      <c r="H3544" s="7" t="inlineStr">
        <is>
          <t>Home Office</t>
        </is>
      </c>
      <c r="I3544" s="7" t="n">
        <v>9</v>
      </c>
      <c r="J3544" s="10" t="n">
        <v>14.4</v>
      </c>
      <c r="K3544" s="11" t="n">
        <v>0.1</v>
      </c>
      <c r="L3544" s="10">
        <f>I3544*J3544*(1-K3544)</f>
        <v/>
      </c>
      <c r="M3544" s="10" t="n">
        <v>67.5</v>
      </c>
      <c r="N3544" s="10">
        <f>L3544-M3544</f>
        <v/>
      </c>
    </row>
    <row r="3545">
      <c r="A3545" s="7" t="inlineStr">
        <is>
          <t>ORD-03002</t>
        </is>
      </c>
      <c r="B3545" s="8" t="n">
        <v>45646</v>
      </c>
      <c r="C3545" s="9" t="n">
        <v>45627</v>
      </c>
      <c r="D3545" s="7" t="n">
        <v>2024</v>
      </c>
      <c r="E3545" s="7" t="inlineStr">
        <is>
          <t>West</t>
        </is>
      </c>
      <c r="F3545" s="7" t="inlineStr">
        <is>
          <t>Office Supplies</t>
        </is>
      </c>
      <c r="G3545" s="7" t="inlineStr">
        <is>
          <t>Pens</t>
        </is>
      </c>
      <c r="H3545" s="7" t="inlineStr">
        <is>
          <t>Consumer</t>
        </is>
      </c>
      <c r="I3545" s="7" t="n">
        <v>15</v>
      </c>
      <c r="J3545" s="10" t="n">
        <v>11.6</v>
      </c>
      <c r="K3545" s="11" t="n">
        <v>0</v>
      </c>
      <c r="L3545" s="10">
        <f>I3545*J3545*(1-K3545)</f>
        <v/>
      </c>
      <c r="M3545" s="10" t="n">
        <v>81</v>
      </c>
      <c r="N3545" s="10">
        <f>L3545-M3545</f>
        <v/>
      </c>
    </row>
    <row r="3546">
      <c r="A3546" s="7" t="inlineStr">
        <is>
          <t>ORD-00675</t>
        </is>
      </c>
      <c r="B3546" s="8" t="n">
        <v>45646</v>
      </c>
      <c r="C3546" s="9" t="n">
        <v>45627</v>
      </c>
      <c r="D3546" s="7" t="n">
        <v>2024</v>
      </c>
      <c r="E3546" s="7" t="inlineStr">
        <is>
          <t>South</t>
        </is>
      </c>
      <c r="F3546" s="7" t="inlineStr">
        <is>
          <t>Office Supplies</t>
        </is>
      </c>
      <c r="G3546" s="7" t="inlineStr">
        <is>
          <t>Stapler</t>
        </is>
      </c>
      <c r="H3546" s="7" t="inlineStr">
        <is>
          <t>Consumer</t>
        </is>
      </c>
      <c r="I3546" s="7" t="n">
        <v>10</v>
      </c>
      <c r="J3546" s="10" t="n">
        <v>14.35</v>
      </c>
      <c r="K3546" s="11" t="n">
        <v>0</v>
      </c>
      <c r="L3546" s="10">
        <f>I3546*J3546*(1-K3546)</f>
        <v/>
      </c>
      <c r="M3546" s="10" t="n">
        <v>75</v>
      </c>
      <c r="N3546" s="10">
        <f>L3546-M3546</f>
        <v/>
      </c>
    </row>
    <row r="3547">
      <c r="A3547" s="7" t="inlineStr">
        <is>
          <t>ORD-00822</t>
        </is>
      </c>
      <c r="B3547" s="8" t="n">
        <v>45646</v>
      </c>
      <c r="C3547" s="9" t="n">
        <v>45627</v>
      </c>
      <c r="D3547" s="7" t="n">
        <v>2024</v>
      </c>
      <c r="E3547" s="7" t="inlineStr">
        <is>
          <t>North</t>
        </is>
      </c>
      <c r="F3547" s="7" t="inlineStr">
        <is>
          <t>Office Supplies</t>
        </is>
      </c>
      <c r="G3547" s="7" t="inlineStr">
        <is>
          <t>Binder</t>
        </is>
      </c>
      <c r="H3547" s="7" t="inlineStr">
        <is>
          <t>Consumer</t>
        </is>
      </c>
      <c r="I3547" s="7" t="n">
        <v>10</v>
      </c>
      <c r="J3547" s="10" t="n">
        <v>8.32</v>
      </c>
      <c r="K3547" s="11" t="n">
        <v>0.3</v>
      </c>
      <c r="L3547" s="10">
        <f>I3547*J3547*(1-K3547)</f>
        <v/>
      </c>
      <c r="M3547" s="10" t="n">
        <v>32</v>
      </c>
      <c r="N3547" s="10">
        <f>L3547-M3547</f>
        <v/>
      </c>
    </row>
    <row r="3548">
      <c r="A3548" s="7" t="inlineStr">
        <is>
          <t>ORD-02931</t>
        </is>
      </c>
      <c r="B3548" s="8" t="n">
        <v>45646</v>
      </c>
      <c r="C3548" s="9" t="n">
        <v>45627</v>
      </c>
      <c r="D3548" s="7" t="n">
        <v>2024</v>
      </c>
      <c r="E3548" s="7" t="inlineStr">
        <is>
          <t>South</t>
        </is>
      </c>
      <c r="F3548" s="7" t="inlineStr">
        <is>
          <t>Office Supplies</t>
        </is>
      </c>
      <c r="G3548" s="7" t="inlineStr">
        <is>
          <t>Pens</t>
        </is>
      </c>
      <c r="H3548" s="7" t="inlineStr">
        <is>
          <t>Consumer</t>
        </is>
      </c>
      <c r="I3548" s="7" t="n">
        <v>5</v>
      </c>
      <c r="J3548" s="10" t="n">
        <v>12.23</v>
      </c>
      <c r="K3548" s="11" t="n">
        <v>0.1</v>
      </c>
      <c r="L3548" s="10">
        <f>I3548*J3548*(1-K3548)</f>
        <v/>
      </c>
      <c r="M3548" s="10" t="n">
        <v>27</v>
      </c>
      <c r="N3548" s="10">
        <f>L3548-M3548</f>
        <v/>
      </c>
    </row>
    <row r="3549">
      <c r="A3549" s="7" t="inlineStr">
        <is>
          <t>ORD-05942</t>
        </is>
      </c>
      <c r="B3549" s="8" t="n">
        <v>45646</v>
      </c>
      <c r="C3549" s="9" t="n">
        <v>45627</v>
      </c>
      <c r="D3549" s="7" t="n">
        <v>2024</v>
      </c>
      <c r="E3549" s="7" t="inlineStr">
        <is>
          <t>East</t>
        </is>
      </c>
      <c r="F3549" s="7" t="inlineStr">
        <is>
          <t>Office Supplies</t>
        </is>
      </c>
      <c r="G3549" s="7" t="inlineStr">
        <is>
          <t>Pens</t>
        </is>
      </c>
      <c r="H3549" s="7" t="inlineStr">
        <is>
          <t>Consumer</t>
        </is>
      </c>
      <c r="I3549" s="7" t="n">
        <v>13</v>
      </c>
      <c r="J3549" s="10" t="n">
        <v>11.71</v>
      </c>
      <c r="K3549" s="11" t="n">
        <v>0.2</v>
      </c>
      <c r="L3549" s="10">
        <f>I3549*J3549*(1-K3549)</f>
        <v/>
      </c>
      <c r="M3549" s="10" t="n">
        <v>70.2</v>
      </c>
      <c r="N3549" s="10">
        <f>L3549-M3549</f>
        <v/>
      </c>
    </row>
    <row r="3550">
      <c r="A3550" s="7" t="inlineStr">
        <is>
          <t>ORD-05916</t>
        </is>
      </c>
      <c r="B3550" s="8" t="n">
        <v>45646</v>
      </c>
      <c r="C3550" s="9" t="n">
        <v>45627</v>
      </c>
      <c r="D3550" s="7" t="n">
        <v>2024</v>
      </c>
      <c r="E3550" s="7" t="inlineStr">
        <is>
          <t>South</t>
        </is>
      </c>
      <c r="F3550" s="7" t="inlineStr">
        <is>
          <t>Office Supplies</t>
        </is>
      </c>
      <c r="G3550" s="7" t="inlineStr">
        <is>
          <t>Stapler</t>
        </is>
      </c>
      <c r="H3550" s="7" t="inlineStr">
        <is>
          <t>Consumer</t>
        </is>
      </c>
      <c r="I3550" s="7" t="n">
        <v>10</v>
      </c>
      <c r="J3550" s="10" t="n">
        <v>15.11</v>
      </c>
      <c r="K3550" s="11" t="n">
        <v>0.1</v>
      </c>
      <c r="L3550" s="10">
        <f>I3550*J3550*(1-K3550)</f>
        <v/>
      </c>
      <c r="M3550" s="10" t="n">
        <v>75</v>
      </c>
      <c r="N3550" s="10">
        <f>L3550-M3550</f>
        <v/>
      </c>
    </row>
    <row r="3551">
      <c r="A3551" s="7" t="inlineStr">
        <is>
          <t>ORD-04947</t>
        </is>
      </c>
      <c r="B3551" s="8" t="n">
        <v>45646</v>
      </c>
      <c r="C3551" s="9" t="n">
        <v>45627</v>
      </c>
      <c r="D3551" s="7" t="n">
        <v>2024</v>
      </c>
      <c r="E3551" s="7" t="inlineStr">
        <is>
          <t>North</t>
        </is>
      </c>
      <c r="F3551" s="7" t="inlineStr">
        <is>
          <t>Furniture</t>
        </is>
      </c>
      <c r="G3551" s="7" t="inlineStr">
        <is>
          <t>Sofa</t>
        </is>
      </c>
      <c r="H3551" s="7" t="inlineStr">
        <is>
          <t>Home Office</t>
        </is>
      </c>
      <c r="I3551" s="7" t="n">
        <v>1</v>
      </c>
      <c r="J3551" s="10" t="n">
        <v>670.5</v>
      </c>
      <c r="K3551" s="11" t="n">
        <v>0.1</v>
      </c>
      <c r="L3551" s="10">
        <f>I3551*J3551*(1-K3551)</f>
        <v/>
      </c>
      <c r="M3551" s="10" t="n">
        <v>616</v>
      </c>
      <c r="N3551" s="10">
        <f>L3551-M3551</f>
        <v/>
      </c>
    </row>
    <row r="3552">
      <c r="A3552" s="7" t="inlineStr">
        <is>
          <t>ORD-04406</t>
        </is>
      </c>
      <c r="B3552" s="8" t="n">
        <v>45647</v>
      </c>
      <c r="C3552" s="9" t="n">
        <v>45627</v>
      </c>
      <c r="D3552" s="7" t="n">
        <v>2024</v>
      </c>
      <c r="E3552" s="7" t="inlineStr">
        <is>
          <t>West</t>
        </is>
      </c>
      <c r="F3552" s="7" t="inlineStr">
        <is>
          <t>Office Supplies</t>
        </is>
      </c>
      <c r="G3552" s="7" t="inlineStr">
        <is>
          <t>Pens</t>
        </is>
      </c>
      <c r="H3552" s="7" t="inlineStr">
        <is>
          <t>Consumer</t>
        </is>
      </c>
      <c r="I3552" s="7" t="n">
        <v>10</v>
      </c>
      <c r="J3552" s="10" t="n">
        <v>11.98</v>
      </c>
      <c r="K3552" s="11" t="n">
        <v>0</v>
      </c>
      <c r="L3552" s="10">
        <f>I3552*J3552*(1-K3552)</f>
        <v/>
      </c>
      <c r="M3552" s="10" t="n">
        <v>54</v>
      </c>
      <c r="N3552" s="10">
        <f>L3552-M3552</f>
        <v/>
      </c>
    </row>
    <row r="3553">
      <c r="A3553" s="7" t="inlineStr">
        <is>
          <t>ORD-00234</t>
        </is>
      </c>
      <c r="B3553" s="8" t="n">
        <v>45647</v>
      </c>
      <c r="C3553" s="9" t="n">
        <v>45627</v>
      </c>
      <c r="D3553" s="7" t="n">
        <v>2024</v>
      </c>
      <c r="E3553" s="7" t="inlineStr">
        <is>
          <t>West</t>
        </is>
      </c>
      <c r="F3553" s="7" t="inlineStr">
        <is>
          <t>Office Supplies</t>
        </is>
      </c>
      <c r="G3553" s="7" t="inlineStr">
        <is>
          <t>Pens</t>
        </is>
      </c>
      <c r="H3553" s="7" t="inlineStr">
        <is>
          <t>Consumer</t>
        </is>
      </c>
      <c r="I3553" s="7" t="n">
        <v>3</v>
      </c>
      <c r="J3553" s="10" t="n">
        <v>11.73</v>
      </c>
      <c r="K3553" s="11" t="n">
        <v>0.05</v>
      </c>
      <c r="L3553" s="10">
        <f>I3553*J3553*(1-K3553)</f>
        <v/>
      </c>
      <c r="M3553" s="10" t="n">
        <v>16.2</v>
      </c>
      <c r="N3553" s="10">
        <f>L3553-M3553</f>
        <v/>
      </c>
    </row>
    <row r="3554">
      <c r="A3554" s="7" t="inlineStr">
        <is>
          <t>ORD-04995</t>
        </is>
      </c>
      <c r="B3554" s="8" t="n">
        <v>45647</v>
      </c>
      <c r="C3554" s="9" t="n">
        <v>45627</v>
      </c>
      <c r="D3554" s="7" t="n">
        <v>2024</v>
      </c>
      <c r="E3554" s="7" t="inlineStr">
        <is>
          <t>North</t>
        </is>
      </c>
      <c r="F3554" s="7" t="inlineStr">
        <is>
          <t>Office Supplies</t>
        </is>
      </c>
      <c r="G3554" s="7" t="inlineStr">
        <is>
          <t>Pens</t>
        </is>
      </c>
      <c r="H3554" s="7" t="inlineStr">
        <is>
          <t>Consumer</t>
        </is>
      </c>
      <c r="I3554" s="7" t="n">
        <v>8</v>
      </c>
      <c r="J3554" s="10" t="n">
        <v>12.15</v>
      </c>
      <c r="K3554" s="11" t="n">
        <v>0</v>
      </c>
      <c r="L3554" s="10">
        <f>I3554*J3554*(1-K3554)</f>
        <v/>
      </c>
      <c r="M3554" s="10" t="n">
        <v>43.2</v>
      </c>
      <c r="N3554" s="10">
        <f>L3554-M3554</f>
        <v/>
      </c>
    </row>
    <row r="3555">
      <c r="A3555" s="7" t="inlineStr">
        <is>
          <t>ORD-02401</t>
        </is>
      </c>
      <c r="B3555" s="8" t="n">
        <v>45647</v>
      </c>
      <c r="C3555" s="9" t="n">
        <v>45627</v>
      </c>
      <c r="D3555" s="7" t="n">
        <v>2024</v>
      </c>
      <c r="E3555" s="7" t="inlineStr">
        <is>
          <t>East</t>
        </is>
      </c>
      <c r="F3555" s="7" t="inlineStr">
        <is>
          <t>Technology</t>
        </is>
      </c>
      <c r="G3555" s="7" t="inlineStr">
        <is>
          <t>Keyboard</t>
        </is>
      </c>
      <c r="H3555" s="7" t="inlineStr">
        <is>
          <t>Consumer</t>
        </is>
      </c>
      <c r="I3555" s="7" t="n">
        <v>2</v>
      </c>
      <c r="J3555" s="10" t="n">
        <v>45.24</v>
      </c>
      <c r="K3555" s="11" t="n">
        <v>0</v>
      </c>
      <c r="L3555" s="10">
        <f>I3555*J3555*(1-K3555)</f>
        <v/>
      </c>
      <c r="M3555" s="10" t="n">
        <v>49.5</v>
      </c>
      <c r="N3555" s="10">
        <f>L3555-M3555</f>
        <v/>
      </c>
    </row>
    <row r="3556">
      <c r="A3556" s="7" t="inlineStr">
        <is>
          <t>ORD-03364</t>
        </is>
      </c>
      <c r="B3556" s="8" t="n">
        <v>45647</v>
      </c>
      <c r="C3556" s="9" t="n">
        <v>45627</v>
      </c>
      <c r="D3556" s="7" t="n">
        <v>2024</v>
      </c>
      <c r="E3556" s="7" t="inlineStr">
        <is>
          <t>East</t>
        </is>
      </c>
      <c r="F3556" s="7" t="inlineStr">
        <is>
          <t>Office Supplies</t>
        </is>
      </c>
      <c r="G3556" s="7" t="inlineStr">
        <is>
          <t>Binder</t>
        </is>
      </c>
      <c r="H3556" s="7" t="inlineStr">
        <is>
          <t>Home Office</t>
        </is>
      </c>
      <c r="I3556" s="7" t="n">
        <v>2</v>
      </c>
      <c r="J3556" s="10" t="n">
        <v>8.26</v>
      </c>
      <c r="K3556" s="11" t="n">
        <v>0.1</v>
      </c>
      <c r="L3556" s="10">
        <f>I3556*J3556*(1-K3556)</f>
        <v/>
      </c>
      <c r="M3556" s="10" t="n">
        <v>6.4</v>
      </c>
      <c r="N3556" s="10">
        <f>L3556-M3556</f>
        <v/>
      </c>
    </row>
    <row r="3557">
      <c r="A3557" s="7" t="inlineStr">
        <is>
          <t>ORD-03440</t>
        </is>
      </c>
      <c r="B3557" s="8" t="n">
        <v>45647</v>
      </c>
      <c r="C3557" s="9" t="n">
        <v>45627</v>
      </c>
      <c r="D3557" s="7" t="n">
        <v>2024</v>
      </c>
      <c r="E3557" s="7" t="inlineStr">
        <is>
          <t>West</t>
        </is>
      </c>
      <c r="F3557" s="7" t="inlineStr">
        <is>
          <t>Office Supplies</t>
        </is>
      </c>
      <c r="G3557" s="7" t="inlineStr">
        <is>
          <t>Paper</t>
        </is>
      </c>
      <c r="H3557" s="7" t="inlineStr">
        <is>
          <t>Corporate</t>
        </is>
      </c>
      <c r="I3557" s="7" t="n">
        <v>12</v>
      </c>
      <c r="J3557" s="10" t="n">
        <v>24.29</v>
      </c>
      <c r="K3557" s="11" t="n">
        <v>0.3</v>
      </c>
      <c r="L3557" s="10">
        <f>I3557*J3557*(1-K3557)</f>
        <v/>
      </c>
      <c r="M3557" s="10" t="n">
        <v>150</v>
      </c>
      <c r="N3557" s="10">
        <f>L3557-M3557</f>
        <v/>
      </c>
    </row>
    <row r="3558">
      <c r="A3558" s="7" t="inlineStr">
        <is>
          <t>ORD-00827</t>
        </is>
      </c>
      <c r="B3558" s="8" t="n">
        <v>45647</v>
      </c>
      <c r="C3558" s="9" t="n">
        <v>45627</v>
      </c>
      <c r="D3558" s="7" t="n">
        <v>2024</v>
      </c>
      <c r="E3558" s="7" t="inlineStr">
        <is>
          <t>West</t>
        </is>
      </c>
      <c r="F3558" s="7" t="inlineStr">
        <is>
          <t>Office Supplies</t>
        </is>
      </c>
      <c r="G3558" s="7" t="inlineStr">
        <is>
          <t>Paper</t>
        </is>
      </c>
      <c r="H3558" s="7" t="inlineStr">
        <is>
          <t>Home Office</t>
        </is>
      </c>
      <c r="I3558" s="7" t="n">
        <v>9</v>
      </c>
      <c r="J3558" s="10" t="n">
        <v>25.47</v>
      </c>
      <c r="K3558" s="11" t="n">
        <v>0</v>
      </c>
      <c r="L3558" s="10">
        <f>I3558*J3558*(1-K3558)</f>
        <v/>
      </c>
      <c r="M3558" s="10" t="n">
        <v>112.5</v>
      </c>
      <c r="N3558" s="10">
        <f>L3558-M3558</f>
        <v/>
      </c>
    </row>
    <row r="3559">
      <c r="A3559" s="7" t="inlineStr">
        <is>
          <t>ORD-05357</t>
        </is>
      </c>
      <c r="B3559" s="8" t="n">
        <v>45647</v>
      </c>
      <c r="C3559" s="9" t="n">
        <v>45627</v>
      </c>
      <c r="D3559" s="7" t="n">
        <v>2024</v>
      </c>
      <c r="E3559" s="7" t="inlineStr">
        <is>
          <t>East</t>
        </is>
      </c>
      <c r="F3559" s="7" t="inlineStr">
        <is>
          <t>Office Supplies</t>
        </is>
      </c>
      <c r="G3559" s="7" t="inlineStr">
        <is>
          <t>Binder</t>
        </is>
      </c>
      <c r="H3559" s="7" t="inlineStr">
        <is>
          <t>Corporate</t>
        </is>
      </c>
      <c r="I3559" s="7" t="n">
        <v>15</v>
      </c>
      <c r="J3559" s="10" t="n">
        <v>7.62</v>
      </c>
      <c r="K3559" s="11" t="n">
        <v>0</v>
      </c>
      <c r="L3559" s="10">
        <f>I3559*J3559*(1-K3559)</f>
        <v/>
      </c>
      <c r="M3559" s="10" t="n">
        <v>48</v>
      </c>
      <c r="N3559" s="10">
        <f>L3559-M3559</f>
        <v/>
      </c>
    </row>
    <row r="3560">
      <c r="A3560" s="7" t="inlineStr">
        <is>
          <t>ORD-02804</t>
        </is>
      </c>
      <c r="B3560" s="8" t="n">
        <v>45647</v>
      </c>
      <c r="C3560" s="9" t="n">
        <v>45627</v>
      </c>
      <c r="D3560" s="7" t="n">
        <v>2024</v>
      </c>
      <c r="E3560" s="7" t="inlineStr">
        <is>
          <t>West</t>
        </is>
      </c>
      <c r="F3560" s="7" t="inlineStr">
        <is>
          <t>Office Supplies</t>
        </is>
      </c>
      <c r="G3560" s="7" t="inlineStr">
        <is>
          <t>Pens</t>
        </is>
      </c>
      <c r="H3560" s="7" t="inlineStr">
        <is>
          <t>Consumer</t>
        </is>
      </c>
      <c r="I3560" s="7" t="n">
        <v>14</v>
      </c>
      <c r="J3560" s="10" t="n">
        <v>11.5</v>
      </c>
      <c r="K3560" s="11" t="n">
        <v>0.1</v>
      </c>
      <c r="L3560" s="10">
        <f>I3560*J3560*(1-K3560)</f>
        <v/>
      </c>
      <c r="M3560" s="10" t="n">
        <v>75.59999999999999</v>
      </c>
      <c r="N3560" s="10">
        <f>L3560-M3560</f>
        <v/>
      </c>
    </row>
    <row r="3561">
      <c r="A3561" s="7" t="inlineStr">
        <is>
          <t>ORD-01307</t>
        </is>
      </c>
      <c r="B3561" s="8" t="n">
        <v>45648</v>
      </c>
      <c r="C3561" s="9" t="n">
        <v>45627</v>
      </c>
      <c r="D3561" s="7" t="n">
        <v>2024</v>
      </c>
      <c r="E3561" s="7" t="inlineStr">
        <is>
          <t>West</t>
        </is>
      </c>
      <c r="F3561" s="7" t="inlineStr">
        <is>
          <t>Technology</t>
        </is>
      </c>
      <c r="G3561" s="7" t="inlineStr">
        <is>
          <t>Keyboard</t>
        </is>
      </c>
      <c r="H3561" s="7" t="inlineStr">
        <is>
          <t>Home Office</t>
        </is>
      </c>
      <c r="I3561" s="7" t="n">
        <v>2</v>
      </c>
      <c r="J3561" s="10" t="n">
        <v>43.2</v>
      </c>
      <c r="K3561" s="11" t="n">
        <v>0.3</v>
      </c>
      <c r="L3561" s="10">
        <f>I3561*J3561*(1-K3561)</f>
        <v/>
      </c>
      <c r="M3561" s="10" t="n">
        <v>49.5</v>
      </c>
      <c r="N3561" s="10">
        <f>L3561-M3561</f>
        <v/>
      </c>
    </row>
    <row r="3562">
      <c r="A3562" s="7" t="inlineStr">
        <is>
          <t>ORD-05374</t>
        </is>
      </c>
      <c r="B3562" s="8" t="n">
        <v>45648</v>
      </c>
      <c r="C3562" s="9" t="n">
        <v>45627</v>
      </c>
      <c r="D3562" s="7" t="n">
        <v>2024</v>
      </c>
      <c r="E3562" s="7" t="inlineStr">
        <is>
          <t>North</t>
        </is>
      </c>
      <c r="F3562" s="7" t="inlineStr">
        <is>
          <t>Office Supplies</t>
        </is>
      </c>
      <c r="G3562" s="7" t="inlineStr">
        <is>
          <t>Paper</t>
        </is>
      </c>
      <c r="H3562" s="7" t="inlineStr">
        <is>
          <t>Consumer</t>
        </is>
      </c>
      <c r="I3562" s="7" t="n">
        <v>11</v>
      </c>
      <c r="J3562" s="10" t="n">
        <v>24.96</v>
      </c>
      <c r="K3562" s="11" t="n">
        <v>0</v>
      </c>
      <c r="L3562" s="10">
        <f>I3562*J3562*(1-K3562)</f>
        <v/>
      </c>
      <c r="M3562" s="10" t="n">
        <v>137.5</v>
      </c>
      <c r="N3562" s="10">
        <f>L3562-M3562</f>
        <v/>
      </c>
    </row>
    <row r="3563">
      <c r="A3563" s="7" t="inlineStr">
        <is>
          <t>ORD-02818</t>
        </is>
      </c>
      <c r="B3563" s="8" t="n">
        <v>45648</v>
      </c>
      <c r="C3563" s="9" t="n">
        <v>45627</v>
      </c>
      <c r="D3563" s="7" t="n">
        <v>2024</v>
      </c>
      <c r="E3563" s="7" t="inlineStr">
        <is>
          <t>South</t>
        </is>
      </c>
      <c r="F3563" s="7" t="inlineStr">
        <is>
          <t>Office Supplies</t>
        </is>
      </c>
      <c r="G3563" s="7" t="inlineStr">
        <is>
          <t>Printer Ink</t>
        </is>
      </c>
      <c r="H3563" s="7" t="inlineStr">
        <is>
          <t>Home Office</t>
        </is>
      </c>
      <c r="I3563" s="7" t="n">
        <v>12</v>
      </c>
      <c r="J3563" s="10" t="n">
        <v>62.96</v>
      </c>
      <c r="K3563" s="11" t="n">
        <v>0.05</v>
      </c>
      <c r="L3563" s="10">
        <f>I3563*J3563*(1-K3563)</f>
        <v/>
      </c>
      <c r="M3563" s="10" t="n">
        <v>432</v>
      </c>
      <c r="N3563" s="10">
        <f>L3563-M3563</f>
        <v/>
      </c>
    </row>
    <row r="3564">
      <c r="A3564" s="7" t="inlineStr">
        <is>
          <t>ORD-04882</t>
        </is>
      </c>
      <c r="B3564" s="8" t="n">
        <v>45648</v>
      </c>
      <c r="C3564" s="9" t="n">
        <v>45627</v>
      </c>
      <c r="D3564" s="7" t="n">
        <v>2024</v>
      </c>
      <c r="E3564" s="7" t="inlineStr">
        <is>
          <t>North</t>
        </is>
      </c>
      <c r="F3564" s="7" t="inlineStr">
        <is>
          <t>Office Supplies</t>
        </is>
      </c>
      <c r="G3564" s="7" t="inlineStr">
        <is>
          <t>Stapler</t>
        </is>
      </c>
      <c r="H3564" s="7" t="inlineStr">
        <is>
          <t>Consumer</t>
        </is>
      </c>
      <c r="I3564" s="7" t="n">
        <v>4</v>
      </c>
      <c r="J3564" s="10" t="n">
        <v>15.04</v>
      </c>
      <c r="K3564" s="11" t="n">
        <v>0.05</v>
      </c>
      <c r="L3564" s="10">
        <f>I3564*J3564*(1-K3564)</f>
        <v/>
      </c>
      <c r="M3564" s="10" t="n">
        <v>30</v>
      </c>
      <c r="N3564" s="10">
        <f>L3564-M3564</f>
        <v/>
      </c>
    </row>
    <row r="3565">
      <c r="A3565" s="7" t="inlineStr">
        <is>
          <t>ORD-02195</t>
        </is>
      </c>
      <c r="B3565" s="8" t="n">
        <v>45648</v>
      </c>
      <c r="C3565" s="9" t="n">
        <v>45627</v>
      </c>
      <c r="D3565" s="7" t="n">
        <v>2024</v>
      </c>
      <c r="E3565" s="7" t="inlineStr">
        <is>
          <t>North</t>
        </is>
      </c>
      <c r="F3565" s="7" t="inlineStr">
        <is>
          <t>Office Supplies</t>
        </is>
      </c>
      <c r="G3565" s="7" t="inlineStr">
        <is>
          <t>Paper</t>
        </is>
      </c>
      <c r="H3565" s="7" t="inlineStr">
        <is>
          <t>Home Office</t>
        </is>
      </c>
      <c r="I3565" s="7" t="n">
        <v>4</v>
      </c>
      <c r="J3565" s="10" t="n">
        <v>25.05</v>
      </c>
      <c r="K3565" s="11" t="n">
        <v>0.2</v>
      </c>
      <c r="L3565" s="10">
        <f>I3565*J3565*(1-K3565)</f>
        <v/>
      </c>
      <c r="M3565" s="10" t="n">
        <v>50</v>
      </c>
      <c r="N3565" s="10">
        <f>L3565-M3565</f>
        <v/>
      </c>
    </row>
    <row r="3566">
      <c r="A3566" s="7" t="inlineStr">
        <is>
          <t>ORD-03061</t>
        </is>
      </c>
      <c r="B3566" s="8" t="n">
        <v>45648</v>
      </c>
      <c r="C3566" s="9" t="n">
        <v>45627</v>
      </c>
      <c r="D3566" s="7" t="n">
        <v>2024</v>
      </c>
      <c r="E3566" s="7" t="inlineStr">
        <is>
          <t>North</t>
        </is>
      </c>
      <c r="F3566" s="7" t="inlineStr">
        <is>
          <t>Office Supplies</t>
        </is>
      </c>
      <c r="G3566" s="7" t="inlineStr">
        <is>
          <t>Printer Ink</t>
        </is>
      </c>
      <c r="H3566" s="7" t="inlineStr">
        <is>
          <t>Consumer</t>
        </is>
      </c>
      <c r="I3566" s="7" t="n">
        <v>2</v>
      </c>
      <c r="J3566" s="10" t="n">
        <v>59.54</v>
      </c>
      <c r="K3566" s="11" t="n">
        <v>0.05</v>
      </c>
      <c r="L3566" s="10">
        <f>I3566*J3566*(1-K3566)</f>
        <v/>
      </c>
      <c r="M3566" s="10" t="n">
        <v>72</v>
      </c>
      <c r="N3566" s="10">
        <f>L3566-M3566</f>
        <v/>
      </c>
    </row>
    <row r="3567">
      <c r="A3567" s="7" t="inlineStr">
        <is>
          <t>ORD-05608</t>
        </is>
      </c>
      <c r="B3567" s="8" t="n">
        <v>45648</v>
      </c>
      <c r="C3567" s="9" t="n">
        <v>45627</v>
      </c>
      <c r="D3567" s="7" t="n">
        <v>2024</v>
      </c>
      <c r="E3567" s="7" t="inlineStr">
        <is>
          <t>East</t>
        </is>
      </c>
      <c r="F3567" s="7" t="inlineStr">
        <is>
          <t>Furniture</t>
        </is>
      </c>
      <c r="G3567" s="7" t="inlineStr">
        <is>
          <t>Office Chair</t>
        </is>
      </c>
      <c r="H3567" s="7" t="inlineStr">
        <is>
          <t>Consumer</t>
        </is>
      </c>
      <c r="I3567" s="7" t="n">
        <v>4</v>
      </c>
      <c r="J3567" s="10" t="n">
        <v>210.41</v>
      </c>
      <c r="K3567" s="11" t="n">
        <v>0.3</v>
      </c>
      <c r="L3567" s="10">
        <f>I3567*J3567*(1-K3567)</f>
        <v/>
      </c>
      <c r="M3567" s="10" t="n">
        <v>721.6</v>
      </c>
      <c r="N3567" s="10">
        <f>L3567-M3567</f>
        <v/>
      </c>
    </row>
    <row r="3568">
      <c r="A3568" s="7" t="inlineStr">
        <is>
          <t>ORD-00594</t>
        </is>
      </c>
      <c r="B3568" s="8" t="n">
        <v>45649</v>
      </c>
      <c r="C3568" s="9" t="n">
        <v>45627</v>
      </c>
      <c r="D3568" s="7" t="n">
        <v>2024</v>
      </c>
      <c r="E3568" s="7" t="inlineStr">
        <is>
          <t>South</t>
        </is>
      </c>
      <c r="F3568" s="7" t="inlineStr">
        <is>
          <t>Technology</t>
        </is>
      </c>
      <c r="G3568" s="7" t="inlineStr">
        <is>
          <t>Keyboard</t>
        </is>
      </c>
      <c r="H3568" s="7" t="inlineStr">
        <is>
          <t>Consumer</t>
        </is>
      </c>
      <c r="I3568" s="7" t="n">
        <v>2</v>
      </c>
      <c r="J3568" s="10" t="n">
        <v>44.53</v>
      </c>
      <c r="K3568" s="11" t="n">
        <v>0.3</v>
      </c>
      <c r="L3568" s="10">
        <f>I3568*J3568*(1-K3568)</f>
        <v/>
      </c>
      <c r="M3568" s="10" t="n">
        <v>49.5</v>
      </c>
      <c r="N3568" s="10">
        <f>L3568-M3568</f>
        <v/>
      </c>
    </row>
    <row r="3569">
      <c r="A3569" s="7" t="inlineStr">
        <is>
          <t>ORD-02309</t>
        </is>
      </c>
      <c r="B3569" s="8" t="n">
        <v>45649</v>
      </c>
      <c r="C3569" s="9" t="n">
        <v>45627</v>
      </c>
      <c r="D3569" s="7" t="n">
        <v>2024</v>
      </c>
      <c r="E3569" s="7" t="inlineStr">
        <is>
          <t>East</t>
        </is>
      </c>
      <c r="F3569" s="7" t="inlineStr">
        <is>
          <t>Office Supplies</t>
        </is>
      </c>
      <c r="G3569" s="7" t="inlineStr">
        <is>
          <t>Printer Ink</t>
        </is>
      </c>
      <c r="H3569" s="7" t="inlineStr">
        <is>
          <t>Consumer</t>
        </is>
      </c>
      <c r="I3569" s="7" t="n">
        <v>15</v>
      </c>
      <c r="J3569" s="10" t="n">
        <v>58.47</v>
      </c>
      <c r="K3569" s="11" t="n">
        <v>0.05</v>
      </c>
      <c r="L3569" s="10">
        <f>I3569*J3569*(1-K3569)</f>
        <v/>
      </c>
      <c r="M3569" s="10" t="n">
        <v>540</v>
      </c>
      <c r="N3569" s="10">
        <f>L3569-M3569</f>
        <v/>
      </c>
    </row>
    <row r="3570">
      <c r="A3570" s="7" t="inlineStr">
        <is>
          <t>ORD-05543</t>
        </is>
      </c>
      <c r="B3570" s="8" t="n">
        <v>45649</v>
      </c>
      <c r="C3570" s="9" t="n">
        <v>45627</v>
      </c>
      <c r="D3570" s="7" t="n">
        <v>2024</v>
      </c>
      <c r="E3570" s="7" t="inlineStr">
        <is>
          <t>East</t>
        </is>
      </c>
      <c r="F3570" s="7" t="inlineStr">
        <is>
          <t>Office Supplies</t>
        </is>
      </c>
      <c r="G3570" s="7" t="inlineStr">
        <is>
          <t>Pens</t>
        </is>
      </c>
      <c r="H3570" s="7" t="inlineStr">
        <is>
          <t>Consumer</t>
        </is>
      </c>
      <c r="I3570" s="7" t="n">
        <v>14</v>
      </c>
      <c r="J3570" s="10" t="n">
        <v>12.33</v>
      </c>
      <c r="K3570" s="11" t="n">
        <v>0</v>
      </c>
      <c r="L3570" s="10">
        <f>I3570*J3570*(1-K3570)</f>
        <v/>
      </c>
      <c r="M3570" s="10" t="n">
        <v>75.59999999999999</v>
      </c>
      <c r="N3570" s="10">
        <f>L3570-M3570</f>
        <v/>
      </c>
    </row>
    <row r="3571">
      <c r="A3571" s="7" t="inlineStr">
        <is>
          <t>ORD-00197</t>
        </is>
      </c>
      <c r="B3571" s="8" t="n">
        <v>45649</v>
      </c>
      <c r="C3571" s="9" t="n">
        <v>45627</v>
      </c>
      <c r="D3571" s="7" t="n">
        <v>2024</v>
      </c>
      <c r="E3571" s="7" t="inlineStr">
        <is>
          <t>South</t>
        </is>
      </c>
      <c r="F3571" s="7" t="inlineStr">
        <is>
          <t>Technology</t>
        </is>
      </c>
      <c r="G3571" s="7" t="inlineStr">
        <is>
          <t>Laptop</t>
        </is>
      </c>
      <c r="H3571" s="7" t="inlineStr">
        <is>
          <t>Consumer</t>
        </is>
      </c>
      <c r="I3571" s="7" t="n">
        <v>3</v>
      </c>
      <c r="J3571" s="10" t="n">
        <v>902.6799999999999</v>
      </c>
      <c r="K3571" s="11" t="n">
        <v>0.05</v>
      </c>
      <c r="L3571" s="10">
        <f>I3571*J3571*(1-K3571)</f>
        <v/>
      </c>
      <c r="M3571" s="10" t="n">
        <v>2106</v>
      </c>
      <c r="N3571" s="10">
        <f>L3571-M3571</f>
        <v/>
      </c>
    </row>
    <row r="3572">
      <c r="A3572" s="7" t="inlineStr">
        <is>
          <t>ORD-03152</t>
        </is>
      </c>
      <c r="B3572" s="8" t="n">
        <v>45649</v>
      </c>
      <c r="C3572" s="9" t="n">
        <v>45627</v>
      </c>
      <c r="D3572" s="7" t="n">
        <v>2024</v>
      </c>
      <c r="E3572" s="7" t="inlineStr">
        <is>
          <t>East</t>
        </is>
      </c>
      <c r="F3572" s="7" t="inlineStr">
        <is>
          <t>Office Supplies</t>
        </is>
      </c>
      <c r="G3572" s="7" t="inlineStr">
        <is>
          <t>Stapler</t>
        </is>
      </c>
      <c r="H3572" s="7" t="inlineStr">
        <is>
          <t>Home Office</t>
        </is>
      </c>
      <c r="I3572" s="7" t="n">
        <v>4</v>
      </c>
      <c r="J3572" s="10" t="n">
        <v>15.51</v>
      </c>
      <c r="K3572" s="11" t="n">
        <v>0</v>
      </c>
      <c r="L3572" s="10">
        <f>I3572*J3572*(1-K3572)</f>
        <v/>
      </c>
      <c r="M3572" s="10" t="n">
        <v>30</v>
      </c>
      <c r="N3572" s="10">
        <f>L3572-M3572</f>
        <v/>
      </c>
    </row>
    <row r="3573">
      <c r="A3573" s="7" t="inlineStr">
        <is>
          <t>ORD-03633</t>
        </is>
      </c>
      <c r="B3573" s="8" t="n">
        <v>45649</v>
      </c>
      <c r="C3573" s="9" t="n">
        <v>45627</v>
      </c>
      <c r="D3573" s="7" t="n">
        <v>2024</v>
      </c>
      <c r="E3573" s="7" t="inlineStr">
        <is>
          <t>West</t>
        </is>
      </c>
      <c r="F3573" s="7" t="inlineStr">
        <is>
          <t>Office Supplies</t>
        </is>
      </c>
      <c r="G3573" s="7" t="inlineStr">
        <is>
          <t>Pens</t>
        </is>
      </c>
      <c r="H3573" s="7" t="inlineStr">
        <is>
          <t>Consumer</t>
        </is>
      </c>
      <c r="I3573" s="7" t="n">
        <v>2</v>
      </c>
      <c r="J3573" s="10" t="n">
        <v>12.58</v>
      </c>
      <c r="K3573" s="11" t="n">
        <v>0.05</v>
      </c>
      <c r="L3573" s="10">
        <f>I3573*J3573*(1-K3573)</f>
        <v/>
      </c>
      <c r="M3573" s="10" t="n">
        <v>10.8</v>
      </c>
      <c r="N3573" s="10">
        <f>L3573-M3573</f>
        <v/>
      </c>
    </row>
    <row r="3574">
      <c r="A3574" s="7" t="inlineStr">
        <is>
          <t>ORD-01919</t>
        </is>
      </c>
      <c r="B3574" s="8" t="n">
        <v>45649</v>
      </c>
      <c r="C3574" s="9" t="n">
        <v>45627</v>
      </c>
      <c r="D3574" s="7" t="n">
        <v>2024</v>
      </c>
      <c r="E3574" s="7" t="inlineStr">
        <is>
          <t>North</t>
        </is>
      </c>
      <c r="F3574" s="7" t="inlineStr">
        <is>
          <t>Technology</t>
        </is>
      </c>
      <c r="G3574" s="7" t="inlineStr">
        <is>
          <t>Laptop</t>
        </is>
      </c>
      <c r="H3574" s="7" t="inlineStr">
        <is>
          <t>Consumer</t>
        </is>
      </c>
      <c r="I3574" s="7" t="n">
        <v>3</v>
      </c>
      <c r="J3574" s="10" t="n">
        <v>907.4299999999999</v>
      </c>
      <c r="K3574" s="11" t="n">
        <v>0.2</v>
      </c>
      <c r="L3574" s="10">
        <f>I3574*J3574*(1-K3574)</f>
        <v/>
      </c>
      <c r="M3574" s="10" t="n">
        <v>2106</v>
      </c>
      <c r="N3574" s="10">
        <f>L3574-M3574</f>
        <v/>
      </c>
    </row>
    <row r="3575">
      <c r="A3575" s="7" t="inlineStr">
        <is>
          <t>ORD-00360</t>
        </is>
      </c>
      <c r="B3575" s="8" t="n">
        <v>45650</v>
      </c>
      <c r="C3575" s="9" t="n">
        <v>45627</v>
      </c>
      <c r="D3575" s="7" t="n">
        <v>2024</v>
      </c>
      <c r="E3575" s="7" t="inlineStr">
        <is>
          <t>East</t>
        </is>
      </c>
      <c r="F3575" s="7" t="inlineStr">
        <is>
          <t>Technology</t>
        </is>
      </c>
      <c r="G3575" s="7" t="inlineStr">
        <is>
          <t>Monitor</t>
        </is>
      </c>
      <c r="H3575" s="7" t="inlineStr">
        <is>
          <t>Home Office</t>
        </is>
      </c>
      <c r="I3575" s="7" t="n">
        <v>2</v>
      </c>
      <c r="J3575" s="10" t="n">
        <v>238.54</v>
      </c>
      <c r="K3575" s="11" t="n">
        <v>0</v>
      </c>
      <c r="L3575" s="10">
        <f>I3575*J3575*(1-K3575)</f>
        <v/>
      </c>
      <c r="M3575" s="10" t="n">
        <v>360</v>
      </c>
      <c r="N3575" s="10">
        <f>L3575-M3575</f>
        <v/>
      </c>
    </row>
    <row r="3576">
      <c r="A3576" s="7" t="inlineStr">
        <is>
          <t>ORD-00790</t>
        </is>
      </c>
      <c r="B3576" s="8" t="n">
        <v>45650</v>
      </c>
      <c r="C3576" s="9" t="n">
        <v>45627</v>
      </c>
      <c r="D3576" s="7" t="n">
        <v>2024</v>
      </c>
      <c r="E3576" s="7" t="inlineStr">
        <is>
          <t>North</t>
        </is>
      </c>
      <c r="F3576" s="7" t="inlineStr">
        <is>
          <t>Office Supplies</t>
        </is>
      </c>
      <c r="G3576" s="7" t="inlineStr">
        <is>
          <t>Pens</t>
        </is>
      </c>
      <c r="H3576" s="7" t="inlineStr">
        <is>
          <t>Consumer</t>
        </is>
      </c>
      <c r="I3576" s="7" t="n">
        <v>8</v>
      </c>
      <c r="J3576" s="10" t="n">
        <v>12.27</v>
      </c>
      <c r="K3576" s="11" t="n">
        <v>0.05</v>
      </c>
      <c r="L3576" s="10">
        <f>I3576*J3576*(1-K3576)</f>
        <v/>
      </c>
      <c r="M3576" s="10" t="n">
        <v>43.2</v>
      </c>
      <c r="N3576" s="10">
        <f>L3576-M3576</f>
        <v/>
      </c>
    </row>
    <row r="3577">
      <c r="A3577" s="7" t="inlineStr">
        <is>
          <t>ORD-03692</t>
        </is>
      </c>
      <c r="B3577" s="8" t="n">
        <v>45650</v>
      </c>
      <c r="C3577" s="9" t="n">
        <v>45627</v>
      </c>
      <c r="D3577" s="7" t="n">
        <v>2024</v>
      </c>
      <c r="E3577" s="7" t="inlineStr">
        <is>
          <t>West</t>
        </is>
      </c>
      <c r="F3577" s="7" t="inlineStr">
        <is>
          <t>Office Supplies</t>
        </is>
      </c>
      <c r="G3577" s="7" t="inlineStr">
        <is>
          <t>Paper</t>
        </is>
      </c>
      <c r="H3577" s="7" t="inlineStr">
        <is>
          <t>Consumer</t>
        </is>
      </c>
      <c r="I3577" s="7" t="n">
        <v>6</v>
      </c>
      <c r="J3577" s="10" t="n">
        <v>26.14</v>
      </c>
      <c r="K3577" s="11" t="n">
        <v>0.2</v>
      </c>
      <c r="L3577" s="10">
        <f>I3577*J3577*(1-K3577)</f>
        <v/>
      </c>
      <c r="M3577" s="10" t="n">
        <v>75</v>
      </c>
      <c r="N3577" s="10">
        <f>L3577-M3577</f>
        <v/>
      </c>
    </row>
    <row r="3578">
      <c r="A3578" s="7" t="inlineStr">
        <is>
          <t>ORD-05544</t>
        </is>
      </c>
      <c r="B3578" s="8" t="n">
        <v>45650</v>
      </c>
      <c r="C3578" s="9" t="n">
        <v>45627</v>
      </c>
      <c r="D3578" s="7" t="n">
        <v>2024</v>
      </c>
      <c r="E3578" s="7" t="inlineStr">
        <is>
          <t>North</t>
        </is>
      </c>
      <c r="F3578" s="7" t="inlineStr">
        <is>
          <t>Office Supplies</t>
        </is>
      </c>
      <c r="G3578" s="7" t="inlineStr">
        <is>
          <t>Pens</t>
        </is>
      </c>
      <c r="H3578" s="7" t="inlineStr">
        <is>
          <t>Consumer</t>
        </is>
      </c>
      <c r="I3578" s="7" t="n">
        <v>6</v>
      </c>
      <c r="J3578" s="10" t="n">
        <v>12.28</v>
      </c>
      <c r="K3578" s="11" t="n">
        <v>0.05</v>
      </c>
      <c r="L3578" s="10">
        <f>I3578*J3578*(1-K3578)</f>
        <v/>
      </c>
      <c r="M3578" s="10" t="n">
        <v>32.4</v>
      </c>
      <c r="N3578" s="10">
        <f>L3578-M3578</f>
        <v/>
      </c>
    </row>
    <row r="3579">
      <c r="A3579" s="7" t="inlineStr">
        <is>
          <t>ORD-03165</t>
        </is>
      </c>
      <c r="B3579" s="8" t="n">
        <v>45650</v>
      </c>
      <c r="C3579" s="9" t="n">
        <v>45627</v>
      </c>
      <c r="D3579" s="7" t="n">
        <v>2024</v>
      </c>
      <c r="E3579" s="7" t="inlineStr">
        <is>
          <t>East</t>
        </is>
      </c>
      <c r="F3579" s="7" t="inlineStr">
        <is>
          <t>Technology</t>
        </is>
      </c>
      <c r="G3579" s="7" t="inlineStr">
        <is>
          <t>Monitor</t>
        </is>
      </c>
      <c r="H3579" s="7" t="inlineStr">
        <is>
          <t>Corporate</t>
        </is>
      </c>
      <c r="I3579" s="7" t="n">
        <v>1</v>
      </c>
      <c r="J3579" s="10" t="n">
        <v>261.55</v>
      </c>
      <c r="K3579" s="11" t="n">
        <v>0</v>
      </c>
      <c r="L3579" s="10">
        <f>I3579*J3579*(1-K3579)</f>
        <v/>
      </c>
      <c r="M3579" s="10" t="n">
        <v>180</v>
      </c>
      <c r="N3579" s="10">
        <f>L3579-M3579</f>
        <v/>
      </c>
    </row>
    <row r="3580">
      <c r="A3580" s="7" t="inlineStr">
        <is>
          <t>ORD-01012</t>
        </is>
      </c>
      <c r="B3580" s="8" t="n">
        <v>45650</v>
      </c>
      <c r="C3580" s="9" t="n">
        <v>45627</v>
      </c>
      <c r="D3580" s="7" t="n">
        <v>2024</v>
      </c>
      <c r="E3580" s="7" t="inlineStr">
        <is>
          <t>North</t>
        </is>
      </c>
      <c r="F3580" s="7" t="inlineStr">
        <is>
          <t>Office Supplies</t>
        </is>
      </c>
      <c r="G3580" s="7" t="inlineStr">
        <is>
          <t>Binder</t>
        </is>
      </c>
      <c r="H3580" s="7" t="inlineStr">
        <is>
          <t>Corporate</t>
        </is>
      </c>
      <c r="I3580" s="7" t="n">
        <v>14</v>
      </c>
      <c r="J3580" s="10" t="n">
        <v>7.95</v>
      </c>
      <c r="K3580" s="11" t="n">
        <v>0.05</v>
      </c>
      <c r="L3580" s="10">
        <f>I3580*J3580*(1-K3580)</f>
        <v/>
      </c>
      <c r="M3580" s="10" t="n">
        <v>44.8</v>
      </c>
      <c r="N3580" s="10">
        <f>L3580-M3580</f>
        <v/>
      </c>
    </row>
    <row r="3581">
      <c r="A3581" s="7" t="inlineStr">
        <is>
          <t>ORD-03309</t>
        </is>
      </c>
      <c r="B3581" s="8" t="n">
        <v>45650</v>
      </c>
      <c r="C3581" s="9" t="n">
        <v>45627</v>
      </c>
      <c r="D3581" s="7" t="n">
        <v>2024</v>
      </c>
      <c r="E3581" s="7" t="inlineStr">
        <is>
          <t>East</t>
        </is>
      </c>
      <c r="F3581" s="7" t="inlineStr">
        <is>
          <t>Office Supplies</t>
        </is>
      </c>
      <c r="G3581" s="7" t="inlineStr">
        <is>
          <t>Stapler</t>
        </is>
      </c>
      <c r="H3581" s="7" t="inlineStr">
        <is>
          <t>Corporate</t>
        </is>
      </c>
      <c r="I3581" s="7" t="n">
        <v>15</v>
      </c>
      <c r="J3581" s="10" t="n">
        <v>14.45</v>
      </c>
      <c r="K3581" s="11" t="n">
        <v>0</v>
      </c>
      <c r="L3581" s="10">
        <f>I3581*J3581*(1-K3581)</f>
        <v/>
      </c>
      <c r="M3581" s="10" t="n">
        <v>112.5</v>
      </c>
      <c r="N3581" s="10">
        <f>L3581-M3581</f>
        <v/>
      </c>
    </row>
    <row r="3582">
      <c r="A3582" s="7" t="inlineStr">
        <is>
          <t>ORD-05019</t>
        </is>
      </c>
      <c r="B3582" s="8" t="n">
        <v>45650</v>
      </c>
      <c r="C3582" s="9" t="n">
        <v>45627</v>
      </c>
      <c r="D3582" s="7" t="n">
        <v>2024</v>
      </c>
      <c r="E3582" s="7" t="inlineStr">
        <is>
          <t>West</t>
        </is>
      </c>
      <c r="F3582" s="7" t="inlineStr">
        <is>
          <t>Office Supplies</t>
        </is>
      </c>
      <c r="G3582" s="7" t="inlineStr">
        <is>
          <t>Binder</t>
        </is>
      </c>
      <c r="H3582" s="7" t="inlineStr">
        <is>
          <t>Corporate</t>
        </is>
      </c>
      <c r="I3582" s="7" t="n">
        <v>14</v>
      </c>
      <c r="J3582" s="10" t="n">
        <v>8.039999999999999</v>
      </c>
      <c r="K3582" s="11" t="n">
        <v>0.3</v>
      </c>
      <c r="L3582" s="10">
        <f>I3582*J3582*(1-K3582)</f>
        <v/>
      </c>
      <c r="M3582" s="10" t="n">
        <v>44.8</v>
      </c>
      <c r="N3582" s="10">
        <f>L3582-M3582</f>
        <v/>
      </c>
    </row>
    <row r="3583">
      <c r="A3583" s="7" t="inlineStr">
        <is>
          <t>ORD-00524</t>
        </is>
      </c>
      <c r="B3583" s="8" t="n">
        <v>45650</v>
      </c>
      <c r="C3583" s="9" t="n">
        <v>45627</v>
      </c>
      <c r="D3583" s="7" t="n">
        <v>2024</v>
      </c>
      <c r="E3583" s="7" t="inlineStr">
        <is>
          <t>West</t>
        </is>
      </c>
      <c r="F3583" s="7" t="inlineStr">
        <is>
          <t>Technology</t>
        </is>
      </c>
      <c r="G3583" s="7" t="inlineStr">
        <is>
          <t>Monitor</t>
        </is>
      </c>
      <c r="H3583" s="7" t="inlineStr">
        <is>
          <t>Consumer</t>
        </is>
      </c>
      <c r="I3583" s="7" t="n">
        <v>3</v>
      </c>
      <c r="J3583" s="10" t="n">
        <v>256.99</v>
      </c>
      <c r="K3583" s="11" t="n">
        <v>0</v>
      </c>
      <c r="L3583" s="10">
        <f>I3583*J3583*(1-K3583)</f>
        <v/>
      </c>
      <c r="M3583" s="10" t="n">
        <v>540</v>
      </c>
      <c r="N3583" s="10">
        <f>L3583-M3583</f>
        <v/>
      </c>
    </row>
    <row r="3584">
      <c r="A3584" s="7" t="inlineStr">
        <is>
          <t>ORD-05861</t>
        </is>
      </c>
      <c r="B3584" s="8" t="n">
        <v>45651</v>
      </c>
      <c r="C3584" s="9" t="n">
        <v>45627</v>
      </c>
      <c r="D3584" s="7" t="n">
        <v>2024</v>
      </c>
      <c r="E3584" s="7" t="inlineStr">
        <is>
          <t>North</t>
        </is>
      </c>
      <c r="F3584" s="7" t="inlineStr">
        <is>
          <t>Technology</t>
        </is>
      </c>
      <c r="G3584" s="7" t="inlineStr">
        <is>
          <t>Laptop</t>
        </is>
      </c>
      <c r="H3584" s="7" t="inlineStr">
        <is>
          <t>Home Office</t>
        </is>
      </c>
      <c r="I3584" s="7" t="n">
        <v>1</v>
      </c>
      <c r="J3584" s="10" t="n">
        <v>935.46</v>
      </c>
      <c r="K3584" s="11" t="n">
        <v>0.2</v>
      </c>
      <c r="L3584" s="10">
        <f>I3584*J3584*(1-K3584)</f>
        <v/>
      </c>
      <c r="M3584" s="10" t="n">
        <v>702</v>
      </c>
      <c r="N3584" s="10">
        <f>L3584-M3584</f>
        <v/>
      </c>
    </row>
    <row r="3585">
      <c r="A3585" s="7" t="inlineStr">
        <is>
          <t>ORD-05430</t>
        </is>
      </c>
      <c r="B3585" s="8" t="n">
        <v>45651</v>
      </c>
      <c r="C3585" s="9" t="n">
        <v>45627</v>
      </c>
      <c r="D3585" s="7" t="n">
        <v>2024</v>
      </c>
      <c r="E3585" s="7" t="inlineStr">
        <is>
          <t>North</t>
        </is>
      </c>
      <c r="F3585" s="7" t="inlineStr">
        <is>
          <t>Technology</t>
        </is>
      </c>
      <c r="G3585" s="7" t="inlineStr">
        <is>
          <t>Smartphone</t>
        </is>
      </c>
      <c r="H3585" s="7" t="inlineStr">
        <is>
          <t>Consumer</t>
        </is>
      </c>
      <c r="I3585" s="7" t="n">
        <v>2</v>
      </c>
      <c r="J3585" s="10" t="n">
        <v>591.38</v>
      </c>
      <c r="K3585" s="11" t="n">
        <v>0.3</v>
      </c>
      <c r="L3585" s="10">
        <f>I3585*J3585*(1-K3585)</f>
        <v/>
      </c>
      <c r="M3585" s="10" t="n">
        <v>900</v>
      </c>
      <c r="N3585" s="10">
        <f>L3585-M3585</f>
        <v/>
      </c>
    </row>
    <row r="3586">
      <c r="A3586" s="7" t="inlineStr">
        <is>
          <t>ORD-00882</t>
        </is>
      </c>
      <c r="B3586" s="8" t="n">
        <v>45651</v>
      </c>
      <c r="C3586" s="9" t="n">
        <v>45627</v>
      </c>
      <c r="D3586" s="7" t="n">
        <v>2024</v>
      </c>
      <c r="E3586" s="7" t="inlineStr">
        <is>
          <t>South</t>
        </is>
      </c>
      <c r="F3586" s="7" t="inlineStr">
        <is>
          <t>Office Supplies</t>
        </is>
      </c>
      <c r="G3586" s="7" t="inlineStr">
        <is>
          <t>Binder</t>
        </is>
      </c>
      <c r="H3586" s="7" t="inlineStr">
        <is>
          <t>Corporate</t>
        </is>
      </c>
      <c r="I3586" s="7" t="n">
        <v>7</v>
      </c>
      <c r="J3586" s="10" t="n">
        <v>8.140000000000001</v>
      </c>
      <c r="K3586" s="11" t="n">
        <v>0.05</v>
      </c>
      <c r="L3586" s="10">
        <f>I3586*J3586*(1-K3586)</f>
        <v/>
      </c>
      <c r="M3586" s="10" t="n">
        <v>22.4</v>
      </c>
      <c r="N3586" s="10">
        <f>L3586-M3586</f>
        <v/>
      </c>
    </row>
    <row r="3587">
      <c r="A3587" s="7" t="inlineStr">
        <is>
          <t>ORD-01207</t>
        </is>
      </c>
      <c r="B3587" s="8" t="n">
        <v>45651</v>
      </c>
      <c r="C3587" s="9" t="n">
        <v>45627</v>
      </c>
      <c r="D3587" s="7" t="n">
        <v>2024</v>
      </c>
      <c r="E3587" s="7" t="inlineStr">
        <is>
          <t>East</t>
        </is>
      </c>
      <c r="F3587" s="7" t="inlineStr">
        <is>
          <t>Technology</t>
        </is>
      </c>
      <c r="G3587" s="7" t="inlineStr">
        <is>
          <t>Laptop</t>
        </is>
      </c>
      <c r="H3587" s="7" t="inlineStr">
        <is>
          <t>Consumer</t>
        </is>
      </c>
      <c r="I3587" s="7" t="n">
        <v>1</v>
      </c>
      <c r="J3587" s="10" t="n">
        <v>889.77</v>
      </c>
      <c r="K3587" s="11" t="n">
        <v>0.2</v>
      </c>
      <c r="L3587" s="10">
        <f>I3587*J3587*(1-K3587)</f>
        <v/>
      </c>
      <c r="M3587" s="10" t="n">
        <v>702</v>
      </c>
      <c r="N3587" s="10">
        <f>L3587-M3587</f>
        <v/>
      </c>
    </row>
    <row r="3588">
      <c r="A3588" s="7" t="inlineStr">
        <is>
          <t>ORD-05117</t>
        </is>
      </c>
      <c r="B3588" s="8" t="n">
        <v>45651</v>
      </c>
      <c r="C3588" s="9" t="n">
        <v>45627</v>
      </c>
      <c r="D3588" s="7" t="n">
        <v>2024</v>
      </c>
      <c r="E3588" s="7" t="inlineStr">
        <is>
          <t>West</t>
        </is>
      </c>
      <c r="F3588" s="7" t="inlineStr">
        <is>
          <t>Office Supplies</t>
        </is>
      </c>
      <c r="G3588" s="7" t="inlineStr">
        <is>
          <t>Printer Ink</t>
        </is>
      </c>
      <c r="H3588" s="7" t="inlineStr">
        <is>
          <t>Consumer</t>
        </is>
      </c>
      <c r="I3588" s="7" t="n">
        <v>14</v>
      </c>
      <c r="J3588" s="10" t="n">
        <v>62.4</v>
      </c>
      <c r="K3588" s="11" t="n">
        <v>0.05</v>
      </c>
      <c r="L3588" s="10">
        <f>I3588*J3588*(1-K3588)</f>
        <v/>
      </c>
      <c r="M3588" s="10" t="n">
        <v>504</v>
      </c>
      <c r="N3588" s="10">
        <f>L3588-M3588</f>
        <v/>
      </c>
    </row>
    <row r="3589">
      <c r="A3589" s="7" t="inlineStr">
        <is>
          <t>ORD-02039</t>
        </is>
      </c>
      <c r="B3589" s="8" t="n">
        <v>45651</v>
      </c>
      <c r="C3589" s="9" t="n">
        <v>45627</v>
      </c>
      <c r="D3589" s="7" t="n">
        <v>2024</v>
      </c>
      <c r="E3589" s="7" t="inlineStr">
        <is>
          <t>West</t>
        </is>
      </c>
      <c r="F3589" s="7" t="inlineStr">
        <is>
          <t>Technology</t>
        </is>
      </c>
      <c r="G3589" s="7" t="inlineStr">
        <is>
          <t>Monitor</t>
        </is>
      </c>
      <c r="H3589" s="7" t="inlineStr">
        <is>
          <t>Home Office</t>
        </is>
      </c>
      <c r="I3589" s="7" t="n">
        <v>1</v>
      </c>
      <c r="J3589" s="10" t="n">
        <v>243.98</v>
      </c>
      <c r="K3589" s="11" t="n">
        <v>0</v>
      </c>
      <c r="L3589" s="10">
        <f>I3589*J3589*(1-K3589)</f>
        <v/>
      </c>
      <c r="M3589" s="10" t="n">
        <v>180</v>
      </c>
      <c r="N3589" s="10">
        <f>L3589-M3589</f>
        <v/>
      </c>
    </row>
    <row r="3590">
      <c r="A3590" s="7" t="inlineStr">
        <is>
          <t>ORD-02378</t>
        </is>
      </c>
      <c r="B3590" s="8" t="n">
        <v>45651</v>
      </c>
      <c r="C3590" s="9" t="n">
        <v>45627</v>
      </c>
      <c r="D3590" s="7" t="n">
        <v>2024</v>
      </c>
      <c r="E3590" s="7" t="inlineStr">
        <is>
          <t>North</t>
        </is>
      </c>
      <c r="F3590" s="7" t="inlineStr">
        <is>
          <t>Office Supplies</t>
        </is>
      </c>
      <c r="G3590" s="7" t="inlineStr">
        <is>
          <t>Pens</t>
        </is>
      </c>
      <c r="H3590" s="7" t="inlineStr">
        <is>
          <t>Corporate</t>
        </is>
      </c>
      <c r="I3590" s="7" t="n">
        <v>14</v>
      </c>
      <c r="J3590" s="10" t="n">
        <v>11.89</v>
      </c>
      <c r="K3590" s="11" t="n">
        <v>0.05</v>
      </c>
      <c r="L3590" s="10">
        <f>I3590*J3590*(1-K3590)</f>
        <v/>
      </c>
      <c r="M3590" s="10" t="n">
        <v>75.59999999999999</v>
      </c>
      <c r="N3590" s="10">
        <f>L3590-M3590</f>
        <v/>
      </c>
    </row>
    <row r="3591">
      <c r="A3591" s="7" t="inlineStr">
        <is>
          <t>ORD-05257</t>
        </is>
      </c>
      <c r="B3591" s="8" t="n">
        <v>45651</v>
      </c>
      <c r="C3591" s="9" t="n">
        <v>45627</v>
      </c>
      <c r="D3591" s="7" t="n">
        <v>2024</v>
      </c>
      <c r="E3591" s="7" t="inlineStr">
        <is>
          <t>West</t>
        </is>
      </c>
      <c r="F3591" s="7" t="inlineStr">
        <is>
          <t>Furniture</t>
        </is>
      </c>
      <c r="G3591" s="7" t="inlineStr">
        <is>
          <t>Bookcase</t>
        </is>
      </c>
      <c r="H3591" s="7" t="inlineStr">
        <is>
          <t>Consumer</t>
        </is>
      </c>
      <c r="I3591" s="7" t="n">
        <v>3</v>
      </c>
      <c r="J3591" s="10" t="n">
        <v>172.61</v>
      </c>
      <c r="K3591" s="11" t="n">
        <v>0.05</v>
      </c>
      <c r="L3591" s="10">
        <f>I3591*J3591*(1-K3591)</f>
        <v/>
      </c>
      <c r="M3591" s="10" t="n">
        <v>432</v>
      </c>
      <c r="N3591" s="10">
        <f>L3591-M3591</f>
        <v/>
      </c>
    </row>
    <row r="3592">
      <c r="A3592" s="7" t="inlineStr">
        <is>
          <t>ORD-01824</t>
        </is>
      </c>
      <c r="B3592" s="8" t="n">
        <v>45651</v>
      </c>
      <c r="C3592" s="9" t="n">
        <v>45627</v>
      </c>
      <c r="D3592" s="7" t="n">
        <v>2024</v>
      </c>
      <c r="E3592" s="7" t="inlineStr">
        <is>
          <t>West</t>
        </is>
      </c>
      <c r="F3592" s="7" t="inlineStr">
        <is>
          <t>Office Supplies</t>
        </is>
      </c>
      <c r="G3592" s="7" t="inlineStr">
        <is>
          <t>Pens</t>
        </is>
      </c>
      <c r="H3592" s="7" t="inlineStr">
        <is>
          <t>Home Office</t>
        </is>
      </c>
      <c r="I3592" s="7" t="n">
        <v>7</v>
      </c>
      <c r="J3592" s="10" t="n">
        <v>12.13</v>
      </c>
      <c r="K3592" s="11" t="n">
        <v>0.3</v>
      </c>
      <c r="L3592" s="10">
        <f>I3592*J3592*(1-K3592)</f>
        <v/>
      </c>
      <c r="M3592" s="10" t="n">
        <v>37.8</v>
      </c>
      <c r="N3592" s="10">
        <f>L3592-M3592</f>
        <v/>
      </c>
    </row>
    <row r="3593">
      <c r="A3593" s="7" t="inlineStr">
        <is>
          <t>ORD-04227</t>
        </is>
      </c>
      <c r="B3593" s="8" t="n">
        <v>45652</v>
      </c>
      <c r="C3593" s="9" t="n">
        <v>45627</v>
      </c>
      <c r="D3593" s="7" t="n">
        <v>2024</v>
      </c>
      <c r="E3593" s="7" t="inlineStr">
        <is>
          <t>South</t>
        </is>
      </c>
      <c r="F3593" s="7" t="inlineStr">
        <is>
          <t>Technology</t>
        </is>
      </c>
      <c r="G3593" s="7" t="inlineStr">
        <is>
          <t>Headphones</t>
        </is>
      </c>
      <c r="H3593" s="7" t="inlineStr">
        <is>
          <t>Home Office</t>
        </is>
      </c>
      <c r="I3593" s="7" t="n">
        <v>1</v>
      </c>
      <c r="J3593" s="10" t="n">
        <v>118.79</v>
      </c>
      <c r="K3593" s="11" t="n">
        <v>0</v>
      </c>
      <c r="L3593" s="10">
        <f>I3593*J3593*(1-K3593)</f>
        <v/>
      </c>
      <c r="M3593" s="10" t="n">
        <v>72</v>
      </c>
      <c r="N3593" s="10">
        <f>L3593-M3593</f>
        <v/>
      </c>
    </row>
    <row r="3594">
      <c r="A3594" s="7" t="inlineStr">
        <is>
          <t>ORD-05327</t>
        </is>
      </c>
      <c r="B3594" s="8" t="n">
        <v>45652</v>
      </c>
      <c r="C3594" s="9" t="n">
        <v>45627</v>
      </c>
      <c r="D3594" s="7" t="n">
        <v>2024</v>
      </c>
      <c r="E3594" s="7" t="inlineStr">
        <is>
          <t>South</t>
        </is>
      </c>
      <c r="F3594" s="7" t="inlineStr">
        <is>
          <t>Office Supplies</t>
        </is>
      </c>
      <c r="G3594" s="7" t="inlineStr">
        <is>
          <t>Stapler</t>
        </is>
      </c>
      <c r="H3594" s="7" t="inlineStr">
        <is>
          <t>Home Office</t>
        </is>
      </c>
      <c r="I3594" s="7" t="n">
        <v>10</v>
      </c>
      <c r="J3594" s="10" t="n">
        <v>15.12</v>
      </c>
      <c r="K3594" s="11" t="n">
        <v>0</v>
      </c>
      <c r="L3594" s="10">
        <f>I3594*J3594*(1-K3594)</f>
        <v/>
      </c>
      <c r="M3594" s="10" t="n">
        <v>75</v>
      </c>
      <c r="N3594" s="10">
        <f>L3594-M3594</f>
        <v/>
      </c>
    </row>
    <row r="3595">
      <c r="A3595" s="7" t="inlineStr">
        <is>
          <t>ORD-04883</t>
        </is>
      </c>
      <c r="B3595" s="8" t="n">
        <v>45652</v>
      </c>
      <c r="C3595" s="9" t="n">
        <v>45627</v>
      </c>
      <c r="D3595" s="7" t="n">
        <v>2024</v>
      </c>
      <c r="E3595" s="7" t="inlineStr">
        <is>
          <t>South</t>
        </is>
      </c>
      <c r="F3595" s="7" t="inlineStr">
        <is>
          <t>Furniture</t>
        </is>
      </c>
      <c r="G3595" s="7" t="inlineStr">
        <is>
          <t>Desk</t>
        </is>
      </c>
      <c r="H3595" s="7" t="inlineStr">
        <is>
          <t>Corporate</t>
        </is>
      </c>
      <c r="I3595" s="7" t="n">
        <v>3</v>
      </c>
      <c r="J3595" s="10" t="n">
        <v>456.75</v>
      </c>
      <c r="K3595" s="11" t="n">
        <v>0.2</v>
      </c>
      <c r="L3595" s="10">
        <f>I3595*J3595*(1-K3595)</f>
        <v/>
      </c>
      <c r="M3595" s="10" t="n">
        <v>1147.5</v>
      </c>
      <c r="N3595" s="10">
        <f>L3595-M3595</f>
        <v/>
      </c>
    </row>
    <row r="3596">
      <c r="A3596" s="7" t="inlineStr">
        <is>
          <t>ORD-00784</t>
        </is>
      </c>
      <c r="B3596" s="8" t="n">
        <v>45652</v>
      </c>
      <c r="C3596" s="9" t="n">
        <v>45627</v>
      </c>
      <c r="D3596" s="7" t="n">
        <v>2024</v>
      </c>
      <c r="E3596" s="7" t="inlineStr">
        <is>
          <t>West</t>
        </is>
      </c>
      <c r="F3596" s="7" t="inlineStr">
        <is>
          <t>Technology</t>
        </is>
      </c>
      <c r="G3596" s="7" t="inlineStr">
        <is>
          <t>Smartphone</t>
        </is>
      </c>
      <c r="H3596" s="7" t="inlineStr">
        <is>
          <t>Corporate</t>
        </is>
      </c>
      <c r="I3596" s="7" t="n">
        <v>1</v>
      </c>
      <c r="J3596" s="10" t="n">
        <v>617.17</v>
      </c>
      <c r="K3596" s="11" t="n">
        <v>0.05</v>
      </c>
      <c r="L3596" s="10">
        <f>I3596*J3596*(1-K3596)</f>
        <v/>
      </c>
      <c r="M3596" s="10" t="n">
        <v>450</v>
      </c>
      <c r="N3596" s="10">
        <f>L3596-M3596</f>
        <v/>
      </c>
    </row>
    <row r="3597">
      <c r="A3597" s="7" t="inlineStr">
        <is>
          <t>ORD-02155</t>
        </is>
      </c>
      <c r="B3597" s="8" t="n">
        <v>45652</v>
      </c>
      <c r="C3597" s="9" t="n">
        <v>45627</v>
      </c>
      <c r="D3597" s="7" t="n">
        <v>2024</v>
      </c>
      <c r="E3597" s="7" t="inlineStr">
        <is>
          <t>South</t>
        </is>
      </c>
      <c r="F3597" s="7" t="inlineStr">
        <is>
          <t>Office Supplies</t>
        </is>
      </c>
      <c r="G3597" s="7" t="inlineStr">
        <is>
          <t>Pens</t>
        </is>
      </c>
      <c r="H3597" s="7" t="inlineStr">
        <is>
          <t>Consumer</t>
        </is>
      </c>
      <c r="I3597" s="7" t="n">
        <v>11</v>
      </c>
      <c r="J3597" s="10" t="n">
        <v>11.78</v>
      </c>
      <c r="K3597" s="11" t="n">
        <v>0.1</v>
      </c>
      <c r="L3597" s="10">
        <f>I3597*J3597*(1-K3597)</f>
        <v/>
      </c>
      <c r="M3597" s="10" t="n">
        <v>59.4</v>
      </c>
      <c r="N3597" s="10">
        <f>L3597-M3597</f>
        <v/>
      </c>
    </row>
    <row r="3598">
      <c r="A3598" s="7" t="inlineStr">
        <is>
          <t>ORD-05059</t>
        </is>
      </c>
      <c r="B3598" s="8" t="n">
        <v>45652</v>
      </c>
      <c r="C3598" s="9" t="n">
        <v>45627</v>
      </c>
      <c r="D3598" s="7" t="n">
        <v>2024</v>
      </c>
      <c r="E3598" s="7" t="inlineStr">
        <is>
          <t>North</t>
        </is>
      </c>
      <c r="F3598" s="7" t="inlineStr">
        <is>
          <t>Technology</t>
        </is>
      </c>
      <c r="G3598" s="7" t="inlineStr">
        <is>
          <t>Monitor</t>
        </is>
      </c>
      <c r="H3598" s="7" t="inlineStr">
        <is>
          <t>Consumer</t>
        </is>
      </c>
      <c r="I3598" s="7" t="n">
        <v>2</v>
      </c>
      <c r="J3598" s="10" t="n">
        <v>254.89</v>
      </c>
      <c r="K3598" s="11" t="n">
        <v>0.05</v>
      </c>
      <c r="L3598" s="10">
        <f>I3598*J3598*(1-K3598)</f>
        <v/>
      </c>
      <c r="M3598" s="10" t="n">
        <v>360</v>
      </c>
      <c r="N3598" s="10">
        <f>L3598-M3598</f>
        <v/>
      </c>
    </row>
    <row r="3599">
      <c r="A3599" s="7" t="inlineStr">
        <is>
          <t>ORD-03615</t>
        </is>
      </c>
      <c r="B3599" s="8" t="n">
        <v>45652</v>
      </c>
      <c r="C3599" s="9" t="n">
        <v>45627</v>
      </c>
      <c r="D3599" s="7" t="n">
        <v>2024</v>
      </c>
      <c r="E3599" s="7" t="inlineStr">
        <is>
          <t>West</t>
        </is>
      </c>
      <c r="F3599" s="7" t="inlineStr">
        <is>
          <t>Office Supplies</t>
        </is>
      </c>
      <c r="G3599" s="7" t="inlineStr">
        <is>
          <t>Paper</t>
        </is>
      </c>
      <c r="H3599" s="7" t="inlineStr">
        <is>
          <t>Corporate</t>
        </is>
      </c>
      <c r="I3599" s="7" t="n">
        <v>14</v>
      </c>
      <c r="J3599" s="10" t="n">
        <v>26.21</v>
      </c>
      <c r="K3599" s="11" t="n">
        <v>0</v>
      </c>
      <c r="L3599" s="10">
        <f>I3599*J3599*(1-K3599)</f>
        <v/>
      </c>
      <c r="M3599" s="10" t="n">
        <v>175</v>
      </c>
      <c r="N3599" s="10">
        <f>L3599-M3599</f>
        <v/>
      </c>
    </row>
    <row r="3600">
      <c r="A3600" s="7" t="inlineStr">
        <is>
          <t>ORD-00247</t>
        </is>
      </c>
      <c r="B3600" s="8" t="n">
        <v>45652</v>
      </c>
      <c r="C3600" s="9" t="n">
        <v>45627</v>
      </c>
      <c r="D3600" s="7" t="n">
        <v>2024</v>
      </c>
      <c r="E3600" s="7" t="inlineStr">
        <is>
          <t>North</t>
        </is>
      </c>
      <c r="F3600" s="7" t="inlineStr">
        <is>
          <t>Office Supplies</t>
        </is>
      </c>
      <c r="G3600" s="7" t="inlineStr">
        <is>
          <t>Binder</t>
        </is>
      </c>
      <c r="H3600" s="7" t="inlineStr">
        <is>
          <t>Corporate</t>
        </is>
      </c>
      <c r="I3600" s="7" t="n">
        <v>15</v>
      </c>
      <c r="J3600" s="10" t="n">
        <v>8.029999999999999</v>
      </c>
      <c r="K3600" s="11" t="n">
        <v>0</v>
      </c>
      <c r="L3600" s="10">
        <f>I3600*J3600*(1-K3600)</f>
        <v/>
      </c>
      <c r="M3600" s="10" t="n">
        <v>48</v>
      </c>
      <c r="N3600" s="10">
        <f>L3600-M3600</f>
        <v/>
      </c>
    </row>
    <row r="3601">
      <c r="A3601" s="7" t="inlineStr">
        <is>
          <t>ORD-03029</t>
        </is>
      </c>
      <c r="B3601" s="8" t="n">
        <v>45652</v>
      </c>
      <c r="C3601" s="9" t="n">
        <v>45627</v>
      </c>
      <c r="D3601" s="7" t="n">
        <v>2024</v>
      </c>
      <c r="E3601" s="7" t="inlineStr">
        <is>
          <t>West</t>
        </is>
      </c>
      <c r="F3601" s="7" t="inlineStr">
        <is>
          <t>Office Supplies</t>
        </is>
      </c>
      <c r="G3601" s="7" t="inlineStr">
        <is>
          <t>Pens</t>
        </is>
      </c>
      <c r="H3601" s="7" t="inlineStr">
        <is>
          <t>Corporate</t>
        </is>
      </c>
      <c r="I3601" s="7" t="n">
        <v>3</v>
      </c>
      <c r="J3601" s="10" t="n">
        <v>11.87</v>
      </c>
      <c r="K3601" s="11" t="n">
        <v>0</v>
      </c>
      <c r="L3601" s="10">
        <f>I3601*J3601*(1-K3601)</f>
        <v/>
      </c>
      <c r="M3601" s="10" t="n">
        <v>16.2</v>
      </c>
      <c r="N3601" s="10">
        <f>L3601-M3601</f>
        <v/>
      </c>
    </row>
    <row r="3602">
      <c r="A3602" s="7" t="inlineStr">
        <is>
          <t>ORD-01938</t>
        </is>
      </c>
      <c r="B3602" s="8" t="n">
        <v>45652</v>
      </c>
      <c r="C3602" s="9" t="n">
        <v>45627</v>
      </c>
      <c r="D3602" s="7" t="n">
        <v>2024</v>
      </c>
      <c r="E3602" s="7" t="inlineStr">
        <is>
          <t>West</t>
        </is>
      </c>
      <c r="F3602" s="7" t="inlineStr">
        <is>
          <t>Technology</t>
        </is>
      </c>
      <c r="G3602" s="7" t="inlineStr">
        <is>
          <t>Smartphone</t>
        </is>
      </c>
      <c r="H3602" s="7" t="inlineStr">
        <is>
          <t>Consumer</t>
        </is>
      </c>
      <c r="I3602" s="7" t="n">
        <v>3</v>
      </c>
      <c r="J3602" s="10" t="n">
        <v>586.74</v>
      </c>
      <c r="K3602" s="11" t="n">
        <v>0.1</v>
      </c>
      <c r="L3602" s="10">
        <f>I3602*J3602*(1-K3602)</f>
        <v/>
      </c>
      <c r="M3602" s="10" t="n">
        <v>1350</v>
      </c>
      <c r="N3602" s="10">
        <f>L3602-M3602</f>
        <v/>
      </c>
    </row>
    <row r="3603">
      <c r="A3603" s="7" t="inlineStr">
        <is>
          <t>ORD-02565</t>
        </is>
      </c>
      <c r="B3603" s="8" t="n">
        <v>45653</v>
      </c>
      <c r="C3603" s="9" t="n">
        <v>45627</v>
      </c>
      <c r="D3603" s="7" t="n">
        <v>2024</v>
      </c>
      <c r="E3603" s="7" t="inlineStr">
        <is>
          <t>East</t>
        </is>
      </c>
      <c r="F3603" s="7" t="inlineStr">
        <is>
          <t>Office Supplies</t>
        </is>
      </c>
      <c r="G3603" s="7" t="inlineStr">
        <is>
          <t>Pens</t>
        </is>
      </c>
      <c r="H3603" s="7" t="inlineStr">
        <is>
          <t>Corporate</t>
        </is>
      </c>
      <c r="I3603" s="7" t="n">
        <v>8</v>
      </c>
      <c r="J3603" s="10" t="n">
        <v>11.66</v>
      </c>
      <c r="K3603" s="11" t="n">
        <v>0</v>
      </c>
      <c r="L3603" s="10">
        <f>I3603*J3603*(1-K3603)</f>
        <v/>
      </c>
      <c r="M3603" s="10" t="n">
        <v>43.2</v>
      </c>
      <c r="N3603" s="10">
        <f>L3603-M3603</f>
        <v/>
      </c>
    </row>
    <row r="3604">
      <c r="A3604" s="7" t="inlineStr">
        <is>
          <t>ORD-04290</t>
        </is>
      </c>
      <c r="B3604" s="8" t="n">
        <v>45653</v>
      </c>
      <c r="C3604" s="9" t="n">
        <v>45627</v>
      </c>
      <c r="D3604" s="7" t="n">
        <v>2024</v>
      </c>
      <c r="E3604" s="7" t="inlineStr">
        <is>
          <t>West</t>
        </is>
      </c>
      <c r="F3604" s="7" t="inlineStr">
        <is>
          <t>Office Supplies</t>
        </is>
      </c>
      <c r="G3604" s="7" t="inlineStr">
        <is>
          <t>Printer Ink</t>
        </is>
      </c>
      <c r="H3604" s="7" t="inlineStr">
        <is>
          <t>Corporate</t>
        </is>
      </c>
      <c r="I3604" s="7" t="n">
        <v>2</v>
      </c>
      <c r="J3604" s="10" t="n">
        <v>61.71</v>
      </c>
      <c r="K3604" s="11" t="n">
        <v>0.2</v>
      </c>
      <c r="L3604" s="10">
        <f>I3604*J3604*(1-K3604)</f>
        <v/>
      </c>
      <c r="M3604" s="10" t="n">
        <v>72</v>
      </c>
      <c r="N3604" s="10">
        <f>L3604-M3604</f>
        <v/>
      </c>
    </row>
    <row r="3605">
      <c r="A3605" s="7" t="inlineStr">
        <is>
          <t>ORD-03170</t>
        </is>
      </c>
      <c r="B3605" s="8" t="n">
        <v>45653</v>
      </c>
      <c r="C3605" s="9" t="n">
        <v>45627</v>
      </c>
      <c r="D3605" s="7" t="n">
        <v>2024</v>
      </c>
      <c r="E3605" s="7" t="inlineStr">
        <is>
          <t>West</t>
        </is>
      </c>
      <c r="F3605" s="7" t="inlineStr">
        <is>
          <t>Office Supplies</t>
        </is>
      </c>
      <c r="G3605" s="7" t="inlineStr">
        <is>
          <t>Paper</t>
        </is>
      </c>
      <c r="H3605" s="7" t="inlineStr">
        <is>
          <t>Corporate</t>
        </is>
      </c>
      <c r="I3605" s="7" t="n">
        <v>9</v>
      </c>
      <c r="J3605" s="10" t="n">
        <v>23.83</v>
      </c>
      <c r="K3605" s="11" t="n">
        <v>0.1</v>
      </c>
      <c r="L3605" s="10">
        <f>I3605*J3605*(1-K3605)</f>
        <v/>
      </c>
      <c r="M3605" s="10" t="n">
        <v>112.5</v>
      </c>
      <c r="N3605" s="10">
        <f>L3605-M3605</f>
        <v/>
      </c>
    </row>
    <row r="3606">
      <c r="A3606" s="7" t="inlineStr">
        <is>
          <t>ORD-03325</t>
        </is>
      </c>
      <c r="B3606" s="8" t="n">
        <v>45653</v>
      </c>
      <c r="C3606" s="9" t="n">
        <v>45627</v>
      </c>
      <c r="D3606" s="7" t="n">
        <v>2024</v>
      </c>
      <c r="E3606" s="7" t="inlineStr">
        <is>
          <t>East</t>
        </is>
      </c>
      <c r="F3606" s="7" t="inlineStr">
        <is>
          <t>Furniture</t>
        </is>
      </c>
      <c r="G3606" s="7" t="inlineStr">
        <is>
          <t>Sofa</t>
        </is>
      </c>
      <c r="H3606" s="7" t="inlineStr">
        <is>
          <t>Home Office</t>
        </is>
      </c>
      <c r="I3606" s="7" t="n">
        <v>1</v>
      </c>
      <c r="J3606" s="10" t="n">
        <v>671.83</v>
      </c>
      <c r="K3606" s="11" t="n">
        <v>0</v>
      </c>
      <c r="L3606" s="10">
        <f>I3606*J3606*(1-K3606)</f>
        <v/>
      </c>
      <c r="M3606" s="10" t="n">
        <v>616</v>
      </c>
      <c r="N3606" s="10">
        <f>L3606-M3606</f>
        <v/>
      </c>
    </row>
    <row r="3607">
      <c r="A3607" s="7" t="inlineStr">
        <is>
          <t>ORD-03855</t>
        </is>
      </c>
      <c r="B3607" s="8" t="n">
        <v>45653</v>
      </c>
      <c r="C3607" s="9" t="n">
        <v>45627</v>
      </c>
      <c r="D3607" s="7" t="n">
        <v>2024</v>
      </c>
      <c r="E3607" s="7" t="inlineStr">
        <is>
          <t>West</t>
        </is>
      </c>
      <c r="F3607" s="7" t="inlineStr">
        <is>
          <t>Technology</t>
        </is>
      </c>
      <c r="G3607" s="7" t="inlineStr">
        <is>
          <t>Keyboard</t>
        </is>
      </c>
      <c r="H3607" s="7" t="inlineStr">
        <is>
          <t>Home Office</t>
        </is>
      </c>
      <c r="I3607" s="7" t="n">
        <v>3</v>
      </c>
      <c r="J3607" s="10" t="n">
        <v>43.58</v>
      </c>
      <c r="K3607" s="11" t="n">
        <v>0</v>
      </c>
      <c r="L3607" s="10">
        <f>I3607*J3607*(1-K3607)</f>
        <v/>
      </c>
      <c r="M3607" s="10" t="n">
        <v>74.25</v>
      </c>
      <c r="N3607" s="10">
        <f>L3607-M3607</f>
        <v/>
      </c>
    </row>
    <row r="3608">
      <c r="A3608" s="7" t="inlineStr">
        <is>
          <t>ORD-04729</t>
        </is>
      </c>
      <c r="B3608" s="8" t="n">
        <v>45654</v>
      </c>
      <c r="C3608" s="9" t="n">
        <v>45627</v>
      </c>
      <c r="D3608" s="7" t="n">
        <v>2024</v>
      </c>
      <c r="E3608" s="7" t="inlineStr">
        <is>
          <t>South</t>
        </is>
      </c>
      <c r="F3608" s="7" t="inlineStr">
        <is>
          <t>Technology</t>
        </is>
      </c>
      <c r="G3608" s="7" t="inlineStr">
        <is>
          <t>Keyboard</t>
        </is>
      </c>
      <c r="H3608" s="7" t="inlineStr">
        <is>
          <t>Home Office</t>
        </is>
      </c>
      <c r="I3608" s="7" t="n">
        <v>1</v>
      </c>
      <c r="J3608" s="10" t="n">
        <v>45.31</v>
      </c>
      <c r="K3608" s="11" t="n">
        <v>0</v>
      </c>
      <c r="L3608" s="10">
        <f>I3608*J3608*(1-K3608)</f>
        <v/>
      </c>
      <c r="M3608" s="10" t="n">
        <v>24.75</v>
      </c>
      <c r="N3608" s="10">
        <f>L3608-M3608</f>
        <v/>
      </c>
    </row>
    <row r="3609">
      <c r="A3609" s="7" t="inlineStr">
        <is>
          <t>ORD-00245</t>
        </is>
      </c>
      <c r="B3609" s="8" t="n">
        <v>45654</v>
      </c>
      <c r="C3609" s="9" t="n">
        <v>45627</v>
      </c>
      <c r="D3609" s="7" t="n">
        <v>2024</v>
      </c>
      <c r="E3609" s="7" t="inlineStr">
        <is>
          <t>West</t>
        </is>
      </c>
      <c r="F3609" s="7" t="inlineStr">
        <is>
          <t>Technology</t>
        </is>
      </c>
      <c r="G3609" s="7" t="inlineStr">
        <is>
          <t>Headphones</t>
        </is>
      </c>
      <c r="H3609" s="7" t="inlineStr">
        <is>
          <t>Home Office</t>
        </is>
      </c>
      <c r="I3609" s="7" t="n">
        <v>2</v>
      </c>
      <c r="J3609" s="10" t="n">
        <v>120.61</v>
      </c>
      <c r="K3609" s="11" t="n">
        <v>0</v>
      </c>
      <c r="L3609" s="10">
        <f>I3609*J3609*(1-K3609)</f>
        <v/>
      </c>
      <c r="M3609" s="10" t="n">
        <v>144</v>
      </c>
      <c r="N3609" s="10">
        <f>L3609-M3609</f>
        <v/>
      </c>
    </row>
    <row r="3610">
      <c r="A3610" s="7" t="inlineStr">
        <is>
          <t>ORD-05802</t>
        </is>
      </c>
      <c r="B3610" s="8" t="n">
        <v>45654</v>
      </c>
      <c r="C3610" s="9" t="n">
        <v>45627</v>
      </c>
      <c r="D3610" s="7" t="n">
        <v>2024</v>
      </c>
      <c r="E3610" s="7" t="inlineStr">
        <is>
          <t>East</t>
        </is>
      </c>
      <c r="F3610" s="7" t="inlineStr">
        <is>
          <t>Technology</t>
        </is>
      </c>
      <c r="G3610" s="7" t="inlineStr">
        <is>
          <t>Laptop</t>
        </is>
      </c>
      <c r="H3610" s="7" t="inlineStr">
        <is>
          <t>Home Office</t>
        </is>
      </c>
      <c r="I3610" s="7" t="n">
        <v>2</v>
      </c>
      <c r="J3610" s="10" t="n">
        <v>899.05</v>
      </c>
      <c r="K3610" s="11" t="n">
        <v>0</v>
      </c>
      <c r="L3610" s="10">
        <f>I3610*J3610*(1-K3610)</f>
        <v/>
      </c>
      <c r="M3610" s="10" t="n">
        <v>1404</v>
      </c>
      <c r="N3610" s="10">
        <f>L3610-M3610</f>
        <v/>
      </c>
    </row>
    <row r="3611">
      <c r="A3611" s="7" t="inlineStr">
        <is>
          <t>ORD-05619</t>
        </is>
      </c>
      <c r="B3611" s="8" t="n">
        <v>45654</v>
      </c>
      <c r="C3611" s="9" t="n">
        <v>45627</v>
      </c>
      <c r="D3611" s="7" t="n">
        <v>2024</v>
      </c>
      <c r="E3611" s="7" t="inlineStr">
        <is>
          <t>West</t>
        </is>
      </c>
      <c r="F3611" s="7" t="inlineStr">
        <is>
          <t>Office Supplies</t>
        </is>
      </c>
      <c r="G3611" s="7" t="inlineStr">
        <is>
          <t>Binder</t>
        </is>
      </c>
      <c r="H3611" s="7" t="inlineStr">
        <is>
          <t>Home Office</t>
        </is>
      </c>
      <c r="I3611" s="7" t="n">
        <v>13</v>
      </c>
      <c r="J3611" s="10" t="n">
        <v>7.61</v>
      </c>
      <c r="K3611" s="11" t="n">
        <v>0.1</v>
      </c>
      <c r="L3611" s="10">
        <f>I3611*J3611*(1-K3611)</f>
        <v/>
      </c>
      <c r="M3611" s="10" t="n">
        <v>41.6</v>
      </c>
      <c r="N3611" s="10">
        <f>L3611-M3611</f>
        <v/>
      </c>
    </row>
    <row r="3612">
      <c r="A3612" s="7" t="inlineStr">
        <is>
          <t>ORD-01585</t>
        </is>
      </c>
      <c r="B3612" s="8" t="n">
        <v>45654</v>
      </c>
      <c r="C3612" s="9" t="n">
        <v>45627</v>
      </c>
      <c r="D3612" s="7" t="n">
        <v>2024</v>
      </c>
      <c r="E3612" s="7" t="inlineStr">
        <is>
          <t>East</t>
        </is>
      </c>
      <c r="F3612" s="7" t="inlineStr">
        <is>
          <t>Furniture</t>
        </is>
      </c>
      <c r="G3612" s="7" t="inlineStr">
        <is>
          <t>Office Chair</t>
        </is>
      </c>
      <c r="H3612" s="7" t="inlineStr">
        <is>
          <t>Corporate</t>
        </is>
      </c>
      <c r="I3612" s="7" t="n">
        <v>2</v>
      </c>
      <c r="J3612" s="10" t="n">
        <v>216.03</v>
      </c>
      <c r="K3612" s="11" t="n">
        <v>0.2</v>
      </c>
      <c r="L3612" s="10">
        <f>I3612*J3612*(1-K3612)</f>
        <v/>
      </c>
      <c r="M3612" s="10" t="n">
        <v>360.8</v>
      </c>
      <c r="N3612" s="10">
        <f>L3612-M3612</f>
        <v/>
      </c>
    </row>
    <row r="3613">
      <c r="A3613" s="7" t="inlineStr">
        <is>
          <t>ORD-02457</t>
        </is>
      </c>
      <c r="B3613" s="8" t="n">
        <v>45654</v>
      </c>
      <c r="C3613" s="9" t="n">
        <v>45627</v>
      </c>
      <c r="D3613" s="7" t="n">
        <v>2024</v>
      </c>
      <c r="E3613" s="7" t="inlineStr">
        <is>
          <t>North</t>
        </is>
      </c>
      <c r="F3613" s="7" t="inlineStr">
        <is>
          <t>Office Supplies</t>
        </is>
      </c>
      <c r="G3613" s="7" t="inlineStr">
        <is>
          <t>Printer Ink</t>
        </is>
      </c>
      <c r="H3613" s="7" t="inlineStr">
        <is>
          <t>Consumer</t>
        </is>
      </c>
      <c r="I3613" s="7" t="n">
        <v>11</v>
      </c>
      <c r="J3613" s="10" t="n">
        <v>59.55</v>
      </c>
      <c r="K3613" s="11" t="n">
        <v>0.05</v>
      </c>
      <c r="L3613" s="10">
        <f>I3613*J3613*(1-K3613)</f>
        <v/>
      </c>
      <c r="M3613" s="10" t="n">
        <v>396</v>
      </c>
      <c r="N3613" s="10">
        <f>L3613-M3613</f>
        <v/>
      </c>
    </row>
    <row r="3614">
      <c r="A3614" s="7" t="inlineStr">
        <is>
          <t>ORD-00425</t>
        </is>
      </c>
      <c r="B3614" s="8" t="n">
        <v>45654</v>
      </c>
      <c r="C3614" s="9" t="n">
        <v>45627</v>
      </c>
      <c r="D3614" s="7" t="n">
        <v>2024</v>
      </c>
      <c r="E3614" s="7" t="inlineStr">
        <is>
          <t>West</t>
        </is>
      </c>
      <c r="F3614" s="7" t="inlineStr">
        <is>
          <t>Office Supplies</t>
        </is>
      </c>
      <c r="G3614" s="7" t="inlineStr">
        <is>
          <t>Binder</t>
        </is>
      </c>
      <c r="H3614" s="7" t="inlineStr">
        <is>
          <t>Consumer</t>
        </is>
      </c>
      <c r="I3614" s="7" t="n">
        <v>11</v>
      </c>
      <c r="J3614" s="10" t="n">
        <v>7.87</v>
      </c>
      <c r="K3614" s="11" t="n">
        <v>0</v>
      </c>
      <c r="L3614" s="10">
        <f>I3614*J3614*(1-K3614)</f>
        <v/>
      </c>
      <c r="M3614" s="10" t="n">
        <v>35.2</v>
      </c>
      <c r="N3614" s="10">
        <f>L3614-M3614</f>
        <v/>
      </c>
    </row>
    <row r="3615">
      <c r="A3615" s="7" t="inlineStr">
        <is>
          <t>ORD-02984</t>
        </is>
      </c>
      <c r="B3615" s="8" t="n">
        <v>45654</v>
      </c>
      <c r="C3615" s="9" t="n">
        <v>45627</v>
      </c>
      <c r="D3615" s="7" t="n">
        <v>2024</v>
      </c>
      <c r="E3615" s="7" t="inlineStr">
        <is>
          <t>North</t>
        </is>
      </c>
      <c r="F3615" s="7" t="inlineStr">
        <is>
          <t>Office Supplies</t>
        </is>
      </c>
      <c r="G3615" s="7" t="inlineStr">
        <is>
          <t>Paper</t>
        </is>
      </c>
      <c r="H3615" s="7" t="inlineStr">
        <is>
          <t>Corporate</t>
        </is>
      </c>
      <c r="I3615" s="7" t="n">
        <v>11</v>
      </c>
      <c r="J3615" s="10" t="n">
        <v>25.21</v>
      </c>
      <c r="K3615" s="11" t="n">
        <v>0.1</v>
      </c>
      <c r="L3615" s="10">
        <f>I3615*J3615*(1-K3615)</f>
        <v/>
      </c>
      <c r="M3615" s="10" t="n">
        <v>137.5</v>
      </c>
      <c r="N3615" s="10">
        <f>L3615-M3615</f>
        <v/>
      </c>
    </row>
    <row r="3616">
      <c r="A3616" s="7" t="inlineStr">
        <is>
          <t>ORD-05626</t>
        </is>
      </c>
      <c r="B3616" s="8" t="n">
        <v>45655</v>
      </c>
      <c r="C3616" s="9" t="n">
        <v>45627</v>
      </c>
      <c r="D3616" s="7" t="n">
        <v>2024</v>
      </c>
      <c r="E3616" s="7" t="inlineStr">
        <is>
          <t>West</t>
        </is>
      </c>
      <c r="F3616" s="7" t="inlineStr">
        <is>
          <t>Office Supplies</t>
        </is>
      </c>
      <c r="G3616" s="7" t="inlineStr">
        <is>
          <t>Printer Ink</t>
        </is>
      </c>
      <c r="H3616" s="7" t="inlineStr">
        <is>
          <t>Corporate</t>
        </is>
      </c>
      <c r="I3616" s="7" t="n">
        <v>2</v>
      </c>
      <c r="J3616" s="10" t="n">
        <v>60.09</v>
      </c>
      <c r="K3616" s="11" t="n">
        <v>0</v>
      </c>
      <c r="L3616" s="10">
        <f>I3616*J3616*(1-K3616)</f>
        <v/>
      </c>
      <c r="M3616" s="10" t="n">
        <v>72</v>
      </c>
      <c r="N3616" s="10">
        <f>L3616-M3616</f>
        <v/>
      </c>
    </row>
    <row r="3617">
      <c r="A3617" s="7" t="inlineStr">
        <is>
          <t>ORD-01346</t>
        </is>
      </c>
      <c r="B3617" s="8" t="n">
        <v>45655</v>
      </c>
      <c r="C3617" s="9" t="n">
        <v>45627</v>
      </c>
      <c r="D3617" s="7" t="n">
        <v>2024</v>
      </c>
      <c r="E3617" s="7" t="inlineStr">
        <is>
          <t>East</t>
        </is>
      </c>
      <c r="F3617" s="7" t="inlineStr">
        <is>
          <t>Office Supplies</t>
        </is>
      </c>
      <c r="G3617" s="7" t="inlineStr">
        <is>
          <t>Paper</t>
        </is>
      </c>
      <c r="H3617" s="7" t="inlineStr">
        <is>
          <t>Home Office</t>
        </is>
      </c>
      <c r="I3617" s="7" t="n">
        <v>11</v>
      </c>
      <c r="J3617" s="10" t="n">
        <v>25.28</v>
      </c>
      <c r="K3617" s="11" t="n">
        <v>0</v>
      </c>
      <c r="L3617" s="10">
        <f>I3617*J3617*(1-K3617)</f>
        <v/>
      </c>
      <c r="M3617" s="10" t="n">
        <v>137.5</v>
      </c>
      <c r="N3617" s="10">
        <f>L3617-M3617</f>
        <v/>
      </c>
    </row>
    <row r="3618">
      <c r="A3618" s="7" t="inlineStr">
        <is>
          <t>ORD-05538</t>
        </is>
      </c>
      <c r="B3618" s="8" t="n">
        <v>45655</v>
      </c>
      <c r="C3618" s="9" t="n">
        <v>45627</v>
      </c>
      <c r="D3618" s="7" t="n">
        <v>2024</v>
      </c>
      <c r="E3618" s="7" t="inlineStr">
        <is>
          <t>West</t>
        </is>
      </c>
      <c r="F3618" s="7" t="inlineStr">
        <is>
          <t>Technology</t>
        </is>
      </c>
      <c r="G3618" s="7" t="inlineStr">
        <is>
          <t>Laptop</t>
        </is>
      </c>
      <c r="H3618" s="7" t="inlineStr">
        <is>
          <t>Consumer</t>
        </is>
      </c>
      <c r="I3618" s="7" t="n">
        <v>1</v>
      </c>
      <c r="J3618" s="10" t="n">
        <v>927.8</v>
      </c>
      <c r="K3618" s="11" t="n">
        <v>0.1</v>
      </c>
      <c r="L3618" s="10">
        <f>I3618*J3618*(1-K3618)</f>
        <v/>
      </c>
      <c r="M3618" s="10" t="n">
        <v>702</v>
      </c>
      <c r="N3618" s="10">
        <f>L3618-M3618</f>
        <v/>
      </c>
    </row>
    <row r="3619">
      <c r="A3619" s="7" t="inlineStr">
        <is>
          <t>ORD-02105</t>
        </is>
      </c>
      <c r="B3619" s="8" t="n">
        <v>45655</v>
      </c>
      <c r="C3619" s="9" t="n">
        <v>45627</v>
      </c>
      <c r="D3619" s="7" t="n">
        <v>2024</v>
      </c>
      <c r="E3619" s="7" t="inlineStr">
        <is>
          <t>South</t>
        </is>
      </c>
      <c r="F3619" s="7" t="inlineStr">
        <is>
          <t>Office Supplies</t>
        </is>
      </c>
      <c r="G3619" s="7" t="inlineStr">
        <is>
          <t>Binder</t>
        </is>
      </c>
      <c r="H3619" s="7" t="inlineStr">
        <is>
          <t>Home Office</t>
        </is>
      </c>
      <c r="I3619" s="7" t="n">
        <v>13</v>
      </c>
      <c r="J3619" s="10" t="n">
        <v>7.7</v>
      </c>
      <c r="K3619" s="11" t="n">
        <v>0.3</v>
      </c>
      <c r="L3619" s="10">
        <f>I3619*J3619*(1-K3619)</f>
        <v/>
      </c>
      <c r="M3619" s="10" t="n">
        <v>41.6</v>
      </c>
      <c r="N3619" s="10">
        <f>L3619-M3619</f>
        <v/>
      </c>
    </row>
    <row r="3620">
      <c r="A3620" s="7" t="inlineStr">
        <is>
          <t>ORD-01905</t>
        </is>
      </c>
      <c r="B3620" s="8" t="n">
        <v>45655</v>
      </c>
      <c r="C3620" s="9" t="n">
        <v>45627</v>
      </c>
      <c r="D3620" s="7" t="n">
        <v>2024</v>
      </c>
      <c r="E3620" s="7" t="inlineStr">
        <is>
          <t>North</t>
        </is>
      </c>
      <c r="F3620" s="7" t="inlineStr">
        <is>
          <t>Office Supplies</t>
        </is>
      </c>
      <c r="G3620" s="7" t="inlineStr">
        <is>
          <t>Paper</t>
        </is>
      </c>
      <c r="H3620" s="7" t="inlineStr">
        <is>
          <t>Consumer</t>
        </is>
      </c>
      <c r="I3620" s="7" t="n">
        <v>10</v>
      </c>
      <c r="J3620" s="10" t="n">
        <v>23.91</v>
      </c>
      <c r="K3620" s="11" t="n">
        <v>0.1</v>
      </c>
      <c r="L3620" s="10">
        <f>I3620*J3620*(1-K3620)</f>
        <v/>
      </c>
      <c r="M3620" s="10" t="n">
        <v>125</v>
      </c>
      <c r="N3620" s="10">
        <f>L3620-M3620</f>
        <v/>
      </c>
    </row>
    <row r="3621">
      <c r="A3621" s="7" t="inlineStr">
        <is>
          <t>ORD-01718</t>
        </is>
      </c>
      <c r="B3621" s="8" t="n">
        <v>45655</v>
      </c>
      <c r="C3621" s="9" t="n">
        <v>45627</v>
      </c>
      <c r="D3621" s="7" t="n">
        <v>2024</v>
      </c>
      <c r="E3621" s="7" t="inlineStr">
        <is>
          <t>North</t>
        </is>
      </c>
      <c r="F3621" s="7" t="inlineStr">
        <is>
          <t>Office Supplies</t>
        </is>
      </c>
      <c r="G3621" s="7" t="inlineStr">
        <is>
          <t>Printer Ink</t>
        </is>
      </c>
      <c r="H3621" s="7" t="inlineStr">
        <is>
          <t>Consumer</t>
        </is>
      </c>
      <c r="I3621" s="7" t="n">
        <v>10</v>
      </c>
      <c r="J3621" s="10" t="n">
        <v>62.03</v>
      </c>
      <c r="K3621" s="11" t="n">
        <v>0.05</v>
      </c>
      <c r="L3621" s="10">
        <f>I3621*J3621*(1-K3621)</f>
        <v/>
      </c>
      <c r="M3621" s="10" t="n">
        <v>360</v>
      </c>
      <c r="N3621" s="10">
        <f>L3621-M3621</f>
        <v/>
      </c>
    </row>
    <row r="3622">
      <c r="A3622" s="7" t="inlineStr">
        <is>
          <t>ORD-05877</t>
        </is>
      </c>
      <c r="B3622" s="8" t="n">
        <v>45655</v>
      </c>
      <c r="C3622" s="9" t="n">
        <v>45627</v>
      </c>
      <c r="D3622" s="7" t="n">
        <v>2024</v>
      </c>
      <c r="E3622" s="7" t="inlineStr">
        <is>
          <t>South</t>
        </is>
      </c>
      <c r="F3622" s="7" t="inlineStr">
        <is>
          <t>Office Supplies</t>
        </is>
      </c>
      <c r="G3622" s="7" t="inlineStr">
        <is>
          <t>Pens</t>
        </is>
      </c>
      <c r="H3622" s="7" t="inlineStr">
        <is>
          <t>Consumer</t>
        </is>
      </c>
      <c r="I3622" s="7" t="n">
        <v>3</v>
      </c>
      <c r="J3622" s="10" t="n">
        <v>12.24</v>
      </c>
      <c r="K3622" s="11" t="n">
        <v>0.2</v>
      </c>
      <c r="L3622" s="10">
        <f>I3622*J3622*(1-K3622)</f>
        <v/>
      </c>
      <c r="M3622" s="10" t="n">
        <v>16.2</v>
      </c>
      <c r="N3622" s="10">
        <f>L3622-M3622</f>
        <v/>
      </c>
    </row>
    <row r="3623">
      <c r="A3623" s="7" t="inlineStr">
        <is>
          <t>ORD-03844</t>
        </is>
      </c>
      <c r="B3623" s="8" t="n">
        <v>45656</v>
      </c>
      <c r="C3623" s="9" t="n">
        <v>45627</v>
      </c>
      <c r="D3623" s="7" t="n">
        <v>2024</v>
      </c>
      <c r="E3623" s="7" t="inlineStr">
        <is>
          <t>South</t>
        </is>
      </c>
      <c r="F3623" s="7" t="inlineStr">
        <is>
          <t>Office Supplies</t>
        </is>
      </c>
      <c r="G3623" s="7" t="inlineStr">
        <is>
          <t>Binder</t>
        </is>
      </c>
      <c r="H3623" s="7" t="inlineStr">
        <is>
          <t>Consumer</t>
        </is>
      </c>
      <c r="I3623" s="7" t="n">
        <v>7</v>
      </c>
      <c r="J3623" s="10" t="n">
        <v>8.029999999999999</v>
      </c>
      <c r="K3623" s="11" t="n">
        <v>0</v>
      </c>
      <c r="L3623" s="10">
        <f>I3623*J3623*(1-K3623)</f>
        <v/>
      </c>
      <c r="M3623" s="10" t="n">
        <v>22.4</v>
      </c>
      <c r="N3623" s="10">
        <f>L3623-M3623</f>
        <v/>
      </c>
    </row>
    <row r="3624">
      <c r="A3624" s="7" t="inlineStr">
        <is>
          <t>ORD-00879</t>
        </is>
      </c>
      <c r="B3624" s="8" t="n">
        <v>45656</v>
      </c>
      <c r="C3624" s="9" t="n">
        <v>45627</v>
      </c>
      <c r="D3624" s="7" t="n">
        <v>2024</v>
      </c>
      <c r="E3624" s="7" t="inlineStr">
        <is>
          <t>South</t>
        </is>
      </c>
      <c r="F3624" s="7" t="inlineStr">
        <is>
          <t>Office Supplies</t>
        </is>
      </c>
      <c r="G3624" s="7" t="inlineStr">
        <is>
          <t>Paper</t>
        </is>
      </c>
      <c r="H3624" s="7" t="inlineStr">
        <is>
          <t>Corporate</t>
        </is>
      </c>
      <c r="I3624" s="7" t="n">
        <v>5</v>
      </c>
      <c r="J3624" s="10" t="n">
        <v>24.05</v>
      </c>
      <c r="K3624" s="11" t="n">
        <v>0.05</v>
      </c>
      <c r="L3624" s="10">
        <f>I3624*J3624*(1-K3624)</f>
        <v/>
      </c>
      <c r="M3624" s="10" t="n">
        <v>62.5</v>
      </c>
      <c r="N3624" s="10">
        <f>L3624-M3624</f>
        <v/>
      </c>
    </row>
    <row r="3625">
      <c r="A3625" s="7" t="inlineStr">
        <is>
          <t>ORD-03944</t>
        </is>
      </c>
      <c r="B3625" s="8" t="n">
        <v>45656</v>
      </c>
      <c r="C3625" s="9" t="n">
        <v>45627</v>
      </c>
      <c r="D3625" s="7" t="n">
        <v>2024</v>
      </c>
      <c r="E3625" s="7" t="inlineStr">
        <is>
          <t>East</t>
        </is>
      </c>
      <c r="F3625" s="7" t="inlineStr">
        <is>
          <t>Office Supplies</t>
        </is>
      </c>
      <c r="G3625" s="7" t="inlineStr">
        <is>
          <t>Paper</t>
        </is>
      </c>
      <c r="H3625" s="7" t="inlineStr">
        <is>
          <t>Corporate</t>
        </is>
      </c>
      <c r="I3625" s="7" t="n">
        <v>5</v>
      </c>
      <c r="J3625" s="10" t="n">
        <v>24.48</v>
      </c>
      <c r="K3625" s="11" t="n">
        <v>0</v>
      </c>
      <c r="L3625" s="10">
        <f>I3625*J3625*(1-K3625)</f>
        <v/>
      </c>
      <c r="M3625" s="10" t="n">
        <v>62.5</v>
      </c>
      <c r="N3625" s="10">
        <f>L3625-M3625</f>
        <v/>
      </c>
    </row>
    <row r="3626">
      <c r="A3626" s="7" t="inlineStr">
        <is>
          <t>ORD-00976</t>
        </is>
      </c>
      <c r="B3626" s="8" t="n">
        <v>45656</v>
      </c>
      <c r="C3626" s="9" t="n">
        <v>45627</v>
      </c>
      <c r="D3626" s="7" t="n">
        <v>2024</v>
      </c>
      <c r="E3626" s="7" t="inlineStr">
        <is>
          <t>West</t>
        </is>
      </c>
      <c r="F3626" s="7" t="inlineStr">
        <is>
          <t>Technology</t>
        </is>
      </c>
      <c r="G3626" s="7" t="inlineStr">
        <is>
          <t>Headphones</t>
        </is>
      </c>
      <c r="H3626" s="7" t="inlineStr">
        <is>
          <t>Consumer</t>
        </is>
      </c>
      <c r="I3626" s="7" t="n">
        <v>2</v>
      </c>
      <c r="J3626" s="10" t="n">
        <v>123.71</v>
      </c>
      <c r="K3626" s="11" t="n">
        <v>0.1</v>
      </c>
      <c r="L3626" s="10">
        <f>I3626*J3626*(1-K3626)</f>
        <v/>
      </c>
      <c r="M3626" s="10" t="n">
        <v>144</v>
      </c>
      <c r="N3626" s="10">
        <f>L3626-M3626</f>
        <v/>
      </c>
    </row>
    <row r="3627">
      <c r="A3627" s="7" t="inlineStr">
        <is>
          <t>ORD-05290</t>
        </is>
      </c>
      <c r="B3627" s="8" t="n">
        <v>45656</v>
      </c>
      <c r="C3627" s="9" t="n">
        <v>45627</v>
      </c>
      <c r="D3627" s="7" t="n">
        <v>2024</v>
      </c>
      <c r="E3627" s="7" t="inlineStr">
        <is>
          <t>West</t>
        </is>
      </c>
      <c r="F3627" s="7" t="inlineStr">
        <is>
          <t>Technology</t>
        </is>
      </c>
      <c r="G3627" s="7" t="inlineStr">
        <is>
          <t>Smartphone</t>
        </is>
      </c>
      <c r="H3627" s="7" t="inlineStr">
        <is>
          <t>Corporate</t>
        </is>
      </c>
      <c r="I3627" s="7" t="n">
        <v>3</v>
      </c>
      <c r="J3627" s="10" t="n">
        <v>622.74</v>
      </c>
      <c r="K3627" s="11" t="n">
        <v>0.2</v>
      </c>
      <c r="L3627" s="10">
        <f>I3627*J3627*(1-K3627)</f>
        <v/>
      </c>
      <c r="M3627" s="10" t="n">
        <v>1350</v>
      </c>
      <c r="N3627" s="10">
        <f>L3627-M3627</f>
        <v/>
      </c>
    </row>
    <row r="3628">
      <c r="A3628" s="7" t="inlineStr">
        <is>
          <t>ORD-03079</t>
        </is>
      </c>
      <c r="B3628" s="8" t="n">
        <v>45656</v>
      </c>
      <c r="C3628" s="9" t="n">
        <v>45627</v>
      </c>
      <c r="D3628" s="7" t="n">
        <v>2024</v>
      </c>
      <c r="E3628" s="7" t="inlineStr">
        <is>
          <t>West</t>
        </is>
      </c>
      <c r="F3628" s="7" t="inlineStr">
        <is>
          <t>Office Supplies</t>
        </is>
      </c>
      <c r="G3628" s="7" t="inlineStr">
        <is>
          <t>Pens</t>
        </is>
      </c>
      <c r="H3628" s="7" t="inlineStr">
        <is>
          <t>Corporate</t>
        </is>
      </c>
      <c r="I3628" s="7" t="n">
        <v>8</v>
      </c>
      <c r="J3628" s="10" t="n">
        <v>11.57</v>
      </c>
      <c r="K3628" s="11" t="n">
        <v>0.1</v>
      </c>
      <c r="L3628" s="10">
        <f>I3628*J3628*(1-K3628)</f>
        <v/>
      </c>
      <c r="M3628" s="10" t="n">
        <v>43.2</v>
      </c>
      <c r="N3628" s="10">
        <f>L3628-M3628</f>
        <v/>
      </c>
    </row>
    <row r="3629">
      <c r="A3629" s="7" t="inlineStr">
        <is>
          <t>ORD-02490</t>
        </is>
      </c>
      <c r="B3629" s="8" t="n">
        <v>45656</v>
      </c>
      <c r="C3629" s="9" t="n">
        <v>45627</v>
      </c>
      <c r="D3629" s="7" t="n">
        <v>2024</v>
      </c>
      <c r="E3629" s="7" t="inlineStr">
        <is>
          <t>South</t>
        </is>
      </c>
      <c r="F3629" s="7" t="inlineStr">
        <is>
          <t>Office Supplies</t>
        </is>
      </c>
      <c r="G3629" s="7" t="inlineStr">
        <is>
          <t>Paper</t>
        </is>
      </c>
      <c r="H3629" s="7" t="inlineStr">
        <is>
          <t>Consumer</t>
        </is>
      </c>
      <c r="I3629" s="7" t="n">
        <v>4</v>
      </c>
      <c r="J3629" s="10" t="n">
        <v>25.19</v>
      </c>
      <c r="K3629" s="11" t="n">
        <v>0</v>
      </c>
      <c r="L3629" s="10">
        <f>I3629*J3629*(1-K3629)</f>
        <v/>
      </c>
      <c r="M3629" s="10" t="n">
        <v>50</v>
      </c>
      <c r="N3629" s="10">
        <f>L3629-M3629</f>
        <v/>
      </c>
    </row>
    <row r="3630">
      <c r="A3630" s="7" t="inlineStr">
        <is>
          <t>ORD-03494</t>
        </is>
      </c>
      <c r="B3630" s="8" t="n">
        <v>45657</v>
      </c>
      <c r="C3630" s="9" t="n">
        <v>45627</v>
      </c>
      <c r="D3630" s="7" t="n">
        <v>2024</v>
      </c>
      <c r="E3630" s="7" t="inlineStr">
        <is>
          <t>East</t>
        </is>
      </c>
      <c r="F3630" s="7" t="inlineStr">
        <is>
          <t>Office Supplies</t>
        </is>
      </c>
      <c r="G3630" s="7" t="inlineStr">
        <is>
          <t>Printer Ink</t>
        </is>
      </c>
      <c r="H3630" s="7" t="inlineStr">
        <is>
          <t>Consumer</t>
        </is>
      </c>
      <c r="I3630" s="7" t="n">
        <v>13</v>
      </c>
      <c r="J3630" s="10" t="n">
        <v>60.84</v>
      </c>
      <c r="K3630" s="11" t="n">
        <v>0.3</v>
      </c>
      <c r="L3630" s="10">
        <f>I3630*J3630*(1-K3630)</f>
        <v/>
      </c>
      <c r="M3630" s="10" t="n">
        <v>468</v>
      </c>
      <c r="N3630" s="10">
        <f>L3630-M3630</f>
        <v/>
      </c>
    </row>
    <row r="3631">
      <c r="A3631" s="7" t="inlineStr">
        <is>
          <t>ORD-03517</t>
        </is>
      </c>
      <c r="B3631" s="8" t="n">
        <v>45657</v>
      </c>
      <c r="C3631" s="9" t="n">
        <v>45627</v>
      </c>
      <c r="D3631" s="7" t="n">
        <v>2024</v>
      </c>
      <c r="E3631" s="7" t="inlineStr">
        <is>
          <t>North</t>
        </is>
      </c>
      <c r="F3631" s="7" t="inlineStr">
        <is>
          <t>Office Supplies</t>
        </is>
      </c>
      <c r="G3631" s="7" t="inlineStr">
        <is>
          <t>Pens</t>
        </is>
      </c>
      <c r="H3631" s="7" t="inlineStr">
        <is>
          <t>Corporate</t>
        </is>
      </c>
      <c r="I3631" s="7" t="n">
        <v>14</v>
      </c>
      <c r="J3631" s="10" t="n">
        <v>12.04</v>
      </c>
      <c r="K3631" s="11" t="n">
        <v>0.1</v>
      </c>
      <c r="L3631" s="10">
        <f>I3631*J3631*(1-K3631)</f>
        <v/>
      </c>
      <c r="M3631" s="10" t="n">
        <v>75.59999999999999</v>
      </c>
      <c r="N3631" s="10">
        <f>L3631-M3631</f>
        <v/>
      </c>
    </row>
    <row r="3632">
      <c r="A3632" s="7" t="inlineStr">
        <is>
          <t>ORD-05756</t>
        </is>
      </c>
      <c r="B3632" s="8" t="n">
        <v>45657</v>
      </c>
      <c r="C3632" s="9" t="n">
        <v>45627</v>
      </c>
      <c r="D3632" s="7" t="n">
        <v>2024</v>
      </c>
      <c r="E3632" s="7" t="inlineStr">
        <is>
          <t>South</t>
        </is>
      </c>
      <c r="F3632" s="7" t="inlineStr">
        <is>
          <t>Office Supplies</t>
        </is>
      </c>
      <c r="G3632" s="7" t="inlineStr">
        <is>
          <t>Printer Ink</t>
        </is>
      </c>
      <c r="H3632" s="7" t="inlineStr">
        <is>
          <t>Corporate</t>
        </is>
      </c>
      <c r="I3632" s="7" t="n">
        <v>6</v>
      </c>
      <c r="J3632" s="10" t="n">
        <v>57.24</v>
      </c>
      <c r="K3632" s="11" t="n">
        <v>0.2</v>
      </c>
      <c r="L3632" s="10">
        <f>I3632*J3632*(1-K3632)</f>
        <v/>
      </c>
      <c r="M3632" s="10" t="n">
        <v>216</v>
      </c>
      <c r="N3632" s="10">
        <f>L3632-M3632</f>
        <v/>
      </c>
    </row>
    <row r="3633">
      <c r="A3633" s="7" t="inlineStr">
        <is>
          <t>ORD-01932</t>
        </is>
      </c>
      <c r="B3633" s="8" t="n">
        <v>45657</v>
      </c>
      <c r="C3633" s="9" t="n">
        <v>45627</v>
      </c>
      <c r="D3633" s="7" t="n">
        <v>2024</v>
      </c>
      <c r="E3633" s="7" t="inlineStr">
        <is>
          <t>East</t>
        </is>
      </c>
      <c r="F3633" s="7" t="inlineStr">
        <is>
          <t>Office Supplies</t>
        </is>
      </c>
      <c r="G3633" s="7" t="inlineStr">
        <is>
          <t>Paper</t>
        </is>
      </c>
      <c r="H3633" s="7" t="inlineStr">
        <is>
          <t>Corporate</t>
        </is>
      </c>
      <c r="I3633" s="7" t="n">
        <v>12</v>
      </c>
      <c r="J3633" s="10" t="n">
        <v>25.71</v>
      </c>
      <c r="K3633" s="11" t="n">
        <v>0.2</v>
      </c>
      <c r="L3633" s="10">
        <f>I3633*J3633*(1-K3633)</f>
        <v/>
      </c>
      <c r="M3633" s="10" t="n">
        <v>150</v>
      </c>
      <c r="N3633" s="10">
        <f>L3633-M3633</f>
        <v/>
      </c>
    </row>
    <row r="3634">
      <c r="A3634" s="7" t="inlineStr">
        <is>
          <t>ORD-01247</t>
        </is>
      </c>
      <c r="B3634" s="8" t="n">
        <v>45657</v>
      </c>
      <c r="C3634" s="9" t="n">
        <v>45627</v>
      </c>
      <c r="D3634" s="7" t="n">
        <v>2024</v>
      </c>
      <c r="E3634" s="7" t="inlineStr">
        <is>
          <t>North</t>
        </is>
      </c>
      <c r="F3634" s="7" t="inlineStr">
        <is>
          <t>Technology</t>
        </is>
      </c>
      <c r="G3634" s="7" t="inlineStr">
        <is>
          <t>Laptop</t>
        </is>
      </c>
      <c r="H3634" s="7" t="inlineStr">
        <is>
          <t>Home Office</t>
        </is>
      </c>
      <c r="I3634" s="7" t="n">
        <v>3</v>
      </c>
      <c r="J3634" s="10" t="n">
        <v>882.64</v>
      </c>
      <c r="K3634" s="11" t="n">
        <v>0.1</v>
      </c>
      <c r="L3634" s="10">
        <f>I3634*J3634*(1-K3634)</f>
        <v/>
      </c>
      <c r="M3634" s="10" t="n">
        <v>2106</v>
      </c>
      <c r="N3634" s="10">
        <f>L3634-M3634</f>
        <v/>
      </c>
    </row>
    <row r="3635">
      <c r="A3635" s="7" t="inlineStr">
        <is>
          <t>ORD-01072</t>
        </is>
      </c>
      <c r="B3635" s="8" t="n">
        <v>45657</v>
      </c>
      <c r="C3635" s="9" t="n">
        <v>45627</v>
      </c>
      <c r="D3635" s="7" t="n">
        <v>2024</v>
      </c>
      <c r="E3635" s="7" t="inlineStr">
        <is>
          <t>West</t>
        </is>
      </c>
      <c r="F3635" s="7" t="inlineStr">
        <is>
          <t>Office Supplies</t>
        </is>
      </c>
      <c r="G3635" s="7" t="inlineStr">
        <is>
          <t>Stapler</t>
        </is>
      </c>
      <c r="H3635" s="7" t="inlineStr">
        <is>
          <t>Consumer</t>
        </is>
      </c>
      <c r="I3635" s="7" t="n">
        <v>5</v>
      </c>
      <c r="J3635" s="10" t="n">
        <v>15.02</v>
      </c>
      <c r="K3635" s="11" t="n">
        <v>0.05</v>
      </c>
      <c r="L3635" s="10">
        <f>I3635*J3635*(1-K3635)</f>
        <v/>
      </c>
      <c r="M3635" s="10" t="n">
        <v>37.5</v>
      </c>
      <c r="N3635" s="10">
        <f>L3635-M3635</f>
        <v/>
      </c>
    </row>
    <row r="3636">
      <c r="A3636" s="7" t="inlineStr">
        <is>
          <t>ORD-01801</t>
        </is>
      </c>
      <c r="B3636" s="8" t="n">
        <v>45657</v>
      </c>
      <c r="C3636" s="9" t="n">
        <v>45627</v>
      </c>
      <c r="D3636" s="7" t="n">
        <v>2024</v>
      </c>
      <c r="E3636" s="7" t="inlineStr">
        <is>
          <t>West</t>
        </is>
      </c>
      <c r="F3636" s="7" t="inlineStr">
        <is>
          <t>Office Supplies</t>
        </is>
      </c>
      <c r="G3636" s="7" t="inlineStr">
        <is>
          <t>Paper</t>
        </is>
      </c>
      <c r="H3636" s="7" t="inlineStr">
        <is>
          <t>Consumer</t>
        </is>
      </c>
      <c r="I3636" s="7" t="n">
        <v>9</v>
      </c>
      <c r="J3636" s="10" t="n">
        <v>25.9</v>
      </c>
      <c r="K3636" s="11" t="n">
        <v>0</v>
      </c>
      <c r="L3636" s="10">
        <f>I3636*J3636*(1-K3636)</f>
        <v/>
      </c>
      <c r="M3636" s="10" t="n">
        <v>112.5</v>
      </c>
      <c r="N3636" s="10">
        <f>L3636-M3636</f>
        <v/>
      </c>
    </row>
    <row r="3637">
      <c r="A3637" s="7" t="inlineStr">
        <is>
          <t>ORD-02990</t>
        </is>
      </c>
      <c r="B3637" s="8" t="n">
        <v>45657</v>
      </c>
      <c r="C3637" s="9" t="n">
        <v>45627</v>
      </c>
      <c r="D3637" s="7" t="n">
        <v>2024</v>
      </c>
      <c r="E3637" s="7" t="inlineStr">
        <is>
          <t>East</t>
        </is>
      </c>
      <c r="F3637" s="7" t="inlineStr">
        <is>
          <t>Technology</t>
        </is>
      </c>
      <c r="G3637" s="7" t="inlineStr">
        <is>
          <t>Monitor</t>
        </is>
      </c>
      <c r="H3637" s="7" t="inlineStr">
        <is>
          <t>Home Office</t>
        </is>
      </c>
      <c r="I3637" s="7" t="n">
        <v>1</v>
      </c>
      <c r="J3637" s="10" t="n">
        <v>241.99</v>
      </c>
      <c r="K3637" s="11" t="n">
        <v>0.1</v>
      </c>
      <c r="L3637" s="10">
        <f>I3637*J3637*(1-K3637)</f>
        <v/>
      </c>
      <c r="M3637" s="10" t="n">
        <v>180</v>
      </c>
      <c r="N3637" s="10">
        <f>L3637-M3637</f>
        <v/>
      </c>
    </row>
    <row r="3638">
      <c r="A3638" s="7" t="inlineStr">
        <is>
          <t>ORD-05026</t>
        </is>
      </c>
      <c r="B3638" s="8" t="n">
        <v>45657</v>
      </c>
      <c r="C3638" s="9" t="n">
        <v>45627</v>
      </c>
      <c r="D3638" s="7" t="n">
        <v>2024</v>
      </c>
      <c r="E3638" s="7" t="inlineStr">
        <is>
          <t>South</t>
        </is>
      </c>
      <c r="F3638" s="7" t="inlineStr">
        <is>
          <t>Furniture</t>
        </is>
      </c>
      <c r="G3638" s="7" t="inlineStr">
        <is>
          <t>Office Chair</t>
        </is>
      </c>
      <c r="H3638" s="7" t="inlineStr">
        <is>
          <t>Consumer</t>
        </is>
      </c>
      <c r="I3638" s="7" t="n">
        <v>2</v>
      </c>
      <c r="J3638" s="10" t="n">
        <v>212.55</v>
      </c>
      <c r="K3638" s="11" t="n">
        <v>0</v>
      </c>
      <c r="L3638" s="10">
        <f>I3638*J3638*(1-K3638)</f>
        <v/>
      </c>
      <c r="M3638" s="10" t="n">
        <v>360.8</v>
      </c>
      <c r="N3638" s="10">
        <f>L3638-M3638</f>
        <v/>
      </c>
    </row>
    <row r="3639">
      <c r="A3639" s="7" t="inlineStr">
        <is>
          <t>ORD-02894</t>
        </is>
      </c>
      <c r="B3639" s="8" t="n">
        <v>45657</v>
      </c>
      <c r="C3639" s="9" t="n">
        <v>45627</v>
      </c>
      <c r="D3639" s="7" t="n">
        <v>2024</v>
      </c>
      <c r="E3639" s="7" t="inlineStr">
        <is>
          <t>West</t>
        </is>
      </c>
      <c r="F3639" s="7" t="inlineStr">
        <is>
          <t>Office Supplies</t>
        </is>
      </c>
      <c r="G3639" s="7" t="inlineStr">
        <is>
          <t>Pens</t>
        </is>
      </c>
      <c r="H3639" s="7" t="inlineStr">
        <is>
          <t>Home Office</t>
        </is>
      </c>
      <c r="I3639" s="7" t="n">
        <v>13</v>
      </c>
      <c r="J3639" s="10" t="n">
        <v>11.89</v>
      </c>
      <c r="K3639" s="11" t="n">
        <v>0.1</v>
      </c>
      <c r="L3639" s="10">
        <f>I3639*J3639*(1-K3639)</f>
        <v/>
      </c>
      <c r="M3639" s="10" t="n">
        <v>70.2</v>
      </c>
      <c r="N3639" s="10">
        <f>L3639-M3639</f>
        <v/>
      </c>
    </row>
    <row r="3640">
      <c r="A3640" s="7" t="inlineStr">
        <is>
          <t>ORD-01062</t>
        </is>
      </c>
      <c r="B3640" s="8" t="n">
        <v>45657</v>
      </c>
      <c r="C3640" s="9" t="n">
        <v>45627</v>
      </c>
      <c r="D3640" s="7" t="n">
        <v>2024</v>
      </c>
      <c r="E3640" s="7" t="inlineStr">
        <is>
          <t>West</t>
        </is>
      </c>
      <c r="F3640" s="7" t="inlineStr">
        <is>
          <t>Office Supplies</t>
        </is>
      </c>
      <c r="G3640" s="7" t="inlineStr">
        <is>
          <t>Pens</t>
        </is>
      </c>
      <c r="H3640" s="7" t="inlineStr">
        <is>
          <t>Home Office</t>
        </is>
      </c>
      <c r="I3640" s="7" t="n">
        <v>9</v>
      </c>
      <c r="J3640" s="10" t="n">
        <v>11.57</v>
      </c>
      <c r="K3640" s="11" t="n">
        <v>0.05</v>
      </c>
      <c r="L3640" s="10">
        <f>I3640*J3640*(1-K3640)</f>
        <v/>
      </c>
      <c r="M3640" s="10" t="n">
        <v>48.6</v>
      </c>
      <c r="N3640" s="10">
        <f>L3640-M3640</f>
        <v/>
      </c>
    </row>
    <row r="3641">
      <c r="A3641" s="7" t="inlineStr">
        <is>
          <t>ORD-03672</t>
        </is>
      </c>
      <c r="B3641" s="8" t="n">
        <v>45658</v>
      </c>
      <c r="C3641" s="9" t="n">
        <v>45658</v>
      </c>
      <c r="D3641" s="7" t="n">
        <v>2025</v>
      </c>
      <c r="E3641" s="7" t="inlineStr">
        <is>
          <t>North</t>
        </is>
      </c>
      <c r="F3641" s="7" t="inlineStr">
        <is>
          <t>Office Supplies</t>
        </is>
      </c>
      <c r="G3641" s="7" t="inlineStr">
        <is>
          <t>Paper</t>
        </is>
      </c>
      <c r="H3641" s="7" t="inlineStr">
        <is>
          <t>Consumer</t>
        </is>
      </c>
      <c r="I3641" s="7" t="n">
        <v>11</v>
      </c>
      <c r="J3641" s="10" t="n">
        <v>25.63</v>
      </c>
      <c r="K3641" s="11" t="n">
        <v>0</v>
      </c>
      <c r="L3641" s="10">
        <f>I3641*J3641*(1-K3641)</f>
        <v/>
      </c>
      <c r="M3641" s="10" t="n">
        <v>137.5</v>
      </c>
      <c r="N3641" s="10">
        <f>L3641-M3641</f>
        <v/>
      </c>
    </row>
    <row r="3642">
      <c r="A3642" s="7" t="inlineStr">
        <is>
          <t>ORD-00831</t>
        </is>
      </c>
      <c r="B3642" s="8" t="n">
        <v>45658</v>
      </c>
      <c r="C3642" s="9" t="n">
        <v>45658</v>
      </c>
      <c r="D3642" s="7" t="n">
        <v>2025</v>
      </c>
      <c r="E3642" s="7" t="inlineStr">
        <is>
          <t>East</t>
        </is>
      </c>
      <c r="F3642" s="7" t="inlineStr">
        <is>
          <t>Office Supplies</t>
        </is>
      </c>
      <c r="G3642" s="7" t="inlineStr">
        <is>
          <t>Printer Ink</t>
        </is>
      </c>
      <c r="H3642" s="7" t="inlineStr">
        <is>
          <t>Consumer</t>
        </is>
      </c>
      <c r="I3642" s="7" t="n">
        <v>10</v>
      </c>
      <c r="J3642" s="10" t="n">
        <v>62.78</v>
      </c>
      <c r="K3642" s="11" t="n">
        <v>0.2</v>
      </c>
      <c r="L3642" s="10">
        <f>I3642*J3642*(1-K3642)</f>
        <v/>
      </c>
      <c r="M3642" s="10" t="n">
        <v>360</v>
      </c>
      <c r="N3642" s="10">
        <f>L3642-M3642</f>
        <v/>
      </c>
    </row>
    <row r="3643">
      <c r="A3643" s="7" t="inlineStr">
        <is>
          <t>ORD-00478</t>
        </is>
      </c>
      <c r="B3643" s="8" t="n">
        <v>45658</v>
      </c>
      <c r="C3643" s="9" t="n">
        <v>45658</v>
      </c>
      <c r="D3643" s="7" t="n">
        <v>2025</v>
      </c>
      <c r="E3643" s="7" t="inlineStr">
        <is>
          <t>East</t>
        </is>
      </c>
      <c r="F3643" s="7" t="inlineStr">
        <is>
          <t>Office Supplies</t>
        </is>
      </c>
      <c r="G3643" s="7" t="inlineStr">
        <is>
          <t>Paper</t>
        </is>
      </c>
      <c r="H3643" s="7" t="inlineStr">
        <is>
          <t>Corporate</t>
        </is>
      </c>
      <c r="I3643" s="7" t="n">
        <v>11</v>
      </c>
      <c r="J3643" s="10" t="n">
        <v>24.17</v>
      </c>
      <c r="K3643" s="11" t="n">
        <v>0</v>
      </c>
      <c r="L3643" s="10">
        <f>I3643*J3643*(1-K3643)</f>
        <v/>
      </c>
      <c r="M3643" s="10" t="n">
        <v>137.5</v>
      </c>
      <c r="N3643" s="10">
        <f>L3643-M3643</f>
        <v/>
      </c>
    </row>
    <row r="3644">
      <c r="A3644" s="7" t="inlineStr">
        <is>
          <t>ORD-03078</t>
        </is>
      </c>
      <c r="B3644" s="8" t="n">
        <v>45658</v>
      </c>
      <c r="C3644" s="9" t="n">
        <v>45658</v>
      </c>
      <c r="D3644" s="7" t="n">
        <v>2025</v>
      </c>
      <c r="E3644" s="7" t="inlineStr">
        <is>
          <t>South</t>
        </is>
      </c>
      <c r="F3644" s="7" t="inlineStr">
        <is>
          <t>Technology</t>
        </is>
      </c>
      <c r="G3644" s="7" t="inlineStr">
        <is>
          <t>Monitor</t>
        </is>
      </c>
      <c r="H3644" s="7" t="inlineStr">
        <is>
          <t>Corporate</t>
        </is>
      </c>
      <c r="I3644" s="7" t="n">
        <v>2</v>
      </c>
      <c r="J3644" s="10" t="n">
        <v>255.36</v>
      </c>
      <c r="K3644" s="11" t="n">
        <v>0.3</v>
      </c>
      <c r="L3644" s="10">
        <f>I3644*J3644*(1-K3644)</f>
        <v/>
      </c>
      <c r="M3644" s="10" t="n">
        <v>360</v>
      </c>
      <c r="N3644" s="10">
        <f>L3644-M3644</f>
        <v/>
      </c>
    </row>
    <row r="3645">
      <c r="A3645" s="7" t="inlineStr">
        <is>
          <t>ORD-02293</t>
        </is>
      </c>
      <c r="B3645" s="8" t="n">
        <v>45658</v>
      </c>
      <c r="C3645" s="9" t="n">
        <v>45658</v>
      </c>
      <c r="D3645" s="7" t="n">
        <v>2025</v>
      </c>
      <c r="E3645" s="7" t="inlineStr">
        <is>
          <t>East</t>
        </is>
      </c>
      <c r="F3645" s="7" t="inlineStr">
        <is>
          <t>Furniture</t>
        </is>
      </c>
      <c r="G3645" s="7" t="inlineStr">
        <is>
          <t>Bookcase</t>
        </is>
      </c>
      <c r="H3645" s="7" t="inlineStr">
        <is>
          <t>Corporate</t>
        </is>
      </c>
      <c r="I3645" s="7" t="n">
        <v>2</v>
      </c>
      <c r="J3645" s="10" t="n">
        <v>187.4</v>
      </c>
      <c r="K3645" s="11" t="n">
        <v>0.3</v>
      </c>
      <c r="L3645" s="10">
        <f>I3645*J3645*(1-K3645)</f>
        <v/>
      </c>
      <c r="M3645" s="10" t="n">
        <v>288</v>
      </c>
      <c r="N3645" s="10">
        <f>L3645-M3645</f>
        <v/>
      </c>
    </row>
    <row r="3646">
      <c r="A3646" s="7" t="inlineStr">
        <is>
          <t>ORD-00448</t>
        </is>
      </c>
      <c r="B3646" s="8" t="n">
        <v>45659</v>
      </c>
      <c r="C3646" s="9" t="n">
        <v>45658</v>
      </c>
      <c r="D3646" s="7" t="n">
        <v>2025</v>
      </c>
      <c r="E3646" s="7" t="inlineStr">
        <is>
          <t>East</t>
        </is>
      </c>
      <c r="F3646" s="7" t="inlineStr">
        <is>
          <t>Technology</t>
        </is>
      </c>
      <c r="G3646" s="7" t="inlineStr">
        <is>
          <t>Smartphone</t>
        </is>
      </c>
      <c r="H3646" s="7" t="inlineStr">
        <is>
          <t>Corporate</t>
        </is>
      </c>
      <c r="I3646" s="7" t="n">
        <v>3</v>
      </c>
      <c r="J3646" s="10" t="n">
        <v>606.86</v>
      </c>
      <c r="K3646" s="11" t="n">
        <v>0</v>
      </c>
      <c r="L3646" s="10">
        <f>I3646*J3646*(1-K3646)</f>
        <v/>
      </c>
      <c r="M3646" s="10" t="n">
        <v>1350</v>
      </c>
      <c r="N3646" s="10">
        <f>L3646-M3646</f>
        <v/>
      </c>
    </row>
    <row r="3647">
      <c r="A3647" s="7" t="inlineStr">
        <is>
          <t>ORD-04177</t>
        </is>
      </c>
      <c r="B3647" s="8" t="n">
        <v>45659</v>
      </c>
      <c r="C3647" s="9" t="n">
        <v>45658</v>
      </c>
      <c r="D3647" s="7" t="n">
        <v>2025</v>
      </c>
      <c r="E3647" s="7" t="inlineStr">
        <is>
          <t>West</t>
        </is>
      </c>
      <c r="F3647" s="7" t="inlineStr">
        <is>
          <t>Office Supplies</t>
        </is>
      </c>
      <c r="G3647" s="7" t="inlineStr">
        <is>
          <t>Pens</t>
        </is>
      </c>
      <c r="H3647" s="7" t="inlineStr">
        <is>
          <t>Corporate</t>
        </is>
      </c>
      <c r="I3647" s="7" t="n">
        <v>14</v>
      </c>
      <c r="J3647" s="10" t="n">
        <v>11.6</v>
      </c>
      <c r="K3647" s="11" t="n">
        <v>0.05</v>
      </c>
      <c r="L3647" s="10">
        <f>I3647*J3647*(1-K3647)</f>
        <v/>
      </c>
      <c r="M3647" s="10" t="n">
        <v>75.59999999999999</v>
      </c>
      <c r="N3647" s="10">
        <f>L3647-M3647</f>
        <v/>
      </c>
    </row>
    <row r="3648">
      <c r="A3648" s="7" t="inlineStr">
        <is>
          <t>ORD-04713</t>
        </is>
      </c>
      <c r="B3648" s="8" t="n">
        <v>45659</v>
      </c>
      <c r="C3648" s="9" t="n">
        <v>45658</v>
      </c>
      <c r="D3648" s="7" t="n">
        <v>2025</v>
      </c>
      <c r="E3648" s="7" t="inlineStr">
        <is>
          <t>East</t>
        </is>
      </c>
      <c r="F3648" s="7" t="inlineStr">
        <is>
          <t>Technology</t>
        </is>
      </c>
      <c r="G3648" s="7" t="inlineStr">
        <is>
          <t>Smartphone</t>
        </is>
      </c>
      <c r="H3648" s="7" t="inlineStr">
        <is>
          <t>Consumer</t>
        </is>
      </c>
      <c r="I3648" s="7" t="n">
        <v>2</v>
      </c>
      <c r="J3648" s="10" t="n">
        <v>573.01</v>
      </c>
      <c r="K3648" s="11" t="n">
        <v>0.2</v>
      </c>
      <c r="L3648" s="10">
        <f>I3648*J3648*(1-K3648)</f>
        <v/>
      </c>
      <c r="M3648" s="10" t="n">
        <v>900</v>
      </c>
      <c r="N3648" s="10">
        <f>L3648-M3648</f>
        <v/>
      </c>
    </row>
    <row r="3649">
      <c r="A3649" s="7" t="inlineStr">
        <is>
          <t>ORD-01432</t>
        </is>
      </c>
      <c r="B3649" s="8" t="n">
        <v>45660</v>
      </c>
      <c r="C3649" s="9" t="n">
        <v>45658</v>
      </c>
      <c r="D3649" s="7" t="n">
        <v>2025</v>
      </c>
      <c r="E3649" s="7" t="inlineStr">
        <is>
          <t>South</t>
        </is>
      </c>
      <c r="F3649" s="7" t="inlineStr">
        <is>
          <t>Office Supplies</t>
        </is>
      </c>
      <c r="G3649" s="7" t="inlineStr">
        <is>
          <t>Printer Ink</t>
        </is>
      </c>
      <c r="H3649" s="7" t="inlineStr">
        <is>
          <t>Consumer</t>
        </is>
      </c>
      <c r="I3649" s="7" t="n">
        <v>10</v>
      </c>
      <c r="J3649" s="10" t="n">
        <v>61.06</v>
      </c>
      <c r="K3649" s="11" t="n">
        <v>0.1</v>
      </c>
      <c r="L3649" s="10">
        <f>I3649*J3649*(1-K3649)</f>
        <v/>
      </c>
      <c r="M3649" s="10" t="n">
        <v>360</v>
      </c>
      <c r="N3649" s="10">
        <f>L3649-M3649</f>
        <v/>
      </c>
    </row>
    <row r="3650">
      <c r="A3650" s="7" t="inlineStr">
        <is>
          <t>ORD-02272</t>
        </is>
      </c>
      <c r="B3650" s="8" t="n">
        <v>45660</v>
      </c>
      <c r="C3650" s="9" t="n">
        <v>45658</v>
      </c>
      <c r="D3650" s="7" t="n">
        <v>2025</v>
      </c>
      <c r="E3650" s="7" t="inlineStr">
        <is>
          <t>West</t>
        </is>
      </c>
      <c r="F3650" s="7" t="inlineStr">
        <is>
          <t>Office Supplies</t>
        </is>
      </c>
      <c r="G3650" s="7" t="inlineStr">
        <is>
          <t>Binder</t>
        </is>
      </c>
      <c r="H3650" s="7" t="inlineStr">
        <is>
          <t>Home Office</t>
        </is>
      </c>
      <c r="I3650" s="7" t="n">
        <v>9</v>
      </c>
      <c r="J3650" s="10" t="n">
        <v>8.279999999999999</v>
      </c>
      <c r="K3650" s="11" t="n">
        <v>0.3</v>
      </c>
      <c r="L3650" s="10">
        <f>I3650*J3650*(1-K3650)</f>
        <v/>
      </c>
      <c r="M3650" s="10" t="n">
        <v>28.8</v>
      </c>
      <c r="N3650" s="10">
        <f>L3650-M3650</f>
        <v/>
      </c>
    </row>
    <row r="3651">
      <c r="A3651" s="7" t="inlineStr">
        <is>
          <t>ORD-04010</t>
        </is>
      </c>
      <c r="B3651" s="8" t="n">
        <v>45660</v>
      </c>
      <c r="C3651" s="9" t="n">
        <v>45658</v>
      </c>
      <c r="D3651" s="7" t="n">
        <v>2025</v>
      </c>
      <c r="E3651" s="7" t="inlineStr">
        <is>
          <t>West</t>
        </is>
      </c>
      <c r="F3651" s="7" t="inlineStr">
        <is>
          <t>Office Supplies</t>
        </is>
      </c>
      <c r="G3651" s="7" t="inlineStr">
        <is>
          <t>Printer Ink</t>
        </is>
      </c>
      <c r="H3651" s="7" t="inlineStr">
        <is>
          <t>Corporate</t>
        </is>
      </c>
      <c r="I3651" s="7" t="n">
        <v>10</v>
      </c>
      <c r="J3651" s="10" t="n">
        <v>60.56</v>
      </c>
      <c r="K3651" s="11" t="n">
        <v>0.05</v>
      </c>
      <c r="L3651" s="10">
        <f>I3651*J3651*(1-K3651)</f>
        <v/>
      </c>
      <c r="M3651" s="10" t="n">
        <v>360</v>
      </c>
      <c r="N3651" s="10">
        <f>L3651-M3651</f>
        <v/>
      </c>
    </row>
    <row r="3652">
      <c r="A3652" s="7" t="inlineStr">
        <is>
          <t>ORD-05112</t>
        </is>
      </c>
      <c r="B3652" s="8" t="n">
        <v>45660</v>
      </c>
      <c r="C3652" s="9" t="n">
        <v>45658</v>
      </c>
      <c r="D3652" s="7" t="n">
        <v>2025</v>
      </c>
      <c r="E3652" s="7" t="inlineStr">
        <is>
          <t>East</t>
        </is>
      </c>
      <c r="F3652" s="7" t="inlineStr">
        <is>
          <t>Furniture</t>
        </is>
      </c>
      <c r="G3652" s="7" t="inlineStr">
        <is>
          <t>Desk</t>
        </is>
      </c>
      <c r="H3652" s="7" t="inlineStr">
        <is>
          <t>Corporate</t>
        </is>
      </c>
      <c r="I3652" s="7" t="n">
        <v>3</v>
      </c>
      <c r="J3652" s="10" t="n">
        <v>454.4</v>
      </c>
      <c r="K3652" s="11" t="n">
        <v>0.3</v>
      </c>
      <c r="L3652" s="10">
        <f>I3652*J3652*(1-K3652)</f>
        <v/>
      </c>
      <c r="M3652" s="10" t="n">
        <v>1147.5</v>
      </c>
      <c r="N3652" s="10">
        <f>L3652-M3652</f>
        <v/>
      </c>
    </row>
    <row r="3653">
      <c r="A3653" s="7" t="inlineStr">
        <is>
          <t>ORD-05737</t>
        </is>
      </c>
      <c r="B3653" s="8" t="n">
        <v>45661</v>
      </c>
      <c r="C3653" s="9" t="n">
        <v>45658</v>
      </c>
      <c r="D3653" s="7" t="n">
        <v>2025</v>
      </c>
      <c r="E3653" s="7" t="inlineStr">
        <is>
          <t>North</t>
        </is>
      </c>
      <c r="F3653" s="7" t="inlineStr">
        <is>
          <t>Office Supplies</t>
        </is>
      </c>
      <c r="G3653" s="7" t="inlineStr">
        <is>
          <t>Stapler</t>
        </is>
      </c>
      <c r="H3653" s="7" t="inlineStr">
        <is>
          <t>Consumer</t>
        </is>
      </c>
      <c r="I3653" s="7" t="n">
        <v>9</v>
      </c>
      <c r="J3653" s="10" t="n">
        <v>14.43</v>
      </c>
      <c r="K3653" s="11" t="n">
        <v>0.1</v>
      </c>
      <c r="L3653" s="10">
        <f>I3653*J3653*(1-K3653)</f>
        <v/>
      </c>
      <c r="M3653" s="10" t="n">
        <v>67.5</v>
      </c>
      <c r="N3653" s="10">
        <f>L3653-M3653</f>
        <v/>
      </c>
    </row>
    <row r="3654">
      <c r="A3654" s="7" t="inlineStr">
        <is>
          <t>ORD-02114</t>
        </is>
      </c>
      <c r="B3654" s="8" t="n">
        <v>45661</v>
      </c>
      <c r="C3654" s="9" t="n">
        <v>45658</v>
      </c>
      <c r="D3654" s="7" t="n">
        <v>2025</v>
      </c>
      <c r="E3654" s="7" t="inlineStr">
        <is>
          <t>South</t>
        </is>
      </c>
      <c r="F3654" s="7" t="inlineStr">
        <is>
          <t>Furniture</t>
        </is>
      </c>
      <c r="G3654" s="7" t="inlineStr">
        <is>
          <t>Bookcase</t>
        </is>
      </c>
      <c r="H3654" s="7" t="inlineStr">
        <is>
          <t>Consumer</t>
        </is>
      </c>
      <c r="I3654" s="7" t="n">
        <v>2</v>
      </c>
      <c r="J3654" s="10" t="n">
        <v>181.64</v>
      </c>
      <c r="K3654" s="11" t="n">
        <v>0</v>
      </c>
      <c r="L3654" s="10">
        <f>I3654*J3654*(1-K3654)</f>
        <v/>
      </c>
      <c r="M3654" s="10" t="n">
        <v>288</v>
      </c>
      <c r="N3654" s="10">
        <f>L3654-M3654</f>
        <v/>
      </c>
    </row>
    <row r="3655">
      <c r="A3655" s="7" t="inlineStr">
        <is>
          <t>ORD-01562</t>
        </is>
      </c>
      <c r="B3655" s="8" t="n">
        <v>45662</v>
      </c>
      <c r="C3655" s="9" t="n">
        <v>45658</v>
      </c>
      <c r="D3655" s="7" t="n">
        <v>2025</v>
      </c>
      <c r="E3655" s="7" t="inlineStr">
        <is>
          <t>West</t>
        </is>
      </c>
      <c r="F3655" s="7" t="inlineStr">
        <is>
          <t>Office Supplies</t>
        </is>
      </c>
      <c r="G3655" s="7" t="inlineStr">
        <is>
          <t>Pens</t>
        </is>
      </c>
      <c r="H3655" s="7" t="inlineStr">
        <is>
          <t>Consumer</t>
        </is>
      </c>
      <c r="I3655" s="7" t="n">
        <v>10</v>
      </c>
      <c r="J3655" s="10" t="n">
        <v>12.31</v>
      </c>
      <c r="K3655" s="11" t="n">
        <v>0.1</v>
      </c>
      <c r="L3655" s="10">
        <f>I3655*J3655*(1-K3655)</f>
        <v/>
      </c>
      <c r="M3655" s="10" t="n">
        <v>54</v>
      </c>
      <c r="N3655" s="10">
        <f>L3655-M3655</f>
        <v/>
      </c>
    </row>
    <row r="3656">
      <c r="A3656" s="7" t="inlineStr">
        <is>
          <t>ORD-05590</t>
        </is>
      </c>
      <c r="B3656" s="8" t="n">
        <v>45662</v>
      </c>
      <c r="C3656" s="9" t="n">
        <v>45658</v>
      </c>
      <c r="D3656" s="7" t="n">
        <v>2025</v>
      </c>
      <c r="E3656" s="7" t="inlineStr">
        <is>
          <t>West</t>
        </is>
      </c>
      <c r="F3656" s="7" t="inlineStr">
        <is>
          <t>Furniture</t>
        </is>
      </c>
      <c r="G3656" s="7" t="inlineStr">
        <is>
          <t>Bookcase</t>
        </is>
      </c>
      <c r="H3656" s="7" t="inlineStr">
        <is>
          <t>Consumer</t>
        </is>
      </c>
      <c r="I3656" s="7" t="n">
        <v>2</v>
      </c>
      <c r="J3656" s="10" t="n">
        <v>185.17</v>
      </c>
      <c r="K3656" s="11" t="n">
        <v>0</v>
      </c>
      <c r="L3656" s="10">
        <f>I3656*J3656*(1-K3656)</f>
        <v/>
      </c>
      <c r="M3656" s="10" t="n">
        <v>288</v>
      </c>
      <c r="N3656" s="10">
        <f>L3656-M3656</f>
        <v/>
      </c>
    </row>
    <row r="3657">
      <c r="A3657" s="7" t="inlineStr">
        <is>
          <t>ORD-02981</t>
        </is>
      </c>
      <c r="B3657" s="8" t="n">
        <v>45662</v>
      </c>
      <c r="C3657" s="9" t="n">
        <v>45658</v>
      </c>
      <c r="D3657" s="7" t="n">
        <v>2025</v>
      </c>
      <c r="E3657" s="7" t="inlineStr">
        <is>
          <t>East</t>
        </is>
      </c>
      <c r="F3657" s="7" t="inlineStr">
        <is>
          <t>Office Supplies</t>
        </is>
      </c>
      <c r="G3657" s="7" t="inlineStr">
        <is>
          <t>Stapler</t>
        </is>
      </c>
      <c r="H3657" s="7" t="inlineStr">
        <is>
          <t>Consumer</t>
        </is>
      </c>
      <c r="I3657" s="7" t="n">
        <v>6</v>
      </c>
      <c r="J3657" s="10" t="n">
        <v>15.14</v>
      </c>
      <c r="K3657" s="11" t="n">
        <v>0.05</v>
      </c>
      <c r="L3657" s="10">
        <f>I3657*J3657*(1-K3657)</f>
        <v/>
      </c>
      <c r="M3657" s="10" t="n">
        <v>45</v>
      </c>
      <c r="N3657" s="10">
        <f>L3657-M3657</f>
        <v/>
      </c>
    </row>
    <row r="3658">
      <c r="A3658" s="7" t="inlineStr">
        <is>
          <t>ORD-04423</t>
        </is>
      </c>
      <c r="B3658" s="8" t="n">
        <v>45662</v>
      </c>
      <c r="C3658" s="9" t="n">
        <v>45658</v>
      </c>
      <c r="D3658" s="7" t="n">
        <v>2025</v>
      </c>
      <c r="E3658" s="7" t="inlineStr">
        <is>
          <t>East</t>
        </is>
      </c>
      <c r="F3658" s="7" t="inlineStr">
        <is>
          <t>Technology</t>
        </is>
      </c>
      <c r="G3658" s="7" t="inlineStr">
        <is>
          <t>Headphones</t>
        </is>
      </c>
      <c r="H3658" s="7" t="inlineStr">
        <is>
          <t>Corporate</t>
        </is>
      </c>
      <c r="I3658" s="7" t="n">
        <v>1</v>
      </c>
      <c r="J3658" s="10" t="n">
        <v>117.44</v>
      </c>
      <c r="K3658" s="11" t="n">
        <v>0.1</v>
      </c>
      <c r="L3658" s="10">
        <f>I3658*J3658*(1-K3658)</f>
        <v/>
      </c>
      <c r="M3658" s="10" t="n">
        <v>72</v>
      </c>
      <c r="N3658" s="10">
        <f>L3658-M3658</f>
        <v/>
      </c>
    </row>
    <row r="3659">
      <c r="A3659" s="7" t="inlineStr">
        <is>
          <t>ORD-05302</t>
        </is>
      </c>
      <c r="B3659" s="8" t="n">
        <v>45662</v>
      </c>
      <c r="C3659" s="9" t="n">
        <v>45658</v>
      </c>
      <c r="D3659" s="7" t="n">
        <v>2025</v>
      </c>
      <c r="E3659" s="7" t="inlineStr">
        <is>
          <t>North</t>
        </is>
      </c>
      <c r="F3659" s="7" t="inlineStr">
        <is>
          <t>Office Supplies</t>
        </is>
      </c>
      <c r="G3659" s="7" t="inlineStr">
        <is>
          <t>Stapler</t>
        </is>
      </c>
      <c r="H3659" s="7" t="inlineStr">
        <is>
          <t>Consumer</t>
        </is>
      </c>
      <c r="I3659" s="7" t="n">
        <v>6</v>
      </c>
      <c r="J3659" s="10" t="n">
        <v>14.67</v>
      </c>
      <c r="K3659" s="11" t="n">
        <v>0</v>
      </c>
      <c r="L3659" s="10">
        <f>I3659*J3659*(1-K3659)</f>
        <v/>
      </c>
      <c r="M3659" s="10" t="n">
        <v>45</v>
      </c>
      <c r="N3659" s="10">
        <f>L3659-M3659</f>
        <v/>
      </c>
    </row>
    <row r="3660">
      <c r="A3660" s="7" t="inlineStr">
        <is>
          <t>ORD-01960</t>
        </is>
      </c>
      <c r="B3660" s="8" t="n">
        <v>45662</v>
      </c>
      <c r="C3660" s="9" t="n">
        <v>45658</v>
      </c>
      <c r="D3660" s="7" t="n">
        <v>2025</v>
      </c>
      <c r="E3660" s="7" t="inlineStr">
        <is>
          <t>North</t>
        </is>
      </c>
      <c r="F3660" s="7" t="inlineStr">
        <is>
          <t>Office Supplies</t>
        </is>
      </c>
      <c r="G3660" s="7" t="inlineStr">
        <is>
          <t>Printer Ink</t>
        </is>
      </c>
      <c r="H3660" s="7" t="inlineStr">
        <is>
          <t>Consumer</t>
        </is>
      </c>
      <c r="I3660" s="7" t="n">
        <v>13</v>
      </c>
      <c r="J3660" s="10" t="n">
        <v>59.47</v>
      </c>
      <c r="K3660" s="11" t="n">
        <v>0.05</v>
      </c>
      <c r="L3660" s="10">
        <f>I3660*J3660*(1-K3660)</f>
        <v/>
      </c>
      <c r="M3660" s="10" t="n">
        <v>468</v>
      </c>
      <c r="N3660" s="10">
        <f>L3660-M3660</f>
        <v/>
      </c>
    </row>
    <row r="3661">
      <c r="A3661" s="7" t="inlineStr">
        <is>
          <t>ORD-05624</t>
        </is>
      </c>
      <c r="B3661" s="8" t="n">
        <v>45663</v>
      </c>
      <c r="C3661" s="9" t="n">
        <v>45658</v>
      </c>
      <c r="D3661" s="7" t="n">
        <v>2025</v>
      </c>
      <c r="E3661" s="7" t="inlineStr">
        <is>
          <t>South</t>
        </is>
      </c>
      <c r="F3661" s="7" t="inlineStr">
        <is>
          <t>Office Supplies</t>
        </is>
      </c>
      <c r="G3661" s="7" t="inlineStr">
        <is>
          <t>Paper</t>
        </is>
      </c>
      <c r="H3661" s="7" t="inlineStr">
        <is>
          <t>Corporate</t>
        </is>
      </c>
      <c r="I3661" s="7" t="n">
        <v>9</v>
      </c>
      <c r="J3661" s="10" t="n">
        <v>25.24</v>
      </c>
      <c r="K3661" s="11" t="n">
        <v>0</v>
      </c>
      <c r="L3661" s="10">
        <f>I3661*J3661*(1-K3661)</f>
        <v/>
      </c>
      <c r="M3661" s="10" t="n">
        <v>112.5</v>
      </c>
      <c r="N3661" s="10">
        <f>L3661-M3661</f>
        <v/>
      </c>
    </row>
    <row r="3662">
      <c r="A3662" s="7" t="inlineStr">
        <is>
          <t>ORD-00336</t>
        </is>
      </c>
      <c r="B3662" s="8" t="n">
        <v>45663</v>
      </c>
      <c r="C3662" s="9" t="n">
        <v>45658</v>
      </c>
      <c r="D3662" s="7" t="n">
        <v>2025</v>
      </c>
      <c r="E3662" s="7" t="inlineStr">
        <is>
          <t>East</t>
        </is>
      </c>
      <c r="F3662" s="7" t="inlineStr">
        <is>
          <t>Office Supplies</t>
        </is>
      </c>
      <c r="G3662" s="7" t="inlineStr">
        <is>
          <t>Paper</t>
        </is>
      </c>
      <c r="H3662" s="7" t="inlineStr">
        <is>
          <t>Consumer</t>
        </is>
      </c>
      <c r="I3662" s="7" t="n">
        <v>12</v>
      </c>
      <c r="J3662" s="10" t="n">
        <v>24.36</v>
      </c>
      <c r="K3662" s="11" t="n">
        <v>0</v>
      </c>
      <c r="L3662" s="10">
        <f>I3662*J3662*(1-K3662)</f>
        <v/>
      </c>
      <c r="M3662" s="10" t="n">
        <v>150</v>
      </c>
      <c r="N3662" s="10">
        <f>L3662-M3662</f>
        <v/>
      </c>
    </row>
    <row r="3663">
      <c r="A3663" s="7" t="inlineStr">
        <is>
          <t>ORD-03055</t>
        </is>
      </c>
      <c r="B3663" s="8" t="n">
        <v>45663</v>
      </c>
      <c r="C3663" s="9" t="n">
        <v>45658</v>
      </c>
      <c r="D3663" s="7" t="n">
        <v>2025</v>
      </c>
      <c r="E3663" s="7" t="inlineStr">
        <is>
          <t>North</t>
        </is>
      </c>
      <c r="F3663" s="7" t="inlineStr">
        <is>
          <t>Technology</t>
        </is>
      </c>
      <c r="G3663" s="7" t="inlineStr">
        <is>
          <t>Smartphone</t>
        </is>
      </c>
      <c r="H3663" s="7" t="inlineStr">
        <is>
          <t>Home Office</t>
        </is>
      </c>
      <c r="I3663" s="7" t="n">
        <v>3</v>
      </c>
      <c r="J3663" s="10" t="n">
        <v>606.96</v>
      </c>
      <c r="K3663" s="11" t="n">
        <v>0.1</v>
      </c>
      <c r="L3663" s="10">
        <f>I3663*J3663*(1-K3663)</f>
        <v/>
      </c>
      <c r="M3663" s="10" t="n">
        <v>1350</v>
      </c>
      <c r="N3663" s="10">
        <f>L3663-M3663</f>
        <v/>
      </c>
    </row>
    <row r="3664">
      <c r="A3664" s="7" t="inlineStr">
        <is>
          <t>ORD-02019</t>
        </is>
      </c>
      <c r="B3664" s="8" t="n">
        <v>45663</v>
      </c>
      <c r="C3664" s="9" t="n">
        <v>45658</v>
      </c>
      <c r="D3664" s="7" t="n">
        <v>2025</v>
      </c>
      <c r="E3664" s="7" t="inlineStr">
        <is>
          <t>East</t>
        </is>
      </c>
      <c r="F3664" s="7" t="inlineStr">
        <is>
          <t>Office Supplies</t>
        </is>
      </c>
      <c r="G3664" s="7" t="inlineStr">
        <is>
          <t>Binder</t>
        </is>
      </c>
      <c r="H3664" s="7" t="inlineStr">
        <is>
          <t>Consumer</t>
        </is>
      </c>
      <c r="I3664" s="7" t="n">
        <v>8</v>
      </c>
      <c r="J3664" s="10" t="n">
        <v>8.220000000000001</v>
      </c>
      <c r="K3664" s="11" t="n">
        <v>0</v>
      </c>
      <c r="L3664" s="10">
        <f>I3664*J3664*(1-K3664)</f>
        <v/>
      </c>
      <c r="M3664" s="10" t="n">
        <v>25.6</v>
      </c>
      <c r="N3664" s="10">
        <f>L3664-M3664</f>
        <v/>
      </c>
    </row>
    <row r="3665">
      <c r="A3665" s="7" t="inlineStr">
        <is>
          <t>ORD-02671</t>
        </is>
      </c>
      <c r="B3665" s="8" t="n">
        <v>45663</v>
      </c>
      <c r="C3665" s="9" t="n">
        <v>45658</v>
      </c>
      <c r="D3665" s="7" t="n">
        <v>2025</v>
      </c>
      <c r="E3665" s="7" t="inlineStr">
        <is>
          <t>West</t>
        </is>
      </c>
      <c r="F3665" s="7" t="inlineStr">
        <is>
          <t>Office Supplies</t>
        </is>
      </c>
      <c r="G3665" s="7" t="inlineStr">
        <is>
          <t>Binder</t>
        </is>
      </c>
      <c r="H3665" s="7" t="inlineStr">
        <is>
          <t>Consumer</t>
        </is>
      </c>
      <c r="I3665" s="7" t="n">
        <v>13</v>
      </c>
      <c r="J3665" s="10" t="n">
        <v>7.88</v>
      </c>
      <c r="K3665" s="11" t="n">
        <v>0.05</v>
      </c>
      <c r="L3665" s="10">
        <f>I3665*J3665*(1-K3665)</f>
        <v/>
      </c>
      <c r="M3665" s="10" t="n">
        <v>41.6</v>
      </c>
      <c r="N3665" s="10">
        <f>L3665-M3665</f>
        <v/>
      </c>
    </row>
    <row r="3666">
      <c r="A3666" s="7" t="inlineStr">
        <is>
          <t>ORD-01961</t>
        </is>
      </c>
      <c r="B3666" s="8" t="n">
        <v>45663</v>
      </c>
      <c r="C3666" s="9" t="n">
        <v>45658</v>
      </c>
      <c r="D3666" s="7" t="n">
        <v>2025</v>
      </c>
      <c r="E3666" s="7" t="inlineStr">
        <is>
          <t>West</t>
        </is>
      </c>
      <c r="F3666" s="7" t="inlineStr">
        <is>
          <t>Office Supplies</t>
        </is>
      </c>
      <c r="G3666" s="7" t="inlineStr">
        <is>
          <t>Binder</t>
        </is>
      </c>
      <c r="H3666" s="7" t="inlineStr">
        <is>
          <t>Home Office</t>
        </is>
      </c>
      <c r="I3666" s="7" t="n">
        <v>5</v>
      </c>
      <c r="J3666" s="10" t="n">
        <v>7.87</v>
      </c>
      <c r="K3666" s="11" t="n">
        <v>0</v>
      </c>
      <c r="L3666" s="10">
        <f>I3666*J3666*(1-K3666)</f>
        <v/>
      </c>
      <c r="M3666" s="10" t="n">
        <v>16</v>
      </c>
      <c r="N3666" s="10">
        <f>L3666-M3666</f>
        <v/>
      </c>
    </row>
    <row r="3667">
      <c r="A3667" s="7" t="inlineStr">
        <is>
          <t>ORD-04204</t>
        </is>
      </c>
      <c r="B3667" s="8" t="n">
        <v>45663</v>
      </c>
      <c r="C3667" s="9" t="n">
        <v>45658</v>
      </c>
      <c r="D3667" s="7" t="n">
        <v>2025</v>
      </c>
      <c r="E3667" s="7" t="inlineStr">
        <is>
          <t>East</t>
        </is>
      </c>
      <c r="F3667" s="7" t="inlineStr">
        <is>
          <t>Office Supplies</t>
        </is>
      </c>
      <c r="G3667" s="7" t="inlineStr">
        <is>
          <t>Paper</t>
        </is>
      </c>
      <c r="H3667" s="7" t="inlineStr">
        <is>
          <t>Corporate</t>
        </is>
      </c>
      <c r="I3667" s="7" t="n">
        <v>14</v>
      </c>
      <c r="J3667" s="10" t="n">
        <v>24.65</v>
      </c>
      <c r="K3667" s="11" t="n">
        <v>0.1</v>
      </c>
      <c r="L3667" s="10">
        <f>I3667*J3667*(1-K3667)</f>
        <v/>
      </c>
      <c r="M3667" s="10" t="n">
        <v>175</v>
      </c>
      <c r="N3667" s="10">
        <f>L3667-M3667</f>
        <v/>
      </c>
    </row>
    <row r="3668">
      <c r="A3668" s="7" t="inlineStr">
        <is>
          <t>ORD-02607</t>
        </is>
      </c>
      <c r="B3668" s="8" t="n">
        <v>45663</v>
      </c>
      <c r="C3668" s="9" t="n">
        <v>45658</v>
      </c>
      <c r="D3668" s="7" t="n">
        <v>2025</v>
      </c>
      <c r="E3668" s="7" t="inlineStr">
        <is>
          <t>West</t>
        </is>
      </c>
      <c r="F3668" s="7" t="inlineStr">
        <is>
          <t>Office Supplies</t>
        </is>
      </c>
      <c r="G3668" s="7" t="inlineStr">
        <is>
          <t>Paper</t>
        </is>
      </c>
      <c r="H3668" s="7" t="inlineStr">
        <is>
          <t>Consumer</t>
        </is>
      </c>
      <c r="I3668" s="7" t="n">
        <v>14</v>
      </c>
      <c r="J3668" s="10" t="n">
        <v>24.68</v>
      </c>
      <c r="K3668" s="11" t="n">
        <v>0</v>
      </c>
      <c r="L3668" s="10">
        <f>I3668*J3668*(1-K3668)</f>
        <v/>
      </c>
      <c r="M3668" s="10" t="n">
        <v>175</v>
      </c>
      <c r="N3668" s="10">
        <f>L3668-M3668</f>
        <v/>
      </c>
    </row>
    <row r="3669">
      <c r="A3669" s="7" t="inlineStr">
        <is>
          <t>ORD-05104</t>
        </is>
      </c>
      <c r="B3669" s="8" t="n">
        <v>45663</v>
      </c>
      <c r="C3669" s="9" t="n">
        <v>45658</v>
      </c>
      <c r="D3669" s="7" t="n">
        <v>2025</v>
      </c>
      <c r="E3669" s="7" t="inlineStr">
        <is>
          <t>South</t>
        </is>
      </c>
      <c r="F3669" s="7" t="inlineStr">
        <is>
          <t>Office Supplies</t>
        </is>
      </c>
      <c r="G3669" s="7" t="inlineStr">
        <is>
          <t>Pens</t>
        </is>
      </c>
      <c r="H3669" s="7" t="inlineStr">
        <is>
          <t>Home Office</t>
        </is>
      </c>
      <c r="I3669" s="7" t="n">
        <v>10</v>
      </c>
      <c r="J3669" s="10" t="n">
        <v>12.06</v>
      </c>
      <c r="K3669" s="11" t="n">
        <v>0.2</v>
      </c>
      <c r="L3669" s="10">
        <f>I3669*J3669*(1-K3669)</f>
        <v/>
      </c>
      <c r="M3669" s="10" t="n">
        <v>54</v>
      </c>
      <c r="N3669" s="10">
        <f>L3669-M3669</f>
        <v/>
      </c>
    </row>
    <row r="3670">
      <c r="A3670" s="7" t="inlineStr">
        <is>
          <t>ORD-05035</t>
        </is>
      </c>
      <c r="B3670" s="8" t="n">
        <v>45664</v>
      </c>
      <c r="C3670" s="9" t="n">
        <v>45658</v>
      </c>
      <c r="D3670" s="7" t="n">
        <v>2025</v>
      </c>
      <c r="E3670" s="7" t="inlineStr">
        <is>
          <t>North</t>
        </is>
      </c>
      <c r="F3670" s="7" t="inlineStr">
        <is>
          <t>Office Supplies</t>
        </is>
      </c>
      <c r="G3670" s="7" t="inlineStr">
        <is>
          <t>Paper</t>
        </is>
      </c>
      <c r="H3670" s="7" t="inlineStr">
        <is>
          <t>Consumer</t>
        </is>
      </c>
      <c r="I3670" s="7" t="n">
        <v>7</v>
      </c>
      <c r="J3670" s="10" t="n">
        <v>25.78</v>
      </c>
      <c r="K3670" s="11" t="n">
        <v>0.05</v>
      </c>
      <c r="L3670" s="10">
        <f>I3670*J3670*(1-K3670)</f>
        <v/>
      </c>
      <c r="M3670" s="10" t="n">
        <v>87.5</v>
      </c>
      <c r="N3670" s="10">
        <f>L3670-M3670</f>
        <v/>
      </c>
    </row>
    <row r="3671">
      <c r="A3671" s="7" t="inlineStr">
        <is>
          <t>ORD-05671</t>
        </is>
      </c>
      <c r="B3671" s="8" t="n">
        <v>45664</v>
      </c>
      <c r="C3671" s="9" t="n">
        <v>45658</v>
      </c>
      <c r="D3671" s="7" t="n">
        <v>2025</v>
      </c>
      <c r="E3671" s="7" t="inlineStr">
        <is>
          <t>East</t>
        </is>
      </c>
      <c r="F3671" s="7" t="inlineStr">
        <is>
          <t>Technology</t>
        </is>
      </c>
      <c r="G3671" s="7" t="inlineStr">
        <is>
          <t>Keyboard</t>
        </is>
      </c>
      <c r="H3671" s="7" t="inlineStr">
        <is>
          <t>Corporate</t>
        </is>
      </c>
      <c r="I3671" s="7" t="n">
        <v>3</v>
      </c>
      <c r="J3671" s="10" t="n">
        <v>43.41</v>
      </c>
      <c r="K3671" s="11" t="n">
        <v>0.1</v>
      </c>
      <c r="L3671" s="10">
        <f>I3671*J3671*(1-K3671)</f>
        <v/>
      </c>
      <c r="M3671" s="10" t="n">
        <v>74.25</v>
      </c>
      <c r="N3671" s="10">
        <f>L3671-M3671</f>
        <v/>
      </c>
    </row>
    <row r="3672">
      <c r="A3672" s="7" t="inlineStr">
        <is>
          <t>ORD-05000</t>
        </is>
      </c>
      <c r="B3672" s="8" t="n">
        <v>45664</v>
      </c>
      <c r="C3672" s="9" t="n">
        <v>45658</v>
      </c>
      <c r="D3672" s="7" t="n">
        <v>2025</v>
      </c>
      <c r="E3672" s="7" t="inlineStr">
        <is>
          <t>North</t>
        </is>
      </c>
      <c r="F3672" s="7" t="inlineStr">
        <is>
          <t>Office Supplies</t>
        </is>
      </c>
      <c r="G3672" s="7" t="inlineStr">
        <is>
          <t>Binder</t>
        </is>
      </c>
      <c r="H3672" s="7" t="inlineStr">
        <is>
          <t>Corporate</t>
        </is>
      </c>
      <c r="I3672" s="7" t="n">
        <v>9</v>
      </c>
      <c r="J3672" s="10" t="n">
        <v>8.390000000000001</v>
      </c>
      <c r="K3672" s="11" t="n">
        <v>0.05</v>
      </c>
      <c r="L3672" s="10">
        <f>I3672*J3672*(1-K3672)</f>
        <v/>
      </c>
      <c r="M3672" s="10" t="n">
        <v>28.8</v>
      </c>
      <c r="N3672" s="10">
        <f>L3672-M3672</f>
        <v/>
      </c>
    </row>
    <row r="3673">
      <c r="A3673" s="7" t="inlineStr">
        <is>
          <t>ORD-03689</t>
        </is>
      </c>
      <c r="B3673" s="8" t="n">
        <v>45664</v>
      </c>
      <c r="C3673" s="9" t="n">
        <v>45658</v>
      </c>
      <c r="D3673" s="7" t="n">
        <v>2025</v>
      </c>
      <c r="E3673" s="7" t="inlineStr">
        <is>
          <t>West</t>
        </is>
      </c>
      <c r="F3673" s="7" t="inlineStr">
        <is>
          <t>Office Supplies</t>
        </is>
      </c>
      <c r="G3673" s="7" t="inlineStr">
        <is>
          <t>Stapler</t>
        </is>
      </c>
      <c r="H3673" s="7" t="inlineStr">
        <is>
          <t>Consumer</t>
        </is>
      </c>
      <c r="I3673" s="7" t="n">
        <v>9</v>
      </c>
      <c r="J3673" s="10" t="n">
        <v>15.61</v>
      </c>
      <c r="K3673" s="11" t="n">
        <v>0</v>
      </c>
      <c r="L3673" s="10">
        <f>I3673*J3673*(1-K3673)</f>
        <v/>
      </c>
      <c r="M3673" s="10" t="n">
        <v>67.5</v>
      </c>
      <c r="N3673" s="10">
        <f>L3673-M3673</f>
        <v/>
      </c>
    </row>
    <row r="3674">
      <c r="A3674" s="7" t="inlineStr">
        <is>
          <t>ORD-00351</t>
        </is>
      </c>
      <c r="B3674" s="8" t="n">
        <v>45665</v>
      </c>
      <c r="C3674" s="9" t="n">
        <v>45658</v>
      </c>
      <c r="D3674" s="7" t="n">
        <v>2025</v>
      </c>
      <c r="E3674" s="7" t="inlineStr">
        <is>
          <t>South</t>
        </is>
      </c>
      <c r="F3674" s="7" t="inlineStr">
        <is>
          <t>Furniture</t>
        </is>
      </c>
      <c r="G3674" s="7" t="inlineStr">
        <is>
          <t>Bookcase</t>
        </is>
      </c>
      <c r="H3674" s="7" t="inlineStr">
        <is>
          <t>Home Office</t>
        </is>
      </c>
      <c r="I3674" s="7" t="n">
        <v>2</v>
      </c>
      <c r="J3674" s="10" t="n">
        <v>174.94</v>
      </c>
      <c r="K3674" s="11" t="n">
        <v>0.2</v>
      </c>
      <c r="L3674" s="10">
        <f>I3674*J3674*(1-K3674)</f>
        <v/>
      </c>
      <c r="M3674" s="10" t="n">
        <v>288</v>
      </c>
      <c r="N3674" s="10">
        <f>L3674-M3674</f>
        <v/>
      </c>
    </row>
    <row r="3675">
      <c r="A3675" s="7" t="inlineStr">
        <is>
          <t>ORD-04283</t>
        </is>
      </c>
      <c r="B3675" s="8" t="n">
        <v>45665</v>
      </c>
      <c r="C3675" s="9" t="n">
        <v>45658</v>
      </c>
      <c r="D3675" s="7" t="n">
        <v>2025</v>
      </c>
      <c r="E3675" s="7" t="inlineStr">
        <is>
          <t>East</t>
        </is>
      </c>
      <c r="F3675" s="7" t="inlineStr">
        <is>
          <t>Office Supplies</t>
        </is>
      </c>
      <c r="G3675" s="7" t="inlineStr">
        <is>
          <t>Paper</t>
        </is>
      </c>
      <c r="H3675" s="7" t="inlineStr">
        <is>
          <t>Consumer</t>
        </is>
      </c>
      <c r="I3675" s="7" t="n">
        <v>2</v>
      </c>
      <c r="J3675" s="10" t="n">
        <v>24.94</v>
      </c>
      <c r="K3675" s="11" t="n">
        <v>0.05</v>
      </c>
      <c r="L3675" s="10">
        <f>I3675*J3675*(1-K3675)</f>
        <v/>
      </c>
      <c r="M3675" s="10" t="n">
        <v>25</v>
      </c>
      <c r="N3675" s="10">
        <f>L3675-M3675</f>
        <v/>
      </c>
    </row>
    <row r="3676">
      <c r="A3676" s="7" t="inlineStr">
        <is>
          <t>ORD-05710</t>
        </is>
      </c>
      <c r="B3676" s="8" t="n">
        <v>45665</v>
      </c>
      <c r="C3676" s="9" t="n">
        <v>45658</v>
      </c>
      <c r="D3676" s="7" t="n">
        <v>2025</v>
      </c>
      <c r="E3676" s="7" t="inlineStr">
        <is>
          <t>South</t>
        </is>
      </c>
      <c r="F3676" s="7" t="inlineStr">
        <is>
          <t>Office Supplies</t>
        </is>
      </c>
      <c r="G3676" s="7" t="inlineStr">
        <is>
          <t>Binder</t>
        </is>
      </c>
      <c r="H3676" s="7" t="inlineStr">
        <is>
          <t>Corporate</t>
        </is>
      </c>
      <c r="I3676" s="7" t="n">
        <v>3</v>
      </c>
      <c r="J3676" s="10" t="n">
        <v>8.08</v>
      </c>
      <c r="K3676" s="11" t="n">
        <v>0</v>
      </c>
      <c r="L3676" s="10">
        <f>I3676*J3676*(1-K3676)</f>
        <v/>
      </c>
      <c r="M3676" s="10" t="n">
        <v>9.6</v>
      </c>
      <c r="N3676" s="10">
        <f>L3676-M3676</f>
        <v/>
      </c>
    </row>
    <row r="3677">
      <c r="A3677" s="7" t="inlineStr">
        <is>
          <t>ORD-00923</t>
        </is>
      </c>
      <c r="B3677" s="8" t="n">
        <v>45666</v>
      </c>
      <c r="C3677" s="9" t="n">
        <v>45658</v>
      </c>
      <c r="D3677" s="7" t="n">
        <v>2025</v>
      </c>
      <c r="E3677" s="7" t="inlineStr">
        <is>
          <t>East</t>
        </is>
      </c>
      <c r="F3677" s="7" t="inlineStr">
        <is>
          <t>Office Supplies</t>
        </is>
      </c>
      <c r="G3677" s="7" t="inlineStr">
        <is>
          <t>Printer Ink</t>
        </is>
      </c>
      <c r="H3677" s="7" t="inlineStr">
        <is>
          <t>Consumer</t>
        </is>
      </c>
      <c r="I3677" s="7" t="n">
        <v>4</v>
      </c>
      <c r="J3677" s="10" t="n">
        <v>60.61</v>
      </c>
      <c r="K3677" s="11" t="n">
        <v>0.1</v>
      </c>
      <c r="L3677" s="10">
        <f>I3677*J3677*(1-K3677)</f>
        <v/>
      </c>
      <c r="M3677" s="10" t="n">
        <v>144</v>
      </c>
      <c r="N3677" s="10">
        <f>L3677-M3677</f>
        <v/>
      </c>
    </row>
    <row r="3678">
      <c r="A3678" s="7" t="inlineStr">
        <is>
          <t>ORD-03314</t>
        </is>
      </c>
      <c r="B3678" s="8" t="n">
        <v>45666</v>
      </c>
      <c r="C3678" s="9" t="n">
        <v>45658</v>
      </c>
      <c r="D3678" s="7" t="n">
        <v>2025</v>
      </c>
      <c r="E3678" s="7" t="inlineStr">
        <is>
          <t>East</t>
        </is>
      </c>
      <c r="F3678" s="7" t="inlineStr">
        <is>
          <t>Technology</t>
        </is>
      </c>
      <c r="G3678" s="7" t="inlineStr">
        <is>
          <t>Laptop</t>
        </is>
      </c>
      <c r="H3678" s="7" t="inlineStr">
        <is>
          <t>Corporate</t>
        </is>
      </c>
      <c r="I3678" s="7" t="n">
        <v>1</v>
      </c>
      <c r="J3678" s="10" t="n">
        <v>917.88</v>
      </c>
      <c r="K3678" s="11" t="n">
        <v>0.1</v>
      </c>
      <c r="L3678" s="10">
        <f>I3678*J3678*(1-K3678)</f>
        <v/>
      </c>
      <c r="M3678" s="10" t="n">
        <v>702</v>
      </c>
      <c r="N3678" s="10">
        <f>L3678-M3678</f>
        <v/>
      </c>
    </row>
    <row r="3679">
      <c r="A3679" s="7" t="inlineStr">
        <is>
          <t>ORD-05768</t>
        </is>
      </c>
      <c r="B3679" s="8" t="n">
        <v>45666</v>
      </c>
      <c r="C3679" s="9" t="n">
        <v>45658</v>
      </c>
      <c r="D3679" s="7" t="n">
        <v>2025</v>
      </c>
      <c r="E3679" s="7" t="inlineStr">
        <is>
          <t>South</t>
        </is>
      </c>
      <c r="F3679" s="7" t="inlineStr">
        <is>
          <t>Technology</t>
        </is>
      </c>
      <c r="G3679" s="7" t="inlineStr">
        <is>
          <t>Keyboard</t>
        </is>
      </c>
      <c r="H3679" s="7" t="inlineStr">
        <is>
          <t>Corporate</t>
        </is>
      </c>
      <c r="I3679" s="7" t="n">
        <v>3</v>
      </c>
      <c r="J3679" s="10" t="n">
        <v>46.25</v>
      </c>
      <c r="K3679" s="11" t="n">
        <v>0.2</v>
      </c>
      <c r="L3679" s="10">
        <f>I3679*J3679*(1-K3679)</f>
        <v/>
      </c>
      <c r="M3679" s="10" t="n">
        <v>74.25</v>
      </c>
      <c r="N3679" s="10">
        <f>L3679-M3679</f>
        <v/>
      </c>
    </row>
    <row r="3680">
      <c r="A3680" s="7" t="inlineStr">
        <is>
          <t>ORD-00450</t>
        </is>
      </c>
      <c r="B3680" s="8" t="n">
        <v>45666</v>
      </c>
      <c r="C3680" s="9" t="n">
        <v>45658</v>
      </c>
      <c r="D3680" s="7" t="n">
        <v>2025</v>
      </c>
      <c r="E3680" s="7" t="inlineStr">
        <is>
          <t>South</t>
        </is>
      </c>
      <c r="F3680" s="7" t="inlineStr">
        <is>
          <t>Furniture</t>
        </is>
      </c>
      <c r="G3680" s="7" t="inlineStr">
        <is>
          <t>Desk</t>
        </is>
      </c>
      <c r="H3680" s="7" t="inlineStr">
        <is>
          <t>Consumer</t>
        </is>
      </c>
      <c r="I3680" s="7" t="n">
        <v>3</v>
      </c>
      <c r="J3680" s="10" t="n">
        <v>448</v>
      </c>
      <c r="K3680" s="11" t="n">
        <v>0.3</v>
      </c>
      <c r="L3680" s="10">
        <f>I3680*J3680*(1-K3680)</f>
        <v/>
      </c>
      <c r="M3680" s="10" t="n">
        <v>1147.5</v>
      </c>
      <c r="N3680" s="10">
        <f>L3680-M3680</f>
        <v/>
      </c>
    </row>
    <row r="3681">
      <c r="A3681" s="7" t="inlineStr">
        <is>
          <t>ORD-04088</t>
        </is>
      </c>
      <c r="B3681" s="8" t="n">
        <v>45667</v>
      </c>
      <c r="C3681" s="9" t="n">
        <v>45658</v>
      </c>
      <c r="D3681" s="7" t="n">
        <v>2025</v>
      </c>
      <c r="E3681" s="7" t="inlineStr">
        <is>
          <t>North</t>
        </is>
      </c>
      <c r="F3681" s="7" t="inlineStr">
        <is>
          <t>Technology</t>
        </is>
      </c>
      <c r="G3681" s="7" t="inlineStr">
        <is>
          <t>Smartphone</t>
        </is>
      </c>
      <c r="H3681" s="7" t="inlineStr">
        <is>
          <t>Consumer</t>
        </is>
      </c>
      <c r="I3681" s="7" t="n">
        <v>3</v>
      </c>
      <c r="J3681" s="10" t="n">
        <v>584.74</v>
      </c>
      <c r="K3681" s="11" t="n">
        <v>0.1</v>
      </c>
      <c r="L3681" s="10">
        <f>I3681*J3681*(1-K3681)</f>
        <v/>
      </c>
      <c r="M3681" s="10" t="n">
        <v>1350</v>
      </c>
      <c r="N3681" s="10">
        <f>L3681-M3681</f>
        <v/>
      </c>
    </row>
    <row r="3682">
      <c r="A3682" s="7" t="inlineStr">
        <is>
          <t>ORD-04748</t>
        </is>
      </c>
      <c r="B3682" s="8" t="n">
        <v>45667</v>
      </c>
      <c r="C3682" s="9" t="n">
        <v>45658</v>
      </c>
      <c r="D3682" s="7" t="n">
        <v>2025</v>
      </c>
      <c r="E3682" s="7" t="inlineStr">
        <is>
          <t>North</t>
        </is>
      </c>
      <c r="F3682" s="7" t="inlineStr">
        <is>
          <t>Office Supplies</t>
        </is>
      </c>
      <c r="G3682" s="7" t="inlineStr">
        <is>
          <t>Paper</t>
        </is>
      </c>
      <c r="H3682" s="7" t="inlineStr">
        <is>
          <t>Home Office</t>
        </is>
      </c>
      <c r="I3682" s="7" t="n">
        <v>14</v>
      </c>
      <c r="J3682" s="10" t="n">
        <v>25.89</v>
      </c>
      <c r="K3682" s="11" t="n">
        <v>0.1</v>
      </c>
      <c r="L3682" s="10">
        <f>I3682*J3682*(1-K3682)</f>
        <v/>
      </c>
      <c r="M3682" s="10" t="n">
        <v>175</v>
      </c>
      <c r="N3682" s="10">
        <f>L3682-M3682</f>
        <v/>
      </c>
    </row>
    <row r="3683">
      <c r="A3683" s="7" t="inlineStr">
        <is>
          <t>ORD-03057</t>
        </is>
      </c>
      <c r="B3683" s="8" t="n">
        <v>45667</v>
      </c>
      <c r="C3683" s="9" t="n">
        <v>45658</v>
      </c>
      <c r="D3683" s="7" t="n">
        <v>2025</v>
      </c>
      <c r="E3683" s="7" t="inlineStr">
        <is>
          <t>South</t>
        </is>
      </c>
      <c r="F3683" s="7" t="inlineStr">
        <is>
          <t>Office Supplies</t>
        </is>
      </c>
      <c r="G3683" s="7" t="inlineStr">
        <is>
          <t>Printer Ink</t>
        </is>
      </c>
      <c r="H3683" s="7" t="inlineStr">
        <is>
          <t>Home Office</t>
        </is>
      </c>
      <c r="I3683" s="7" t="n">
        <v>15</v>
      </c>
      <c r="J3683" s="10" t="n">
        <v>59.3</v>
      </c>
      <c r="K3683" s="11" t="n">
        <v>0.3</v>
      </c>
      <c r="L3683" s="10">
        <f>I3683*J3683*(1-K3683)</f>
        <v/>
      </c>
      <c r="M3683" s="10" t="n">
        <v>540</v>
      </c>
      <c r="N3683" s="10">
        <f>L3683-M3683</f>
        <v/>
      </c>
    </row>
    <row r="3684">
      <c r="A3684" s="7" t="inlineStr">
        <is>
          <t>ORD-03037</t>
        </is>
      </c>
      <c r="B3684" s="8" t="n">
        <v>45668</v>
      </c>
      <c r="C3684" s="9" t="n">
        <v>45658</v>
      </c>
      <c r="D3684" s="7" t="n">
        <v>2025</v>
      </c>
      <c r="E3684" s="7" t="inlineStr">
        <is>
          <t>North</t>
        </is>
      </c>
      <c r="F3684" s="7" t="inlineStr">
        <is>
          <t>Office Supplies</t>
        </is>
      </c>
      <c r="G3684" s="7" t="inlineStr">
        <is>
          <t>Binder</t>
        </is>
      </c>
      <c r="H3684" s="7" t="inlineStr">
        <is>
          <t>Home Office</t>
        </is>
      </c>
      <c r="I3684" s="7" t="n">
        <v>10</v>
      </c>
      <c r="J3684" s="10" t="n">
        <v>7.75</v>
      </c>
      <c r="K3684" s="11" t="n">
        <v>0</v>
      </c>
      <c r="L3684" s="10">
        <f>I3684*J3684*(1-K3684)</f>
        <v/>
      </c>
      <c r="M3684" s="10" t="n">
        <v>32</v>
      </c>
      <c r="N3684" s="10">
        <f>L3684-M3684</f>
        <v/>
      </c>
    </row>
    <row r="3685">
      <c r="A3685" s="7" t="inlineStr">
        <is>
          <t>ORD-02893</t>
        </is>
      </c>
      <c r="B3685" s="8" t="n">
        <v>45668</v>
      </c>
      <c r="C3685" s="9" t="n">
        <v>45658</v>
      </c>
      <c r="D3685" s="7" t="n">
        <v>2025</v>
      </c>
      <c r="E3685" s="7" t="inlineStr">
        <is>
          <t>South</t>
        </is>
      </c>
      <c r="F3685" s="7" t="inlineStr">
        <is>
          <t>Technology</t>
        </is>
      </c>
      <c r="G3685" s="7" t="inlineStr">
        <is>
          <t>Laptop</t>
        </is>
      </c>
      <c r="H3685" s="7" t="inlineStr">
        <is>
          <t>Consumer</t>
        </is>
      </c>
      <c r="I3685" s="7" t="n">
        <v>3</v>
      </c>
      <c r="J3685" s="10" t="n">
        <v>899.77</v>
      </c>
      <c r="K3685" s="11" t="n">
        <v>0.2</v>
      </c>
      <c r="L3685" s="10">
        <f>I3685*J3685*(1-K3685)</f>
        <v/>
      </c>
      <c r="M3685" s="10" t="n">
        <v>2106</v>
      </c>
      <c r="N3685" s="10">
        <f>L3685-M3685</f>
        <v/>
      </c>
    </row>
    <row r="3686">
      <c r="A3686" s="7" t="inlineStr">
        <is>
          <t>ORD-01452</t>
        </is>
      </c>
      <c r="B3686" s="8" t="n">
        <v>45668</v>
      </c>
      <c r="C3686" s="9" t="n">
        <v>45658</v>
      </c>
      <c r="D3686" s="7" t="n">
        <v>2025</v>
      </c>
      <c r="E3686" s="7" t="inlineStr">
        <is>
          <t>West</t>
        </is>
      </c>
      <c r="F3686" s="7" t="inlineStr">
        <is>
          <t>Technology</t>
        </is>
      </c>
      <c r="G3686" s="7" t="inlineStr">
        <is>
          <t>Laptop</t>
        </is>
      </c>
      <c r="H3686" s="7" t="inlineStr">
        <is>
          <t>Corporate</t>
        </is>
      </c>
      <c r="I3686" s="7" t="n">
        <v>1</v>
      </c>
      <c r="J3686" s="10" t="n">
        <v>901.2</v>
      </c>
      <c r="K3686" s="11" t="n">
        <v>0</v>
      </c>
      <c r="L3686" s="10">
        <f>I3686*J3686*(1-K3686)</f>
        <v/>
      </c>
      <c r="M3686" s="10" t="n">
        <v>702</v>
      </c>
      <c r="N3686" s="10">
        <f>L3686-M3686</f>
        <v/>
      </c>
    </row>
    <row r="3687">
      <c r="A3687" s="7" t="inlineStr">
        <is>
          <t>ORD-02561</t>
        </is>
      </c>
      <c r="B3687" s="8" t="n">
        <v>45668</v>
      </c>
      <c r="C3687" s="9" t="n">
        <v>45658</v>
      </c>
      <c r="D3687" s="7" t="n">
        <v>2025</v>
      </c>
      <c r="E3687" s="7" t="inlineStr">
        <is>
          <t>West</t>
        </is>
      </c>
      <c r="F3687" s="7" t="inlineStr">
        <is>
          <t>Office Supplies</t>
        </is>
      </c>
      <c r="G3687" s="7" t="inlineStr">
        <is>
          <t>Stapler</t>
        </is>
      </c>
      <c r="H3687" s="7" t="inlineStr">
        <is>
          <t>Corporate</t>
        </is>
      </c>
      <c r="I3687" s="7" t="n">
        <v>3</v>
      </c>
      <c r="J3687" s="10" t="n">
        <v>15.07</v>
      </c>
      <c r="K3687" s="11" t="n">
        <v>0</v>
      </c>
      <c r="L3687" s="10">
        <f>I3687*J3687*(1-K3687)</f>
        <v/>
      </c>
      <c r="M3687" s="10" t="n">
        <v>22.5</v>
      </c>
      <c r="N3687" s="10">
        <f>L3687-M3687</f>
        <v/>
      </c>
    </row>
    <row r="3688">
      <c r="A3688" s="7" t="inlineStr">
        <is>
          <t>ORD-01985</t>
        </is>
      </c>
      <c r="B3688" s="8" t="n">
        <v>45669</v>
      </c>
      <c r="C3688" s="9" t="n">
        <v>45658</v>
      </c>
      <c r="D3688" s="7" t="n">
        <v>2025</v>
      </c>
      <c r="E3688" s="7" t="inlineStr">
        <is>
          <t>South</t>
        </is>
      </c>
      <c r="F3688" s="7" t="inlineStr">
        <is>
          <t>Office Supplies</t>
        </is>
      </c>
      <c r="G3688" s="7" t="inlineStr">
        <is>
          <t>Binder</t>
        </is>
      </c>
      <c r="H3688" s="7" t="inlineStr">
        <is>
          <t>Home Office</t>
        </is>
      </c>
      <c r="I3688" s="7" t="n">
        <v>15</v>
      </c>
      <c r="J3688" s="10" t="n">
        <v>8.31</v>
      </c>
      <c r="K3688" s="11" t="n">
        <v>0.1</v>
      </c>
      <c r="L3688" s="10">
        <f>I3688*J3688*(1-K3688)</f>
        <v/>
      </c>
      <c r="M3688" s="10" t="n">
        <v>48</v>
      </c>
      <c r="N3688" s="10">
        <f>L3688-M3688</f>
        <v/>
      </c>
    </row>
    <row r="3689">
      <c r="A3689" s="7" t="inlineStr">
        <is>
          <t>ORD-01672</t>
        </is>
      </c>
      <c r="B3689" s="8" t="n">
        <v>45669</v>
      </c>
      <c r="C3689" s="9" t="n">
        <v>45658</v>
      </c>
      <c r="D3689" s="7" t="n">
        <v>2025</v>
      </c>
      <c r="E3689" s="7" t="inlineStr">
        <is>
          <t>West</t>
        </is>
      </c>
      <c r="F3689" s="7" t="inlineStr">
        <is>
          <t>Furniture</t>
        </is>
      </c>
      <c r="G3689" s="7" t="inlineStr">
        <is>
          <t>Office Chair</t>
        </is>
      </c>
      <c r="H3689" s="7" t="inlineStr">
        <is>
          <t>Home Office</t>
        </is>
      </c>
      <c r="I3689" s="7" t="n">
        <v>3</v>
      </c>
      <c r="J3689" s="10" t="n">
        <v>226.23</v>
      </c>
      <c r="K3689" s="11" t="n">
        <v>0.1</v>
      </c>
      <c r="L3689" s="10">
        <f>I3689*J3689*(1-K3689)</f>
        <v/>
      </c>
      <c r="M3689" s="10" t="n">
        <v>541.2</v>
      </c>
      <c r="N3689" s="10">
        <f>L3689-M3689</f>
        <v/>
      </c>
    </row>
    <row r="3690">
      <c r="A3690" s="7" t="inlineStr">
        <is>
          <t>ORD-04323</t>
        </is>
      </c>
      <c r="B3690" s="8" t="n">
        <v>45669</v>
      </c>
      <c r="C3690" s="9" t="n">
        <v>45658</v>
      </c>
      <c r="D3690" s="7" t="n">
        <v>2025</v>
      </c>
      <c r="E3690" s="7" t="inlineStr">
        <is>
          <t>West</t>
        </is>
      </c>
      <c r="F3690" s="7" t="inlineStr">
        <is>
          <t>Office Supplies</t>
        </is>
      </c>
      <c r="G3690" s="7" t="inlineStr">
        <is>
          <t>Pens</t>
        </is>
      </c>
      <c r="H3690" s="7" t="inlineStr">
        <is>
          <t>Consumer</t>
        </is>
      </c>
      <c r="I3690" s="7" t="n">
        <v>5</v>
      </c>
      <c r="J3690" s="10" t="n">
        <v>12.01</v>
      </c>
      <c r="K3690" s="11" t="n">
        <v>0</v>
      </c>
      <c r="L3690" s="10">
        <f>I3690*J3690*(1-K3690)</f>
        <v/>
      </c>
      <c r="M3690" s="10" t="n">
        <v>27</v>
      </c>
      <c r="N3690" s="10">
        <f>L3690-M3690</f>
        <v/>
      </c>
    </row>
    <row r="3691">
      <c r="A3691" s="7" t="inlineStr">
        <is>
          <t>ORD-01363</t>
        </is>
      </c>
      <c r="B3691" s="8" t="n">
        <v>45669</v>
      </c>
      <c r="C3691" s="9" t="n">
        <v>45658</v>
      </c>
      <c r="D3691" s="7" t="n">
        <v>2025</v>
      </c>
      <c r="E3691" s="7" t="inlineStr">
        <is>
          <t>North</t>
        </is>
      </c>
      <c r="F3691" s="7" t="inlineStr">
        <is>
          <t>Office Supplies</t>
        </is>
      </c>
      <c r="G3691" s="7" t="inlineStr">
        <is>
          <t>Binder</t>
        </is>
      </c>
      <c r="H3691" s="7" t="inlineStr">
        <is>
          <t>Consumer</t>
        </is>
      </c>
      <c r="I3691" s="7" t="n">
        <v>6</v>
      </c>
      <c r="J3691" s="10" t="n">
        <v>8.26</v>
      </c>
      <c r="K3691" s="11" t="n">
        <v>0</v>
      </c>
      <c r="L3691" s="10">
        <f>I3691*J3691*(1-K3691)</f>
        <v/>
      </c>
      <c r="M3691" s="10" t="n">
        <v>19.2</v>
      </c>
      <c r="N3691" s="10">
        <f>L3691-M3691</f>
        <v/>
      </c>
    </row>
    <row r="3692">
      <c r="A3692" s="7" t="inlineStr">
        <is>
          <t>ORD-03467</t>
        </is>
      </c>
      <c r="B3692" s="8" t="n">
        <v>45670</v>
      </c>
      <c r="C3692" s="9" t="n">
        <v>45658</v>
      </c>
      <c r="D3692" s="7" t="n">
        <v>2025</v>
      </c>
      <c r="E3692" s="7" t="inlineStr">
        <is>
          <t>West</t>
        </is>
      </c>
      <c r="F3692" s="7" t="inlineStr">
        <is>
          <t>Office Supplies</t>
        </is>
      </c>
      <c r="G3692" s="7" t="inlineStr">
        <is>
          <t>Pens</t>
        </is>
      </c>
      <c r="H3692" s="7" t="inlineStr">
        <is>
          <t>Home Office</t>
        </is>
      </c>
      <c r="I3692" s="7" t="n">
        <v>8</v>
      </c>
      <c r="J3692" s="10" t="n">
        <v>12.01</v>
      </c>
      <c r="K3692" s="11" t="n">
        <v>0.1</v>
      </c>
      <c r="L3692" s="10">
        <f>I3692*J3692*(1-K3692)</f>
        <v/>
      </c>
      <c r="M3692" s="10" t="n">
        <v>43.2</v>
      </c>
      <c r="N3692" s="10">
        <f>L3692-M3692</f>
        <v/>
      </c>
    </row>
    <row r="3693">
      <c r="A3693" s="7" t="inlineStr">
        <is>
          <t>ORD-00777</t>
        </is>
      </c>
      <c r="B3693" s="8" t="n">
        <v>45670</v>
      </c>
      <c r="C3693" s="9" t="n">
        <v>45658</v>
      </c>
      <c r="D3693" s="7" t="n">
        <v>2025</v>
      </c>
      <c r="E3693" s="7" t="inlineStr">
        <is>
          <t>East</t>
        </is>
      </c>
      <c r="F3693" s="7" t="inlineStr">
        <is>
          <t>Technology</t>
        </is>
      </c>
      <c r="G3693" s="7" t="inlineStr">
        <is>
          <t>Monitor</t>
        </is>
      </c>
      <c r="H3693" s="7" t="inlineStr">
        <is>
          <t>Consumer</t>
        </is>
      </c>
      <c r="I3693" s="7" t="n">
        <v>2</v>
      </c>
      <c r="J3693" s="10" t="n">
        <v>243.11</v>
      </c>
      <c r="K3693" s="11" t="n">
        <v>0.3</v>
      </c>
      <c r="L3693" s="10">
        <f>I3693*J3693*(1-K3693)</f>
        <v/>
      </c>
      <c r="M3693" s="10" t="n">
        <v>360</v>
      </c>
      <c r="N3693" s="10">
        <f>L3693-M3693</f>
        <v/>
      </c>
    </row>
    <row r="3694">
      <c r="A3694" s="7" t="inlineStr">
        <is>
          <t>ORD-04316</t>
        </is>
      </c>
      <c r="B3694" s="8" t="n">
        <v>45670</v>
      </c>
      <c r="C3694" s="9" t="n">
        <v>45658</v>
      </c>
      <c r="D3694" s="7" t="n">
        <v>2025</v>
      </c>
      <c r="E3694" s="7" t="inlineStr">
        <is>
          <t>North</t>
        </is>
      </c>
      <c r="F3694" s="7" t="inlineStr">
        <is>
          <t>Technology</t>
        </is>
      </c>
      <c r="G3694" s="7" t="inlineStr">
        <is>
          <t>Keyboard</t>
        </is>
      </c>
      <c r="H3694" s="7" t="inlineStr">
        <is>
          <t>Home Office</t>
        </is>
      </c>
      <c r="I3694" s="7" t="n">
        <v>3</v>
      </c>
      <c r="J3694" s="10" t="n">
        <v>45.04</v>
      </c>
      <c r="K3694" s="11" t="n">
        <v>0</v>
      </c>
      <c r="L3694" s="10">
        <f>I3694*J3694*(1-K3694)</f>
        <v/>
      </c>
      <c r="M3694" s="10" t="n">
        <v>74.25</v>
      </c>
      <c r="N3694" s="10">
        <f>L3694-M3694</f>
        <v/>
      </c>
    </row>
    <row r="3695">
      <c r="A3695" s="7" t="inlineStr">
        <is>
          <t>ORD-01254</t>
        </is>
      </c>
      <c r="B3695" s="8" t="n">
        <v>45670</v>
      </c>
      <c r="C3695" s="9" t="n">
        <v>45658</v>
      </c>
      <c r="D3695" s="7" t="n">
        <v>2025</v>
      </c>
      <c r="E3695" s="7" t="inlineStr">
        <is>
          <t>South</t>
        </is>
      </c>
      <c r="F3695" s="7" t="inlineStr">
        <is>
          <t>Furniture</t>
        </is>
      </c>
      <c r="G3695" s="7" t="inlineStr">
        <is>
          <t>Bookcase</t>
        </is>
      </c>
      <c r="H3695" s="7" t="inlineStr">
        <is>
          <t>Consumer</t>
        </is>
      </c>
      <c r="I3695" s="7" t="n">
        <v>3</v>
      </c>
      <c r="J3695" s="10" t="n">
        <v>175.69</v>
      </c>
      <c r="K3695" s="11" t="n">
        <v>0.05</v>
      </c>
      <c r="L3695" s="10">
        <f>I3695*J3695*(1-K3695)</f>
        <v/>
      </c>
      <c r="M3695" s="10" t="n">
        <v>432</v>
      </c>
      <c r="N3695" s="10">
        <f>L3695-M3695</f>
        <v/>
      </c>
    </row>
    <row r="3696">
      <c r="A3696" s="7" t="inlineStr">
        <is>
          <t>ORD-01820</t>
        </is>
      </c>
      <c r="B3696" s="8" t="n">
        <v>45670</v>
      </c>
      <c r="C3696" s="9" t="n">
        <v>45658</v>
      </c>
      <c r="D3696" s="7" t="n">
        <v>2025</v>
      </c>
      <c r="E3696" s="7" t="inlineStr">
        <is>
          <t>East</t>
        </is>
      </c>
      <c r="F3696" s="7" t="inlineStr">
        <is>
          <t>Office Supplies</t>
        </is>
      </c>
      <c r="G3696" s="7" t="inlineStr">
        <is>
          <t>Stapler</t>
        </is>
      </c>
      <c r="H3696" s="7" t="inlineStr">
        <is>
          <t>Home Office</t>
        </is>
      </c>
      <c r="I3696" s="7" t="n">
        <v>2</v>
      </c>
      <c r="J3696" s="10" t="n">
        <v>15.03</v>
      </c>
      <c r="K3696" s="11" t="n">
        <v>0.3</v>
      </c>
      <c r="L3696" s="10">
        <f>I3696*J3696*(1-K3696)</f>
        <v/>
      </c>
      <c r="M3696" s="10" t="n">
        <v>15</v>
      </c>
      <c r="N3696" s="10">
        <f>L3696-M3696</f>
        <v/>
      </c>
    </row>
    <row r="3697">
      <c r="A3697" s="7" t="inlineStr">
        <is>
          <t>ORD-01113</t>
        </is>
      </c>
      <c r="B3697" s="8" t="n">
        <v>45670</v>
      </c>
      <c r="C3697" s="9" t="n">
        <v>45658</v>
      </c>
      <c r="D3697" s="7" t="n">
        <v>2025</v>
      </c>
      <c r="E3697" s="7" t="inlineStr">
        <is>
          <t>South</t>
        </is>
      </c>
      <c r="F3697" s="7" t="inlineStr">
        <is>
          <t>Office Supplies</t>
        </is>
      </c>
      <c r="G3697" s="7" t="inlineStr">
        <is>
          <t>Binder</t>
        </is>
      </c>
      <c r="H3697" s="7" t="inlineStr">
        <is>
          <t>Consumer</t>
        </is>
      </c>
      <c r="I3697" s="7" t="n">
        <v>3</v>
      </c>
      <c r="J3697" s="10" t="n">
        <v>7.74</v>
      </c>
      <c r="K3697" s="11" t="n">
        <v>0</v>
      </c>
      <c r="L3697" s="10">
        <f>I3697*J3697*(1-K3697)</f>
        <v/>
      </c>
      <c r="M3697" s="10" t="n">
        <v>9.6</v>
      </c>
      <c r="N3697" s="10">
        <f>L3697-M3697</f>
        <v/>
      </c>
    </row>
    <row r="3698">
      <c r="A3698" s="7" t="inlineStr">
        <is>
          <t>ORD-03417</t>
        </is>
      </c>
      <c r="B3698" s="8" t="n">
        <v>45671</v>
      </c>
      <c r="C3698" s="9" t="n">
        <v>45658</v>
      </c>
      <c r="D3698" s="7" t="n">
        <v>2025</v>
      </c>
      <c r="E3698" s="7" t="inlineStr">
        <is>
          <t>East</t>
        </is>
      </c>
      <c r="F3698" s="7" t="inlineStr">
        <is>
          <t>Office Supplies</t>
        </is>
      </c>
      <c r="G3698" s="7" t="inlineStr">
        <is>
          <t>Binder</t>
        </is>
      </c>
      <c r="H3698" s="7" t="inlineStr">
        <is>
          <t>Consumer</t>
        </is>
      </c>
      <c r="I3698" s="7" t="n">
        <v>8</v>
      </c>
      <c r="J3698" s="10" t="n">
        <v>8.18</v>
      </c>
      <c r="K3698" s="11" t="n">
        <v>0.05</v>
      </c>
      <c r="L3698" s="10">
        <f>I3698*J3698*(1-K3698)</f>
        <v/>
      </c>
      <c r="M3698" s="10" t="n">
        <v>25.6</v>
      </c>
      <c r="N3698" s="10">
        <f>L3698-M3698</f>
        <v/>
      </c>
    </row>
    <row r="3699">
      <c r="A3699" s="7" t="inlineStr">
        <is>
          <t>ORD-03869</t>
        </is>
      </c>
      <c r="B3699" s="8" t="n">
        <v>45671</v>
      </c>
      <c r="C3699" s="9" t="n">
        <v>45658</v>
      </c>
      <c r="D3699" s="7" t="n">
        <v>2025</v>
      </c>
      <c r="E3699" s="7" t="inlineStr">
        <is>
          <t>West</t>
        </is>
      </c>
      <c r="F3699" s="7" t="inlineStr">
        <is>
          <t>Furniture</t>
        </is>
      </c>
      <c r="G3699" s="7" t="inlineStr">
        <is>
          <t>Office Chair</t>
        </is>
      </c>
      <c r="H3699" s="7" t="inlineStr">
        <is>
          <t>Consumer</t>
        </is>
      </c>
      <c r="I3699" s="7" t="n">
        <v>4</v>
      </c>
      <c r="J3699" s="10" t="n">
        <v>226.05</v>
      </c>
      <c r="K3699" s="11" t="n">
        <v>0</v>
      </c>
      <c r="L3699" s="10">
        <f>I3699*J3699*(1-K3699)</f>
        <v/>
      </c>
      <c r="M3699" s="10" t="n">
        <v>721.6</v>
      </c>
      <c r="N3699" s="10">
        <f>L3699-M3699</f>
        <v/>
      </c>
    </row>
    <row r="3700">
      <c r="A3700" s="7" t="inlineStr">
        <is>
          <t>ORD-03896</t>
        </is>
      </c>
      <c r="B3700" s="8" t="n">
        <v>45671</v>
      </c>
      <c r="C3700" s="9" t="n">
        <v>45658</v>
      </c>
      <c r="D3700" s="7" t="n">
        <v>2025</v>
      </c>
      <c r="E3700" s="7" t="inlineStr">
        <is>
          <t>North</t>
        </is>
      </c>
      <c r="F3700" s="7" t="inlineStr">
        <is>
          <t>Office Supplies</t>
        </is>
      </c>
      <c r="G3700" s="7" t="inlineStr">
        <is>
          <t>Pens</t>
        </is>
      </c>
      <c r="H3700" s="7" t="inlineStr">
        <is>
          <t>Home Office</t>
        </is>
      </c>
      <c r="I3700" s="7" t="n">
        <v>10</v>
      </c>
      <c r="J3700" s="10" t="n">
        <v>11.81</v>
      </c>
      <c r="K3700" s="11" t="n">
        <v>0</v>
      </c>
      <c r="L3700" s="10">
        <f>I3700*J3700*(1-K3700)</f>
        <v/>
      </c>
      <c r="M3700" s="10" t="n">
        <v>54</v>
      </c>
      <c r="N3700" s="10">
        <f>L3700-M3700</f>
        <v/>
      </c>
    </row>
    <row r="3701">
      <c r="A3701" s="7" t="inlineStr">
        <is>
          <t>ORD-02576</t>
        </is>
      </c>
      <c r="B3701" s="8" t="n">
        <v>45671</v>
      </c>
      <c r="C3701" s="9" t="n">
        <v>45658</v>
      </c>
      <c r="D3701" s="7" t="n">
        <v>2025</v>
      </c>
      <c r="E3701" s="7" t="inlineStr">
        <is>
          <t>East</t>
        </is>
      </c>
      <c r="F3701" s="7" t="inlineStr">
        <is>
          <t>Technology</t>
        </is>
      </c>
      <c r="G3701" s="7" t="inlineStr">
        <is>
          <t>Laptop</t>
        </is>
      </c>
      <c r="H3701" s="7" t="inlineStr">
        <is>
          <t>Consumer</t>
        </is>
      </c>
      <c r="I3701" s="7" t="n">
        <v>3</v>
      </c>
      <c r="J3701" s="10" t="n">
        <v>861.9</v>
      </c>
      <c r="K3701" s="11" t="n">
        <v>0.3</v>
      </c>
      <c r="L3701" s="10">
        <f>I3701*J3701*(1-K3701)</f>
        <v/>
      </c>
      <c r="M3701" s="10" t="n">
        <v>2106</v>
      </c>
      <c r="N3701" s="10">
        <f>L3701-M3701</f>
        <v/>
      </c>
    </row>
    <row r="3702">
      <c r="A3702" s="7" t="inlineStr">
        <is>
          <t>ORD-00600</t>
        </is>
      </c>
      <c r="B3702" s="8" t="n">
        <v>45671</v>
      </c>
      <c r="C3702" s="9" t="n">
        <v>45658</v>
      </c>
      <c r="D3702" s="7" t="n">
        <v>2025</v>
      </c>
      <c r="E3702" s="7" t="inlineStr">
        <is>
          <t>East</t>
        </is>
      </c>
      <c r="F3702" s="7" t="inlineStr">
        <is>
          <t>Furniture</t>
        </is>
      </c>
      <c r="G3702" s="7" t="inlineStr">
        <is>
          <t>Bookcase</t>
        </is>
      </c>
      <c r="H3702" s="7" t="inlineStr">
        <is>
          <t>Consumer</t>
        </is>
      </c>
      <c r="I3702" s="7" t="n">
        <v>3</v>
      </c>
      <c r="J3702" s="10" t="n">
        <v>179.46</v>
      </c>
      <c r="K3702" s="11" t="n">
        <v>0.3</v>
      </c>
      <c r="L3702" s="10">
        <f>I3702*J3702*(1-K3702)</f>
        <v/>
      </c>
      <c r="M3702" s="10" t="n">
        <v>432</v>
      </c>
      <c r="N3702" s="10">
        <f>L3702-M3702</f>
        <v/>
      </c>
    </row>
    <row r="3703">
      <c r="A3703" s="7" t="inlineStr">
        <is>
          <t>ORD-02531</t>
        </is>
      </c>
      <c r="B3703" s="8" t="n">
        <v>45671</v>
      </c>
      <c r="C3703" s="9" t="n">
        <v>45658</v>
      </c>
      <c r="D3703" s="7" t="n">
        <v>2025</v>
      </c>
      <c r="E3703" s="7" t="inlineStr">
        <is>
          <t>South</t>
        </is>
      </c>
      <c r="F3703" s="7" t="inlineStr">
        <is>
          <t>Office Supplies</t>
        </is>
      </c>
      <c r="G3703" s="7" t="inlineStr">
        <is>
          <t>Paper</t>
        </is>
      </c>
      <c r="H3703" s="7" t="inlineStr">
        <is>
          <t>Consumer</t>
        </is>
      </c>
      <c r="I3703" s="7" t="n">
        <v>14</v>
      </c>
      <c r="J3703" s="10" t="n">
        <v>26.14</v>
      </c>
      <c r="K3703" s="11" t="n">
        <v>0.3</v>
      </c>
      <c r="L3703" s="10">
        <f>I3703*J3703*(1-K3703)</f>
        <v/>
      </c>
      <c r="M3703" s="10" t="n">
        <v>175</v>
      </c>
      <c r="N3703" s="10">
        <f>L3703-M3703</f>
        <v/>
      </c>
    </row>
    <row r="3704">
      <c r="A3704" s="7" t="inlineStr">
        <is>
          <t>ORD-05969</t>
        </is>
      </c>
      <c r="B3704" s="8" t="n">
        <v>45672</v>
      </c>
      <c r="C3704" s="9" t="n">
        <v>45658</v>
      </c>
      <c r="D3704" s="7" t="n">
        <v>2025</v>
      </c>
      <c r="E3704" s="7" t="inlineStr">
        <is>
          <t>East</t>
        </is>
      </c>
      <c r="F3704" s="7" t="inlineStr">
        <is>
          <t>Office Supplies</t>
        </is>
      </c>
      <c r="G3704" s="7" t="inlineStr">
        <is>
          <t>Binder</t>
        </is>
      </c>
      <c r="H3704" s="7" t="inlineStr">
        <is>
          <t>Consumer</t>
        </is>
      </c>
      <c r="I3704" s="7" t="n">
        <v>6</v>
      </c>
      <c r="J3704" s="10" t="n">
        <v>7.87</v>
      </c>
      <c r="K3704" s="11" t="n">
        <v>0</v>
      </c>
      <c r="L3704" s="10">
        <f>I3704*J3704*(1-K3704)</f>
        <v/>
      </c>
      <c r="M3704" s="10" t="n">
        <v>19.2</v>
      </c>
      <c r="N3704" s="10">
        <f>L3704-M3704</f>
        <v/>
      </c>
    </row>
    <row r="3705">
      <c r="A3705" s="7" t="inlineStr">
        <is>
          <t>ORD-03832</t>
        </is>
      </c>
      <c r="B3705" s="8" t="n">
        <v>45672</v>
      </c>
      <c r="C3705" s="9" t="n">
        <v>45658</v>
      </c>
      <c r="D3705" s="7" t="n">
        <v>2025</v>
      </c>
      <c r="E3705" s="7" t="inlineStr">
        <is>
          <t>West</t>
        </is>
      </c>
      <c r="F3705" s="7" t="inlineStr">
        <is>
          <t>Office Supplies</t>
        </is>
      </c>
      <c r="G3705" s="7" t="inlineStr">
        <is>
          <t>Stapler</t>
        </is>
      </c>
      <c r="H3705" s="7" t="inlineStr">
        <is>
          <t>Consumer</t>
        </is>
      </c>
      <c r="I3705" s="7" t="n">
        <v>3</v>
      </c>
      <c r="J3705" s="10" t="n">
        <v>14.52</v>
      </c>
      <c r="K3705" s="11" t="n">
        <v>0</v>
      </c>
      <c r="L3705" s="10">
        <f>I3705*J3705*(1-K3705)</f>
        <v/>
      </c>
      <c r="M3705" s="10" t="n">
        <v>22.5</v>
      </c>
      <c r="N3705" s="10">
        <f>L3705-M3705</f>
        <v/>
      </c>
    </row>
    <row r="3706">
      <c r="A3706" s="7" t="inlineStr">
        <is>
          <t>ORD-02871</t>
        </is>
      </c>
      <c r="B3706" s="8" t="n">
        <v>45673</v>
      </c>
      <c r="C3706" s="9" t="n">
        <v>45658</v>
      </c>
      <c r="D3706" s="7" t="n">
        <v>2025</v>
      </c>
      <c r="E3706" s="7" t="inlineStr">
        <is>
          <t>East</t>
        </is>
      </c>
      <c r="F3706" s="7" t="inlineStr">
        <is>
          <t>Furniture</t>
        </is>
      </c>
      <c r="G3706" s="7" t="inlineStr">
        <is>
          <t>Desk</t>
        </is>
      </c>
      <c r="H3706" s="7" t="inlineStr">
        <is>
          <t>Corporate</t>
        </is>
      </c>
      <c r="I3706" s="7" t="n">
        <v>1</v>
      </c>
      <c r="J3706" s="10" t="n">
        <v>469.58</v>
      </c>
      <c r="K3706" s="11" t="n">
        <v>0.2</v>
      </c>
      <c r="L3706" s="10">
        <f>I3706*J3706*(1-K3706)</f>
        <v/>
      </c>
      <c r="M3706" s="10" t="n">
        <v>382.5</v>
      </c>
      <c r="N3706" s="10">
        <f>L3706-M3706</f>
        <v/>
      </c>
    </row>
    <row r="3707">
      <c r="A3707" s="7" t="inlineStr">
        <is>
          <t>ORD-03621</t>
        </is>
      </c>
      <c r="B3707" s="8" t="n">
        <v>45673</v>
      </c>
      <c r="C3707" s="9" t="n">
        <v>45658</v>
      </c>
      <c r="D3707" s="7" t="n">
        <v>2025</v>
      </c>
      <c r="E3707" s="7" t="inlineStr">
        <is>
          <t>West</t>
        </is>
      </c>
      <c r="F3707" s="7" t="inlineStr">
        <is>
          <t>Office Supplies</t>
        </is>
      </c>
      <c r="G3707" s="7" t="inlineStr">
        <is>
          <t>Pens</t>
        </is>
      </c>
      <c r="H3707" s="7" t="inlineStr">
        <is>
          <t>Home Office</t>
        </is>
      </c>
      <c r="I3707" s="7" t="n">
        <v>14</v>
      </c>
      <c r="J3707" s="10" t="n">
        <v>12.59</v>
      </c>
      <c r="K3707" s="11" t="n">
        <v>0</v>
      </c>
      <c r="L3707" s="10">
        <f>I3707*J3707*(1-K3707)</f>
        <v/>
      </c>
      <c r="M3707" s="10" t="n">
        <v>75.59999999999999</v>
      </c>
      <c r="N3707" s="10">
        <f>L3707-M3707</f>
        <v/>
      </c>
    </row>
    <row r="3708">
      <c r="A3708" s="7" t="inlineStr">
        <is>
          <t>ORD-04098</t>
        </is>
      </c>
      <c r="B3708" s="8" t="n">
        <v>45673</v>
      </c>
      <c r="C3708" s="9" t="n">
        <v>45658</v>
      </c>
      <c r="D3708" s="7" t="n">
        <v>2025</v>
      </c>
      <c r="E3708" s="7" t="inlineStr">
        <is>
          <t>North</t>
        </is>
      </c>
      <c r="F3708" s="7" t="inlineStr">
        <is>
          <t>Office Supplies</t>
        </is>
      </c>
      <c r="G3708" s="7" t="inlineStr">
        <is>
          <t>Stapler</t>
        </is>
      </c>
      <c r="H3708" s="7" t="inlineStr">
        <is>
          <t>Consumer</t>
        </is>
      </c>
      <c r="I3708" s="7" t="n">
        <v>10</v>
      </c>
      <c r="J3708" s="10" t="n">
        <v>15.2</v>
      </c>
      <c r="K3708" s="11" t="n">
        <v>0.2</v>
      </c>
      <c r="L3708" s="10">
        <f>I3708*J3708*(1-K3708)</f>
        <v/>
      </c>
      <c r="M3708" s="10" t="n">
        <v>75</v>
      </c>
      <c r="N3708" s="10">
        <f>L3708-M3708</f>
        <v/>
      </c>
    </row>
    <row r="3709">
      <c r="A3709" s="7" t="inlineStr">
        <is>
          <t>ORD-04970</t>
        </is>
      </c>
      <c r="B3709" s="8" t="n">
        <v>45673</v>
      </c>
      <c r="C3709" s="9" t="n">
        <v>45658</v>
      </c>
      <c r="D3709" s="7" t="n">
        <v>2025</v>
      </c>
      <c r="E3709" s="7" t="inlineStr">
        <is>
          <t>East</t>
        </is>
      </c>
      <c r="F3709" s="7" t="inlineStr">
        <is>
          <t>Office Supplies</t>
        </is>
      </c>
      <c r="G3709" s="7" t="inlineStr">
        <is>
          <t>Paper</t>
        </is>
      </c>
      <c r="H3709" s="7" t="inlineStr">
        <is>
          <t>Corporate</t>
        </is>
      </c>
      <c r="I3709" s="7" t="n">
        <v>5</v>
      </c>
      <c r="J3709" s="10" t="n">
        <v>23.77</v>
      </c>
      <c r="K3709" s="11" t="n">
        <v>0</v>
      </c>
      <c r="L3709" s="10">
        <f>I3709*J3709*(1-K3709)</f>
        <v/>
      </c>
      <c r="M3709" s="10" t="n">
        <v>62.5</v>
      </c>
      <c r="N3709" s="10">
        <f>L3709-M3709</f>
        <v/>
      </c>
    </row>
    <row r="3710">
      <c r="A3710" s="7" t="inlineStr">
        <is>
          <t>ORD-05548</t>
        </is>
      </c>
      <c r="B3710" s="8" t="n">
        <v>45673</v>
      </c>
      <c r="C3710" s="9" t="n">
        <v>45658</v>
      </c>
      <c r="D3710" s="7" t="n">
        <v>2025</v>
      </c>
      <c r="E3710" s="7" t="inlineStr">
        <is>
          <t>East</t>
        </is>
      </c>
      <c r="F3710" s="7" t="inlineStr">
        <is>
          <t>Office Supplies</t>
        </is>
      </c>
      <c r="G3710" s="7" t="inlineStr">
        <is>
          <t>Binder</t>
        </is>
      </c>
      <c r="H3710" s="7" t="inlineStr">
        <is>
          <t>Corporate</t>
        </is>
      </c>
      <c r="I3710" s="7" t="n">
        <v>5</v>
      </c>
      <c r="J3710" s="10" t="n">
        <v>8.369999999999999</v>
      </c>
      <c r="K3710" s="11" t="n">
        <v>0.3</v>
      </c>
      <c r="L3710" s="10">
        <f>I3710*J3710*(1-K3710)</f>
        <v/>
      </c>
      <c r="M3710" s="10" t="n">
        <v>16</v>
      </c>
      <c r="N3710" s="10">
        <f>L3710-M3710</f>
        <v/>
      </c>
    </row>
    <row r="3711">
      <c r="A3711" s="7" t="inlineStr">
        <is>
          <t>ORD-00819</t>
        </is>
      </c>
      <c r="B3711" s="8" t="n">
        <v>45673</v>
      </c>
      <c r="C3711" s="9" t="n">
        <v>45658</v>
      </c>
      <c r="D3711" s="7" t="n">
        <v>2025</v>
      </c>
      <c r="E3711" s="7" t="inlineStr">
        <is>
          <t>West</t>
        </is>
      </c>
      <c r="F3711" s="7" t="inlineStr">
        <is>
          <t>Office Supplies</t>
        </is>
      </c>
      <c r="G3711" s="7" t="inlineStr">
        <is>
          <t>Binder</t>
        </is>
      </c>
      <c r="H3711" s="7" t="inlineStr">
        <is>
          <t>Consumer</t>
        </is>
      </c>
      <c r="I3711" s="7" t="n">
        <v>5</v>
      </c>
      <c r="J3711" s="10" t="n">
        <v>7.97</v>
      </c>
      <c r="K3711" s="11" t="n">
        <v>0</v>
      </c>
      <c r="L3711" s="10">
        <f>I3711*J3711*(1-K3711)</f>
        <v/>
      </c>
      <c r="M3711" s="10" t="n">
        <v>16</v>
      </c>
      <c r="N3711" s="10">
        <f>L3711-M3711</f>
        <v/>
      </c>
    </row>
    <row r="3712">
      <c r="A3712" s="7" t="inlineStr">
        <is>
          <t>ORD-05141</t>
        </is>
      </c>
      <c r="B3712" s="8" t="n">
        <v>45673</v>
      </c>
      <c r="C3712" s="9" t="n">
        <v>45658</v>
      </c>
      <c r="D3712" s="7" t="n">
        <v>2025</v>
      </c>
      <c r="E3712" s="7" t="inlineStr">
        <is>
          <t>East</t>
        </is>
      </c>
      <c r="F3712" s="7" t="inlineStr">
        <is>
          <t>Office Supplies</t>
        </is>
      </c>
      <c r="G3712" s="7" t="inlineStr">
        <is>
          <t>Pens</t>
        </is>
      </c>
      <c r="H3712" s="7" t="inlineStr">
        <is>
          <t>Home Office</t>
        </is>
      </c>
      <c r="I3712" s="7" t="n">
        <v>3</v>
      </c>
      <c r="J3712" s="10" t="n">
        <v>11.82</v>
      </c>
      <c r="K3712" s="11" t="n">
        <v>0</v>
      </c>
      <c r="L3712" s="10">
        <f>I3712*J3712*(1-K3712)</f>
        <v/>
      </c>
      <c r="M3712" s="10" t="n">
        <v>16.2</v>
      </c>
      <c r="N3712" s="10">
        <f>L3712-M3712</f>
        <v/>
      </c>
    </row>
    <row r="3713">
      <c r="A3713" s="7" t="inlineStr">
        <is>
          <t>ORD-00645</t>
        </is>
      </c>
      <c r="B3713" s="8" t="n">
        <v>45674</v>
      </c>
      <c r="C3713" s="9" t="n">
        <v>45658</v>
      </c>
      <c r="D3713" s="7" t="n">
        <v>2025</v>
      </c>
      <c r="E3713" s="7" t="inlineStr">
        <is>
          <t>South</t>
        </is>
      </c>
      <c r="F3713" s="7" t="inlineStr">
        <is>
          <t>Office Supplies</t>
        </is>
      </c>
      <c r="G3713" s="7" t="inlineStr">
        <is>
          <t>Binder</t>
        </is>
      </c>
      <c r="H3713" s="7" t="inlineStr">
        <is>
          <t>Consumer</t>
        </is>
      </c>
      <c r="I3713" s="7" t="n">
        <v>4</v>
      </c>
      <c r="J3713" s="10" t="n">
        <v>7.95</v>
      </c>
      <c r="K3713" s="11" t="n">
        <v>0.2</v>
      </c>
      <c r="L3713" s="10">
        <f>I3713*J3713*(1-K3713)</f>
        <v/>
      </c>
      <c r="M3713" s="10" t="n">
        <v>12.8</v>
      </c>
      <c r="N3713" s="10">
        <f>L3713-M3713</f>
        <v/>
      </c>
    </row>
    <row r="3714">
      <c r="A3714" s="7" t="inlineStr">
        <is>
          <t>ORD-01800</t>
        </is>
      </c>
      <c r="B3714" s="8" t="n">
        <v>45674</v>
      </c>
      <c r="C3714" s="9" t="n">
        <v>45658</v>
      </c>
      <c r="D3714" s="7" t="n">
        <v>2025</v>
      </c>
      <c r="E3714" s="7" t="inlineStr">
        <is>
          <t>West</t>
        </is>
      </c>
      <c r="F3714" s="7" t="inlineStr">
        <is>
          <t>Technology</t>
        </is>
      </c>
      <c r="G3714" s="7" t="inlineStr">
        <is>
          <t>Keyboard</t>
        </is>
      </c>
      <c r="H3714" s="7" t="inlineStr">
        <is>
          <t>Corporate</t>
        </is>
      </c>
      <c r="I3714" s="7" t="n">
        <v>3</v>
      </c>
      <c r="J3714" s="10" t="n">
        <v>45.12</v>
      </c>
      <c r="K3714" s="11" t="n">
        <v>0.3</v>
      </c>
      <c r="L3714" s="10">
        <f>I3714*J3714*(1-K3714)</f>
        <v/>
      </c>
      <c r="M3714" s="10" t="n">
        <v>74.25</v>
      </c>
      <c r="N3714" s="10">
        <f>L3714-M3714</f>
        <v/>
      </c>
    </row>
    <row r="3715">
      <c r="A3715" s="7" t="inlineStr">
        <is>
          <t>ORD-02899</t>
        </is>
      </c>
      <c r="B3715" s="8" t="n">
        <v>45675</v>
      </c>
      <c r="C3715" s="9" t="n">
        <v>45658</v>
      </c>
      <c r="D3715" s="7" t="n">
        <v>2025</v>
      </c>
      <c r="E3715" s="7" t="inlineStr">
        <is>
          <t>West</t>
        </is>
      </c>
      <c r="F3715" s="7" t="inlineStr">
        <is>
          <t>Office Supplies</t>
        </is>
      </c>
      <c r="G3715" s="7" t="inlineStr">
        <is>
          <t>Binder</t>
        </is>
      </c>
      <c r="H3715" s="7" t="inlineStr">
        <is>
          <t>Consumer</t>
        </is>
      </c>
      <c r="I3715" s="7" t="n">
        <v>6</v>
      </c>
      <c r="J3715" s="10" t="n">
        <v>8.289999999999999</v>
      </c>
      <c r="K3715" s="11" t="n">
        <v>0.1</v>
      </c>
      <c r="L3715" s="10">
        <f>I3715*J3715*(1-K3715)</f>
        <v/>
      </c>
      <c r="M3715" s="10" t="n">
        <v>19.2</v>
      </c>
      <c r="N3715" s="10">
        <f>L3715-M3715</f>
        <v/>
      </c>
    </row>
    <row r="3716">
      <c r="A3716" s="7" t="inlineStr">
        <is>
          <t>ORD-04626</t>
        </is>
      </c>
      <c r="B3716" s="8" t="n">
        <v>45675</v>
      </c>
      <c r="C3716" s="9" t="n">
        <v>45658</v>
      </c>
      <c r="D3716" s="7" t="n">
        <v>2025</v>
      </c>
      <c r="E3716" s="7" t="inlineStr">
        <is>
          <t>South</t>
        </is>
      </c>
      <c r="F3716" s="7" t="inlineStr">
        <is>
          <t>Technology</t>
        </is>
      </c>
      <c r="G3716" s="7" t="inlineStr">
        <is>
          <t>Laptop</t>
        </is>
      </c>
      <c r="H3716" s="7" t="inlineStr">
        <is>
          <t>Corporate</t>
        </is>
      </c>
      <c r="I3716" s="7" t="n">
        <v>1</v>
      </c>
      <c r="J3716" s="10" t="n">
        <v>892.16</v>
      </c>
      <c r="K3716" s="11" t="n">
        <v>0.2</v>
      </c>
      <c r="L3716" s="10">
        <f>I3716*J3716*(1-K3716)</f>
        <v/>
      </c>
      <c r="M3716" s="10" t="n">
        <v>702</v>
      </c>
      <c r="N3716" s="10">
        <f>L3716-M3716</f>
        <v/>
      </c>
    </row>
    <row r="3717">
      <c r="A3717" s="7" t="inlineStr">
        <is>
          <t>ORD-00991</t>
        </is>
      </c>
      <c r="B3717" s="8" t="n">
        <v>45675</v>
      </c>
      <c r="C3717" s="9" t="n">
        <v>45658</v>
      </c>
      <c r="D3717" s="7" t="n">
        <v>2025</v>
      </c>
      <c r="E3717" s="7" t="inlineStr">
        <is>
          <t>West</t>
        </is>
      </c>
      <c r="F3717" s="7" t="inlineStr">
        <is>
          <t>Office Supplies</t>
        </is>
      </c>
      <c r="G3717" s="7" t="inlineStr">
        <is>
          <t>Paper</t>
        </is>
      </c>
      <c r="H3717" s="7" t="inlineStr">
        <is>
          <t>Consumer</t>
        </is>
      </c>
      <c r="I3717" s="7" t="n">
        <v>2</v>
      </c>
      <c r="J3717" s="10" t="n">
        <v>25.18</v>
      </c>
      <c r="K3717" s="11" t="n">
        <v>0.05</v>
      </c>
      <c r="L3717" s="10">
        <f>I3717*J3717*(1-K3717)</f>
        <v/>
      </c>
      <c r="M3717" s="10" t="n">
        <v>25</v>
      </c>
      <c r="N3717" s="10">
        <f>L3717-M3717</f>
        <v/>
      </c>
    </row>
    <row r="3718">
      <c r="A3718" s="7" t="inlineStr">
        <is>
          <t>ORD-04601</t>
        </is>
      </c>
      <c r="B3718" s="8" t="n">
        <v>45675</v>
      </c>
      <c r="C3718" s="9" t="n">
        <v>45658</v>
      </c>
      <c r="D3718" s="7" t="n">
        <v>2025</v>
      </c>
      <c r="E3718" s="7" t="inlineStr">
        <is>
          <t>South</t>
        </is>
      </c>
      <c r="F3718" s="7" t="inlineStr">
        <is>
          <t>Office Supplies</t>
        </is>
      </c>
      <c r="G3718" s="7" t="inlineStr">
        <is>
          <t>Pens</t>
        </is>
      </c>
      <c r="H3718" s="7" t="inlineStr">
        <is>
          <t>Consumer</t>
        </is>
      </c>
      <c r="I3718" s="7" t="n">
        <v>7</v>
      </c>
      <c r="J3718" s="10" t="n">
        <v>11.92</v>
      </c>
      <c r="K3718" s="11" t="n">
        <v>0.05</v>
      </c>
      <c r="L3718" s="10">
        <f>I3718*J3718*(1-K3718)</f>
        <v/>
      </c>
      <c r="M3718" s="10" t="n">
        <v>37.8</v>
      </c>
      <c r="N3718" s="10">
        <f>L3718-M3718</f>
        <v/>
      </c>
    </row>
    <row r="3719">
      <c r="A3719" s="7" t="inlineStr">
        <is>
          <t>ORD-05121</t>
        </is>
      </c>
      <c r="B3719" s="8" t="n">
        <v>45675</v>
      </c>
      <c r="C3719" s="9" t="n">
        <v>45658</v>
      </c>
      <c r="D3719" s="7" t="n">
        <v>2025</v>
      </c>
      <c r="E3719" s="7" t="inlineStr">
        <is>
          <t>North</t>
        </is>
      </c>
      <c r="F3719" s="7" t="inlineStr">
        <is>
          <t>Office Supplies</t>
        </is>
      </c>
      <c r="G3719" s="7" t="inlineStr">
        <is>
          <t>Stapler</t>
        </is>
      </c>
      <c r="H3719" s="7" t="inlineStr">
        <is>
          <t>Consumer</t>
        </is>
      </c>
      <c r="I3719" s="7" t="n">
        <v>7</v>
      </c>
      <c r="J3719" s="10" t="n">
        <v>15.52</v>
      </c>
      <c r="K3719" s="11" t="n">
        <v>0</v>
      </c>
      <c r="L3719" s="10">
        <f>I3719*J3719*(1-K3719)</f>
        <v/>
      </c>
      <c r="M3719" s="10" t="n">
        <v>52.5</v>
      </c>
      <c r="N3719" s="10">
        <f>L3719-M3719</f>
        <v/>
      </c>
    </row>
    <row r="3720">
      <c r="A3720" s="7" t="inlineStr">
        <is>
          <t>ORD-05645</t>
        </is>
      </c>
      <c r="B3720" s="8" t="n">
        <v>45675</v>
      </c>
      <c r="C3720" s="9" t="n">
        <v>45658</v>
      </c>
      <c r="D3720" s="7" t="n">
        <v>2025</v>
      </c>
      <c r="E3720" s="7" t="inlineStr">
        <is>
          <t>East</t>
        </is>
      </c>
      <c r="F3720" s="7" t="inlineStr">
        <is>
          <t>Office Supplies</t>
        </is>
      </c>
      <c r="G3720" s="7" t="inlineStr">
        <is>
          <t>Paper</t>
        </is>
      </c>
      <c r="H3720" s="7" t="inlineStr">
        <is>
          <t>Consumer</t>
        </is>
      </c>
      <c r="I3720" s="7" t="n">
        <v>11</v>
      </c>
      <c r="J3720" s="10" t="n">
        <v>23.85</v>
      </c>
      <c r="K3720" s="11" t="n">
        <v>0</v>
      </c>
      <c r="L3720" s="10">
        <f>I3720*J3720*(1-K3720)</f>
        <v/>
      </c>
      <c r="M3720" s="10" t="n">
        <v>137.5</v>
      </c>
      <c r="N3720" s="10">
        <f>L3720-M3720</f>
        <v/>
      </c>
    </row>
    <row r="3721">
      <c r="A3721" s="7" t="inlineStr">
        <is>
          <t>ORD-05908</t>
        </is>
      </c>
      <c r="B3721" s="8" t="n">
        <v>45676</v>
      </c>
      <c r="C3721" s="9" t="n">
        <v>45658</v>
      </c>
      <c r="D3721" s="7" t="n">
        <v>2025</v>
      </c>
      <c r="E3721" s="7" t="inlineStr">
        <is>
          <t>South</t>
        </is>
      </c>
      <c r="F3721" s="7" t="inlineStr">
        <is>
          <t>Office Supplies</t>
        </is>
      </c>
      <c r="G3721" s="7" t="inlineStr">
        <is>
          <t>Pens</t>
        </is>
      </c>
      <c r="H3721" s="7" t="inlineStr">
        <is>
          <t>Corporate</t>
        </is>
      </c>
      <c r="I3721" s="7" t="n">
        <v>2</v>
      </c>
      <c r="J3721" s="10" t="n">
        <v>12.25</v>
      </c>
      <c r="K3721" s="11" t="n">
        <v>0.1</v>
      </c>
      <c r="L3721" s="10">
        <f>I3721*J3721*(1-K3721)</f>
        <v/>
      </c>
      <c r="M3721" s="10" t="n">
        <v>10.8</v>
      </c>
      <c r="N3721" s="10">
        <f>L3721-M3721</f>
        <v/>
      </c>
    </row>
    <row r="3722">
      <c r="A3722" s="7" t="inlineStr">
        <is>
          <t>ORD-05067</t>
        </is>
      </c>
      <c r="B3722" s="8" t="n">
        <v>45676</v>
      </c>
      <c r="C3722" s="9" t="n">
        <v>45658</v>
      </c>
      <c r="D3722" s="7" t="n">
        <v>2025</v>
      </c>
      <c r="E3722" s="7" t="inlineStr">
        <is>
          <t>North</t>
        </is>
      </c>
      <c r="F3722" s="7" t="inlineStr">
        <is>
          <t>Office Supplies</t>
        </is>
      </c>
      <c r="G3722" s="7" t="inlineStr">
        <is>
          <t>Paper</t>
        </is>
      </c>
      <c r="H3722" s="7" t="inlineStr">
        <is>
          <t>Consumer</t>
        </is>
      </c>
      <c r="I3722" s="7" t="n">
        <v>10</v>
      </c>
      <c r="J3722" s="10" t="n">
        <v>24.63</v>
      </c>
      <c r="K3722" s="11" t="n">
        <v>0.1</v>
      </c>
      <c r="L3722" s="10">
        <f>I3722*J3722*(1-K3722)</f>
        <v/>
      </c>
      <c r="M3722" s="10" t="n">
        <v>125</v>
      </c>
      <c r="N3722" s="10">
        <f>L3722-M3722</f>
        <v/>
      </c>
    </row>
    <row r="3723">
      <c r="A3723" s="7" t="inlineStr">
        <is>
          <t>ORD-01802</t>
        </is>
      </c>
      <c r="B3723" s="8" t="n">
        <v>45676</v>
      </c>
      <c r="C3723" s="9" t="n">
        <v>45658</v>
      </c>
      <c r="D3723" s="7" t="n">
        <v>2025</v>
      </c>
      <c r="E3723" s="7" t="inlineStr">
        <is>
          <t>South</t>
        </is>
      </c>
      <c r="F3723" s="7" t="inlineStr">
        <is>
          <t>Office Supplies</t>
        </is>
      </c>
      <c r="G3723" s="7" t="inlineStr">
        <is>
          <t>Binder</t>
        </is>
      </c>
      <c r="H3723" s="7" t="inlineStr">
        <is>
          <t>Corporate</t>
        </is>
      </c>
      <c r="I3723" s="7" t="n">
        <v>5</v>
      </c>
      <c r="J3723" s="10" t="n">
        <v>7.62</v>
      </c>
      <c r="K3723" s="11" t="n">
        <v>0</v>
      </c>
      <c r="L3723" s="10">
        <f>I3723*J3723*(1-K3723)</f>
        <v/>
      </c>
      <c r="M3723" s="10" t="n">
        <v>16</v>
      </c>
      <c r="N3723" s="10">
        <f>L3723-M3723</f>
        <v/>
      </c>
    </row>
    <row r="3724">
      <c r="A3724" s="7" t="inlineStr">
        <is>
          <t>ORD-03830</t>
        </is>
      </c>
      <c r="B3724" s="8" t="n">
        <v>45677</v>
      </c>
      <c r="C3724" s="9" t="n">
        <v>45658</v>
      </c>
      <c r="D3724" s="7" t="n">
        <v>2025</v>
      </c>
      <c r="E3724" s="7" t="inlineStr">
        <is>
          <t>East</t>
        </is>
      </c>
      <c r="F3724" s="7" t="inlineStr">
        <is>
          <t>Office Supplies</t>
        </is>
      </c>
      <c r="G3724" s="7" t="inlineStr">
        <is>
          <t>Paper</t>
        </is>
      </c>
      <c r="H3724" s="7" t="inlineStr">
        <is>
          <t>Consumer</t>
        </is>
      </c>
      <c r="I3724" s="7" t="n">
        <v>5</v>
      </c>
      <c r="J3724" s="10" t="n">
        <v>24.78</v>
      </c>
      <c r="K3724" s="11" t="n">
        <v>0.3</v>
      </c>
      <c r="L3724" s="10">
        <f>I3724*J3724*(1-K3724)</f>
        <v/>
      </c>
      <c r="M3724" s="10" t="n">
        <v>62.5</v>
      </c>
      <c r="N3724" s="10">
        <f>L3724-M3724</f>
        <v/>
      </c>
    </row>
    <row r="3725">
      <c r="A3725" s="7" t="inlineStr">
        <is>
          <t>ORD-02455</t>
        </is>
      </c>
      <c r="B3725" s="8" t="n">
        <v>45678</v>
      </c>
      <c r="C3725" s="9" t="n">
        <v>45658</v>
      </c>
      <c r="D3725" s="7" t="n">
        <v>2025</v>
      </c>
      <c r="E3725" s="7" t="inlineStr">
        <is>
          <t>West</t>
        </is>
      </c>
      <c r="F3725" s="7" t="inlineStr">
        <is>
          <t>Technology</t>
        </is>
      </c>
      <c r="G3725" s="7" t="inlineStr">
        <is>
          <t>Headphones</t>
        </is>
      </c>
      <c r="H3725" s="7" t="inlineStr">
        <is>
          <t>Corporate</t>
        </is>
      </c>
      <c r="I3725" s="7" t="n">
        <v>2</v>
      </c>
      <c r="J3725" s="10" t="n">
        <v>117.51</v>
      </c>
      <c r="K3725" s="11" t="n">
        <v>0</v>
      </c>
      <c r="L3725" s="10">
        <f>I3725*J3725*(1-K3725)</f>
        <v/>
      </c>
      <c r="M3725" s="10" t="n">
        <v>144</v>
      </c>
      <c r="N3725" s="10">
        <f>L3725-M3725</f>
        <v/>
      </c>
    </row>
    <row r="3726">
      <c r="A3726" s="7" t="inlineStr">
        <is>
          <t>ORD-01449</t>
        </is>
      </c>
      <c r="B3726" s="8" t="n">
        <v>45679</v>
      </c>
      <c r="C3726" s="9" t="n">
        <v>45658</v>
      </c>
      <c r="D3726" s="7" t="n">
        <v>2025</v>
      </c>
      <c r="E3726" s="7" t="inlineStr">
        <is>
          <t>East</t>
        </is>
      </c>
      <c r="F3726" s="7" t="inlineStr">
        <is>
          <t>Office Supplies</t>
        </is>
      </c>
      <c r="G3726" s="7" t="inlineStr">
        <is>
          <t>Stapler</t>
        </is>
      </c>
      <c r="H3726" s="7" t="inlineStr">
        <is>
          <t>Home Office</t>
        </is>
      </c>
      <c r="I3726" s="7" t="n">
        <v>7</v>
      </c>
      <c r="J3726" s="10" t="n">
        <v>15.12</v>
      </c>
      <c r="K3726" s="11" t="n">
        <v>0.05</v>
      </c>
      <c r="L3726" s="10">
        <f>I3726*J3726*(1-K3726)</f>
        <v/>
      </c>
      <c r="M3726" s="10" t="n">
        <v>52.5</v>
      </c>
      <c r="N3726" s="10">
        <f>L3726-M3726</f>
        <v/>
      </c>
    </row>
    <row r="3727">
      <c r="A3727" s="7" t="inlineStr">
        <is>
          <t>ORD-05504</t>
        </is>
      </c>
      <c r="B3727" s="8" t="n">
        <v>45679</v>
      </c>
      <c r="C3727" s="9" t="n">
        <v>45658</v>
      </c>
      <c r="D3727" s="7" t="n">
        <v>2025</v>
      </c>
      <c r="E3727" s="7" t="inlineStr">
        <is>
          <t>South</t>
        </is>
      </c>
      <c r="F3727" s="7" t="inlineStr">
        <is>
          <t>Furniture</t>
        </is>
      </c>
      <c r="G3727" s="7" t="inlineStr">
        <is>
          <t>Bookcase</t>
        </is>
      </c>
      <c r="H3727" s="7" t="inlineStr">
        <is>
          <t>Corporate</t>
        </is>
      </c>
      <c r="I3727" s="7" t="n">
        <v>4</v>
      </c>
      <c r="J3727" s="10" t="n">
        <v>185.99</v>
      </c>
      <c r="K3727" s="11" t="n">
        <v>0.3</v>
      </c>
      <c r="L3727" s="10">
        <f>I3727*J3727*(1-K3727)</f>
        <v/>
      </c>
      <c r="M3727" s="10" t="n">
        <v>576</v>
      </c>
      <c r="N3727" s="10">
        <f>L3727-M3727</f>
        <v/>
      </c>
    </row>
    <row r="3728">
      <c r="A3728" s="7" t="inlineStr">
        <is>
          <t>ORD-00498</t>
        </is>
      </c>
      <c r="B3728" s="8" t="n">
        <v>45679</v>
      </c>
      <c r="C3728" s="9" t="n">
        <v>45658</v>
      </c>
      <c r="D3728" s="7" t="n">
        <v>2025</v>
      </c>
      <c r="E3728" s="7" t="inlineStr">
        <is>
          <t>East</t>
        </is>
      </c>
      <c r="F3728" s="7" t="inlineStr">
        <is>
          <t>Office Supplies</t>
        </is>
      </c>
      <c r="G3728" s="7" t="inlineStr">
        <is>
          <t>Binder</t>
        </is>
      </c>
      <c r="H3728" s="7" t="inlineStr">
        <is>
          <t>Consumer</t>
        </is>
      </c>
      <c r="I3728" s="7" t="n">
        <v>9</v>
      </c>
      <c r="J3728" s="10" t="n">
        <v>8.18</v>
      </c>
      <c r="K3728" s="11" t="n">
        <v>0.1</v>
      </c>
      <c r="L3728" s="10">
        <f>I3728*J3728*(1-K3728)</f>
        <v/>
      </c>
      <c r="M3728" s="10" t="n">
        <v>28.8</v>
      </c>
      <c r="N3728" s="10">
        <f>L3728-M3728</f>
        <v/>
      </c>
    </row>
    <row r="3729">
      <c r="A3729" s="7" t="inlineStr">
        <is>
          <t>ORD-05172</t>
        </is>
      </c>
      <c r="B3729" s="8" t="n">
        <v>45679</v>
      </c>
      <c r="C3729" s="9" t="n">
        <v>45658</v>
      </c>
      <c r="D3729" s="7" t="n">
        <v>2025</v>
      </c>
      <c r="E3729" s="7" t="inlineStr">
        <is>
          <t>South</t>
        </is>
      </c>
      <c r="F3729" s="7" t="inlineStr">
        <is>
          <t>Office Supplies</t>
        </is>
      </c>
      <c r="G3729" s="7" t="inlineStr">
        <is>
          <t>Paper</t>
        </is>
      </c>
      <c r="H3729" s="7" t="inlineStr">
        <is>
          <t>Corporate</t>
        </is>
      </c>
      <c r="I3729" s="7" t="n">
        <v>13</v>
      </c>
      <c r="J3729" s="10" t="n">
        <v>24.31</v>
      </c>
      <c r="K3729" s="11" t="n">
        <v>0.05</v>
      </c>
      <c r="L3729" s="10">
        <f>I3729*J3729*(1-K3729)</f>
        <v/>
      </c>
      <c r="M3729" s="10" t="n">
        <v>162.5</v>
      </c>
      <c r="N3729" s="10">
        <f>L3729-M3729</f>
        <v/>
      </c>
    </row>
    <row r="3730">
      <c r="A3730" s="7" t="inlineStr">
        <is>
          <t>ORD-01064</t>
        </is>
      </c>
      <c r="B3730" s="8" t="n">
        <v>45679</v>
      </c>
      <c r="C3730" s="9" t="n">
        <v>45658</v>
      </c>
      <c r="D3730" s="7" t="n">
        <v>2025</v>
      </c>
      <c r="E3730" s="7" t="inlineStr">
        <is>
          <t>West</t>
        </is>
      </c>
      <c r="F3730" s="7" t="inlineStr">
        <is>
          <t>Office Supplies</t>
        </is>
      </c>
      <c r="G3730" s="7" t="inlineStr">
        <is>
          <t>Stapler</t>
        </is>
      </c>
      <c r="H3730" s="7" t="inlineStr">
        <is>
          <t>Home Office</t>
        </is>
      </c>
      <c r="I3730" s="7" t="n">
        <v>7</v>
      </c>
      <c r="J3730" s="10" t="n">
        <v>14.39</v>
      </c>
      <c r="K3730" s="11" t="n">
        <v>0</v>
      </c>
      <c r="L3730" s="10">
        <f>I3730*J3730*(1-K3730)</f>
        <v/>
      </c>
      <c r="M3730" s="10" t="n">
        <v>52.5</v>
      </c>
      <c r="N3730" s="10">
        <f>L3730-M3730</f>
        <v/>
      </c>
    </row>
    <row r="3731">
      <c r="A3731" s="7" t="inlineStr">
        <is>
          <t>ORD-05796</t>
        </is>
      </c>
      <c r="B3731" s="8" t="n">
        <v>45679</v>
      </c>
      <c r="C3731" s="9" t="n">
        <v>45658</v>
      </c>
      <c r="D3731" s="7" t="n">
        <v>2025</v>
      </c>
      <c r="E3731" s="7" t="inlineStr">
        <is>
          <t>South</t>
        </is>
      </c>
      <c r="F3731" s="7" t="inlineStr">
        <is>
          <t>Office Supplies</t>
        </is>
      </c>
      <c r="G3731" s="7" t="inlineStr">
        <is>
          <t>Binder</t>
        </is>
      </c>
      <c r="H3731" s="7" t="inlineStr">
        <is>
          <t>Corporate</t>
        </is>
      </c>
      <c r="I3731" s="7" t="n">
        <v>2</v>
      </c>
      <c r="J3731" s="10" t="n">
        <v>8.109999999999999</v>
      </c>
      <c r="K3731" s="11" t="n">
        <v>0</v>
      </c>
      <c r="L3731" s="10">
        <f>I3731*J3731*(1-K3731)</f>
        <v/>
      </c>
      <c r="M3731" s="10" t="n">
        <v>6.4</v>
      </c>
      <c r="N3731" s="10">
        <f>L3731-M3731</f>
        <v/>
      </c>
    </row>
    <row r="3732">
      <c r="A3732" s="7" t="inlineStr">
        <is>
          <t>ORD-02797</t>
        </is>
      </c>
      <c r="B3732" s="8" t="n">
        <v>45680</v>
      </c>
      <c r="C3732" s="9" t="n">
        <v>45658</v>
      </c>
      <c r="D3732" s="7" t="n">
        <v>2025</v>
      </c>
      <c r="E3732" s="7" t="inlineStr">
        <is>
          <t>East</t>
        </is>
      </c>
      <c r="F3732" s="7" t="inlineStr">
        <is>
          <t>Office Supplies</t>
        </is>
      </c>
      <c r="G3732" s="7" t="inlineStr">
        <is>
          <t>Binder</t>
        </is>
      </c>
      <c r="H3732" s="7" t="inlineStr">
        <is>
          <t>Consumer</t>
        </is>
      </c>
      <c r="I3732" s="7" t="n">
        <v>13</v>
      </c>
      <c r="J3732" s="10" t="n">
        <v>8.199999999999999</v>
      </c>
      <c r="K3732" s="11" t="n">
        <v>0.1</v>
      </c>
      <c r="L3732" s="10">
        <f>I3732*J3732*(1-K3732)</f>
        <v/>
      </c>
      <c r="M3732" s="10" t="n">
        <v>41.6</v>
      </c>
      <c r="N3732" s="10">
        <f>L3732-M3732</f>
        <v/>
      </c>
    </row>
    <row r="3733">
      <c r="A3733" s="7" t="inlineStr">
        <is>
          <t>ORD-02524</t>
        </is>
      </c>
      <c r="B3733" s="8" t="n">
        <v>45680</v>
      </c>
      <c r="C3733" s="9" t="n">
        <v>45658</v>
      </c>
      <c r="D3733" s="7" t="n">
        <v>2025</v>
      </c>
      <c r="E3733" s="7" t="inlineStr">
        <is>
          <t>East</t>
        </is>
      </c>
      <c r="F3733" s="7" t="inlineStr">
        <is>
          <t>Technology</t>
        </is>
      </c>
      <c r="G3733" s="7" t="inlineStr">
        <is>
          <t>Headphones</t>
        </is>
      </c>
      <c r="H3733" s="7" t="inlineStr">
        <is>
          <t>Home Office</t>
        </is>
      </c>
      <c r="I3733" s="7" t="n">
        <v>1</v>
      </c>
      <c r="J3733" s="10" t="n">
        <v>115.4</v>
      </c>
      <c r="K3733" s="11" t="n">
        <v>0</v>
      </c>
      <c r="L3733" s="10">
        <f>I3733*J3733*(1-K3733)</f>
        <v/>
      </c>
      <c r="M3733" s="10" t="n">
        <v>72</v>
      </c>
      <c r="N3733" s="10">
        <f>L3733-M3733</f>
        <v/>
      </c>
    </row>
    <row r="3734">
      <c r="A3734" s="7" t="inlineStr">
        <is>
          <t>ORD-04971</t>
        </is>
      </c>
      <c r="B3734" s="8" t="n">
        <v>45680</v>
      </c>
      <c r="C3734" s="9" t="n">
        <v>45658</v>
      </c>
      <c r="D3734" s="7" t="n">
        <v>2025</v>
      </c>
      <c r="E3734" s="7" t="inlineStr">
        <is>
          <t>East</t>
        </is>
      </c>
      <c r="F3734" s="7" t="inlineStr">
        <is>
          <t>Technology</t>
        </is>
      </c>
      <c r="G3734" s="7" t="inlineStr">
        <is>
          <t>Laptop</t>
        </is>
      </c>
      <c r="H3734" s="7" t="inlineStr">
        <is>
          <t>Corporate</t>
        </is>
      </c>
      <c r="I3734" s="7" t="n">
        <v>1</v>
      </c>
      <c r="J3734" s="10" t="n">
        <v>943.79</v>
      </c>
      <c r="K3734" s="11" t="n">
        <v>0.1</v>
      </c>
      <c r="L3734" s="10">
        <f>I3734*J3734*(1-K3734)</f>
        <v/>
      </c>
      <c r="M3734" s="10" t="n">
        <v>702</v>
      </c>
      <c r="N3734" s="10">
        <f>L3734-M3734</f>
        <v/>
      </c>
    </row>
    <row r="3735">
      <c r="A3735" s="7" t="inlineStr">
        <is>
          <t>ORD-01846</t>
        </is>
      </c>
      <c r="B3735" s="8" t="n">
        <v>45680</v>
      </c>
      <c r="C3735" s="9" t="n">
        <v>45658</v>
      </c>
      <c r="D3735" s="7" t="n">
        <v>2025</v>
      </c>
      <c r="E3735" s="7" t="inlineStr">
        <is>
          <t>West</t>
        </is>
      </c>
      <c r="F3735" s="7" t="inlineStr">
        <is>
          <t>Furniture</t>
        </is>
      </c>
      <c r="G3735" s="7" t="inlineStr">
        <is>
          <t>Desk</t>
        </is>
      </c>
      <c r="H3735" s="7" t="inlineStr">
        <is>
          <t>Consumer</t>
        </is>
      </c>
      <c r="I3735" s="7" t="n">
        <v>3</v>
      </c>
      <c r="J3735" s="10" t="n">
        <v>461.91</v>
      </c>
      <c r="K3735" s="11" t="n">
        <v>0.3</v>
      </c>
      <c r="L3735" s="10">
        <f>I3735*J3735*(1-K3735)</f>
        <v/>
      </c>
      <c r="M3735" s="10" t="n">
        <v>1147.5</v>
      </c>
      <c r="N3735" s="10">
        <f>L3735-M3735</f>
        <v/>
      </c>
    </row>
    <row r="3736">
      <c r="A3736" s="7" t="inlineStr">
        <is>
          <t>ORD-04132</t>
        </is>
      </c>
      <c r="B3736" s="8" t="n">
        <v>45680</v>
      </c>
      <c r="C3736" s="9" t="n">
        <v>45658</v>
      </c>
      <c r="D3736" s="7" t="n">
        <v>2025</v>
      </c>
      <c r="E3736" s="7" t="inlineStr">
        <is>
          <t>West</t>
        </is>
      </c>
      <c r="F3736" s="7" t="inlineStr">
        <is>
          <t>Furniture</t>
        </is>
      </c>
      <c r="G3736" s="7" t="inlineStr">
        <is>
          <t>Sofa</t>
        </is>
      </c>
      <c r="H3736" s="7" t="inlineStr">
        <is>
          <t>Home Office</t>
        </is>
      </c>
      <c r="I3736" s="7" t="n">
        <v>1</v>
      </c>
      <c r="J3736" s="10" t="n">
        <v>683.46</v>
      </c>
      <c r="K3736" s="11" t="n">
        <v>0</v>
      </c>
      <c r="L3736" s="10">
        <f>I3736*J3736*(1-K3736)</f>
        <v/>
      </c>
      <c r="M3736" s="10" t="n">
        <v>616</v>
      </c>
      <c r="N3736" s="10">
        <f>L3736-M3736</f>
        <v/>
      </c>
    </row>
    <row r="3737">
      <c r="A3737" s="7" t="inlineStr">
        <is>
          <t>ORD-01513</t>
        </is>
      </c>
      <c r="B3737" s="8" t="n">
        <v>45680</v>
      </c>
      <c r="C3737" s="9" t="n">
        <v>45658</v>
      </c>
      <c r="D3737" s="7" t="n">
        <v>2025</v>
      </c>
      <c r="E3737" s="7" t="inlineStr">
        <is>
          <t>West</t>
        </is>
      </c>
      <c r="F3737" s="7" t="inlineStr">
        <is>
          <t>Furniture</t>
        </is>
      </c>
      <c r="G3737" s="7" t="inlineStr">
        <is>
          <t>Sofa</t>
        </is>
      </c>
      <c r="H3737" s="7" t="inlineStr">
        <is>
          <t>Corporate</t>
        </is>
      </c>
      <c r="I3737" s="7" t="n">
        <v>2</v>
      </c>
      <c r="J3737" s="10" t="n">
        <v>685.04</v>
      </c>
      <c r="K3737" s="11" t="n">
        <v>0.1</v>
      </c>
      <c r="L3737" s="10">
        <f>I3737*J3737*(1-K3737)</f>
        <v/>
      </c>
      <c r="M3737" s="10" t="n">
        <v>1232</v>
      </c>
      <c r="N3737" s="10">
        <f>L3737-M3737</f>
        <v/>
      </c>
    </row>
    <row r="3738">
      <c r="A3738" s="7" t="inlineStr">
        <is>
          <t>ORD-00120</t>
        </is>
      </c>
      <c r="B3738" s="8" t="n">
        <v>45681</v>
      </c>
      <c r="C3738" s="9" t="n">
        <v>45658</v>
      </c>
      <c r="D3738" s="7" t="n">
        <v>2025</v>
      </c>
      <c r="E3738" s="7" t="inlineStr">
        <is>
          <t>West</t>
        </is>
      </c>
      <c r="F3738" s="7" t="inlineStr">
        <is>
          <t>Office Supplies</t>
        </is>
      </c>
      <c r="G3738" s="7" t="inlineStr">
        <is>
          <t>Binder</t>
        </is>
      </c>
      <c r="H3738" s="7" t="inlineStr">
        <is>
          <t>Consumer</t>
        </is>
      </c>
      <c r="I3738" s="7" t="n">
        <v>14</v>
      </c>
      <c r="J3738" s="10" t="n">
        <v>8.17</v>
      </c>
      <c r="K3738" s="11" t="n">
        <v>0.1</v>
      </c>
      <c r="L3738" s="10">
        <f>I3738*J3738*(1-K3738)</f>
        <v/>
      </c>
      <c r="M3738" s="10" t="n">
        <v>44.8</v>
      </c>
      <c r="N3738" s="10">
        <f>L3738-M3738</f>
        <v/>
      </c>
    </row>
    <row r="3739">
      <c r="A3739" s="7" t="inlineStr">
        <is>
          <t>ORD-05615</t>
        </is>
      </c>
      <c r="B3739" s="8" t="n">
        <v>45681</v>
      </c>
      <c r="C3739" s="9" t="n">
        <v>45658</v>
      </c>
      <c r="D3739" s="7" t="n">
        <v>2025</v>
      </c>
      <c r="E3739" s="7" t="inlineStr">
        <is>
          <t>North</t>
        </is>
      </c>
      <c r="F3739" s="7" t="inlineStr">
        <is>
          <t>Office Supplies</t>
        </is>
      </c>
      <c r="G3739" s="7" t="inlineStr">
        <is>
          <t>Printer Ink</t>
        </is>
      </c>
      <c r="H3739" s="7" t="inlineStr">
        <is>
          <t>Consumer</t>
        </is>
      </c>
      <c r="I3739" s="7" t="n">
        <v>9</v>
      </c>
      <c r="J3739" s="10" t="n">
        <v>62.6</v>
      </c>
      <c r="K3739" s="11" t="n">
        <v>0</v>
      </c>
      <c r="L3739" s="10">
        <f>I3739*J3739*(1-K3739)</f>
        <v/>
      </c>
      <c r="M3739" s="10" t="n">
        <v>324</v>
      </c>
      <c r="N3739" s="10">
        <f>L3739-M3739</f>
        <v/>
      </c>
    </row>
    <row r="3740">
      <c r="A3740" s="7" t="inlineStr">
        <is>
          <t>ORD-02248</t>
        </is>
      </c>
      <c r="B3740" s="8" t="n">
        <v>45681</v>
      </c>
      <c r="C3740" s="9" t="n">
        <v>45658</v>
      </c>
      <c r="D3740" s="7" t="n">
        <v>2025</v>
      </c>
      <c r="E3740" s="7" t="inlineStr">
        <is>
          <t>West</t>
        </is>
      </c>
      <c r="F3740" s="7" t="inlineStr">
        <is>
          <t>Office Supplies</t>
        </is>
      </c>
      <c r="G3740" s="7" t="inlineStr">
        <is>
          <t>Paper</t>
        </is>
      </c>
      <c r="H3740" s="7" t="inlineStr">
        <is>
          <t>Consumer</t>
        </is>
      </c>
      <c r="I3740" s="7" t="n">
        <v>14</v>
      </c>
      <c r="J3740" s="10" t="n">
        <v>26.08</v>
      </c>
      <c r="K3740" s="11" t="n">
        <v>0</v>
      </c>
      <c r="L3740" s="10">
        <f>I3740*J3740*(1-K3740)</f>
        <v/>
      </c>
      <c r="M3740" s="10" t="n">
        <v>175</v>
      </c>
      <c r="N3740" s="10">
        <f>L3740-M3740</f>
        <v/>
      </c>
    </row>
    <row r="3741">
      <c r="A3741" s="7" t="inlineStr">
        <is>
          <t>ORD-04310</t>
        </is>
      </c>
      <c r="B3741" s="8" t="n">
        <v>45681</v>
      </c>
      <c r="C3741" s="9" t="n">
        <v>45658</v>
      </c>
      <c r="D3741" s="7" t="n">
        <v>2025</v>
      </c>
      <c r="E3741" s="7" t="inlineStr">
        <is>
          <t>West</t>
        </is>
      </c>
      <c r="F3741" s="7" t="inlineStr">
        <is>
          <t>Office Supplies</t>
        </is>
      </c>
      <c r="G3741" s="7" t="inlineStr">
        <is>
          <t>Binder</t>
        </is>
      </c>
      <c r="H3741" s="7" t="inlineStr">
        <is>
          <t>Home Office</t>
        </is>
      </c>
      <c r="I3741" s="7" t="n">
        <v>9</v>
      </c>
      <c r="J3741" s="10" t="n">
        <v>8.039999999999999</v>
      </c>
      <c r="K3741" s="11" t="n">
        <v>0.2</v>
      </c>
      <c r="L3741" s="10">
        <f>I3741*J3741*(1-K3741)</f>
        <v/>
      </c>
      <c r="M3741" s="10" t="n">
        <v>28.8</v>
      </c>
      <c r="N3741" s="10">
        <f>L3741-M3741</f>
        <v/>
      </c>
    </row>
    <row r="3742">
      <c r="A3742" s="7" t="inlineStr">
        <is>
          <t>ORD-05236</t>
        </is>
      </c>
      <c r="B3742" s="8" t="n">
        <v>45681</v>
      </c>
      <c r="C3742" s="9" t="n">
        <v>45658</v>
      </c>
      <c r="D3742" s="7" t="n">
        <v>2025</v>
      </c>
      <c r="E3742" s="7" t="inlineStr">
        <is>
          <t>East</t>
        </is>
      </c>
      <c r="F3742" s="7" t="inlineStr">
        <is>
          <t>Technology</t>
        </is>
      </c>
      <c r="G3742" s="7" t="inlineStr">
        <is>
          <t>Laptop</t>
        </is>
      </c>
      <c r="H3742" s="7" t="inlineStr">
        <is>
          <t>Consumer</t>
        </is>
      </c>
      <c r="I3742" s="7" t="n">
        <v>3</v>
      </c>
      <c r="J3742" s="10" t="n">
        <v>913.23</v>
      </c>
      <c r="K3742" s="11" t="n">
        <v>0.05</v>
      </c>
      <c r="L3742" s="10">
        <f>I3742*J3742*(1-K3742)</f>
        <v/>
      </c>
      <c r="M3742" s="10" t="n">
        <v>2106</v>
      </c>
      <c r="N3742" s="10">
        <f>L3742-M3742</f>
        <v/>
      </c>
    </row>
    <row r="3743">
      <c r="A3743" s="7" t="inlineStr">
        <is>
          <t>ORD-03822</t>
        </is>
      </c>
      <c r="B3743" s="8" t="n">
        <v>45682</v>
      </c>
      <c r="C3743" s="9" t="n">
        <v>45658</v>
      </c>
      <c r="D3743" s="7" t="n">
        <v>2025</v>
      </c>
      <c r="E3743" s="7" t="inlineStr">
        <is>
          <t>North</t>
        </is>
      </c>
      <c r="F3743" s="7" t="inlineStr">
        <is>
          <t>Office Supplies</t>
        </is>
      </c>
      <c r="G3743" s="7" t="inlineStr">
        <is>
          <t>Paper</t>
        </is>
      </c>
      <c r="H3743" s="7" t="inlineStr">
        <is>
          <t>Consumer</t>
        </is>
      </c>
      <c r="I3743" s="7" t="n">
        <v>12</v>
      </c>
      <c r="J3743" s="10" t="n">
        <v>25.18</v>
      </c>
      <c r="K3743" s="11" t="n">
        <v>0.3</v>
      </c>
      <c r="L3743" s="10">
        <f>I3743*J3743*(1-K3743)</f>
        <v/>
      </c>
      <c r="M3743" s="10" t="n">
        <v>150</v>
      </c>
      <c r="N3743" s="10">
        <f>L3743-M3743</f>
        <v/>
      </c>
    </row>
    <row r="3744">
      <c r="A3744" s="7" t="inlineStr">
        <is>
          <t>ORD-02271</t>
        </is>
      </c>
      <c r="B3744" s="8" t="n">
        <v>45683</v>
      </c>
      <c r="C3744" s="9" t="n">
        <v>45658</v>
      </c>
      <c r="D3744" s="7" t="n">
        <v>2025</v>
      </c>
      <c r="E3744" s="7" t="inlineStr">
        <is>
          <t>East</t>
        </is>
      </c>
      <c r="F3744" s="7" t="inlineStr">
        <is>
          <t>Office Supplies</t>
        </is>
      </c>
      <c r="G3744" s="7" t="inlineStr">
        <is>
          <t>Pens</t>
        </is>
      </c>
      <c r="H3744" s="7" t="inlineStr">
        <is>
          <t>Home Office</t>
        </is>
      </c>
      <c r="I3744" s="7" t="n">
        <v>3</v>
      </c>
      <c r="J3744" s="10" t="n">
        <v>11.44</v>
      </c>
      <c r="K3744" s="11" t="n">
        <v>0.2</v>
      </c>
      <c r="L3744" s="10">
        <f>I3744*J3744*(1-K3744)</f>
        <v/>
      </c>
      <c r="M3744" s="10" t="n">
        <v>16.2</v>
      </c>
      <c r="N3744" s="10">
        <f>L3744-M3744</f>
        <v/>
      </c>
    </row>
    <row r="3745">
      <c r="A3745" s="7" t="inlineStr">
        <is>
          <t>ORD-03287</t>
        </is>
      </c>
      <c r="B3745" s="8" t="n">
        <v>45683</v>
      </c>
      <c r="C3745" s="9" t="n">
        <v>45658</v>
      </c>
      <c r="D3745" s="7" t="n">
        <v>2025</v>
      </c>
      <c r="E3745" s="7" t="inlineStr">
        <is>
          <t>North</t>
        </is>
      </c>
      <c r="F3745" s="7" t="inlineStr">
        <is>
          <t>Office Supplies</t>
        </is>
      </c>
      <c r="G3745" s="7" t="inlineStr">
        <is>
          <t>Pens</t>
        </is>
      </c>
      <c r="H3745" s="7" t="inlineStr">
        <is>
          <t>Home Office</t>
        </is>
      </c>
      <c r="I3745" s="7" t="n">
        <v>2</v>
      </c>
      <c r="J3745" s="10" t="n">
        <v>11.96</v>
      </c>
      <c r="K3745" s="11" t="n">
        <v>0</v>
      </c>
      <c r="L3745" s="10">
        <f>I3745*J3745*(1-K3745)</f>
        <v/>
      </c>
      <c r="M3745" s="10" t="n">
        <v>10.8</v>
      </c>
      <c r="N3745" s="10">
        <f>L3745-M3745</f>
        <v/>
      </c>
    </row>
    <row r="3746">
      <c r="A3746" s="7" t="inlineStr">
        <is>
          <t>ORD-05024</t>
        </is>
      </c>
      <c r="B3746" s="8" t="n">
        <v>45684</v>
      </c>
      <c r="C3746" s="9" t="n">
        <v>45658</v>
      </c>
      <c r="D3746" s="7" t="n">
        <v>2025</v>
      </c>
      <c r="E3746" s="7" t="inlineStr">
        <is>
          <t>South</t>
        </is>
      </c>
      <c r="F3746" s="7" t="inlineStr">
        <is>
          <t>Office Supplies</t>
        </is>
      </c>
      <c r="G3746" s="7" t="inlineStr">
        <is>
          <t>Binder</t>
        </is>
      </c>
      <c r="H3746" s="7" t="inlineStr">
        <is>
          <t>Corporate</t>
        </is>
      </c>
      <c r="I3746" s="7" t="n">
        <v>8</v>
      </c>
      <c r="J3746" s="10" t="n">
        <v>7.6</v>
      </c>
      <c r="K3746" s="11" t="n">
        <v>0.2</v>
      </c>
      <c r="L3746" s="10">
        <f>I3746*J3746*(1-K3746)</f>
        <v/>
      </c>
      <c r="M3746" s="10" t="n">
        <v>25.6</v>
      </c>
      <c r="N3746" s="10">
        <f>L3746-M3746</f>
        <v/>
      </c>
    </row>
    <row r="3747">
      <c r="A3747" s="7" t="inlineStr">
        <is>
          <t>ORD-03808</t>
        </is>
      </c>
      <c r="B3747" s="8" t="n">
        <v>45684</v>
      </c>
      <c r="C3747" s="9" t="n">
        <v>45658</v>
      </c>
      <c r="D3747" s="7" t="n">
        <v>2025</v>
      </c>
      <c r="E3747" s="7" t="inlineStr">
        <is>
          <t>West</t>
        </is>
      </c>
      <c r="F3747" s="7" t="inlineStr">
        <is>
          <t>Office Supplies</t>
        </is>
      </c>
      <c r="G3747" s="7" t="inlineStr">
        <is>
          <t>Paper</t>
        </is>
      </c>
      <c r="H3747" s="7" t="inlineStr">
        <is>
          <t>Consumer</t>
        </is>
      </c>
      <c r="I3747" s="7" t="n">
        <v>8</v>
      </c>
      <c r="J3747" s="10" t="n">
        <v>25</v>
      </c>
      <c r="K3747" s="11" t="n">
        <v>0.2</v>
      </c>
      <c r="L3747" s="10">
        <f>I3747*J3747*(1-K3747)</f>
        <v/>
      </c>
      <c r="M3747" s="10" t="n">
        <v>100</v>
      </c>
      <c r="N3747" s="10">
        <f>L3747-M3747</f>
        <v/>
      </c>
    </row>
    <row r="3748">
      <c r="A3748" s="7" t="inlineStr">
        <is>
          <t>ORD-02634</t>
        </is>
      </c>
      <c r="B3748" s="8" t="n">
        <v>45685</v>
      </c>
      <c r="C3748" s="9" t="n">
        <v>45658</v>
      </c>
      <c r="D3748" s="7" t="n">
        <v>2025</v>
      </c>
      <c r="E3748" s="7" t="inlineStr">
        <is>
          <t>South</t>
        </is>
      </c>
      <c r="F3748" s="7" t="inlineStr">
        <is>
          <t>Office Supplies</t>
        </is>
      </c>
      <c r="G3748" s="7" t="inlineStr">
        <is>
          <t>Printer Ink</t>
        </is>
      </c>
      <c r="H3748" s="7" t="inlineStr">
        <is>
          <t>Home Office</t>
        </is>
      </c>
      <c r="I3748" s="7" t="n">
        <v>4</v>
      </c>
      <c r="J3748" s="10" t="n">
        <v>62.29</v>
      </c>
      <c r="K3748" s="11" t="n">
        <v>0.2</v>
      </c>
      <c r="L3748" s="10">
        <f>I3748*J3748*(1-K3748)</f>
        <v/>
      </c>
      <c r="M3748" s="10" t="n">
        <v>144</v>
      </c>
      <c r="N3748" s="10">
        <f>L3748-M3748</f>
        <v/>
      </c>
    </row>
    <row r="3749">
      <c r="A3749" s="7" t="inlineStr">
        <is>
          <t>ORD-04932</t>
        </is>
      </c>
      <c r="B3749" s="8" t="n">
        <v>45685</v>
      </c>
      <c r="C3749" s="9" t="n">
        <v>45658</v>
      </c>
      <c r="D3749" s="7" t="n">
        <v>2025</v>
      </c>
      <c r="E3749" s="7" t="inlineStr">
        <is>
          <t>South</t>
        </is>
      </c>
      <c r="F3749" s="7" t="inlineStr">
        <is>
          <t>Office Supplies</t>
        </is>
      </c>
      <c r="G3749" s="7" t="inlineStr">
        <is>
          <t>Pens</t>
        </is>
      </c>
      <c r="H3749" s="7" t="inlineStr">
        <is>
          <t>Consumer</t>
        </is>
      </c>
      <c r="I3749" s="7" t="n">
        <v>13</v>
      </c>
      <c r="J3749" s="10" t="n">
        <v>12.58</v>
      </c>
      <c r="K3749" s="11" t="n">
        <v>0.05</v>
      </c>
      <c r="L3749" s="10">
        <f>I3749*J3749*(1-K3749)</f>
        <v/>
      </c>
      <c r="M3749" s="10" t="n">
        <v>70.2</v>
      </c>
      <c r="N3749" s="10">
        <f>L3749-M3749</f>
        <v/>
      </c>
    </row>
    <row r="3750">
      <c r="A3750" s="7" t="inlineStr">
        <is>
          <t>ORD-00440</t>
        </is>
      </c>
      <c r="B3750" s="8" t="n">
        <v>45685</v>
      </c>
      <c r="C3750" s="9" t="n">
        <v>45658</v>
      </c>
      <c r="D3750" s="7" t="n">
        <v>2025</v>
      </c>
      <c r="E3750" s="7" t="inlineStr">
        <is>
          <t>East</t>
        </is>
      </c>
      <c r="F3750" s="7" t="inlineStr">
        <is>
          <t>Technology</t>
        </is>
      </c>
      <c r="G3750" s="7" t="inlineStr">
        <is>
          <t>Headphones</t>
        </is>
      </c>
      <c r="H3750" s="7" t="inlineStr">
        <is>
          <t>Consumer</t>
        </is>
      </c>
      <c r="I3750" s="7" t="n">
        <v>2</v>
      </c>
      <c r="J3750" s="10" t="n">
        <v>124.95</v>
      </c>
      <c r="K3750" s="11" t="n">
        <v>0</v>
      </c>
      <c r="L3750" s="10">
        <f>I3750*J3750*(1-K3750)</f>
        <v/>
      </c>
      <c r="M3750" s="10" t="n">
        <v>144</v>
      </c>
      <c r="N3750" s="10">
        <f>L3750-M3750</f>
        <v/>
      </c>
    </row>
    <row r="3751">
      <c r="A3751" s="7" t="inlineStr">
        <is>
          <t>ORD-00096</t>
        </is>
      </c>
      <c r="B3751" s="8" t="n">
        <v>45685</v>
      </c>
      <c r="C3751" s="9" t="n">
        <v>45658</v>
      </c>
      <c r="D3751" s="7" t="n">
        <v>2025</v>
      </c>
      <c r="E3751" s="7" t="inlineStr">
        <is>
          <t>East</t>
        </is>
      </c>
      <c r="F3751" s="7" t="inlineStr">
        <is>
          <t>Technology</t>
        </is>
      </c>
      <c r="G3751" s="7" t="inlineStr">
        <is>
          <t>Monitor</t>
        </is>
      </c>
      <c r="H3751" s="7" t="inlineStr">
        <is>
          <t>Consumer</t>
        </is>
      </c>
      <c r="I3751" s="7" t="n">
        <v>1</v>
      </c>
      <c r="J3751" s="10" t="n">
        <v>244.77</v>
      </c>
      <c r="K3751" s="11" t="n">
        <v>0.2</v>
      </c>
      <c r="L3751" s="10">
        <f>I3751*J3751*(1-K3751)</f>
        <v/>
      </c>
      <c r="M3751" s="10" t="n">
        <v>180</v>
      </c>
      <c r="N3751" s="10">
        <f>L3751-M3751</f>
        <v/>
      </c>
    </row>
    <row r="3752">
      <c r="A3752" s="7" t="inlineStr">
        <is>
          <t>ORD-04858</t>
        </is>
      </c>
      <c r="B3752" s="8" t="n">
        <v>45685</v>
      </c>
      <c r="C3752" s="9" t="n">
        <v>45658</v>
      </c>
      <c r="D3752" s="7" t="n">
        <v>2025</v>
      </c>
      <c r="E3752" s="7" t="inlineStr">
        <is>
          <t>South</t>
        </is>
      </c>
      <c r="F3752" s="7" t="inlineStr">
        <is>
          <t>Office Supplies</t>
        </is>
      </c>
      <c r="G3752" s="7" t="inlineStr">
        <is>
          <t>Pens</t>
        </is>
      </c>
      <c r="H3752" s="7" t="inlineStr">
        <is>
          <t>Corporate</t>
        </is>
      </c>
      <c r="I3752" s="7" t="n">
        <v>7</v>
      </c>
      <c r="J3752" s="10" t="n">
        <v>11.49</v>
      </c>
      <c r="K3752" s="11" t="n">
        <v>0.05</v>
      </c>
      <c r="L3752" s="10">
        <f>I3752*J3752*(1-K3752)</f>
        <v/>
      </c>
      <c r="M3752" s="10" t="n">
        <v>37.8</v>
      </c>
      <c r="N3752" s="10">
        <f>L3752-M3752</f>
        <v/>
      </c>
    </row>
    <row r="3753">
      <c r="A3753" s="7" t="inlineStr">
        <is>
          <t>ORD-01773</t>
        </is>
      </c>
      <c r="B3753" s="8" t="n">
        <v>45686</v>
      </c>
      <c r="C3753" s="9" t="n">
        <v>45658</v>
      </c>
      <c r="D3753" s="7" t="n">
        <v>2025</v>
      </c>
      <c r="E3753" s="7" t="inlineStr">
        <is>
          <t>West</t>
        </is>
      </c>
      <c r="F3753" s="7" t="inlineStr">
        <is>
          <t>Office Supplies</t>
        </is>
      </c>
      <c r="G3753" s="7" t="inlineStr">
        <is>
          <t>Paper</t>
        </is>
      </c>
      <c r="H3753" s="7" t="inlineStr">
        <is>
          <t>Corporate</t>
        </is>
      </c>
      <c r="I3753" s="7" t="n">
        <v>6</v>
      </c>
      <c r="J3753" s="10" t="n">
        <v>24.86</v>
      </c>
      <c r="K3753" s="11" t="n">
        <v>0.2</v>
      </c>
      <c r="L3753" s="10">
        <f>I3753*J3753*(1-K3753)</f>
        <v/>
      </c>
      <c r="M3753" s="10" t="n">
        <v>75</v>
      </c>
      <c r="N3753" s="10">
        <f>L3753-M3753</f>
        <v/>
      </c>
    </row>
    <row r="3754">
      <c r="A3754" s="7" t="inlineStr">
        <is>
          <t>ORD-04935</t>
        </is>
      </c>
      <c r="B3754" s="8" t="n">
        <v>45686</v>
      </c>
      <c r="C3754" s="9" t="n">
        <v>45658</v>
      </c>
      <c r="D3754" s="7" t="n">
        <v>2025</v>
      </c>
      <c r="E3754" s="7" t="inlineStr">
        <is>
          <t>East</t>
        </is>
      </c>
      <c r="F3754" s="7" t="inlineStr">
        <is>
          <t>Office Supplies</t>
        </is>
      </c>
      <c r="G3754" s="7" t="inlineStr">
        <is>
          <t>Paper</t>
        </is>
      </c>
      <c r="H3754" s="7" t="inlineStr">
        <is>
          <t>Corporate</t>
        </is>
      </c>
      <c r="I3754" s="7" t="n">
        <v>7</v>
      </c>
      <c r="J3754" s="10" t="n">
        <v>25.09</v>
      </c>
      <c r="K3754" s="11" t="n">
        <v>0.05</v>
      </c>
      <c r="L3754" s="10">
        <f>I3754*J3754*(1-K3754)</f>
        <v/>
      </c>
      <c r="M3754" s="10" t="n">
        <v>87.5</v>
      </c>
      <c r="N3754" s="10">
        <f>L3754-M3754</f>
        <v/>
      </c>
    </row>
    <row r="3755">
      <c r="A3755" s="7" t="inlineStr">
        <is>
          <t>ORD-03770</t>
        </is>
      </c>
      <c r="B3755" s="8" t="n">
        <v>45686</v>
      </c>
      <c r="C3755" s="9" t="n">
        <v>45658</v>
      </c>
      <c r="D3755" s="7" t="n">
        <v>2025</v>
      </c>
      <c r="E3755" s="7" t="inlineStr">
        <is>
          <t>West</t>
        </is>
      </c>
      <c r="F3755" s="7" t="inlineStr">
        <is>
          <t>Office Supplies</t>
        </is>
      </c>
      <c r="G3755" s="7" t="inlineStr">
        <is>
          <t>Paper</t>
        </is>
      </c>
      <c r="H3755" s="7" t="inlineStr">
        <is>
          <t>Corporate</t>
        </is>
      </c>
      <c r="I3755" s="7" t="n">
        <v>13</v>
      </c>
      <c r="J3755" s="10" t="n">
        <v>25.28</v>
      </c>
      <c r="K3755" s="11" t="n">
        <v>0</v>
      </c>
      <c r="L3755" s="10">
        <f>I3755*J3755*(1-K3755)</f>
        <v/>
      </c>
      <c r="M3755" s="10" t="n">
        <v>162.5</v>
      </c>
      <c r="N3755" s="10">
        <f>L3755-M3755</f>
        <v/>
      </c>
    </row>
    <row r="3756">
      <c r="A3756" s="7" t="inlineStr">
        <is>
          <t>ORD-00586</t>
        </is>
      </c>
      <c r="B3756" s="8" t="n">
        <v>45686</v>
      </c>
      <c r="C3756" s="9" t="n">
        <v>45658</v>
      </c>
      <c r="D3756" s="7" t="n">
        <v>2025</v>
      </c>
      <c r="E3756" s="7" t="inlineStr">
        <is>
          <t>West</t>
        </is>
      </c>
      <c r="F3756" s="7" t="inlineStr">
        <is>
          <t>Furniture</t>
        </is>
      </c>
      <c r="G3756" s="7" t="inlineStr">
        <is>
          <t>Office Chair</t>
        </is>
      </c>
      <c r="H3756" s="7" t="inlineStr">
        <is>
          <t>Consumer</t>
        </is>
      </c>
      <c r="I3756" s="7" t="n">
        <v>1</v>
      </c>
      <c r="J3756" s="10" t="n">
        <v>213.41</v>
      </c>
      <c r="K3756" s="11" t="n">
        <v>0.2</v>
      </c>
      <c r="L3756" s="10">
        <f>I3756*J3756*(1-K3756)</f>
        <v/>
      </c>
      <c r="M3756" s="10" t="n">
        <v>180.4</v>
      </c>
      <c r="N3756" s="10">
        <f>L3756-M3756</f>
        <v/>
      </c>
    </row>
    <row r="3757">
      <c r="A3757" s="7" t="inlineStr">
        <is>
          <t>ORD-01498</t>
        </is>
      </c>
      <c r="B3757" s="8" t="n">
        <v>45686</v>
      </c>
      <c r="C3757" s="9" t="n">
        <v>45658</v>
      </c>
      <c r="D3757" s="7" t="n">
        <v>2025</v>
      </c>
      <c r="E3757" s="7" t="inlineStr">
        <is>
          <t>East</t>
        </is>
      </c>
      <c r="F3757" s="7" t="inlineStr">
        <is>
          <t>Office Supplies</t>
        </is>
      </c>
      <c r="G3757" s="7" t="inlineStr">
        <is>
          <t>Pens</t>
        </is>
      </c>
      <c r="H3757" s="7" t="inlineStr">
        <is>
          <t>Consumer</t>
        </is>
      </c>
      <c r="I3757" s="7" t="n">
        <v>9</v>
      </c>
      <c r="J3757" s="10" t="n">
        <v>11.43</v>
      </c>
      <c r="K3757" s="11" t="n">
        <v>0.1</v>
      </c>
      <c r="L3757" s="10">
        <f>I3757*J3757*(1-K3757)</f>
        <v/>
      </c>
      <c r="M3757" s="10" t="n">
        <v>48.6</v>
      </c>
      <c r="N3757" s="10">
        <f>L3757-M3757</f>
        <v/>
      </c>
    </row>
    <row r="3758">
      <c r="A3758" s="7" t="inlineStr">
        <is>
          <t>ORD-00020</t>
        </is>
      </c>
      <c r="B3758" s="8" t="n">
        <v>45687</v>
      </c>
      <c r="C3758" s="9" t="n">
        <v>45658</v>
      </c>
      <c r="D3758" s="7" t="n">
        <v>2025</v>
      </c>
      <c r="E3758" s="7" t="inlineStr">
        <is>
          <t>North</t>
        </is>
      </c>
      <c r="F3758" s="7" t="inlineStr">
        <is>
          <t>Office Supplies</t>
        </is>
      </c>
      <c r="G3758" s="7" t="inlineStr">
        <is>
          <t>Paper</t>
        </is>
      </c>
      <c r="H3758" s="7" t="inlineStr">
        <is>
          <t>Consumer</t>
        </is>
      </c>
      <c r="I3758" s="7" t="n">
        <v>13</v>
      </c>
      <c r="J3758" s="10" t="n">
        <v>25.29</v>
      </c>
      <c r="K3758" s="11" t="n">
        <v>0.1</v>
      </c>
      <c r="L3758" s="10">
        <f>I3758*J3758*(1-K3758)</f>
        <v/>
      </c>
      <c r="M3758" s="10" t="n">
        <v>162.5</v>
      </c>
      <c r="N3758" s="10">
        <f>L3758-M3758</f>
        <v/>
      </c>
    </row>
    <row r="3759">
      <c r="A3759" s="7" t="inlineStr">
        <is>
          <t>ORD-04939</t>
        </is>
      </c>
      <c r="B3759" s="8" t="n">
        <v>45687</v>
      </c>
      <c r="C3759" s="9" t="n">
        <v>45658</v>
      </c>
      <c r="D3759" s="7" t="n">
        <v>2025</v>
      </c>
      <c r="E3759" s="7" t="inlineStr">
        <is>
          <t>East</t>
        </is>
      </c>
      <c r="F3759" s="7" t="inlineStr">
        <is>
          <t>Office Supplies</t>
        </is>
      </c>
      <c r="G3759" s="7" t="inlineStr">
        <is>
          <t>Binder</t>
        </is>
      </c>
      <c r="H3759" s="7" t="inlineStr">
        <is>
          <t>Home Office</t>
        </is>
      </c>
      <c r="I3759" s="7" t="n">
        <v>15</v>
      </c>
      <c r="J3759" s="10" t="n">
        <v>8.279999999999999</v>
      </c>
      <c r="K3759" s="11" t="n">
        <v>0.3</v>
      </c>
      <c r="L3759" s="10">
        <f>I3759*J3759*(1-K3759)</f>
        <v/>
      </c>
      <c r="M3759" s="10" t="n">
        <v>48</v>
      </c>
      <c r="N3759" s="10">
        <f>L3759-M3759</f>
        <v/>
      </c>
    </row>
    <row r="3760">
      <c r="A3760" s="7" t="inlineStr">
        <is>
          <t>ORD-02429</t>
        </is>
      </c>
      <c r="B3760" s="8" t="n">
        <v>45687</v>
      </c>
      <c r="C3760" s="9" t="n">
        <v>45658</v>
      </c>
      <c r="D3760" s="7" t="n">
        <v>2025</v>
      </c>
      <c r="E3760" s="7" t="inlineStr">
        <is>
          <t>North</t>
        </is>
      </c>
      <c r="F3760" s="7" t="inlineStr">
        <is>
          <t>Office Supplies</t>
        </is>
      </c>
      <c r="G3760" s="7" t="inlineStr">
        <is>
          <t>Binder</t>
        </is>
      </c>
      <c r="H3760" s="7" t="inlineStr">
        <is>
          <t>Consumer</t>
        </is>
      </c>
      <c r="I3760" s="7" t="n">
        <v>13</v>
      </c>
      <c r="J3760" s="10" t="n">
        <v>7.67</v>
      </c>
      <c r="K3760" s="11" t="n">
        <v>0.3</v>
      </c>
      <c r="L3760" s="10">
        <f>I3760*J3760*(1-K3760)</f>
        <v/>
      </c>
      <c r="M3760" s="10" t="n">
        <v>41.6</v>
      </c>
      <c r="N3760" s="10">
        <f>L3760-M3760</f>
        <v/>
      </c>
    </row>
    <row r="3761">
      <c r="A3761" s="7" t="inlineStr">
        <is>
          <t>ORD-02530</t>
        </is>
      </c>
      <c r="B3761" s="8" t="n">
        <v>45687</v>
      </c>
      <c r="C3761" s="9" t="n">
        <v>45658</v>
      </c>
      <c r="D3761" s="7" t="n">
        <v>2025</v>
      </c>
      <c r="E3761" s="7" t="inlineStr">
        <is>
          <t>West</t>
        </is>
      </c>
      <c r="F3761" s="7" t="inlineStr">
        <is>
          <t>Office Supplies</t>
        </is>
      </c>
      <c r="G3761" s="7" t="inlineStr">
        <is>
          <t>Stapler</t>
        </is>
      </c>
      <c r="H3761" s="7" t="inlineStr">
        <is>
          <t>Consumer</t>
        </is>
      </c>
      <c r="I3761" s="7" t="n">
        <v>7</v>
      </c>
      <c r="J3761" s="10" t="n">
        <v>15.31</v>
      </c>
      <c r="K3761" s="11" t="n">
        <v>0.05</v>
      </c>
      <c r="L3761" s="10">
        <f>I3761*J3761*(1-K3761)</f>
        <v/>
      </c>
      <c r="M3761" s="10" t="n">
        <v>52.5</v>
      </c>
      <c r="N3761" s="10">
        <f>L3761-M3761</f>
        <v/>
      </c>
    </row>
    <row r="3762">
      <c r="A3762" s="7" t="inlineStr">
        <is>
          <t>ORD-05306</t>
        </is>
      </c>
      <c r="B3762" s="8" t="n">
        <v>45688</v>
      </c>
      <c r="C3762" s="9" t="n">
        <v>45658</v>
      </c>
      <c r="D3762" s="7" t="n">
        <v>2025</v>
      </c>
      <c r="E3762" s="7" t="inlineStr">
        <is>
          <t>East</t>
        </is>
      </c>
      <c r="F3762" s="7" t="inlineStr">
        <is>
          <t>Office Supplies</t>
        </is>
      </c>
      <c r="G3762" s="7" t="inlineStr">
        <is>
          <t>Pens</t>
        </is>
      </c>
      <c r="H3762" s="7" t="inlineStr">
        <is>
          <t>Home Office</t>
        </is>
      </c>
      <c r="I3762" s="7" t="n">
        <v>15</v>
      </c>
      <c r="J3762" s="10" t="n">
        <v>12.05</v>
      </c>
      <c r="K3762" s="11" t="n">
        <v>0.05</v>
      </c>
      <c r="L3762" s="10">
        <f>I3762*J3762*(1-K3762)</f>
        <v/>
      </c>
      <c r="M3762" s="10" t="n">
        <v>81</v>
      </c>
      <c r="N3762" s="10">
        <f>L3762-M3762</f>
        <v/>
      </c>
    </row>
    <row r="3763">
      <c r="A3763" s="7" t="inlineStr">
        <is>
          <t>ORD-03116</t>
        </is>
      </c>
      <c r="B3763" s="8" t="n">
        <v>45688</v>
      </c>
      <c r="C3763" s="9" t="n">
        <v>45658</v>
      </c>
      <c r="D3763" s="7" t="n">
        <v>2025</v>
      </c>
      <c r="E3763" s="7" t="inlineStr">
        <is>
          <t>North</t>
        </is>
      </c>
      <c r="F3763" s="7" t="inlineStr">
        <is>
          <t>Technology</t>
        </is>
      </c>
      <c r="G3763" s="7" t="inlineStr">
        <is>
          <t>Keyboard</t>
        </is>
      </c>
      <c r="H3763" s="7" t="inlineStr">
        <is>
          <t>Corporate</t>
        </is>
      </c>
      <c r="I3763" s="7" t="n">
        <v>3</v>
      </c>
      <c r="J3763" s="10" t="n">
        <v>46.48</v>
      </c>
      <c r="K3763" s="11" t="n">
        <v>0</v>
      </c>
      <c r="L3763" s="10">
        <f>I3763*J3763*(1-K3763)</f>
        <v/>
      </c>
      <c r="M3763" s="10" t="n">
        <v>74.25</v>
      </c>
      <c r="N3763" s="10">
        <f>L3763-M3763</f>
        <v/>
      </c>
    </row>
    <row r="3764">
      <c r="A3764" s="7" t="inlineStr">
        <is>
          <t>ORD-01079</t>
        </is>
      </c>
      <c r="B3764" s="8" t="n">
        <v>45688</v>
      </c>
      <c r="C3764" s="9" t="n">
        <v>45658</v>
      </c>
      <c r="D3764" s="7" t="n">
        <v>2025</v>
      </c>
      <c r="E3764" s="7" t="inlineStr">
        <is>
          <t>West</t>
        </is>
      </c>
      <c r="F3764" s="7" t="inlineStr">
        <is>
          <t>Technology</t>
        </is>
      </c>
      <c r="G3764" s="7" t="inlineStr">
        <is>
          <t>Smartphone</t>
        </is>
      </c>
      <c r="H3764" s="7" t="inlineStr">
        <is>
          <t>Corporate</t>
        </is>
      </c>
      <c r="I3764" s="7" t="n">
        <v>1</v>
      </c>
      <c r="J3764" s="10" t="n">
        <v>583.64</v>
      </c>
      <c r="K3764" s="11" t="n">
        <v>0.2</v>
      </c>
      <c r="L3764" s="10">
        <f>I3764*J3764*(1-K3764)</f>
        <v/>
      </c>
      <c r="M3764" s="10" t="n">
        <v>450</v>
      </c>
      <c r="N3764" s="10">
        <f>L3764-M3764</f>
        <v/>
      </c>
    </row>
    <row r="3765">
      <c r="A3765" s="7" t="inlineStr">
        <is>
          <t>ORD-02043</t>
        </is>
      </c>
      <c r="B3765" s="8" t="n">
        <v>45688</v>
      </c>
      <c r="C3765" s="9" t="n">
        <v>45658</v>
      </c>
      <c r="D3765" s="7" t="n">
        <v>2025</v>
      </c>
      <c r="E3765" s="7" t="inlineStr">
        <is>
          <t>North</t>
        </is>
      </c>
      <c r="F3765" s="7" t="inlineStr">
        <is>
          <t>Office Supplies</t>
        </is>
      </c>
      <c r="G3765" s="7" t="inlineStr">
        <is>
          <t>Stapler</t>
        </is>
      </c>
      <c r="H3765" s="7" t="inlineStr">
        <is>
          <t>Corporate</t>
        </is>
      </c>
      <c r="I3765" s="7" t="n">
        <v>10</v>
      </c>
      <c r="J3765" s="10" t="n">
        <v>15.73</v>
      </c>
      <c r="K3765" s="11" t="n">
        <v>0.05</v>
      </c>
      <c r="L3765" s="10">
        <f>I3765*J3765*(1-K3765)</f>
        <v/>
      </c>
      <c r="M3765" s="10" t="n">
        <v>75</v>
      </c>
      <c r="N3765" s="10">
        <f>L3765-M3765</f>
        <v/>
      </c>
    </row>
    <row r="3766">
      <c r="A3766" s="7" t="inlineStr">
        <is>
          <t>ORD-01005</t>
        </is>
      </c>
      <c r="B3766" s="8" t="n">
        <v>45688</v>
      </c>
      <c r="C3766" s="9" t="n">
        <v>45658</v>
      </c>
      <c r="D3766" s="7" t="n">
        <v>2025</v>
      </c>
      <c r="E3766" s="7" t="inlineStr">
        <is>
          <t>North</t>
        </is>
      </c>
      <c r="F3766" s="7" t="inlineStr">
        <is>
          <t>Office Supplies</t>
        </is>
      </c>
      <c r="G3766" s="7" t="inlineStr">
        <is>
          <t>Paper</t>
        </is>
      </c>
      <c r="H3766" s="7" t="inlineStr">
        <is>
          <t>Consumer</t>
        </is>
      </c>
      <c r="I3766" s="7" t="n">
        <v>9</v>
      </c>
      <c r="J3766" s="10" t="n">
        <v>24.82</v>
      </c>
      <c r="K3766" s="11" t="n">
        <v>0.3</v>
      </c>
      <c r="L3766" s="10">
        <f>I3766*J3766*(1-K3766)</f>
        <v/>
      </c>
      <c r="M3766" s="10" t="n">
        <v>112.5</v>
      </c>
      <c r="N3766" s="10">
        <f>L3766-M3766</f>
        <v/>
      </c>
    </row>
    <row r="3767">
      <c r="A3767" s="7" t="inlineStr">
        <is>
          <t>ORD-01284</t>
        </is>
      </c>
      <c r="B3767" s="8" t="n">
        <v>45689</v>
      </c>
      <c r="C3767" s="9" t="n">
        <v>45689</v>
      </c>
      <c r="D3767" s="7" t="n">
        <v>2025</v>
      </c>
      <c r="E3767" s="7" t="inlineStr">
        <is>
          <t>West</t>
        </is>
      </c>
      <c r="F3767" s="7" t="inlineStr">
        <is>
          <t>Furniture</t>
        </is>
      </c>
      <c r="G3767" s="7" t="inlineStr">
        <is>
          <t>Office Chair</t>
        </is>
      </c>
      <c r="H3767" s="7" t="inlineStr">
        <is>
          <t>Consumer</t>
        </is>
      </c>
      <c r="I3767" s="7" t="n">
        <v>4</v>
      </c>
      <c r="J3767" s="10" t="n">
        <v>223.87</v>
      </c>
      <c r="K3767" s="11" t="n">
        <v>0</v>
      </c>
      <c r="L3767" s="10">
        <f>I3767*J3767*(1-K3767)</f>
        <v/>
      </c>
      <c r="M3767" s="10" t="n">
        <v>721.6</v>
      </c>
      <c r="N3767" s="10">
        <f>L3767-M3767</f>
        <v/>
      </c>
    </row>
    <row r="3768">
      <c r="A3768" s="7" t="inlineStr">
        <is>
          <t>ORD-04987</t>
        </is>
      </c>
      <c r="B3768" s="8" t="n">
        <v>45689</v>
      </c>
      <c r="C3768" s="9" t="n">
        <v>45689</v>
      </c>
      <c r="D3768" s="7" t="n">
        <v>2025</v>
      </c>
      <c r="E3768" s="7" t="inlineStr">
        <is>
          <t>West</t>
        </is>
      </c>
      <c r="F3768" s="7" t="inlineStr">
        <is>
          <t>Technology</t>
        </is>
      </c>
      <c r="G3768" s="7" t="inlineStr">
        <is>
          <t>Smartphone</t>
        </is>
      </c>
      <c r="H3768" s="7" t="inlineStr">
        <is>
          <t>Consumer</t>
        </is>
      </c>
      <c r="I3768" s="7" t="n">
        <v>2</v>
      </c>
      <c r="J3768" s="10" t="n">
        <v>614.52</v>
      </c>
      <c r="K3768" s="11" t="n">
        <v>0</v>
      </c>
      <c r="L3768" s="10">
        <f>I3768*J3768*(1-K3768)</f>
        <v/>
      </c>
      <c r="M3768" s="10" t="n">
        <v>900</v>
      </c>
      <c r="N3768" s="10">
        <f>L3768-M3768</f>
        <v/>
      </c>
    </row>
    <row r="3769">
      <c r="A3769" s="7" t="inlineStr">
        <is>
          <t>ORD-00329</t>
        </is>
      </c>
      <c r="B3769" s="8" t="n">
        <v>45689</v>
      </c>
      <c r="C3769" s="9" t="n">
        <v>45689</v>
      </c>
      <c r="D3769" s="7" t="n">
        <v>2025</v>
      </c>
      <c r="E3769" s="7" t="inlineStr">
        <is>
          <t>East</t>
        </is>
      </c>
      <c r="F3769" s="7" t="inlineStr">
        <is>
          <t>Furniture</t>
        </is>
      </c>
      <c r="G3769" s="7" t="inlineStr">
        <is>
          <t>Office Chair</t>
        </is>
      </c>
      <c r="H3769" s="7" t="inlineStr">
        <is>
          <t>Consumer</t>
        </is>
      </c>
      <c r="I3769" s="7" t="n">
        <v>1</v>
      </c>
      <c r="J3769" s="10" t="n">
        <v>226.77</v>
      </c>
      <c r="K3769" s="11" t="n">
        <v>0.2</v>
      </c>
      <c r="L3769" s="10">
        <f>I3769*J3769*(1-K3769)</f>
        <v/>
      </c>
      <c r="M3769" s="10" t="n">
        <v>180.4</v>
      </c>
      <c r="N3769" s="10">
        <f>L3769-M3769</f>
        <v/>
      </c>
    </row>
    <row r="3770">
      <c r="A3770" s="7" t="inlineStr">
        <is>
          <t>ORD-05471</t>
        </is>
      </c>
      <c r="B3770" s="8" t="n">
        <v>45689</v>
      </c>
      <c r="C3770" s="9" t="n">
        <v>45689</v>
      </c>
      <c r="D3770" s="7" t="n">
        <v>2025</v>
      </c>
      <c r="E3770" s="7" t="inlineStr">
        <is>
          <t>East</t>
        </is>
      </c>
      <c r="F3770" s="7" t="inlineStr">
        <is>
          <t>Technology</t>
        </is>
      </c>
      <c r="G3770" s="7" t="inlineStr">
        <is>
          <t>Keyboard</t>
        </is>
      </c>
      <c r="H3770" s="7" t="inlineStr">
        <is>
          <t>Home Office</t>
        </is>
      </c>
      <c r="I3770" s="7" t="n">
        <v>1</v>
      </c>
      <c r="J3770" s="10" t="n">
        <v>44.99</v>
      </c>
      <c r="K3770" s="11" t="n">
        <v>0.2</v>
      </c>
      <c r="L3770" s="10">
        <f>I3770*J3770*(1-K3770)</f>
        <v/>
      </c>
      <c r="M3770" s="10" t="n">
        <v>24.75</v>
      </c>
      <c r="N3770" s="10">
        <f>L3770-M3770</f>
        <v/>
      </c>
    </row>
    <row r="3771">
      <c r="A3771" s="7" t="inlineStr">
        <is>
          <t>ORD-00229</t>
        </is>
      </c>
      <c r="B3771" s="8" t="n">
        <v>45690</v>
      </c>
      <c r="C3771" s="9" t="n">
        <v>45689</v>
      </c>
      <c r="D3771" s="7" t="n">
        <v>2025</v>
      </c>
      <c r="E3771" s="7" t="inlineStr">
        <is>
          <t>East</t>
        </is>
      </c>
      <c r="F3771" s="7" t="inlineStr">
        <is>
          <t>Technology</t>
        </is>
      </c>
      <c r="G3771" s="7" t="inlineStr">
        <is>
          <t>Laptop</t>
        </is>
      </c>
      <c r="H3771" s="7" t="inlineStr">
        <is>
          <t>Home Office</t>
        </is>
      </c>
      <c r="I3771" s="7" t="n">
        <v>1</v>
      </c>
      <c r="J3771" s="10" t="n">
        <v>924.6900000000001</v>
      </c>
      <c r="K3771" s="11" t="n">
        <v>0</v>
      </c>
      <c r="L3771" s="10">
        <f>I3771*J3771*(1-K3771)</f>
        <v/>
      </c>
      <c r="M3771" s="10" t="n">
        <v>702</v>
      </c>
      <c r="N3771" s="10">
        <f>L3771-M3771</f>
        <v/>
      </c>
    </row>
    <row r="3772">
      <c r="A3772" s="7" t="inlineStr">
        <is>
          <t>ORD-00598</t>
        </is>
      </c>
      <c r="B3772" s="8" t="n">
        <v>45690</v>
      </c>
      <c r="C3772" s="9" t="n">
        <v>45689</v>
      </c>
      <c r="D3772" s="7" t="n">
        <v>2025</v>
      </c>
      <c r="E3772" s="7" t="inlineStr">
        <is>
          <t>West</t>
        </is>
      </c>
      <c r="F3772" s="7" t="inlineStr">
        <is>
          <t>Furniture</t>
        </is>
      </c>
      <c r="G3772" s="7" t="inlineStr">
        <is>
          <t>Office Chair</t>
        </is>
      </c>
      <c r="H3772" s="7" t="inlineStr">
        <is>
          <t>Consumer</t>
        </is>
      </c>
      <c r="I3772" s="7" t="n">
        <v>1</v>
      </c>
      <c r="J3772" s="10" t="n">
        <v>213.51</v>
      </c>
      <c r="K3772" s="11" t="n">
        <v>0.3</v>
      </c>
      <c r="L3772" s="10">
        <f>I3772*J3772*(1-K3772)</f>
        <v/>
      </c>
      <c r="M3772" s="10" t="n">
        <v>180.4</v>
      </c>
      <c r="N3772" s="10">
        <f>L3772-M3772</f>
        <v/>
      </c>
    </row>
    <row r="3773">
      <c r="A3773" s="7" t="inlineStr">
        <is>
          <t>ORD-05596</t>
        </is>
      </c>
      <c r="B3773" s="8" t="n">
        <v>45690</v>
      </c>
      <c r="C3773" s="9" t="n">
        <v>45689</v>
      </c>
      <c r="D3773" s="7" t="n">
        <v>2025</v>
      </c>
      <c r="E3773" s="7" t="inlineStr">
        <is>
          <t>West</t>
        </is>
      </c>
      <c r="F3773" s="7" t="inlineStr">
        <is>
          <t>Technology</t>
        </is>
      </c>
      <c r="G3773" s="7" t="inlineStr">
        <is>
          <t>Headphones</t>
        </is>
      </c>
      <c r="H3773" s="7" t="inlineStr">
        <is>
          <t>Consumer</t>
        </is>
      </c>
      <c r="I3773" s="7" t="n">
        <v>1</v>
      </c>
      <c r="J3773" s="10" t="n">
        <v>114.19</v>
      </c>
      <c r="K3773" s="11" t="n">
        <v>0.2</v>
      </c>
      <c r="L3773" s="10">
        <f>I3773*J3773*(1-K3773)</f>
        <v/>
      </c>
      <c r="M3773" s="10" t="n">
        <v>72</v>
      </c>
      <c r="N3773" s="10">
        <f>L3773-M3773</f>
        <v/>
      </c>
    </row>
    <row r="3774">
      <c r="A3774" s="7" t="inlineStr">
        <is>
          <t>ORD-00479</t>
        </is>
      </c>
      <c r="B3774" s="8" t="n">
        <v>45691</v>
      </c>
      <c r="C3774" s="9" t="n">
        <v>45689</v>
      </c>
      <c r="D3774" s="7" t="n">
        <v>2025</v>
      </c>
      <c r="E3774" s="7" t="inlineStr">
        <is>
          <t>West</t>
        </is>
      </c>
      <c r="F3774" s="7" t="inlineStr">
        <is>
          <t>Office Supplies</t>
        </is>
      </c>
      <c r="G3774" s="7" t="inlineStr">
        <is>
          <t>Binder</t>
        </is>
      </c>
      <c r="H3774" s="7" t="inlineStr">
        <is>
          <t>Home Office</t>
        </is>
      </c>
      <c r="I3774" s="7" t="n">
        <v>2</v>
      </c>
      <c r="J3774" s="10" t="n">
        <v>7.93</v>
      </c>
      <c r="K3774" s="11" t="n">
        <v>0</v>
      </c>
      <c r="L3774" s="10">
        <f>I3774*J3774*(1-K3774)</f>
        <v/>
      </c>
      <c r="M3774" s="10" t="n">
        <v>6.4</v>
      </c>
      <c r="N3774" s="10">
        <f>L3774-M3774</f>
        <v/>
      </c>
    </row>
    <row r="3775">
      <c r="A3775" s="7" t="inlineStr">
        <is>
          <t>ORD-00685</t>
        </is>
      </c>
      <c r="B3775" s="8" t="n">
        <v>45691</v>
      </c>
      <c r="C3775" s="9" t="n">
        <v>45689</v>
      </c>
      <c r="D3775" s="7" t="n">
        <v>2025</v>
      </c>
      <c r="E3775" s="7" t="inlineStr">
        <is>
          <t>West</t>
        </is>
      </c>
      <c r="F3775" s="7" t="inlineStr">
        <is>
          <t>Office Supplies</t>
        </is>
      </c>
      <c r="G3775" s="7" t="inlineStr">
        <is>
          <t>Printer Ink</t>
        </is>
      </c>
      <c r="H3775" s="7" t="inlineStr">
        <is>
          <t>Consumer</t>
        </is>
      </c>
      <c r="I3775" s="7" t="n">
        <v>9</v>
      </c>
      <c r="J3775" s="10" t="n">
        <v>57.11</v>
      </c>
      <c r="K3775" s="11" t="n">
        <v>0</v>
      </c>
      <c r="L3775" s="10">
        <f>I3775*J3775*(1-K3775)</f>
        <v/>
      </c>
      <c r="M3775" s="10" t="n">
        <v>324</v>
      </c>
      <c r="N3775" s="10">
        <f>L3775-M3775</f>
        <v/>
      </c>
    </row>
    <row r="3776">
      <c r="A3776" s="7" t="inlineStr">
        <is>
          <t>ORD-00065</t>
        </is>
      </c>
      <c r="B3776" s="8" t="n">
        <v>45691</v>
      </c>
      <c r="C3776" s="9" t="n">
        <v>45689</v>
      </c>
      <c r="D3776" s="7" t="n">
        <v>2025</v>
      </c>
      <c r="E3776" s="7" t="inlineStr">
        <is>
          <t>East</t>
        </is>
      </c>
      <c r="F3776" s="7" t="inlineStr">
        <is>
          <t>Office Supplies</t>
        </is>
      </c>
      <c r="G3776" s="7" t="inlineStr">
        <is>
          <t>Pens</t>
        </is>
      </c>
      <c r="H3776" s="7" t="inlineStr">
        <is>
          <t>Consumer</t>
        </is>
      </c>
      <c r="I3776" s="7" t="n">
        <v>11</v>
      </c>
      <c r="J3776" s="10" t="n">
        <v>12.4</v>
      </c>
      <c r="K3776" s="11" t="n">
        <v>0.2</v>
      </c>
      <c r="L3776" s="10">
        <f>I3776*J3776*(1-K3776)</f>
        <v/>
      </c>
      <c r="M3776" s="10" t="n">
        <v>59.4</v>
      </c>
      <c r="N3776" s="10">
        <f>L3776-M3776</f>
        <v/>
      </c>
    </row>
    <row r="3777">
      <c r="A3777" s="7" t="inlineStr">
        <is>
          <t>ORD-01379</t>
        </is>
      </c>
      <c r="B3777" s="8" t="n">
        <v>45691</v>
      </c>
      <c r="C3777" s="9" t="n">
        <v>45689</v>
      </c>
      <c r="D3777" s="7" t="n">
        <v>2025</v>
      </c>
      <c r="E3777" s="7" t="inlineStr">
        <is>
          <t>East</t>
        </is>
      </c>
      <c r="F3777" s="7" t="inlineStr">
        <is>
          <t>Office Supplies</t>
        </is>
      </c>
      <c r="G3777" s="7" t="inlineStr">
        <is>
          <t>Binder</t>
        </is>
      </c>
      <c r="H3777" s="7" t="inlineStr">
        <is>
          <t>Corporate</t>
        </is>
      </c>
      <c r="I3777" s="7" t="n">
        <v>10</v>
      </c>
      <c r="J3777" s="10" t="n">
        <v>7.67</v>
      </c>
      <c r="K3777" s="11" t="n">
        <v>0</v>
      </c>
      <c r="L3777" s="10">
        <f>I3777*J3777*(1-K3777)</f>
        <v/>
      </c>
      <c r="M3777" s="10" t="n">
        <v>32</v>
      </c>
      <c r="N3777" s="10">
        <f>L3777-M3777</f>
        <v/>
      </c>
    </row>
    <row r="3778">
      <c r="A3778" s="7" t="inlineStr">
        <is>
          <t>ORD-05025</t>
        </is>
      </c>
      <c r="B3778" s="8" t="n">
        <v>45692</v>
      </c>
      <c r="C3778" s="9" t="n">
        <v>45689</v>
      </c>
      <c r="D3778" s="7" t="n">
        <v>2025</v>
      </c>
      <c r="E3778" s="7" t="inlineStr">
        <is>
          <t>West</t>
        </is>
      </c>
      <c r="F3778" s="7" t="inlineStr">
        <is>
          <t>Office Supplies</t>
        </is>
      </c>
      <c r="G3778" s="7" t="inlineStr">
        <is>
          <t>Paper</t>
        </is>
      </c>
      <c r="H3778" s="7" t="inlineStr">
        <is>
          <t>Consumer</t>
        </is>
      </c>
      <c r="I3778" s="7" t="n">
        <v>6</v>
      </c>
      <c r="J3778" s="10" t="n">
        <v>25.54</v>
      </c>
      <c r="K3778" s="11" t="n">
        <v>0.05</v>
      </c>
      <c r="L3778" s="10">
        <f>I3778*J3778*(1-K3778)</f>
        <v/>
      </c>
      <c r="M3778" s="10" t="n">
        <v>75</v>
      </c>
      <c r="N3778" s="10">
        <f>L3778-M3778</f>
        <v/>
      </c>
    </row>
    <row r="3779">
      <c r="A3779" s="7" t="inlineStr">
        <is>
          <t>ORD-05907</t>
        </is>
      </c>
      <c r="B3779" s="8" t="n">
        <v>45692</v>
      </c>
      <c r="C3779" s="9" t="n">
        <v>45689</v>
      </c>
      <c r="D3779" s="7" t="n">
        <v>2025</v>
      </c>
      <c r="E3779" s="7" t="inlineStr">
        <is>
          <t>South</t>
        </is>
      </c>
      <c r="F3779" s="7" t="inlineStr">
        <is>
          <t>Office Supplies</t>
        </is>
      </c>
      <c r="G3779" s="7" t="inlineStr">
        <is>
          <t>Pens</t>
        </is>
      </c>
      <c r="H3779" s="7" t="inlineStr">
        <is>
          <t>Corporate</t>
        </is>
      </c>
      <c r="I3779" s="7" t="n">
        <v>8</v>
      </c>
      <c r="J3779" s="10" t="n">
        <v>11.93</v>
      </c>
      <c r="K3779" s="11" t="n">
        <v>0</v>
      </c>
      <c r="L3779" s="10">
        <f>I3779*J3779*(1-K3779)</f>
        <v/>
      </c>
      <c r="M3779" s="10" t="n">
        <v>43.2</v>
      </c>
      <c r="N3779" s="10">
        <f>L3779-M3779</f>
        <v/>
      </c>
    </row>
    <row r="3780">
      <c r="A3780" s="7" t="inlineStr">
        <is>
          <t>ORD-03040</t>
        </is>
      </c>
      <c r="B3780" s="8" t="n">
        <v>45692</v>
      </c>
      <c r="C3780" s="9" t="n">
        <v>45689</v>
      </c>
      <c r="D3780" s="7" t="n">
        <v>2025</v>
      </c>
      <c r="E3780" s="7" t="inlineStr">
        <is>
          <t>West</t>
        </is>
      </c>
      <c r="F3780" s="7" t="inlineStr">
        <is>
          <t>Office Supplies</t>
        </is>
      </c>
      <c r="G3780" s="7" t="inlineStr">
        <is>
          <t>Paper</t>
        </is>
      </c>
      <c r="H3780" s="7" t="inlineStr">
        <is>
          <t>Home Office</t>
        </is>
      </c>
      <c r="I3780" s="7" t="n">
        <v>4</v>
      </c>
      <c r="J3780" s="10" t="n">
        <v>24.79</v>
      </c>
      <c r="K3780" s="11" t="n">
        <v>0.1</v>
      </c>
      <c r="L3780" s="10">
        <f>I3780*J3780*(1-K3780)</f>
        <v/>
      </c>
      <c r="M3780" s="10" t="n">
        <v>50</v>
      </c>
      <c r="N3780" s="10">
        <f>L3780-M3780</f>
        <v/>
      </c>
    </row>
    <row r="3781">
      <c r="A3781" s="7" t="inlineStr">
        <is>
          <t>ORD-04870</t>
        </is>
      </c>
      <c r="B3781" s="8" t="n">
        <v>45692</v>
      </c>
      <c r="C3781" s="9" t="n">
        <v>45689</v>
      </c>
      <c r="D3781" s="7" t="n">
        <v>2025</v>
      </c>
      <c r="E3781" s="7" t="inlineStr">
        <is>
          <t>North</t>
        </is>
      </c>
      <c r="F3781" s="7" t="inlineStr">
        <is>
          <t>Office Supplies</t>
        </is>
      </c>
      <c r="G3781" s="7" t="inlineStr">
        <is>
          <t>Pens</t>
        </is>
      </c>
      <c r="H3781" s="7" t="inlineStr">
        <is>
          <t>Corporate</t>
        </is>
      </c>
      <c r="I3781" s="7" t="n">
        <v>15</v>
      </c>
      <c r="J3781" s="10" t="n">
        <v>11.52</v>
      </c>
      <c r="K3781" s="11" t="n">
        <v>0.05</v>
      </c>
      <c r="L3781" s="10">
        <f>I3781*J3781*(1-K3781)</f>
        <v/>
      </c>
      <c r="M3781" s="10" t="n">
        <v>81</v>
      </c>
      <c r="N3781" s="10">
        <f>L3781-M3781</f>
        <v/>
      </c>
    </row>
    <row r="3782">
      <c r="A3782" s="7" t="inlineStr">
        <is>
          <t>ORD-01746</t>
        </is>
      </c>
      <c r="B3782" s="8" t="n">
        <v>45693</v>
      </c>
      <c r="C3782" s="9" t="n">
        <v>45689</v>
      </c>
      <c r="D3782" s="7" t="n">
        <v>2025</v>
      </c>
      <c r="E3782" s="7" t="inlineStr">
        <is>
          <t>East</t>
        </is>
      </c>
      <c r="F3782" s="7" t="inlineStr">
        <is>
          <t>Office Supplies</t>
        </is>
      </c>
      <c r="G3782" s="7" t="inlineStr">
        <is>
          <t>Binder</t>
        </is>
      </c>
      <c r="H3782" s="7" t="inlineStr">
        <is>
          <t>Home Office</t>
        </is>
      </c>
      <c r="I3782" s="7" t="n">
        <v>12</v>
      </c>
      <c r="J3782" s="10" t="n">
        <v>8.029999999999999</v>
      </c>
      <c r="K3782" s="11" t="n">
        <v>0</v>
      </c>
      <c r="L3782" s="10">
        <f>I3782*J3782*(1-K3782)</f>
        <v/>
      </c>
      <c r="M3782" s="10" t="n">
        <v>38.4</v>
      </c>
      <c r="N3782" s="10">
        <f>L3782-M3782</f>
        <v/>
      </c>
    </row>
    <row r="3783">
      <c r="A3783" s="7" t="inlineStr">
        <is>
          <t>ORD-04482</t>
        </is>
      </c>
      <c r="B3783" s="8" t="n">
        <v>45693</v>
      </c>
      <c r="C3783" s="9" t="n">
        <v>45689</v>
      </c>
      <c r="D3783" s="7" t="n">
        <v>2025</v>
      </c>
      <c r="E3783" s="7" t="inlineStr">
        <is>
          <t>West</t>
        </is>
      </c>
      <c r="F3783" s="7" t="inlineStr">
        <is>
          <t>Furniture</t>
        </is>
      </c>
      <c r="G3783" s="7" t="inlineStr">
        <is>
          <t>Bookcase</t>
        </is>
      </c>
      <c r="H3783" s="7" t="inlineStr">
        <is>
          <t>Home Office</t>
        </is>
      </c>
      <c r="I3783" s="7" t="n">
        <v>2</v>
      </c>
      <c r="J3783" s="10" t="n">
        <v>172.48</v>
      </c>
      <c r="K3783" s="11" t="n">
        <v>0.05</v>
      </c>
      <c r="L3783" s="10">
        <f>I3783*J3783*(1-K3783)</f>
        <v/>
      </c>
      <c r="M3783" s="10" t="n">
        <v>288</v>
      </c>
      <c r="N3783" s="10">
        <f>L3783-M3783</f>
        <v/>
      </c>
    </row>
    <row r="3784">
      <c r="A3784" s="7" t="inlineStr">
        <is>
          <t>ORD-01882</t>
        </is>
      </c>
      <c r="B3784" s="8" t="n">
        <v>45694</v>
      </c>
      <c r="C3784" s="9" t="n">
        <v>45689</v>
      </c>
      <c r="D3784" s="7" t="n">
        <v>2025</v>
      </c>
      <c r="E3784" s="7" t="inlineStr">
        <is>
          <t>West</t>
        </is>
      </c>
      <c r="F3784" s="7" t="inlineStr">
        <is>
          <t>Furniture</t>
        </is>
      </c>
      <c r="G3784" s="7" t="inlineStr">
        <is>
          <t>Office Chair</t>
        </is>
      </c>
      <c r="H3784" s="7" t="inlineStr">
        <is>
          <t>Consumer</t>
        </is>
      </c>
      <c r="I3784" s="7" t="n">
        <v>4</v>
      </c>
      <c r="J3784" s="10" t="n">
        <v>225.58</v>
      </c>
      <c r="K3784" s="11" t="n">
        <v>0.2</v>
      </c>
      <c r="L3784" s="10">
        <f>I3784*J3784*(1-K3784)</f>
        <v/>
      </c>
      <c r="M3784" s="10" t="n">
        <v>721.6</v>
      </c>
      <c r="N3784" s="10">
        <f>L3784-M3784</f>
        <v/>
      </c>
    </row>
    <row r="3785">
      <c r="A3785" s="7" t="inlineStr">
        <is>
          <t>ORD-00460</t>
        </is>
      </c>
      <c r="B3785" s="8" t="n">
        <v>45694</v>
      </c>
      <c r="C3785" s="9" t="n">
        <v>45689</v>
      </c>
      <c r="D3785" s="7" t="n">
        <v>2025</v>
      </c>
      <c r="E3785" s="7" t="inlineStr">
        <is>
          <t>South</t>
        </is>
      </c>
      <c r="F3785" s="7" t="inlineStr">
        <is>
          <t>Office Supplies</t>
        </is>
      </c>
      <c r="G3785" s="7" t="inlineStr">
        <is>
          <t>Paper</t>
        </is>
      </c>
      <c r="H3785" s="7" t="inlineStr">
        <is>
          <t>Consumer</t>
        </is>
      </c>
      <c r="I3785" s="7" t="n">
        <v>11</v>
      </c>
      <c r="J3785" s="10" t="n">
        <v>26.06</v>
      </c>
      <c r="K3785" s="11" t="n">
        <v>0.1</v>
      </c>
      <c r="L3785" s="10">
        <f>I3785*J3785*(1-K3785)</f>
        <v/>
      </c>
      <c r="M3785" s="10" t="n">
        <v>137.5</v>
      </c>
      <c r="N3785" s="10">
        <f>L3785-M3785</f>
        <v/>
      </c>
    </row>
    <row r="3786">
      <c r="A3786" s="7" t="inlineStr">
        <is>
          <t>ORD-00391</t>
        </is>
      </c>
      <c r="B3786" s="8" t="n">
        <v>45694</v>
      </c>
      <c r="C3786" s="9" t="n">
        <v>45689</v>
      </c>
      <c r="D3786" s="7" t="n">
        <v>2025</v>
      </c>
      <c r="E3786" s="7" t="inlineStr">
        <is>
          <t>West</t>
        </is>
      </c>
      <c r="F3786" s="7" t="inlineStr">
        <is>
          <t>Technology</t>
        </is>
      </c>
      <c r="G3786" s="7" t="inlineStr">
        <is>
          <t>Smartphone</t>
        </is>
      </c>
      <c r="H3786" s="7" t="inlineStr">
        <is>
          <t>Consumer</t>
        </is>
      </c>
      <c r="I3786" s="7" t="n">
        <v>2</v>
      </c>
      <c r="J3786" s="10" t="n">
        <v>588.04</v>
      </c>
      <c r="K3786" s="11" t="n">
        <v>0.1</v>
      </c>
      <c r="L3786" s="10">
        <f>I3786*J3786*(1-K3786)</f>
        <v/>
      </c>
      <c r="M3786" s="10" t="n">
        <v>900</v>
      </c>
      <c r="N3786" s="10">
        <f>L3786-M3786</f>
        <v/>
      </c>
    </row>
    <row r="3787">
      <c r="A3787" s="7" t="inlineStr">
        <is>
          <t>ORD-00564</t>
        </is>
      </c>
      <c r="B3787" s="8" t="n">
        <v>45695</v>
      </c>
      <c r="C3787" s="9" t="n">
        <v>45689</v>
      </c>
      <c r="D3787" s="7" t="n">
        <v>2025</v>
      </c>
      <c r="E3787" s="7" t="inlineStr">
        <is>
          <t>North</t>
        </is>
      </c>
      <c r="F3787" s="7" t="inlineStr">
        <is>
          <t>Technology</t>
        </is>
      </c>
      <c r="G3787" s="7" t="inlineStr">
        <is>
          <t>Laptop</t>
        </is>
      </c>
      <c r="H3787" s="7" t="inlineStr">
        <is>
          <t>Home Office</t>
        </is>
      </c>
      <c r="I3787" s="7" t="n">
        <v>1</v>
      </c>
      <c r="J3787" s="10" t="n">
        <v>900.79</v>
      </c>
      <c r="K3787" s="11" t="n">
        <v>0.05</v>
      </c>
      <c r="L3787" s="10">
        <f>I3787*J3787*(1-K3787)</f>
        <v/>
      </c>
      <c r="M3787" s="10" t="n">
        <v>702</v>
      </c>
      <c r="N3787" s="10">
        <f>L3787-M3787</f>
        <v/>
      </c>
    </row>
    <row r="3788">
      <c r="A3788" s="7" t="inlineStr">
        <is>
          <t>ORD-05871</t>
        </is>
      </c>
      <c r="B3788" s="8" t="n">
        <v>45695</v>
      </c>
      <c r="C3788" s="9" t="n">
        <v>45689</v>
      </c>
      <c r="D3788" s="7" t="n">
        <v>2025</v>
      </c>
      <c r="E3788" s="7" t="inlineStr">
        <is>
          <t>West</t>
        </is>
      </c>
      <c r="F3788" s="7" t="inlineStr">
        <is>
          <t>Office Supplies</t>
        </is>
      </c>
      <c r="G3788" s="7" t="inlineStr">
        <is>
          <t>Paper</t>
        </is>
      </c>
      <c r="H3788" s="7" t="inlineStr">
        <is>
          <t>Home Office</t>
        </is>
      </c>
      <c r="I3788" s="7" t="n">
        <v>6</v>
      </c>
      <c r="J3788" s="10" t="n">
        <v>26.06</v>
      </c>
      <c r="K3788" s="11" t="n">
        <v>0.1</v>
      </c>
      <c r="L3788" s="10">
        <f>I3788*J3788*(1-K3788)</f>
        <v/>
      </c>
      <c r="M3788" s="10" t="n">
        <v>75</v>
      </c>
      <c r="N3788" s="10">
        <f>L3788-M3788</f>
        <v/>
      </c>
    </row>
    <row r="3789">
      <c r="A3789" s="7" t="inlineStr">
        <is>
          <t>ORD-01485</t>
        </is>
      </c>
      <c r="B3789" s="8" t="n">
        <v>45695</v>
      </c>
      <c r="C3789" s="9" t="n">
        <v>45689</v>
      </c>
      <c r="D3789" s="7" t="n">
        <v>2025</v>
      </c>
      <c r="E3789" s="7" t="inlineStr">
        <is>
          <t>West</t>
        </is>
      </c>
      <c r="F3789" s="7" t="inlineStr">
        <is>
          <t>Furniture</t>
        </is>
      </c>
      <c r="G3789" s="7" t="inlineStr">
        <is>
          <t>Office Chair</t>
        </is>
      </c>
      <c r="H3789" s="7" t="inlineStr">
        <is>
          <t>Consumer</t>
        </is>
      </c>
      <c r="I3789" s="7" t="n">
        <v>3</v>
      </c>
      <c r="J3789" s="10" t="n">
        <v>215.08</v>
      </c>
      <c r="K3789" s="11" t="n">
        <v>0.05</v>
      </c>
      <c r="L3789" s="10">
        <f>I3789*J3789*(1-K3789)</f>
        <v/>
      </c>
      <c r="M3789" s="10" t="n">
        <v>541.2</v>
      </c>
      <c r="N3789" s="10">
        <f>L3789-M3789</f>
        <v/>
      </c>
    </row>
    <row r="3790">
      <c r="A3790" s="7" t="inlineStr">
        <is>
          <t>ORD-02783</t>
        </is>
      </c>
      <c r="B3790" s="8" t="n">
        <v>45695</v>
      </c>
      <c r="C3790" s="9" t="n">
        <v>45689</v>
      </c>
      <c r="D3790" s="7" t="n">
        <v>2025</v>
      </c>
      <c r="E3790" s="7" t="inlineStr">
        <is>
          <t>North</t>
        </is>
      </c>
      <c r="F3790" s="7" t="inlineStr">
        <is>
          <t>Office Supplies</t>
        </is>
      </c>
      <c r="G3790" s="7" t="inlineStr">
        <is>
          <t>Stapler</t>
        </is>
      </c>
      <c r="H3790" s="7" t="inlineStr">
        <is>
          <t>Corporate</t>
        </is>
      </c>
      <c r="I3790" s="7" t="n">
        <v>9</v>
      </c>
      <c r="J3790" s="10" t="n">
        <v>15.44</v>
      </c>
      <c r="K3790" s="11" t="n">
        <v>0.2</v>
      </c>
      <c r="L3790" s="10">
        <f>I3790*J3790*(1-K3790)</f>
        <v/>
      </c>
      <c r="M3790" s="10" t="n">
        <v>67.5</v>
      </c>
      <c r="N3790" s="10">
        <f>L3790-M3790</f>
        <v/>
      </c>
    </row>
    <row r="3791">
      <c r="A3791" s="7" t="inlineStr">
        <is>
          <t>ORD-05314</t>
        </is>
      </c>
      <c r="B3791" s="8" t="n">
        <v>45696</v>
      </c>
      <c r="C3791" s="9" t="n">
        <v>45689</v>
      </c>
      <c r="D3791" s="7" t="n">
        <v>2025</v>
      </c>
      <c r="E3791" s="7" t="inlineStr">
        <is>
          <t>West</t>
        </is>
      </c>
      <c r="F3791" s="7" t="inlineStr">
        <is>
          <t>Office Supplies</t>
        </is>
      </c>
      <c r="G3791" s="7" t="inlineStr">
        <is>
          <t>Paper</t>
        </is>
      </c>
      <c r="H3791" s="7" t="inlineStr">
        <is>
          <t>Home Office</t>
        </is>
      </c>
      <c r="I3791" s="7" t="n">
        <v>14</v>
      </c>
      <c r="J3791" s="10" t="n">
        <v>24.16</v>
      </c>
      <c r="K3791" s="11" t="n">
        <v>0.05</v>
      </c>
      <c r="L3791" s="10">
        <f>I3791*J3791*(1-K3791)</f>
        <v/>
      </c>
      <c r="M3791" s="10" t="n">
        <v>175</v>
      </c>
      <c r="N3791" s="10">
        <f>L3791-M3791</f>
        <v/>
      </c>
    </row>
    <row r="3792">
      <c r="A3792" s="7" t="inlineStr">
        <is>
          <t>ORD-01775</t>
        </is>
      </c>
      <c r="B3792" s="8" t="n">
        <v>45696</v>
      </c>
      <c r="C3792" s="9" t="n">
        <v>45689</v>
      </c>
      <c r="D3792" s="7" t="n">
        <v>2025</v>
      </c>
      <c r="E3792" s="7" t="inlineStr">
        <is>
          <t>South</t>
        </is>
      </c>
      <c r="F3792" s="7" t="inlineStr">
        <is>
          <t>Technology</t>
        </is>
      </c>
      <c r="G3792" s="7" t="inlineStr">
        <is>
          <t>Laptop</t>
        </is>
      </c>
      <c r="H3792" s="7" t="inlineStr">
        <is>
          <t>Home Office</t>
        </is>
      </c>
      <c r="I3792" s="7" t="n">
        <v>1</v>
      </c>
      <c r="J3792" s="10" t="n">
        <v>936.74</v>
      </c>
      <c r="K3792" s="11" t="n">
        <v>0.05</v>
      </c>
      <c r="L3792" s="10">
        <f>I3792*J3792*(1-K3792)</f>
        <v/>
      </c>
      <c r="M3792" s="10" t="n">
        <v>702</v>
      </c>
      <c r="N3792" s="10">
        <f>L3792-M3792</f>
        <v/>
      </c>
    </row>
    <row r="3793">
      <c r="A3793" s="7" t="inlineStr">
        <is>
          <t>ORD-04623</t>
        </is>
      </c>
      <c r="B3793" s="8" t="n">
        <v>45696</v>
      </c>
      <c r="C3793" s="9" t="n">
        <v>45689</v>
      </c>
      <c r="D3793" s="7" t="n">
        <v>2025</v>
      </c>
      <c r="E3793" s="7" t="inlineStr">
        <is>
          <t>North</t>
        </is>
      </c>
      <c r="F3793" s="7" t="inlineStr">
        <is>
          <t>Technology</t>
        </is>
      </c>
      <c r="G3793" s="7" t="inlineStr">
        <is>
          <t>Monitor</t>
        </is>
      </c>
      <c r="H3793" s="7" t="inlineStr">
        <is>
          <t>Corporate</t>
        </is>
      </c>
      <c r="I3793" s="7" t="n">
        <v>2</v>
      </c>
      <c r="J3793" s="10" t="n">
        <v>252.68</v>
      </c>
      <c r="K3793" s="11" t="n">
        <v>0</v>
      </c>
      <c r="L3793" s="10">
        <f>I3793*J3793*(1-K3793)</f>
        <v/>
      </c>
      <c r="M3793" s="10" t="n">
        <v>360</v>
      </c>
      <c r="N3793" s="10">
        <f>L3793-M3793</f>
        <v/>
      </c>
    </row>
    <row r="3794">
      <c r="A3794" s="7" t="inlineStr">
        <is>
          <t>ORD-01496</t>
        </is>
      </c>
      <c r="B3794" s="8" t="n">
        <v>45696</v>
      </c>
      <c r="C3794" s="9" t="n">
        <v>45689</v>
      </c>
      <c r="D3794" s="7" t="n">
        <v>2025</v>
      </c>
      <c r="E3794" s="7" t="inlineStr">
        <is>
          <t>South</t>
        </is>
      </c>
      <c r="F3794" s="7" t="inlineStr">
        <is>
          <t>Office Supplies</t>
        </is>
      </c>
      <c r="G3794" s="7" t="inlineStr">
        <is>
          <t>Paper</t>
        </is>
      </c>
      <c r="H3794" s="7" t="inlineStr">
        <is>
          <t>Consumer</t>
        </is>
      </c>
      <c r="I3794" s="7" t="n">
        <v>10</v>
      </c>
      <c r="J3794" s="10" t="n">
        <v>25.35</v>
      </c>
      <c r="K3794" s="11" t="n">
        <v>0.05</v>
      </c>
      <c r="L3794" s="10">
        <f>I3794*J3794*(1-K3794)</f>
        <v/>
      </c>
      <c r="M3794" s="10" t="n">
        <v>125</v>
      </c>
      <c r="N3794" s="10">
        <f>L3794-M3794</f>
        <v/>
      </c>
    </row>
    <row r="3795">
      <c r="A3795" s="7" t="inlineStr">
        <is>
          <t>ORD-03721</t>
        </is>
      </c>
      <c r="B3795" s="8" t="n">
        <v>45696</v>
      </c>
      <c r="C3795" s="9" t="n">
        <v>45689</v>
      </c>
      <c r="D3795" s="7" t="n">
        <v>2025</v>
      </c>
      <c r="E3795" s="7" t="inlineStr">
        <is>
          <t>South</t>
        </is>
      </c>
      <c r="F3795" s="7" t="inlineStr">
        <is>
          <t>Office Supplies</t>
        </is>
      </c>
      <c r="G3795" s="7" t="inlineStr">
        <is>
          <t>Printer Ink</t>
        </is>
      </c>
      <c r="H3795" s="7" t="inlineStr">
        <is>
          <t>Home Office</t>
        </is>
      </c>
      <c r="I3795" s="7" t="n">
        <v>8</v>
      </c>
      <c r="J3795" s="10" t="n">
        <v>60.65</v>
      </c>
      <c r="K3795" s="11" t="n">
        <v>0.05</v>
      </c>
      <c r="L3795" s="10">
        <f>I3795*J3795*(1-K3795)</f>
        <v/>
      </c>
      <c r="M3795" s="10" t="n">
        <v>288</v>
      </c>
      <c r="N3795" s="10">
        <f>L3795-M3795</f>
        <v/>
      </c>
    </row>
    <row r="3796">
      <c r="A3796" s="7" t="inlineStr">
        <is>
          <t>ORD-04740</t>
        </is>
      </c>
      <c r="B3796" s="8" t="n">
        <v>45696</v>
      </c>
      <c r="C3796" s="9" t="n">
        <v>45689</v>
      </c>
      <c r="D3796" s="7" t="n">
        <v>2025</v>
      </c>
      <c r="E3796" s="7" t="inlineStr">
        <is>
          <t>East</t>
        </is>
      </c>
      <c r="F3796" s="7" t="inlineStr">
        <is>
          <t>Technology</t>
        </is>
      </c>
      <c r="G3796" s="7" t="inlineStr">
        <is>
          <t>Keyboard</t>
        </is>
      </c>
      <c r="H3796" s="7" t="inlineStr">
        <is>
          <t>Home Office</t>
        </is>
      </c>
      <c r="I3796" s="7" t="n">
        <v>1</v>
      </c>
      <c r="J3796" s="10" t="n">
        <v>45.9</v>
      </c>
      <c r="K3796" s="11" t="n">
        <v>0.1</v>
      </c>
      <c r="L3796" s="10">
        <f>I3796*J3796*(1-K3796)</f>
        <v/>
      </c>
      <c r="M3796" s="10" t="n">
        <v>24.75</v>
      </c>
      <c r="N3796" s="10">
        <f>L3796-M3796</f>
        <v/>
      </c>
    </row>
    <row r="3797">
      <c r="A3797" s="7" t="inlineStr">
        <is>
          <t>ORD-01704</t>
        </is>
      </c>
      <c r="B3797" s="8" t="n">
        <v>45696</v>
      </c>
      <c r="C3797" s="9" t="n">
        <v>45689</v>
      </c>
      <c r="D3797" s="7" t="n">
        <v>2025</v>
      </c>
      <c r="E3797" s="7" t="inlineStr">
        <is>
          <t>South</t>
        </is>
      </c>
      <c r="F3797" s="7" t="inlineStr">
        <is>
          <t>Technology</t>
        </is>
      </c>
      <c r="G3797" s="7" t="inlineStr">
        <is>
          <t>Smartphone</t>
        </is>
      </c>
      <c r="H3797" s="7" t="inlineStr">
        <is>
          <t>Corporate</t>
        </is>
      </c>
      <c r="I3797" s="7" t="n">
        <v>2</v>
      </c>
      <c r="J3797" s="10" t="n">
        <v>588.8</v>
      </c>
      <c r="K3797" s="11" t="n">
        <v>0.1</v>
      </c>
      <c r="L3797" s="10">
        <f>I3797*J3797*(1-K3797)</f>
        <v/>
      </c>
      <c r="M3797" s="10" t="n">
        <v>900</v>
      </c>
      <c r="N3797" s="10">
        <f>L3797-M3797</f>
        <v/>
      </c>
    </row>
    <row r="3798">
      <c r="A3798" s="7" t="inlineStr">
        <is>
          <t>ORD-04165</t>
        </is>
      </c>
      <c r="B3798" s="8" t="n">
        <v>45697</v>
      </c>
      <c r="C3798" s="9" t="n">
        <v>45689</v>
      </c>
      <c r="D3798" s="7" t="n">
        <v>2025</v>
      </c>
      <c r="E3798" s="7" t="inlineStr">
        <is>
          <t>West</t>
        </is>
      </c>
      <c r="F3798" s="7" t="inlineStr">
        <is>
          <t>Furniture</t>
        </is>
      </c>
      <c r="G3798" s="7" t="inlineStr">
        <is>
          <t>Office Chair</t>
        </is>
      </c>
      <c r="H3798" s="7" t="inlineStr">
        <is>
          <t>Consumer</t>
        </is>
      </c>
      <c r="I3798" s="7" t="n">
        <v>1</v>
      </c>
      <c r="J3798" s="10" t="n">
        <v>209.99</v>
      </c>
      <c r="K3798" s="11" t="n">
        <v>0</v>
      </c>
      <c r="L3798" s="10">
        <f>I3798*J3798*(1-K3798)</f>
        <v/>
      </c>
      <c r="M3798" s="10" t="n">
        <v>180.4</v>
      </c>
      <c r="N3798" s="10">
        <f>L3798-M3798</f>
        <v/>
      </c>
    </row>
    <row r="3799">
      <c r="A3799" s="7" t="inlineStr">
        <is>
          <t>ORD-00997</t>
        </is>
      </c>
      <c r="B3799" s="8" t="n">
        <v>45697</v>
      </c>
      <c r="C3799" s="9" t="n">
        <v>45689</v>
      </c>
      <c r="D3799" s="7" t="n">
        <v>2025</v>
      </c>
      <c r="E3799" s="7" t="inlineStr">
        <is>
          <t>South</t>
        </is>
      </c>
      <c r="F3799" s="7" t="inlineStr">
        <is>
          <t>Office Supplies</t>
        </is>
      </c>
      <c r="G3799" s="7" t="inlineStr">
        <is>
          <t>Paper</t>
        </is>
      </c>
      <c r="H3799" s="7" t="inlineStr">
        <is>
          <t>Home Office</t>
        </is>
      </c>
      <c r="I3799" s="7" t="n">
        <v>2</v>
      </c>
      <c r="J3799" s="10" t="n">
        <v>25.5</v>
      </c>
      <c r="K3799" s="11" t="n">
        <v>0</v>
      </c>
      <c r="L3799" s="10">
        <f>I3799*J3799*(1-K3799)</f>
        <v/>
      </c>
      <c r="M3799" s="10" t="n">
        <v>25</v>
      </c>
      <c r="N3799" s="10">
        <f>L3799-M3799</f>
        <v/>
      </c>
    </row>
    <row r="3800">
      <c r="A3800" s="7" t="inlineStr">
        <is>
          <t>ORD-02532</t>
        </is>
      </c>
      <c r="B3800" s="8" t="n">
        <v>45697</v>
      </c>
      <c r="C3800" s="9" t="n">
        <v>45689</v>
      </c>
      <c r="D3800" s="7" t="n">
        <v>2025</v>
      </c>
      <c r="E3800" s="7" t="inlineStr">
        <is>
          <t>West</t>
        </is>
      </c>
      <c r="F3800" s="7" t="inlineStr">
        <is>
          <t>Furniture</t>
        </is>
      </c>
      <c r="G3800" s="7" t="inlineStr">
        <is>
          <t>Office Chair</t>
        </is>
      </c>
      <c r="H3800" s="7" t="inlineStr">
        <is>
          <t>Consumer</t>
        </is>
      </c>
      <c r="I3800" s="7" t="n">
        <v>4</v>
      </c>
      <c r="J3800" s="10" t="n">
        <v>220.05</v>
      </c>
      <c r="K3800" s="11" t="n">
        <v>0</v>
      </c>
      <c r="L3800" s="10">
        <f>I3800*J3800*(1-K3800)</f>
        <v/>
      </c>
      <c r="M3800" s="10" t="n">
        <v>721.6</v>
      </c>
      <c r="N3800" s="10">
        <f>L3800-M3800</f>
        <v/>
      </c>
    </row>
    <row r="3801">
      <c r="A3801" s="7" t="inlineStr">
        <is>
          <t>ORD-01662</t>
        </is>
      </c>
      <c r="B3801" s="8" t="n">
        <v>45697</v>
      </c>
      <c r="C3801" s="9" t="n">
        <v>45689</v>
      </c>
      <c r="D3801" s="7" t="n">
        <v>2025</v>
      </c>
      <c r="E3801" s="7" t="inlineStr">
        <is>
          <t>North</t>
        </is>
      </c>
      <c r="F3801" s="7" t="inlineStr">
        <is>
          <t>Office Supplies</t>
        </is>
      </c>
      <c r="G3801" s="7" t="inlineStr">
        <is>
          <t>Printer Ink</t>
        </is>
      </c>
      <c r="H3801" s="7" t="inlineStr">
        <is>
          <t>Corporate</t>
        </is>
      </c>
      <c r="I3801" s="7" t="n">
        <v>6</v>
      </c>
      <c r="J3801" s="10" t="n">
        <v>60.88</v>
      </c>
      <c r="K3801" s="11" t="n">
        <v>0.1</v>
      </c>
      <c r="L3801" s="10">
        <f>I3801*J3801*(1-K3801)</f>
        <v/>
      </c>
      <c r="M3801" s="10" t="n">
        <v>216</v>
      </c>
      <c r="N3801" s="10">
        <f>L3801-M3801</f>
        <v/>
      </c>
    </row>
    <row r="3802">
      <c r="A3802" s="7" t="inlineStr">
        <is>
          <t>ORD-01865</t>
        </is>
      </c>
      <c r="B3802" s="8" t="n">
        <v>45697</v>
      </c>
      <c r="C3802" s="9" t="n">
        <v>45689</v>
      </c>
      <c r="D3802" s="7" t="n">
        <v>2025</v>
      </c>
      <c r="E3802" s="7" t="inlineStr">
        <is>
          <t>South</t>
        </is>
      </c>
      <c r="F3802" s="7" t="inlineStr">
        <is>
          <t>Office Supplies</t>
        </is>
      </c>
      <c r="G3802" s="7" t="inlineStr">
        <is>
          <t>Printer Ink</t>
        </is>
      </c>
      <c r="H3802" s="7" t="inlineStr">
        <is>
          <t>Consumer</t>
        </is>
      </c>
      <c r="I3802" s="7" t="n">
        <v>7</v>
      </c>
      <c r="J3802" s="10" t="n">
        <v>59.54</v>
      </c>
      <c r="K3802" s="11" t="n">
        <v>0.3</v>
      </c>
      <c r="L3802" s="10">
        <f>I3802*J3802*(1-K3802)</f>
        <v/>
      </c>
      <c r="M3802" s="10" t="n">
        <v>252</v>
      </c>
      <c r="N3802" s="10">
        <f>L3802-M3802</f>
        <v/>
      </c>
    </row>
    <row r="3803">
      <c r="A3803" s="7" t="inlineStr">
        <is>
          <t>ORD-03286</t>
        </is>
      </c>
      <c r="B3803" s="8" t="n">
        <v>45697</v>
      </c>
      <c r="C3803" s="9" t="n">
        <v>45689</v>
      </c>
      <c r="D3803" s="7" t="n">
        <v>2025</v>
      </c>
      <c r="E3803" s="7" t="inlineStr">
        <is>
          <t>West</t>
        </is>
      </c>
      <c r="F3803" s="7" t="inlineStr">
        <is>
          <t>Technology</t>
        </is>
      </c>
      <c r="G3803" s="7" t="inlineStr">
        <is>
          <t>Monitor</t>
        </is>
      </c>
      <c r="H3803" s="7" t="inlineStr">
        <is>
          <t>Consumer</t>
        </is>
      </c>
      <c r="I3803" s="7" t="n">
        <v>1</v>
      </c>
      <c r="J3803" s="10" t="n">
        <v>247.45</v>
      </c>
      <c r="K3803" s="11" t="n">
        <v>0</v>
      </c>
      <c r="L3803" s="10">
        <f>I3803*J3803*(1-K3803)</f>
        <v/>
      </c>
      <c r="M3803" s="10" t="n">
        <v>180</v>
      </c>
      <c r="N3803" s="10">
        <f>L3803-M3803</f>
        <v/>
      </c>
    </row>
    <row r="3804">
      <c r="A3804" s="7" t="inlineStr">
        <is>
          <t>ORD-03146</t>
        </is>
      </c>
      <c r="B3804" s="8" t="n">
        <v>45698</v>
      </c>
      <c r="C3804" s="9" t="n">
        <v>45689</v>
      </c>
      <c r="D3804" s="7" t="n">
        <v>2025</v>
      </c>
      <c r="E3804" s="7" t="inlineStr">
        <is>
          <t>South</t>
        </is>
      </c>
      <c r="F3804" s="7" t="inlineStr">
        <is>
          <t>Technology</t>
        </is>
      </c>
      <c r="G3804" s="7" t="inlineStr">
        <is>
          <t>Smartphone</t>
        </is>
      </c>
      <c r="H3804" s="7" t="inlineStr">
        <is>
          <t>Consumer</t>
        </is>
      </c>
      <c r="I3804" s="7" t="n">
        <v>1</v>
      </c>
      <c r="J3804" s="10" t="n">
        <v>596.73</v>
      </c>
      <c r="K3804" s="11" t="n">
        <v>0.3</v>
      </c>
      <c r="L3804" s="10">
        <f>I3804*J3804*(1-K3804)</f>
        <v/>
      </c>
      <c r="M3804" s="10" t="n">
        <v>450</v>
      </c>
      <c r="N3804" s="10">
        <f>L3804-M3804</f>
        <v/>
      </c>
    </row>
    <row r="3805">
      <c r="A3805" s="7" t="inlineStr">
        <is>
          <t>ORD-00308</t>
        </is>
      </c>
      <c r="B3805" s="8" t="n">
        <v>45698</v>
      </c>
      <c r="C3805" s="9" t="n">
        <v>45689</v>
      </c>
      <c r="D3805" s="7" t="n">
        <v>2025</v>
      </c>
      <c r="E3805" s="7" t="inlineStr">
        <is>
          <t>North</t>
        </is>
      </c>
      <c r="F3805" s="7" t="inlineStr">
        <is>
          <t>Technology</t>
        </is>
      </c>
      <c r="G3805" s="7" t="inlineStr">
        <is>
          <t>Keyboard</t>
        </is>
      </c>
      <c r="H3805" s="7" t="inlineStr">
        <is>
          <t>Home Office</t>
        </is>
      </c>
      <c r="I3805" s="7" t="n">
        <v>3</v>
      </c>
      <c r="J3805" s="10" t="n">
        <v>45.55</v>
      </c>
      <c r="K3805" s="11" t="n">
        <v>0</v>
      </c>
      <c r="L3805" s="10">
        <f>I3805*J3805*(1-K3805)</f>
        <v/>
      </c>
      <c r="M3805" s="10" t="n">
        <v>74.25</v>
      </c>
      <c r="N3805" s="10">
        <f>L3805-M3805</f>
        <v/>
      </c>
    </row>
    <row r="3806">
      <c r="A3806" s="7" t="inlineStr">
        <is>
          <t>ORD-05742</t>
        </is>
      </c>
      <c r="B3806" s="8" t="n">
        <v>45699</v>
      </c>
      <c r="C3806" s="9" t="n">
        <v>45689</v>
      </c>
      <c r="D3806" s="7" t="n">
        <v>2025</v>
      </c>
      <c r="E3806" s="7" t="inlineStr">
        <is>
          <t>East</t>
        </is>
      </c>
      <c r="F3806" s="7" t="inlineStr">
        <is>
          <t>Office Supplies</t>
        </is>
      </c>
      <c r="G3806" s="7" t="inlineStr">
        <is>
          <t>Pens</t>
        </is>
      </c>
      <c r="H3806" s="7" t="inlineStr">
        <is>
          <t>Corporate</t>
        </is>
      </c>
      <c r="I3806" s="7" t="n">
        <v>4</v>
      </c>
      <c r="J3806" s="10" t="n">
        <v>11.91</v>
      </c>
      <c r="K3806" s="11" t="n">
        <v>0.2</v>
      </c>
      <c r="L3806" s="10">
        <f>I3806*J3806*(1-K3806)</f>
        <v/>
      </c>
      <c r="M3806" s="10" t="n">
        <v>21.6</v>
      </c>
      <c r="N3806" s="10">
        <f>L3806-M3806</f>
        <v/>
      </c>
    </row>
    <row r="3807">
      <c r="A3807" s="7" t="inlineStr">
        <is>
          <t>ORD-04033</t>
        </is>
      </c>
      <c r="B3807" s="8" t="n">
        <v>45699</v>
      </c>
      <c r="C3807" s="9" t="n">
        <v>45689</v>
      </c>
      <c r="D3807" s="7" t="n">
        <v>2025</v>
      </c>
      <c r="E3807" s="7" t="inlineStr">
        <is>
          <t>South</t>
        </is>
      </c>
      <c r="F3807" s="7" t="inlineStr">
        <is>
          <t>Office Supplies</t>
        </is>
      </c>
      <c r="G3807" s="7" t="inlineStr">
        <is>
          <t>Printer Ink</t>
        </is>
      </c>
      <c r="H3807" s="7" t="inlineStr">
        <is>
          <t>Consumer</t>
        </is>
      </c>
      <c r="I3807" s="7" t="n">
        <v>15</v>
      </c>
      <c r="J3807" s="10" t="n">
        <v>59.46</v>
      </c>
      <c r="K3807" s="11" t="n">
        <v>0.3</v>
      </c>
      <c r="L3807" s="10">
        <f>I3807*J3807*(1-K3807)</f>
        <v/>
      </c>
      <c r="M3807" s="10" t="n">
        <v>540</v>
      </c>
      <c r="N3807" s="10">
        <f>L3807-M3807</f>
        <v/>
      </c>
    </row>
    <row r="3808">
      <c r="A3808" s="7" t="inlineStr">
        <is>
          <t>ORD-01751</t>
        </is>
      </c>
      <c r="B3808" s="8" t="n">
        <v>45699</v>
      </c>
      <c r="C3808" s="9" t="n">
        <v>45689</v>
      </c>
      <c r="D3808" s="7" t="n">
        <v>2025</v>
      </c>
      <c r="E3808" s="7" t="inlineStr">
        <is>
          <t>North</t>
        </is>
      </c>
      <c r="F3808" s="7" t="inlineStr">
        <is>
          <t>Technology</t>
        </is>
      </c>
      <c r="G3808" s="7" t="inlineStr">
        <is>
          <t>Laptop</t>
        </is>
      </c>
      <c r="H3808" s="7" t="inlineStr">
        <is>
          <t>Corporate</t>
        </is>
      </c>
      <c r="I3808" s="7" t="n">
        <v>3</v>
      </c>
      <c r="J3808" s="10" t="n">
        <v>939.14</v>
      </c>
      <c r="K3808" s="11" t="n">
        <v>0</v>
      </c>
      <c r="L3808" s="10">
        <f>I3808*J3808*(1-K3808)</f>
        <v/>
      </c>
      <c r="M3808" s="10" t="n">
        <v>2106</v>
      </c>
      <c r="N3808" s="10">
        <f>L3808-M3808</f>
        <v/>
      </c>
    </row>
    <row r="3809">
      <c r="A3809" s="7" t="inlineStr">
        <is>
          <t>ORD-03105</t>
        </is>
      </c>
      <c r="B3809" s="8" t="n">
        <v>45700</v>
      </c>
      <c r="C3809" s="9" t="n">
        <v>45689</v>
      </c>
      <c r="D3809" s="7" t="n">
        <v>2025</v>
      </c>
      <c r="E3809" s="7" t="inlineStr">
        <is>
          <t>South</t>
        </is>
      </c>
      <c r="F3809" s="7" t="inlineStr">
        <is>
          <t>Office Supplies</t>
        </is>
      </c>
      <c r="G3809" s="7" t="inlineStr">
        <is>
          <t>Binder</t>
        </is>
      </c>
      <c r="H3809" s="7" t="inlineStr">
        <is>
          <t>Consumer</t>
        </is>
      </c>
      <c r="I3809" s="7" t="n">
        <v>15</v>
      </c>
      <c r="J3809" s="10" t="n">
        <v>7.8</v>
      </c>
      <c r="K3809" s="11" t="n">
        <v>0.3</v>
      </c>
      <c r="L3809" s="10">
        <f>I3809*J3809*(1-K3809)</f>
        <v/>
      </c>
      <c r="M3809" s="10" t="n">
        <v>48</v>
      </c>
      <c r="N3809" s="10">
        <f>L3809-M3809</f>
        <v/>
      </c>
    </row>
    <row r="3810">
      <c r="A3810" s="7" t="inlineStr">
        <is>
          <t>ORD-05956</t>
        </is>
      </c>
      <c r="B3810" s="8" t="n">
        <v>45700</v>
      </c>
      <c r="C3810" s="9" t="n">
        <v>45689</v>
      </c>
      <c r="D3810" s="7" t="n">
        <v>2025</v>
      </c>
      <c r="E3810" s="7" t="inlineStr">
        <is>
          <t>South</t>
        </is>
      </c>
      <c r="F3810" s="7" t="inlineStr">
        <is>
          <t>Furniture</t>
        </is>
      </c>
      <c r="G3810" s="7" t="inlineStr">
        <is>
          <t>Office Chair</t>
        </is>
      </c>
      <c r="H3810" s="7" t="inlineStr">
        <is>
          <t>Consumer</t>
        </is>
      </c>
      <c r="I3810" s="7" t="n">
        <v>3</v>
      </c>
      <c r="J3810" s="10" t="n">
        <v>220.03</v>
      </c>
      <c r="K3810" s="11" t="n">
        <v>0</v>
      </c>
      <c r="L3810" s="10">
        <f>I3810*J3810*(1-K3810)</f>
        <v/>
      </c>
      <c r="M3810" s="10" t="n">
        <v>541.2</v>
      </c>
      <c r="N3810" s="10">
        <f>L3810-M3810</f>
        <v/>
      </c>
    </row>
    <row r="3811">
      <c r="A3811" s="7" t="inlineStr">
        <is>
          <t>ORD-00534</t>
        </is>
      </c>
      <c r="B3811" s="8" t="n">
        <v>45700</v>
      </c>
      <c r="C3811" s="9" t="n">
        <v>45689</v>
      </c>
      <c r="D3811" s="7" t="n">
        <v>2025</v>
      </c>
      <c r="E3811" s="7" t="inlineStr">
        <is>
          <t>West</t>
        </is>
      </c>
      <c r="F3811" s="7" t="inlineStr">
        <is>
          <t>Office Supplies</t>
        </is>
      </c>
      <c r="G3811" s="7" t="inlineStr">
        <is>
          <t>Printer Ink</t>
        </is>
      </c>
      <c r="H3811" s="7" t="inlineStr">
        <is>
          <t>Consumer</t>
        </is>
      </c>
      <c r="I3811" s="7" t="n">
        <v>7</v>
      </c>
      <c r="J3811" s="10" t="n">
        <v>61.75</v>
      </c>
      <c r="K3811" s="11" t="n">
        <v>0</v>
      </c>
      <c r="L3811" s="10">
        <f>I3811*J3811*(1-K3811)</f>
        <v/>
      </c>
      <c r="M3811" s="10" t="n">
        <v>252</v>
      </c>
      <c r="N3811" s="10">
        <f>L3811-M3811</f>
        <v/>
      </c>
    </row>
    <row r="3812">
      <c r="A3812" s="7" t="inlineStr">
        <is>
          <t>ORD-01848</t>
        </is>
      </c>
      <c r="B3812" s="8" t="n">
        <v>45700</v>
      </c>
      <c r="C3812" s="9" t="n">
        <v>45689</v>
      </c>
      <c r="D3812" s="7" t="n">
        <v>2025</v>
      </c>
      <c r="E3812" s="7" t="inlineStr">
        <is>
          <t>West</t>
        </is>
      </c>
      <c r="F3812" s="7" t="inlineStr">
        <is>
          <t>Office Supplies</t>
        </is>
      </c>
      <c r="G3812" s="7" t="inlineStr">
        <is>
          <t>Binder</t>
        </is>
      </c>
      <c r="H3812" s="7" t="inlineStr">
        <is>
          <t>Consumer</t>
        </is>
      </c>
      <c r="I3812" s="7" t="n">
        <v>3</v>
      </c>
      <c r="J3812" s="10" t="n">
        <v>8.039999999999999</v>
      </c>
      <c r="K3812" s="11" t="n">
        <v>0.3</v>
      </c>
      <c r="L3812" s="10">
        <f>I3812*J3812*(1-K3812)</f>
        <v/>
      </c>
      <c r="M3812" s="10" t="n">
        <v>9.6</v>
      </c>
      <c r="N3812" s="10">
        <f>L3812-M3812</f>
        <v/>
      </c>
    </row>
    <row r="3813">
      <c r="A3813" s="7" t="inlineStr">
        <is>
          <t>ORD-02453</t>
        </is>
      </c>
      <c r="B3813" s="8" t="n">
        <v>45700</v>
      </c>
      <c r="C3813" s="9" t="n">
        <v>45689</v>
      </c>
      <c r="D3813" s="7" t="n">
        <v>2025</v>
      </c>
      <c r="E3813" s="7" t="inlineStr">
        <is>
          <t>West</t>
        </is>
      </c>
      <c r="F3813" s="7" t="inlineStr">
        <is>
          <t>Technology</t>
        </is>
      </c>
      <c r="G3813" s="7" t="inlineStr">
        <is>
          <t>Smartphone</t>
        </is>
      </c>
      <c r="H3813" s="7" t="inlineStr">
        <is>
          <t>Consumer</t>
        </is>
      </c>
      <c r="I3813" s="7" t="n">
        <v>2</v>
      </c>
      <c r="J3813" s="10" t="n">
        <v>592.9400000000001</v>
      </c>
      <c r="K3813" s="11" t="n">
        <v>0.05</v>
      </c>
      <c r="L3813" s="10">
        <f>I3813*J3813*(1-K3813)</f>
        <v/>
      </c>
      <c r="M3813" s="10" t="n">
        <v>900</v>
      </c>
      <c r="N3813" s="10">
        <f>L3813-M3813</f>
        <v/>
      </c>
    </row>
    <row r="3814">
      <c r="A3814" s="7" t="inlineStr">
        <is>
          <t>ORD-05623</t>
        </is>
      </c>
      <c r="B3814" s="8" t="n">
        <v>45701</v>
      </c>
      <c r="C3814" s="9" t="n">
        <v>45689</v>
      </c>
      <c r="D3814" s="7" t="n">
        <v>2025</v>
      </c>
      <c r="E3814" s="7" t="inlineStr">
        <is>
          <t>East</t>
        </is>
      </c>
      <c r="F3814" s="7" t="inlineStr">
        <is>
          <t>Furniture</t>
        </is>
      </c>
      <c r="G3814" s="7" t="inlineStr">
        <is>
          <t>Office Chair</t>
        </is>
      </c>
      <c r="H3814" s="7" t="inlineStr">
        <is>
          <t>Home Office</t>
        </is>
      </c>
      <c r="I3814" s="7" t="n">
        <v>1</v>
      </c>
      <c r="J3814" s="10" t="n">
        <v>211.14</v>
      </c>
      <c r="K3814" s="11" t="n">
        <v>0.1</v>
      </c>
      <c r="L3814" s="10">
        <f>I3814*J3814*(1-K3814)</f>
        <v/>
      </c>
      <c r="M3814" s="10" t="n">
        <v>180.4</v>
      </c>
      <c r="N3814" s="10">
        <f>L3814-M3814</f>
        <v/>
      </c>
    </row>
    <row r="3815">
      <c r="A3815" s="7" t="inlineStr">
        <is>
          <t>ORD-01633</t>
        </is>
      </c>
      <c r="B3815" s="8" t="n">
        <v>45701</v>
      </c>
      <c r="C3815" s="9" t="n">
        <v>45689</v>
      </c>
      <c r="D3815" s="7" t="n">
        <v>2025</v>
      </c>
      <c r="E3815" s="7" t="inlineStr">
        <is>
          <t>North</t>
        </is>
      </c>
      <c r="F3815" s="7" t="inlineStr">
        <is>
          <t>Office Supplies</t>
        </is>
      </c>
      <c r="G3815" s="7" t="inlineStr">
        <is>
          <t>Paper</t>
        </is>
      </c>
      <c r="H3815" s="7" t="inlineStr">
        <is>
          <t>Home Office</t>
        </is>
      </c>
      <c r="I3815" s="7" t="n">
        <v>8</v>
      </c>
      <c r="J3815" s="10" t="n">
        <v>26.02</v>
      </c>
      <c r="K3815" s="11" t="n">
        <v>0</v>
      </c>
      <c r="L3815" s="10">
        <f>I3815*J3815*(1-K3815)</f>
        <v/>
      </c>
      <c r="M3815" s="10" t="n">
        <v>100</v>
      </c>
      <c r="N3815" s="10">
        <f>L3815-M3815</f>
        <v/>
      </c>
    </row>
    <row r="3816">
      <c r="A3816" s="7" t="inlineStr">
        <is>
          <t>ORD-03273</t>
        </is>
      </c>
      <c r="B3816" s="8" t="n">
        <v>45701</v>
      </c>
      <c r="C3816" s="9" t="n">
        <v>45689</v>
      </c>
      <c r="D3816" s="7" t="n">
        <v>2025</v>
      </c>
      <c r="E3816" s="7" t="inlineStr">
        <is>
          <t>North</t>
        </is>
      </c>
      <c r="F3816" s="7" t="inlineStr">
        <is>
          <t>Office Supplies</t>
        </is>
      </c>
      <c r="G3816" s="7" t="inlineStr">
        <is>
          <t>Pens</t>
        </is>
      </c>
      <c r="H3816" s="7" t="inlineStr">
        <is>
          <t>Consumer</t>
        </is>
      </c>
      <c r="I3816" s="7" t="n">
        <v>3</v>
      </c>
      <c r="J3816" s="10" t="n">
        <v>12.53</v>
      </c>
      <c r="K3816" s="11" t="n">
        <v>0</v>
      </c>
      <c r="L3816" s="10">
        <f>I3816*J3816*(1-K3816)</f>
        <v/>
      </c>
      <c r="M3816" s="10" t="n">
        <v>16.2</v>
      </c>
      <c r="N3816" s="10">
        <f>L3816-M3816</f>
        <v/>
      </c>
    </row>
    <row r="3817">
      <c r="A3817" s="7" t="inlineStr">
        <is>
          <t>ORD-02510</t>
        </is>
      </c>
      <c r="B3817" s="8" t="n">
        <v>45701</v>
      </c>
      <c r="C3817" s="9" t="n">
        <v>45689</v>
      </c>
      <c r="D3817" s="7" t="n">
        <v>2025</v>
      </c>
      <c r="E3817" s="7" t="inlineStr">
        <is>
          <t>North</t>
        </is>
      </c>
      <c r="F3817" s="7" t="inlineStr">
        <is>
          <t>Furniture</t>
        </is>
      </c>
      <c r="G3817" s="7" t="inlineStr">
        <is>
          <t>Office Chair</t>
        </is>
      </c>
      <c r="H3817" s="7" t="inlineStr">
        <is>
          <t>Home Office</t>
        </is>
      </c>
      <c r="I3817" s="7" t="n">
        <v>2</v>
      </c>
      <c r="J3817" s="10" t="n">
        <v>219.53</v>
      </c>
      <c r="K3817" s="11" t="n">
        <v>0.05</v>
      </c>
      <c r="L3817" s="10">
        <f>I3817*J3817*(1-K3817)</f>
        <v/>
      </c>
      <c r="M3817" s="10" t="n">
        <v>360.8</v>
      </c>
      <c r="N3817" s="10">
        <f>L3817-M3817</f>
        <v/>
      </c>
    </row>
    <row r="3818">
      <c r="A3818" s="7" t="inlineStr">
        <is>
          <t>ORD-01559</t>
        </is>
      </c>
      <c r="B3818" s="8" t="n">
        <v>45702</v>
      </c>
      <c r="C3818" s="9" t="n">
        <v>45689</v>
      </c>
      <c r="D3818" s="7" t="n">
        <v>2025</v>
      </c>
      <c r="E3818" s="7" t="inlineStr">
        <is>
          <t>North</t>
        </is>
      </c>
      <c r="F3818" s="7" t="inlineStr">
        <is>
          <t>Office Supplies</t>
        </is>
      </c>
      <c r="G3818" s="7" t="inlineStr">
        <is>
          <t>Pens</t>
        </is>
      </c>
      <c r="H3818" s="7" t="inlineStr">
        <is>
          <t>Home Office</t>
        </is>
      </c>
      <c r="I3818" s="7" t="n">
        <v>4</v>
      </c>
      <c r="J3818" s="10" t="n">
        <v>11.77</v>
      </c>
      <c r="K3818" s="11" t="n">
        <v>0.2</v>
      </c>
      <c r="L3818" s="10">
        <f>I3818*J3818*(1-K3818)</f>
        <v/>
      </c>
      <c r="M3818" s="10" t="n">
        <v>21.6</v>
      </c>
      <c r="N3818" s="10">
        <f>L3818-M3818</f>
        <v/>
      </c>
    </row>
    <row r="3819">
      <c r="A3819" s="7" t="inlineStr">
        <is>
          <t>ORD-02710</t>
        </is>
      </c>
      <c r="B3819" s="8" t="n">
        <v>45702</v>
      </c>
      <c r="C3819" s="9" t="n">
        <v>45689</v>
      </c>
      <c r="D3819" s="7" t="n">
        <v>2025</v>
      </c>
      <c r="E3819" s="7" t="inlineStr">
        <is>
          <t>East</t>
        </is>
      </c>
      <c r="F3819" s="7" t="inlineStr">
        <is>
          <t>Office Supplies</t>
        </is>
      </c>
      <c r="G3819" s="7" t="inlineStr">
        <is>
          <t>Binder</t>
        </is>
      </c>
      <c r="H3819" s="7" t="inlineStr">
        <is>
          <t>Corporate</t>
        </is>
      </c>
      <c r="I3819" s="7" t="n">
        <v>8</v>
      </c>
      <c r="J3819" s="10" t="n">
        <v>7.88</v>
      </c>
      <c r="K3819" s="11" t="n">
        <v>0.2</v>
      </c>
      <c r="L3819" s="10">
        <f>I3819*J3819*(1-K3819)</f>
        <v/>
      </c>
      <c r="M3819" s="10" t="n">
        <v>25.6</v>
      </c>
      <c r="N3819" s="10">
        <f>L3819-M3819</f>
        <v/>
      </c>
    </row>
    <row r="3820">
      <c r="A3820" s="7" t="inlineStr">
        <is>
          <t>ORD-03842</t>
        </is>
      </c>
      <c r="B3820" s="8" t="n">
        <v>45702</v>
      </c>
      <c r="C3820" s="9" t="n">
        <v>45689</v>
      </c>
      <c r="D3820" s="7" t="n">
        <v>2025</v>
      </c>
      <c r="E3820" s="7" t="inlineStr">
        <is>
          <t>West</t>
        </is>
      </c>
      <c r="F3820" s="7" t="inlineStr">
        <is>
          <t>Office Supplies</t>
        </is>
      </c>
      <c r="G3820" s="7" t="inlineStr">
        <is>
          <t>Stapler</t>
        </is>
      </c>
      <c r="H3820" s="7" t="inlineStr">
        <is>
          <t>Corporate</t>
        </is>
      </c>
      <c r="I3820" s="7" t="n">
        <v>10</v>
      </c>
      <c r="J3820" s="10" t="n">
        <v>15.26</v>
      </c>
      <c r="K3820" s="11" t="n">
        <v>0</v>
      </c>
      <c r="L3820" s="10">
        <f>I3820*J3820*(1-K3820)</f>
        <v/>
      </c>
      <c r="M3820" s="10" t="n">
        <v>75</v>
      </c>
      <c r="N3820" s="10">
        <f>L3820-M3820</f>
        <v/>
      </c>
    </row>
    <row r="3821">
      <c r="A3821" s="7" t="inlineStr">
        <is>
          <t>ORD-03629</t>
        </is>
      </c>
      <c r="B3821" s="8" t="n">
        <v>45702</v>
      </c>
      <c r="C3821" s="9" t="n">
        <v>45689</v>
      </c>
      <c r="D3821" s="7" t="n">
        <v>2025</v>
      </c>
      <c r="E3821" s="7" t="inlineStr">
        <is>
          <t>North</t>
        </is>
      </c>
      <c r="F3821" s="7" t="inlineStr">
        <is>
          <t>Office Supplies</t>
        </is>
      </c>
      <c r="G3821" s="7" t="inlineStr">
        <is>
          <t>Paper</t>
        </is>
      </c>
      <c r="H3821" s="7" t="inlineStr">
        <is>
          <t>Corporate</t>
        </is>
      </c>
      <c r="I3821" s="7" t="n">
        <v>15</v>
      </c>
      <c r="J3821" s="10" t="n">
        <v>25.84</v>
      </c>
      <c r="K3821" s="11" t="n">
        <v>0</v>
      </c>
      <c r="L3821" s="10">
        <f>I3821*J3821*(1-K3821)</f>
        <v/>
      </c>
      <c r="M3821" s="10" t="n">
        <v>187.5</v>
      </c>
      <c r="N3821" s="10">
        <f>L3821-M3821</f>
        <v/>
      </c>
    </row>
    <row r="3822">
      <c r="A3822" s="7" t="inlineStr">
        <is>
          <t>ORD-03048</t>
        </is>
      </c>
      <c r="B3822" s="8" t="n">
        <v>45702</v>
      </c>
      <c r="C3822" s="9" t="n">
        <v>45689</v>
      </c>
      <c r="D3822" s="7" t="n">
        <v>2025</v>
      </c>
      <c r="E3822" s="7" t="inlineStr">
        <is>
          <t>East</t>
        </is>
      </c>
      <c r="F3822" s="7" t="inlineStr">
        <is>
          <t>Office Supplies</t>
        </is>
      </c>
      <c r="G3822" s="7" t="inlineStr">
        <is>
          <t>Paper</t>
        </is>
      </c>
      <c r="H3822" s="7" t="inlineStr">
        <is>
          <t>Consumer</t>
        </is>
      </c>
      <c r="I3822" s="7" t="n">
        <v>9</v>
      </c>
      <c r="J3822" s="10" t="n">
        <v>25.94</v>
      </c>
      <c r="K3822" s="11" t="n">
        <v>0.3</v>
      </c>
      <c r="L3822" s="10">
        <f>I3822*J3822*(1-K3822)</f>
        <v/>
      </c>
      <c r="M3822" s="10" t="n">
        <v>112.5</v>
      </c>
      <c r="N3822" s="10">
        <f>L3822-M3822</f>
        <v/>
      </c>
    </row>
    <row r="3823">
      <c r="A3823" s="7" t="inlineStr">
        <is>
          <t>ORD-00300</t>
        </is>
      </c>
      <c r="B3823" s="8" t="n">
        <v>45702</v>
      </c>
      <c r="C3823" s="9" t="n">
        <v>45689</v>
      </c>
      <c r="D3823" s="7" t="n">
        <v>2025</v>
      </c>
      <c r="E3823" s="7" t="inlineStr">
        <is>
          <t>North</t>
        </is>
      </c>
      <c r="F3823" s="7" t="inlineStr">
        <is>
          <t>Technology</t>
        </is>
      </c>
      <c r="G3823" s="7" t="inlineStr">
        <is>
          <t>Headphones</t>
        </is>
      </c>
      <c r="H3823" s="7" t="inlineStr">
        <is>
          <t>Consumer</t>
        </is>
      </c>
      <c r="I3823" s="7" t="n">
        <v>2</v>
      </c>
      <c r="J3823" s="10" t="n">
        <v>116.69</v>
      </c>
      <c r="K3823" s="11" t="n">
        <v>0.1</v>
      </c>
      <c r="L3823" s="10">
        <f>I3823*J3823*(1-K3823)</f>
        <v/>
      </c>
      <c r="M3823" s="10" t="n">
        <v>144</v>
      </c>
      <c r="N3823" s="10">
        <f>L3823-M3823</f>
        <v/>
      </c>
    </row>
    <row r="3824">
      <c r="A3824" s="7" t="inlineStr">
        <is>
          <t>ORD-05098</t>
        </is>
      </c>
      <c r="B3824" s="8" t="n">
        <v>45703</v>
      </c>
      <c r="C3824" s="9" t="n">
        <v>45689</v>
      </c>
      <c r="D3824" s="7" t="n">
        <v>2025</v>
      </c>
      <c r="E3824" s="7" t="inlineStr">
        <is>
          <t>South</t>
        </is>
      </c>
      <c r="F3824" s="7" t="inlineStr">
        <is>
          <t>Furniture</t>
        </is>
      </c>
      <c r="G3824" s="7" t="inlineStr">
        <is>
          <t>Office Chair</t>
        </is>
      </c>
      <c r="H3824" s="7" t="inlineStr">
        <is>
          <t>Corporate</t>
        </is>
      </c>
      <c r="I3824" s="7" t="n">
        <v>2</v>
      </c>
      <c r="J3824" s="10" t="n">
        <v>227.67</v>
      </c>
      <c r="K3824" s="11" t="n">
        <v>0.05</v>
      </c>
      <c r="L3824" s="10">
        <f>I3824*J3824*(1-K3824)</f>
        <v/>
      </c>
      <c r="M3824" s="10" t="n">
        <v>360.8</v>
      </c>
      <c r="N3824" s="10">
        <f>L3824-M3824</f>
        <v/>
      </c>
    </row>
    <row r="3825">
      <c r="A3825" s="7" t="inlineStr">
        <is>
          <t>ORD-02836</t>
        </is>
      </c>
      <c r="B3825" s="8" t="n">
        <v>45703</v>
      </c>
      <c r="C3825" s="9" t="n">
        <v>45689</v>
      </c>
      <c r="D3825" s="7" t="n">
        <v>2025</v>
      </c>
      <c r="E3825" s="7" t="inlineStr">
        <is>
          <t>West</t>
        </is>
      </c>
      <c r="F3825" s="7" t="inlineStr">
        <is>
          <t>Office Supplies</t>
        </is>
      </c>
      <c r="G3825" s="7" t="inlineStr">
        <is>
          <t>Binder</t>
        </is>
      </c>
      <c r="H3825" s="7" t="inlineStr">
        <is>
          <t>Consumer</t>
        </is>
      </c>
      <c r="I3825" s="7" t="n">
        <v>9</v>
      </c>
      <c r="J3825" s="10" t="n">
        <v>7.9</v>
      </c>
      <c r="K3825" s="11" t="n">
        <v>0</v>
      </c>
      <c r="L3825" s="10">
        <f>I3825*J3825*(1-K3825)</f>
        <v/>
      </c>
      <c r="M3825" s="10" t="n">
        <v>28.8</v>
      </c>
      <c r="N3825" s="10">
        <f>L3825-M3825</f>
        <v/>
      </c>
    </row>
    <row r="3826">
      <c r="A3826" s="7" t="inlineStr">
        <is>
          <t>ORD-02553</t>
        </is>
      </c>
      <c r="B3826" s="8" t="n">
        <v>45703</v>
      </c>
      <c r="C3826" s="9" t="n">
        <v>45689</v>
      </c>
      <c r="D3826" s="7" t="n">
        <v>2025</v>
      </c>
      <c r="E3826" s="7" t="inlineStr">
        <is>
          <t>South</t>
        </is>
      </c>
      <c r="F3826" s="7" t="inlineStr">
        <is>
          <t>Office Supplies</t>
        </is>
      </c>
      <c r="G3826" s="7" t="inlineStr">
        <is>
          <t>Paper</t>
        </is>
      </c>
      <c r="H3826" s="7" t="inlineStr">
        <is>
          <t>Consumer</t>
        </is>
      </c>
      <c r="I3826" s="7" t="n">
        <v>14</v>
      </c>
      <c r="J3826" s="10" t="n">
        <v>26.04</v>
      </c>
      <c r="K3826" s="11" t="n">
        <v>0</v>
      </c>
      <c r="L3826" s="10">
        <f>I3826*J3826*(1-K3826)</f>
        <v/>
      </c>
      <c r="M3826" s="10" t="n">
        <v>175</v>
      </c>
      <c r="N3826" s="10">
        <f>L3826-M3826</f>
        <v/>
      </c>
    </row>
    <row r="3827">
      <c r="A3827" s="7" t="inlineStr">
        <is>
          <t>ORD-00013</t>
        </is>
      </c>
      <c r="B3827" s="8" t="n">
        <v>45703</v>
      </c>
      <c r="C3827" s="9" t="n">
        <v>45689</v>
      </c>
      <c r="D3827" s="7" t="n">
        <v>2025</v>
      </c>
      <c r="E3827" s="7" t="inlineStr">
        <is>
          <t>West</t>
        </is>
      </c>
      <c r="F3827" s="7" t="inlineStr">
        <is>
          <t>Office Supplies</t>
        </is>
      </c>
      <c r="G3827" s="7" t="inlineStr">
        <is>
          <t>Paper</t>
        </is>
      </c>
      <c r="H3827" s="7" t="inlineStr">
        <is>
          <t>Home Office</t>
        </is>
      </c>
      <c r="I3827" s="7" t="n">
        <v>10</v>
      </c>
      <c r="J3827" s="10" t="n">
        <v>24.48</v>
      </c>
      <c r="K3827" s="11" t="n">
        <v>0</v>
      </c>
      <c r="L3827" s="10">
        <f>I3827*J3827*(1-K3827)</f>
        <v/>
      </c>
      <c r="M3827" s="10" t="n">
        <v>125</v>
      </c>
      <c r="N3827" s="10">
        <f>L3827-M3827</f>
        <v/>
      </c>
    </row>
    <row r="3828">
      <c r="A3828" s="7" t="inlineStr">
        <is>
          <t>ORD-04589</t>
        </is>
      </c>
      <c r="B3828" s="8" t="n">
        <v>45703</v>
      </c>
      <c r="C3828" s="9" t="n">
        <v>45689</v>
      </c>
      <c r="D3828" s="7" t="n">
        <v>2025</v>
      </c>
      <c r="E3828" s="7" t="inlineStr">
        <is>
          <t>West</t>
        </is>
      </c>
      <c r="F3828" s="7" t="inlineStr">
        <is>
          <t>Furniture</t>
        </is>
      </c>
      <c r="G3828" s="7" t="inlineStr">
        <is>
          <t>Desk</t>
        </is>
      </c>
      <c r="H3828" s="7" t="inlineStr">
        <is>
          <t>Corporate</t>
        </is>
      </c>
      <c r="I3828" s="7" t="n">
        <v>3</v>
      </c>
      <c r="J3828" s="10" t="n">
        <v>469.56</v>
      </c>
      <c r="K3828" s="11" t="n">
        <v>0.1</v>
      </c>
      <c r="L3828" s="10">
        <f>I3828*J3828*(1-K3828)</f>
        <v/>
      </c>
      <c r="M3828" s="10" t="n">
        <v>1147.5</v>
      </c>
      <c r="N3828" s="10">
        <f>L3828-M3828</f>
        <v/>
      </c>
    </row>
    <row r="3829">
      <c r="A3829" s="7" t="inlineStr">
        <is>
          <t>ORD-01931</t>
        </is>
      </c>
      <c r="B3829" s="8" t="n">
        <v>45704</v>
      </c>
      <c r="C3829" s="9" t="n">
        <v>45689</v>
      </c>
      <c r="D3829" s="7" t="n">
        <v>2025</v>
      </c>
      <c r="E3829" s="7" t="inlineStr">
        <is>
          <t>West</t>
        </is>
      </c>
      <c r="F3829" s="7" t="inlineStr">
        <is>
          <t>Office Supplies</t>
        </is>
      </c>
      <c r="G3829" s="7" t="inlineStr">
        <is>
          <t>Stapler</t>
        </is>
      </c>
      <c r="H3829" s="7" t="inlineStr">
        <is>
          <t>Home Office</t>
        </is>
      </c>
      <c r="I3829" s="7" t="n">
        <v>10</v>
      </c>
      <c r="J3829" s="10" t="n">
        <v>14.85</v>
      </c>
      <c r="K3829" s="11" t="n">
        <v>0</v>
      </c>
      <c r="L3829" s="10">
        <f>I3829*J3829*(1-K3829)</f>
        <v/>
      </c>
      <c r="M3829" s="10" t="n">
        <v>75</v>
      </c>
      <c r="N3829" s="10">
        <f>L3829-M3829</f>
        <v/>
      </c>
    </row>
    <row r="3830">
      <c r="A3830" s="7" t="inlineStr">
        <is>
          <t>ORD-05361</t>
        </is>
      </c>
      <c r="B3830" s="8" t="n">
        <v>45704</v>
      </c>
      <c r="C3830" s="9" t="n">
        <v>45689</v>
      </c>
      <c r="D3830" s="7" t="n">
        <v>2025</v>
      </c>
      <c r="E3830" s="7" t="inlineStr">
        <is>
          <t>North</t>
        </is>
      </c>
      <c r="F3830" s="7" t="inlineStr">
        <is>
          <t>Furniture</t>
        </is>
      </c>
      <c r="G3830" s="7" t="inlineStr">
        <is>
          <t>Office Chair</t>
        </is>
      </c>
      <c r="H3830" s="7" t="inlineStr">
        <is>
          <t>Home Office</t>
        </is>
      </c>
      <c r="I3830" s="7" t="n">
        <v>1</v>
      </c>
      <c r="J3830" s="10" t="n">
        <v>222.81</v>
      </c>
      <c r="K3830" s="11" t="n">
        <v>0.3</v>
      </c>
      <c r="L3830" s="10">
        <f>I3830*J3830*(1-K3830)</f>
        <v/>
      </c>
      <c r="M3830" s="10" t="n">
        <v>180.4</v>
      </c>
      <c r="N3830" s="10">
        <f>L3830-M3830</f>
        <v/>
      </c>
    </row>
    <row r="3831">
      <c r="A3831" s="7" t="inlineStr">
        <is>
          <t>ORD-04771</t>
        </is>
      </c>
      <c r="B3831" s="8" t="n">
        <v>45704</v>
      </c>
      <c r="C3831" s="9" t="n">
        <v>45689</v>
      </c>
      <c r="D3831" s="7" t="n">
        <v>2025</v>
      </c>
      <c r="E3831" s="7" t="inlineStr">
        <is>
          <t>West</t>
        </is>
      </c>
      <c r="F3831" s="7" t="inlineStr">
        <is>
          <t>Furniture</t>
        </is>
      </c>
      <c r="G3831" s="7" t="inlineStr">
        <is>
          <t>Office Chair</t>
        </is>
      </c>
      <c r="H3831" s="7" t="inlineStr">
        <is>
          <t>Home Office</t>
        </is>
      </c>
      <c r="I3831" s="7" t="n">
        <v>3</v>
      </c>
      <c r="J3831" s="10" t="n">
        <v>230.15</v>
      </c>
      <c r="K3831" s="11" t="n">
        <v>0</v>
      </c>
      <c r="L3831" s="10">
        <f>I3831*J3831*(1-K3831)</f>
        <v/>
      </c>
      <c r="M3831" s="10" t="n">
        <v>541.2</v>
      </c>
      <c r="N3831" s="10">
        <f>L3831-M3831</f>
        <v/>
      </c>
    </row>
    <row r="3832">
      <c r="A3832" s="7" t="inlineStr">
        <is>
          <t>ORD-01092</t>
        </is>
      </c>
      <c r="B3832" s="8" t="n">
        <v>45705</v>
      </c>
      <c r="C3832" s="9" t="n">
        <v>45689</v>
      </c>
      <c r="D3832" s="7" t="n">
        <v>2025</v>
      </c>
      <c r="E3832" s="7" t="inlineStr">
        <is>
          <t>East</t>
        </is>
      </c>
      <c r="F3832" s="7" t="inlineStr">
        <is>
          <t>Office Supplies</t>
        </is>
      </c>
      <c r="G3832" s="7" t="inlineStr">
        <is>
          <t>Paper</t>
        </is>
      </c>
      <c r="H3832" s="7" t="inlineStr">
        <is>
          <t>Corporate</t>
        </is>
      </c>
      <c r="I3832" s="7" t="n">
        <v>11</v>
      </c>
      <c r="J3832" s="10" t="n">
        <v>25.47</v>
      </c>
      <c r="K3832" s="11" t="n">
        <v>0.05</v>
      </c>
      <c r="L3832" s="10">
        <f>I3832*J3832*(1-K3832)</f>
        <v/>
      </c>
      <c r="M3832" s="10" t="n">
        <v>137.5</v>
      </c>
      <c r="N3832" s="10">
        <f>L3832-M3832</f>
        <v/>
      </c>
    </row>
    <row r="3833">
      <c r="A3833" s="7" t="inlineStr">
        <is>
          <t>ORD-05458</t>
        </is>
      </c>
      <c r="B3833" s="8" t="n">
        <v>45706</v>
      </c>
      <c r="C3833" s="9" t="n">
        <v>45689</v>
      </c>
      <c r="D3833" s="7" t="n">
        <v>2025</v>
      </c>
      <c r="E3833" s="7" t="inlineStr">
        <is>
          <t>West</t>
        </is>
      </c>
      <c r="F3833" s="7" t="inlineStr">
        <is>
          <t>Office Supplies</t>
        </is>
      </c>
      <c r="G3833" s="7" t="inlineStr">
        <is>
          <t>Binder</t>
        </is>
      </c>
      <c r="H3833" s="7" t="inlineStr">
        <is>
          <t>Corporate</t>
        </is>
      </c>
      <c r="I3833" s="7" t="n">
        <v>15</v>
      </c>
      <c r="J3833" s="10" t="n">
        <v>8.130000000000001</v>
      </c>
      <c r="K3833" s="11" t="n">
        <v>0.1</v>
      </c>
      <c r="L3833" s="10">
        <f>I3833*J3833*(1-K3833)</f>
        <v/>
      </c>
      <c r="M3833" s="10" t="n">
        <v>48</v>
      </c>
      <c r="N3833" s="10">
        <f>L3833-M3833</f>
        <v/>
      </c>
    </row>
    <row r="3834">
      <c r="A3834" s="7" t="inlineStr">
        <is>
          <t>ORD-05426</t>
        </is>
      </c>
      <c r="B3834" s="8" t="n">
        <v>45706</v>
      </c>
      <c r="C3834" s="9" t="n">
        <v>45689</v>
      </c>
      <c r="D3834" s="7" t="n">
        <v>2025</v>
      </c>
      <c r="E3834" s="7" t="inlineStr">
        <is>
          <t>South</t>
        </is>
      </c>
      <c r="F3834" s="7" t="inlineStr">
        <is>
          <t>Technology</t>
        </is>
      </c>
      <c r="G3834" s="7" t="inlineStr">
        <is>
          <t>Keyboard</t>
        </is>
      </c>
      <c r="H3834" s="7" t="inlineStr">
        <is>
          <t>Home Office</t>
        </is>
      </c>
      <c r="I3834" s="7" t="n">
        <v>2</v>
      </c>
      <c r="J3834" s="10" t="n">
        <v>42.88</v>
      </c>
      <c r="K3834" s="11" t="n">
        <v>0</v>
      </c>
      <c r="L3834" s="10">
        <f>I3834*J3834*(1-K3834)</f>
        <v/>
      </c>
      <c r="M3834" s="10" t="n">
        <v>49.5</v>
      </c>
      <c r="N3834" s="10">
        <f>L3834-M3834</f>
        <v/>
      </c>
    </row>
    <row r="3835">
      <c r="A3835" s="7" t="inlineStr">
        <is>
          <t>ORD-05863</t>
        </is>
      </c>
      <c r="B3835" s="8" t="n">
        <v>45706</v>
      </c>
      <c r="C3835" s="9" t="n">
        <v>45689</v>
      </c>
      <c r="D3835" s="7" t="n">
        <v>2025</v>
      </c>
      <c r="E3835" s="7" t="inlineStr">
        <is>
          <t>North</t>
        </is>
      </c>
      <c r="F3835" s="7" t="inlineStr">
        <is>
          <t>Office Supplies</t>
        </is>
      </c>
      <c r="G3835" s="7" t="inlineStr">
        <is>
          <t>Pens</t>
        </is>
      </c>
      <c r="H3835" s="7" t="inlineStr">
        <is>
          <t>Consumer</t>
        </is>
      </c>
      <c r="I3835" s="7" t="n">
        <v>2</v>
      </c>
      <c r="J3835" s="10" t="n">
        <v>12.27</v>
      </c>
      <c r="K3835" s="11" t="n">
        <v>0.1</v>
      </c>
      <c r="L3835" s="10">
        <f>I3835*J3835*(1-K3835)</f>
        <v/>
      </c>
      <c r="M3835" s="10" t="n">
        <v>10.8</v>
      </c>
      <c r="N3835" s="10">
        <f>L3835-M3835</f>
        <v/>
      </c>
    </row>
    <row r="3836">
      <c r="A3836" s="7" t="inlineStr">
        <is>
          <t>ORD-01224</t>
        </is>
      </c>
      <c r="B3836" s="8" t="n">
        <v>45707</v>
      </c>
      <c r="C3836" s="9" t="n">
        <v>45689</v>
      </c>
      <c r="D3836" s="7" t="n">
        <v>2025</v>
      </c>
      <c r="E3836" s="7" t="inlineStr">
        <is>
          <t>West</t>
        </is>
      </c>
      <c r="F3836" s="7" t="inlineStr">
        <is>
          <t>Office Supplies</t>
        </is>
      </c>
      <c r="G3836" s="7" t="inlineStr">
        <is>
          <t>Binder</t>
        </is>
      </c>
      <c r="H3836" s="7" t="inlineStr">
        <is>
          <t>Consumer</t>
        </is>
      </c>
      <c r="I3836" s="7" t="n">
        <v>12</v>
      </c>
      <c r="J3836" s="10" t="n">
        <v>7.84</v>
      </c>
      <c r="K3836" s="11" t="n">
        <v>0.05</v>
      </c>
      <c r="L3836" s="10">
        <f>I3836*J3836*(1-K3836)</f>
        <v/>
      </c>
      <c r="M3836" s="10" t="n">
        <v>38.4</v>
      </c>
      <c r="N3836" s="10">
        <f>L3836-M3836</f>
        <v/>
      </c>
    </row>
    <row r="3837">
      <c r="A3837" s="7" t="inlineStr">
        <is>
          <t>ORD-03108</t>
        </is>
      </c>
      <c r="B3837" s="8" t="n">
        <v>45707</v>
      </c>
      <c r="C3837" s="9" t="n">
        <v>45689</v>
      </c>
      <c r="D3837" s="7" t="n">
        <v>2025</v>
      </c>
      <c r="E3837" s="7" t="inlineStr">
        <is>
          <t>East</t>
        </is>
      </c>
      <c r="F3837" s="7" t="inlineStr">
        <is>
          <t>Office Supplies</t>
        </is>
      </c>
      <c r="G3837" s="7" t="inlineStr">
        <is>
          <t>Paper</t>
        </is>
      </c>
      <c r="H3837" s="7" t="inlineStr">
        <is>
          <t>Consumer</t>
        </is>
      </c>
      <c r="I3837" s="7" t="n">
        <v>2</v>
      </c>
      <c r="J3837" s="10" t="n">
        <v>25.04</v>
      </c>
      <c r="K3837" s="11" t="n">
        <v>0.3</v>
      </c>
      <c r="L3837" s="10">
        <f>I3837*J3837*(1-K3837)</f>
        <v/>
      </c>
      <c r="M3837" s="10" t="n">
        <v>25</v>
      </c>
      <c r="N3837" s="10">
        <f>L3837-M3837</f>
        <v/>
      </c>
    </row>
    <row r="3838">
      <c r="A3838" s="7" t="inlineStr">
        <is>
          <t>ORD-04072</t>
        </is>
      </c>
      <c r="B3838" s="8" t="n">
        <v>45708</v>
      </c>
      <c r="C3838" s="9" t="n">
        <v>45689</v>
      </c>
      <c r="D3838" s="7" t="n">
        <v>2025</v>
      </c>
      <c r="E3838" s="7" t="inlineStr">
        <is>
          <t>North</t>
        </is>
      </c>
      <c r="F3838" s="7" t="inlineStr">
        <is>
          <t>Technology</t>
        </is>
      </c>
      <c r="G3838" s="7" t="inlineStr">
        <is>
          <t>Monitor</t>
        </is>
      </c>
      <c r="H3838" s="7" t="inlineStr">
        <is>
          <t>Consumer</t>
        </is>
      </c>
      <c r="I3838" s="7" t="n">
        <v>1</v>
      </c>
      <c r="J3838" s="10" t="n">
        <v>252.21</v>
      </c>
      <c r="K3838" s="11" t="n">
        <v>0.1</v>
      </c>
      <c r="L3838" s="10">
        <f>I3838*J3838*(1-K3838)</f>
        <v/>
      </c>
      <c r="M3838" s="10" t="n">
        <v>180</v>
      </c>
      <c r="N3838" s="10">
        <f>L3838-M3838</f>
        <v/>
      </c>
    </row>
    <row r="3839">
      <c r="A3839" s="7" t="inlineStr">
        <is>
          <t>ORD-01036</t>
        </is>
      </c>
      <c r="B3839" s="8" t="n">
        <v>45708</v>
      </c>
      <c r="C3839" s="9" t="n">
        <v>45689</v>
      </c>
      <c r="D3839" s="7" t="n">
        <v>2025</v>
      </c>
      <c r="E3839" s="7" t="inlineStr">
        <is>
          <t>South</t>
        </is>
      </c>
      <c r="F3839" s="7" t="inlineStr">
        <is>
          <t>Office Supplies</t>
        </is>
      </c>
      <c r="G3839" s="7" t="inlineStr">
        <is>
          <t>Binder</t>
        </is>
      </c>
      <c r="H3839" s="7" t="inlineStr">
        <is>
          <t>Corporate</t>
        </is>
      </c>
      <c r="I3839" s="7" t="n">
        <v>11</v>
      </c>
      <c r="J3839" s="10" t="n">
        <v>8.369999999999999</v>
      </c>
      <c r="K3839" s="11" t="n">
        <v>0</v>
      </c>
      <c r="L3839" s="10">
        <f>I3839*J3839*(1-K3839)</f>
        <v/>
      </c>
      <c r="M3839" s="10" t="n">
        <v>35.2</v>
      </c>
      <c r="N3839" s="10">
        <f>L3839-M3839</f>
        <v/>
      </c>
    </row>
    <row r="3840">
      <c r="A3840" s="7" t="inlineStr">
        <is>
          <t>ORD-03368</t>
        </is>
      </c>
      <c r="B3840" s="8" t="n">
        <v>45708</v>
      </c>
      <c r="C3840" s="9" t="n">
        <v>45689</v>
      </c>
      <c r="D3840" s="7" t="n">
        <v>2025</v>
      </c>
      <c r="E3840" s="7" t="inlineStr">
        <is>
          <t>South</t>
        </is>
      </c>
      <c r="F3840" s="7" t="inlineStr">
        <is>
          <t>Furniture</t>
        </is>
      </c>
      <c r="G3840" s="7" t="inlineStr">
        <is>
          <t>Office Chair</t>
        </is>
      </c>
      <c r="H3840" s="7" t="inlineStr">
        <is>
          <t>Corporate</t>
        </is>
      </c>
      <c r="I3840" s="7" t="n">
        <v>2</v>
      </c>
      <c r="J3840" s="10" t="n">
        <v>223.67</v>
      </c>
      <c r="K3840" s="11" t="n">
        <v>0.3</v>
      </c>
      <c r="L3840" s="10">
        <f>I3840*J3840*(1-K3840)</f>
        <v/>
      </c>
      <c r="M3840" s="10" t="n">
        <v>360.8</v>
      </c>
      <c r="N3840" s="10">
        <f>L3840-M3840</f>
        <v/>
      </c>
    </row>
    <row r="3841">
      <c r="A3841" s="7" t="inlineStr">
        <is>
          <t>ORD-00492</t>
        </is>
      </c>
      <c r="B3841" s="8" t="n">
        <v>45709</v>
      </c>
      <c r="C3841" s="9" t="n">
        <v>45689</v>
      </c>
      <c r="D3841" s="7" t="n">
        <v>2025</v>
      </c>
      <c r="E3841" s="7" t="inlineStr">
        <is>
          <t>South</t>
        </is>
      </c>
      <c r="F3841" s="7" t="inlineStr">
        <is>
          <t>Office Supplies</t>
        </is>
      </c>
      <c r="G3841" s="7" t="inlineStr">
        <is>
          <t>Printer Ink</t>
        </is>
      </c>
      <c r="H3841" s="7" t="inlineStr">
        <is>
          <t>Consumer</t>
        </is>
      </c>
      <c r="I3841" s="7" t="n">
        <v>10</v>
      </c>
      <c r="J3841" s="10" t="n">
        <v>57.51</v>
      </c>
      <c r="K3841" s="11" t="n">
        <v>0</v>
      </c>
      <c r="L3841" s="10">
        <f>I3841*J3841*(1-K3841)</f>
        <v/>
      </c>
      <c r="M3841" s="10" t="n">
        <v>360</v>
      </c>
      <c r="N3841" s="10">
        <f>L3841-M3841</f>
        <v/>
      </c>
    </row>
    <row r="3842">
      <c r="A3842" s="7" t="inlineStr">
        <is>
          <t>ORD-03229</t>
        </is>
      </c>
      <c r="B3842" s="8" t="n">
        <v>45709</v>
      </c>
      <c r="C3842" s="9" t="n">
        <v>45689</v>
      </c>
      <c r="D3842" s="7" t="n">
        <v>2025</v>
      </c>
      <c r="E3842" s="7" t="inlineStr">
        <is>
          <t>South</t>
        </is>
      </c>
      <c r="F3842" s="7" t="inlineStr">
        <is>
          <t>Technology</t>
        </is>
      </c>
      <c r="G3842" s="7" t="inlineStr">
        <is>
          <t>Laptop</t>
        </is>
      </c>
      <c r="H3842" s="7" t="inlineStr">
        <is>
          <t>Consumer</t>
        </is>
      </c>
      <c r="I3842" s="7" t="n">
        <v>1</v>
      </c>
      <c r="J3842" s="10" t="n">
        <v>902.5</v>
      </c>
      <c r="K3842" s="11" t="n">
        <v>0.05</v>
      </c>
      <c r="L3842" s="10">
        <f>I3842*J3842*(1-K3842)</f>
        <v/>
      </c>
      <c r="M3842" s="10" t="n">
        <v>702</v>
      </c>
      <c r="N3842" s="10">
        <f>L3842-M3842</f>
        <v/>
      </c>
    </row>
    <row r="3843">
      <c r="A3843" s="7" t="inlineStr">
        <is>
          <t>ORD-01493</t>
        </is>
      </c>
      <c r="B3843" s="8" t="n">
        <v>45709</v>
      </c>
      <c r="C3843" s="9" t="n">
        <v>45689</v>
      </c>
      <c r="D3843" s="7" t="n">
        <v>2025</v>
      </c>
      <c r="E3843" s="7" t="inlineStr">
        <is>
          <t>South</t>
        </is>
      </c>
      <c r="F3843" s="7" t="inlineStr">
        <is>
          <t>Furniture</t>
        </is>
      </c>
      <c r="G3843" s="7" t="inlineStr">
        <is>
          <t>Office Chair</t>
        </is>
      </c>
      <c r="H3843" s="7" t="inlineStr">
        <is>
          <t>Home Office</t>
        </is>
      </c>
      <c r="I3843" s="7" t="n">
        <v>4</v>
      </c>
      <c r="J3843" s="10" t="n">
        <v>224.16</v>
      </c>
      <c r="K3843" s="11" t="n">
        <v>0</v>
      </c>
      <c r="L3843" s="10">
        <f>I3843*J3843*(1-K3843)</f>
        <v/>
      </c>
      <c r="M3843" s="10" t="n">
        <v>721.6</v>
      </c>
      <c r="N3843" s="10">
        <f>L3843-M3843</f>
        <v/>
      </c>
    </row>
    <row r="3844">
      <c r="A3844" s="7" t="inlineStr">
        <is>
          <t>ORD-03053</t>
        </is>
      </c>
      <c r="B3844" s="8" t="n">
        <v>45709</v>
      </c>
      <c r="C3844" s="9" t="n">
        <v>45689</v>
      </c>
      <c r="D3844" s="7" t="n">
        <v>2025</v>
      </c>
      <c r="E3844" s="7" t="inlineStr">
        <is>
          <t>North</t>
        </is>
      </c>
      <c r="F3844" s="7" t="inlineStr">
        <is>
          <t>Office Supplies</t>
        </is>
      </c>
      <c r="G3844" s="7" t="inlineStr">
        <is>
          <t>Pens</t>
        </is>
      </c>
      <c r="H3844" s="7" t="inlineStr">
        <is>
          <t>Corporate</t>
        </is>
      </c>
      <c r="I3844" s="7" t="n">
        <v>11</v>
      </c>
      <c r="J3844" s="10" t="n">
        <v>11.94</v>
      </c>
      <c r="K3844" s="11" t="n">
        <v>0.05</v>
      </c>
      <c r="L3844" s="10">
        <f>I3844*J3844*(1-K3844)</f>
        <v/>
      </c>
      <c r="M3844" s="10" t="n">
        <v>59.4</v>
      </c>
      <c r="N3844" s="10">
        <f>L3844-M3844</f>
        <v/>
      </c>
    </row>
    <row r="3845">
      <c r="A3845" s="7" t="inlineStr">
        <is>
          <t>ORD-02280</t>
        </is>
      </c>
      <c r="B3845" s="8" t="n">
        <v>45709</v>
      </c>
      <c r="C3845" s="9" t="n">
        <v>45689</v>
      </c>
      <c r="D3845" s="7" t="n">
        <v>2025</v>
      </c>
      <c r="E3845" s="7" t="inlineStr">
        <is>
          <t>East</t>
        </is>
      </c>
      <c r="F3845" s="7" t="inlineStr">
        <is>
          <t>Office Supplies</t>
        </is>
      </c>
      <c r="G3845" s="7" t="inlineStr">
        <is>
          <t>Pens</t>
        </is>
      </c>
      <c r="H3845" s="7" t="inlineStr">
        <is>
          <t>Consumer</t>
        </is>
      </c>
      <c r="I3845" s="7" t="n">
        <v>13</v>
      </c>
      <c r="J3845" s="10" t="n">
        <v>12.09</v>
      </c>
      <c r="K3845" s="11" t="n">
        <v>0.05</v>
      </c>
      <c r="L3845" s="10">
        <f>I3845*J3845*(1-K3845)</f>
        <v/>
      </c>
      <c r="M3845" s="10" t="n">
        <v>70.2</v>
      </c>
      <c r="N3845" s="10">
        <f>L3845-M3845</f>
        <v/>
      </c>
    </row>
    <row r="3846">
      <c r="A3846" s="7" t="inlineStr">
        <is>
          <t>ORD-03400</t>
        </is>
      </c>
      <c r="B3846" s="8" t="n">
        <v>45709</v>
      </c>
      <c r="C3846" s="9" t="n">
        <v>45689</v>
      </c>
      <c r="D3846" s="7" t="n">
        <v>2025</v>
      </c>
      <c r="E3846" s="7" t="inlineStr">
        <is>
          <t>South</t>
        </is>
      </c>
      <c r="F3846" s="7" t="inlineStr">
        <is>
          <t>Technology</t>
        </is>
      </c>
      <c r="G3846" s="7" t="inlineStr">
        <is>
          <t>Smartphone</t>
        </is>
      </c>
      <c r="H3846" s="7" t="inlineStr">
        <is>
          <t>Consumer</t>
        </is>
      </c>
      <c r="I3846" s="7" t="n">
        <v>3</v>
      </c>
      <c r="J3846" s="10" t="n">
        <v>578.14</v>
      </c>
      <c r="K3846" s="11" t="n">
        <v>0.1</v>
      </c>
      <c r="L3846" s="10">
        <f>I3846*J3846*(1-K3846)</f>
        <v/>
      </c>
      <c r="M3846" s="10" t="n">
        <v>1350</v>
      </c>
      <c r="N3846" s="10">
        <f>L3846-M3846</f>
        <v/>
      </c>
    </row>
    <row r="3847">
      <c r="A3847" s="7" t="inlineStr">
        <is>
          <t>ORD-04473</t>
        </is>
      </c>
      <c r="B3847" s="8" t="n">
        <v>45709</v>
      </c>
      <c r="C3847" s="9" t="n">
        <v>45689</v>
      </c>
      <c r="D3847" s="7" t="n">
        <v>2025</v>
      </c>
      <c r="E3847" s="7" t="inlineStr">
        <is>
          <t>South</t>
        </is>
      </c>
      <c r="F3847" s="7" t="inlineStr">
        <is>
          <t>Furniture</t>
        </is>
      </c>
      <c r="G3847" s="7" t="inlineStr">
        <is>
          <t>Bookcase</t>
        </is>
      </c>
      <c r="H3847" s="7" t="inlineStr">
        <is>
          <t>Consumer</t>
        </is>
      </c>
      <c r="I3847" s="7" t="n">
        <v>3</v>
      </c>
      <c r="J3847" s="10" t="n">
        <v>185.21</v>
      </c>
      <c r="K3847" s="11" t="n">
        <v>0</v>
      </c>
      <c r="L3847" s="10">
        <f>I3847*J3847*(1-K3847)</f>
        <v/>
      </c>
      <c r="M3847" s="10" t="n">
        <v>432</v>
      </c>
      <c r="N3847" s="10">
        <f>L3847-M3847</f>
        <v/>
      </c>
    </row>
    <row r="3848">
      <c r="A3848" s="7" t="inlineStr">
        <is>
          <t>ORD-02777</t>
        </is>
      </c>
      <c r="B3848" s="8" t="n">
        <v>45710</v>
      </c>
      <c r="C3848" s="9" t="n">
        <v>45689</v>
      </c>
      <c r="D3848" s="7" t="n">
        <v>2025</v>
      </c>
      <c r="E3848" s="7" t="inlineStr">
        <is>
          <t>East</t>
        </is>
      </c>
      <c r="F3848" s="7" t="inlineStr">
        <is>
          <t>Office Supplies</t>
        </is>
      </c>
      <c r="G3848" s="7" t="inlineStr">
        <is>
          <t>Paper</t>
        </is>
      </c>
      <c r="H3848" s="7" t="inlineStr">
        <is>
          <t>Corporate</t>
        </is>
      </c>
      <c r="I3848" s="7" t="n">
        <v>4</v>
      </c>
      <c r="J3848" s="10" t="n">
        <v>25.97</v>
      </c>
      <c r="K3848" s="11" t="n">
        <v>0.2</v>
      </c>
      <c r="L3848" s="10">
        <f>I3848*J3848*(1-K3848)</f>
        <v/>
      </c>
      <c r="M3848" s="10" t="n">
        <v>50</v>
      </c>
      <c r="N3848" s="10">
        <f>L3848-M3848</f>
        <v/>
      </c>
    </row>
    <row r="3849">
      <c r="A3849" s="7" t="inlineStr">
        <is>
          <t>ORD-00565</t>
        </is>
      </c>
      <c r="B3849" s="8" t="n">
        <v>45710</v>
      </c>
      <c r="C3849" s="9" t="n">
        <v>45689</v>
      </c>
      <c r="D3849" s="7" t="n">
        <v>2025</v>
      </c>
      <c r="E3849" s="7" t="inlineStr">
        <is>
          <t>East</t>
        </is>
      </c>
      <c r="F3849" s="7" t="inlineStr">
        <is>
          <t>Office Supplies</t>
        </is>
      </c>
      <c r="G3849" s="7" t="inlineStr">
        <is>
          <t>Binder</t>
        </is>
      </c>
      <c r="H3849" s="7" t="inlineStr">
        <is>
          <t>Consumer</t>
        </is>
      </c>
      <c r="I3849" s="7" t="n">
        <v>8</v>
      </c>
      <c r="J3849" s="10" t="n">
        <v>8.27</v>
      </c>
      <c r="K3849" s="11" t="n">
        <v>0</v>
      </c>
      <c r="L3849" s="10">
        <f>I3849*J3849*(1-K3849)</f>
        <v/>
      </c>
      <c r="M3849" s="10" t="n">
        <v>25.6</v>
      </c>
      <c r="N3849" s="10">
        <f>L3849-M3849</f>
        <v/>
      </c>
    </row>
    <row r="3850">
      <c r="A3850" s="7" t="inlineStr">
        <is>
          <t>ORD-04635</t>
        </is>
      </c>
      <c r="B3850" s="8" t="n">
        <v>45710</v>
      </c>
      <c r="C3850" s="9" t="n">
        <v>45689</v>
      </c>
      <c r="D3850" s="7" t="n">
        <v>2025</v>
      </c>
      <c r="E3850" s="7" t="inlineStr">
        <is>
          <t>South</t>
        </is>
      </c>
      <c r="F3850" s="7" t="inlineStr">
        <is>
          <t>Office Supplies</t>
        </is>
      </c>
      <c r="G3850" s="7" t="inlineStr">
        <is>
          <t>Paper</t>
        </is>
      </c>
      <c r="H3850" s="7" t="inlineStr">
        <is>
          <t>Corporate</t>
        </is>
      </c>
      <c r="I3850" s="7" t="n">
        <v>6</v>
      </c>
      <c r="J3850" s="10" t="n">
        <v>24.56</v>
      </c>
      <c r="K3850" s="11" t="n">
        <v>0.05</v>
      </c>
      <c r="L3850" s="10">
        <f>I3850*J3850*(1-K3850)</f>
        <v/>
      </c>
      <c r="M3850" s="10" t="n">
        <v>75</v>
      </c>
      <c r="N3850" s="10">
        <f>L3850-M3850</f>
        <v/>
      </c>
    </row>
    <row r="3851">
      <c r="A3851" s="7" t="inlineStr">
        <is>
          <t>ORD-03797</t>
        </is>
      </c>
      <c r="B3851" s="8" t="n">
        <v>45710</v>
      </c>
      <c r="C3851" s="9" t="n">
        <v>45689</v>
      </c>
      <c r="D3851" s="7" t="n">
        <v>2025</v>
      </c>
      <c r="E3851" s="7" t="inlineStr">
        <is>
          <t>West</t>
        </is>
      </c>
      <c r="F3851" s="7" t="inlineStr">
        <is>
          <t>Office Supplies</t>
        </is>
      </c>
      <c r="G3851" s="7" t="inlineStr">
        <is>
          <t>Pens</t>
        </is>
      </c>
      <c r="H3851" s="7" t="inlineStr">
        <is>
          <t>Consumer</t>
        </is>
      </c>
      <c r="I3851" s="7" t="n">
        <v>9</v>
      </c>
      <c r="J3851" s="10" t="n">
        <v>12.23</v>
      </c>
      <c r="K3851" s="11" t="n">
        <v>0.2</v>
      </c>
      <c r="L3851" s="10">
        <f>I3851*J3851*(1-K3851)</f>
        <v/>
      </c>
      <c r="M3851" s="10" t="n">
        <v>48.6</v>
      </c>
      <c r="N3851" s="10">
        <f>L3851-M3851</f>
        <v/>
      </c>
    </row>
    <row r="3852">
      <c r="A3852" s="7" t="inlineStr">
        <is>
          <t>ORD-04077</t>
        </is>
      </c>
      <c r="B3852" s="8" t="n">
        <v>45710</v>
      </c>
      <c r="C3852" s="9" t="n">
        <v>45689</v>
      </c>
      <c r="D3852" s="7" t="n">
        <v>2025</v>
      </c>
      <c r="E3852" s="7" t="inlineStr">
        <is>
          <t>East</t>
        </is>
      </c>
      <c r="F3852" s="7" t="inlineStr">
        <is>
          <t>Office Supplies</t>
        </is>
      </c>
      <c r="G3852" s="7" t="inlineStr">
        <is>
          <t>Pens</t>
        </is>
      </c>
      <c r="H3852" s="7" t="inlineStr">
        <is>
          <t>Consumer</t>
        </is>
      </c>
      <c r="I3852" s="7" t="n">
        <v>11</v>
      </c>
      <c r="J3852" s="10" t="n">
        <v>12.5</v>
      </c>
      <c r="K3852" s="11" t="n">
        <v>0.05</v>
      </c>
      <c r="L3852" s="10">
        <f>I3852*J3852*(1-K3852)</f>
        <v/>
      </c>
      <c r="M3852" s="10" t="n">
        <v>59.4</v>
      </c>
      <c r="N3852" s="10">
        <f>L3852-M3852</f>
        <v/>
      </c>
    </row>
    <row r="3853">
      <c r="A3853" s="7" t="inlineStr">
        <is>
          <t>ORD-00467</t>
        </is>
      </c>
      <c r="B3853" s="8" t="n">
        <v>45710</v>
      </c>
      <c r="C3853" s="9" t="n">
        <v>45689</v>
      </c>
      <c r="D3853" s="7" t="n">
        <v>2025</v>
      </c>
      <c r="E3853" s="7" t="inlineStr">
        <is>
          <t>West</t>
        </is>
      </c>
      <c r="F3853" s="7" t="inlineStr">
        <is>
          <t>Technology</t>
        </is>
      </c>
      <c r="G3853" s="7" t="inlineStr">
        <is>
          <t>Keyboard</t>
        </is>
      </c>
      <c r="H3853" s="7" t="inlineStr">
        <is>
          <t>Consumer</t>
        </is>
      </c>
      <c r="I3853" s="7" t="n">
        <v>1</v>
      </c>
      <c r="J3853" s="10" t="n">
        <v>45.33</v>
      </c>
      <c r="K3853" s="11" t="n">
        <v>0</v>
      </c>
      <c r="L3853" s="10">
        <f>I3853*J3853*(1-K3853)</f>
        <v/>
      </c>
      <c r="M3853" s="10" t="n">
        <v>24.75</v>
      </c>
      <c r="N3853" s="10">
        <f>L3853-M3853</f>
        <v/>
      </c>
    </row>
    <row r="3854">
      <c r="A3854" s="7" t="inlineStr">
        <is>
          <t>ORD-02906</t>
        </is>
      </c>
      <c r="B3854" s="8" t="n">
        <v>45710</v>
      </c>
      <c r="C3854" s="9" t="n">
        <v>45689</v>
      </c>
      <c r="D3854" s="7" t="n">
        <v>2025</v>
      </c>
      <c r="E3854" s="7" t="inlineStr">
        <is>
          <t>West</t>
        </is>
      </c>
      <c r="F3854" s="7" t="inlineStr">
        <is>
          <t>Technology</t>
        </is>
      </c>
      <c r="G3854" s="7" t="inlineStr">
        <is>
          <t>Laptop</t>
        </is>
      </c>
      <c r="H3854" s="7" t="inlineStr">
        <is>
          <t>Corporate</t>
        </is>
      </c>
      <c r="I3854" s="7" t="n">
        <v>2</v>
      </c>
      <c r="J3854" s="10" t="n">
        <v>910.98</v>
      </c>
      <c r="K3854" s="11" t="n">
        <v>0</v>
      </c>
      <c r="L3854" s="10">
        <f>I3854*J3854*(1-K3854)</f>
        <v/>
      </c>
      <c r="M3854" s="10" t="n">
        <v>1404</v>
      </c>
      <c r="N3854" s="10">
        <f>L3854-M3854</f>
        <v/>
      </c>
    </row>
    <row r="3855">
      <c r="A3855" s="7" t="inlineStr">
        <is>
          <t>ORD-03938</t>
        </is>
      </c>
      <c r="B3855" s="8" t="n">
        <v>45710</v>
      </c>
      <c r="C3855" s="9" t="n">
        <v>45689</v>
      </c>
      <c r="D3855" s="7" t="n">
        <v>2025</v>
      </c>
      <c r="E3855" s="7" t="inlineStr">
        <is>
          <t>West</t>
        </is>
      </c>
      <c r="F3855" s="7" t="inlineStr">
        <is>
          <t>Technology</t>
        </is>
      </c>
      <c r="G3855" s="7" t="inlineStr">
        <is>
          <t>Monitor</t>
        </is>
      </c>
      <c r="H3855" s="7" t="inlineStr">
        <is>
          <t>Corporate</t>
        </is>
      </c>
      <c r="I3855" s="7" t="n">
        <v>1</v>
      </c>
      <c r="J3855" s="10" t="n">
        <v>261.1</v>
      </c>
      <c r="K3855" s="11" t="n">
        <v>0</v>
      </c>
      <c r="L3855" s="10">
        <f>I3855*J3855*(1-K3855)</f>
        <v/>
      </c>
      <c r="M3855" s="10" t="n">
        <v>180</v>
      </c>
      <c r="N3855" s="10">
        <f>L3855-M3855</f>
        <v/>
      </c>
    </row>
    <row r="3856">
      <c r="A3856" s="7" t="inlineStr">
        <is>
          <t>ORD-05165</t>
        </is>
      </c>
      <c r="B3856" s="8" t="n">
        <v>45710</v>
      </c>
      <c r="C3856" s="9" t="n">
        <v>45689</v>
      </c>
      <c r="D3856" s="7" t="n">
        <v>2025</v>
      </c>
      <c r="E3856" s="7" t="inlineStr">
        <is>
          <t>North</t>
        </is>
      </c>
      <c r="F3856" s="7" t="inlineStr">
        <is>
          <t>Furniture</t>
        </is>
      </c>
      <c r="G3856" s="7" t="inlineStr">
        <is>
          <t>Office Chair</t>
        </is>
      </c>
      <c r="H3856" s="7" t="inlineStr">
        <is>
          <t>Corporate</t>
        </is>
      </c>
      <c r="I3856" s="7" t="n">
        <v>4</v>
      </c>
      <c r="J3856" s="10" t="n">
        <v>225.28</v>
      </c>
      <c r="K3856" s="11" t="n">
        <v>0.2</v>
      </c>
      <c r="L3856" s="10">
        <f>I3856*J3856*(1-K3856)</f>
        <v/>
      </c>
      <c r="M3856" s="10" t="n">
        <v>721.6</v>
      </c>
      <c r="N3856" s="10">
        <f>L3856-M3856</f>
        <v/>
      </c>
    </row>
    <row r="3857">
      <c r="A3857" s="7" t="inlineStr">
        <is>
          <t>ORD-03204</t>
        </is>
      </c>
      <c r="B3857" s="8" t="n">
        <v>45711</v>
      </c>
      <c r="C3857" s="9" t="n">
        <v>45689</v>
      </c>
      <c r="D3857" s="7" t="n">
        <v>2025</v>
      </c>
      <c r="E3857" s="7" t="inlineStr">
        <is>
          <t>East</t>
        </is>
      </c>
      <c r="F3857" s="7" t="inlineStr">
        <is>
          <t>Office Supplies</t>
        </is>
      </c>
      <c r="G3857" s="7" t="inlineStr">
        <is>
          <t>Paper</t>
        </is>
      </c>
      <c r="H3857" s="7" t="inlineStr">
        <is>
          <t>Corporate</t>
        </is>
      </c>
      <c r="I3857" s="7" t="n">
        <v>2</v>
      </c>
      <c r="J3857" s="10" t="n">
        <v>24.38</v>
      </c>
      <c r="K3857" s="11" t="n">
        <v>0</v>
      </c>
      <c r="L3857" s="10">
        <f>I3857*J3857*(1-K3857)</f>
        <v/>
      </c>
      <c r="M3857" s="10" t="n">
        <v>25</v>
      </c>
      <c r="N3857" s="10">
        <f>L3857-M3857</f>
        <v/>
      </c>
    </row>
    <row r="3858">
      <c r="A3858" s="7" t="inlineStr">
        <is>
          <t>ORD-02837</t>
        </is>
      </c>
      <c r="B3858" s="8" t="n">
        <v>45711</v>
      </c>
      <c r="C3858" s="9" t="n">
        <v>45689</v>
      </c>
      <c r="D3858" s="7" t="n">
        <v>2025</v>
      </c>
      <c r="E3858" s="7" t="inlineStr">
        <is>
          <t>South</t>
        </is>
      </c>
      <c r="F3858" s="7" t="inlineStr">
        <is>
          <t>Office Supplies</t>
        </is>
      </c>
      <c r="G3858" s="7" t="inlineStr">
        <is>
          <t>Pens</t>
        </is>
      </c>
      <c r="H3858" s="7" t="inlineStr">
        <is>
          <t>Corporate</t>
        </is>
      </c>
      <c r="I3858" s="7" t="n">
        <v>2</v>
      </c>
      <c r="J3858" s="10" t="n">
        <v>12.32</v>
      </c>
      <c r="K3858" s="11" t="n">
        <v>0.1</v>
      </c>
      <c r="L3858" s="10">
        <f>I3858*J3858*(1-K3858)</f>
        <v/>
      </c>
      <c r="M3858" s="10" t="n">
        <v>10.8</v>
      </c>
      <c r="N3858" s="10">
        <f>L3858-M3858</f>
        <v/>
      </c>
    </row>
    <row r="3859">
      <c r="A3859" s="7" t="inlineStr">
        <is>
          <t>ORD-00122</t>
        </is>
      </c>
      <c r="B3859" s="8" t="n">
        <v>45711</v>
      </c>
      <c r="C3859" s="9" t="n">
        <v>45689</v>
      </c>
      <c r="D3859" s="7" t="n">
        <v>2025</v>
      </c>
      <c r="E3859" s="7" t="inlineStr">
        <is>
          <t>East</t>
        </is>
      </c>
      <c r="F3859" s="7" t="inlineStr">
        <is>
          <t>Furniture</t>
        </is>
      </c>
      <c r="G3859" s="7" t="inlineStr">
        <is>
          <t>Office Chair</t>
        </is>
      </c>
      <c r="H3859" s="7" t="inlineStr">
        <is>
          <t>Corporate</t>
        </is>
      </c>
      <c r="I3859" s="7" t="n">
        <v>1</v>
      </c>
      <c r="J3859" s="10" t="n">
        <v>220.04</v>
      </c>
      <c r="K3859" s="11" t="n">
        <v>0.2</v>
      </c>
      <c r="L3859" s="10">
        <f>I3859*J3859*(1-K3859)</f>
        <v/>
      </c>
      <c r="M3859" s="10" t="n">
        <v>180.4</v>
      </c>
      <c r="N3859" s="10">
        <f>L3859-M3859</f>
        <v/>
      </c>
    </row>
    <row r="3860">
      <c r="A3860" s="7" t="inlineStr">
        <is>
          <t>ORD-00412</t>
        </is>
      </c>
      <c r="B3860" s="8" t="n">
        <v>45712</v>
      </c>
      <c r="C3860" s="9" t="n">
        <v>45689</v>
      </c>
      <c r="D3860" s="7" t="n">
        <v>2025</v>
      </c>
      <c r="E3860" s="7" t="inlineStr">
        <is>
          <t>South</t>
        </is>
      </c>
      <c r="F3860" s="7" t="inlineStr">
        <is>
          <t>Office Supplies</t>
        </is>
      </c>
      <c r="G3860" s="7" t="inlineStr">
        <is>
          <t>Binder</t>
        </is>
      </c>
      <c r="H3860" s="7" t="inlineStr">
        <is>
          <t>Corporate</t>
        </is>
      </c>
      <c r="I3860" s="7" t="n">
        <v>15</v>
      </c>
      <c r="J3860" s="10" t="n">
        <v>7.83</v>
      </c>
      <c r="K3860" s="11" t="n">
        <v>0</v>
      </c>
      <c r="L3860" s="10">
        <f>I3860*J3860*(1-K3860)</f>
        <v/>
      </c>
      <c r="M3860" s="10" t="n">
        <v>48</v>
      </c>
      <c r="N3860" s="10">
        <f>L3860-M3860</f>
        <v/>
      </c>
    </row>
    <row r="3861">
      <c r="A3861" s="7" t="inlineStr">
        <is>
          <t>ORD-05727</t>
        </is>
      </c>
      <c r="B3861" s="8" t="n">
        <v>45712</v>
      </c>
      <c r="C3861" s="9" t="n">
        <v>45689</v>
      </c>
      <c r="D3861" s="7" t="n">
        <v>2025</v>
      </c>
      <c r="E3861" s="7" t="inlineStr">
        <is>
          <t>East</t>
        </is>
      </c>
      <c r="F3861" s="7" t="inlineStr">
        <is>
          <t>Office Supplies</t>
        </is>
      </c>
      <c r="G3861" s="7" t="inlineStr">
        <is>
          <t>Binder</t>
        </is>
      </c>
      <c r="H3861" s="7" t="inlineStr">
        <is>
          <t>Consumer</t>
        </is>
      </c>
      <c r="I3861" s="7" t="n">
        <v>13</v>
      </c>
      <c r="J3861" s="10" t="n">
        <v>7.87</v>
      </c>
      <c r="K3861" s="11" t="n">
        <v>0</v>
      </c>
      <c r="L3861" s="10">
        <f>I3861*J3861*(1-K3861)</f>
        <v/>
      </c>
      <c r="M3861" s="10" t="n">
        <v>41.6</v>
      </c>
      <c r="N3861" s="10">
        <f>L3861-M3861</f>
        <v/>
      </c>
    </row>
    <row r="3862">
      <c r="A3862" s="7" t="inlineStr">
        <is>
          <t>ORD-05375</t>
        </is>
      </c>
      <c r="B3862" s="8" t="n">
        <v>45712</v>
      </c>
      <c r="C3862" s="9" t="n">
        <v>45689</v>
      </c>
      <c r="D3862" s="7" t="n">
        <v>2025</v>
      </c>
      <c r="E3862" s="7" t="inlineStr">
        <is>
          <t>West</t>
        </is>
      </c>
      <c r="F3862" s="7" t="inlineStr">
        <is>
          <t>Office Supplies</t>
        </is>
      </c>
      <c r="G3862" s="7" t="inlineStr">
        <is>
          <t>Paper</t>
        </is>
      </c>
      <c r="H3862" s="7" t="inlineStr">
        <is>
          <t>Consumer</t>
        </is>
      </c>
      <c r="I3862" s="7" t="n">
        <v>11</v>
      </c>
      <c r="J3862" s="10" t="n">
        <v>24.5</v>
      </c>
      <c r="K3862" s="11" t="n">
        <v>0</v>
      </c>
      <c r="L3862" s="10">
        <f>I3862*J3862*(1-K3862)</f>
        <v/>
      </c>
      <c r="M3862" s="10" t="n">
        <v>137.5</v>
      </c>
      <c r="N3862" s="10">
        <f>L3862-M3862</f>
        <v/>
      </c>
    </row>
    <row r="3863">
      <c r="A3863" s="7" t="inlineStr">
        <is>
          <t>ORD-02972</t>
        </is>
      </c>
      <c r="B3863" s="8" t="n">
        <v>45713</v>
      </c>
      <c r="C3863" s="9" t="n">
        <v>45689</v>
      </c>
      <c r="D3863" s="7" t="n">
        <v>2025</v>
      </c>
      <c r="E3863" s="7" t="inlineStr">
        <is>
          <t>East</t>
        </is>
      </c>
      <c r="F3863" s="7" t="inlineStr">
        <is>
          <t>Furniture</t>
        </is>
      </c>
      <c r="G3863" s="7" t="inlineStr">
        <is>
          <t>Sofa</t>
        </is>
      </c>
      <c r="H3863" s="7" t="inlineStr">
        <is>
          <t>Corporate</t>
        </is>
      </c>
      <c r="I3863" s="7" t="n">
        <v>1</v>
      </c>
      <c r="J3863" s="10" t="n">
        <v>725.11</v>
      </c>
      <c r="K3863" s="11" t="n">
        <v>0.1</v>
      </c>
      <c r="L3863" s="10">
        <f>I3863*J3863*(1-K3863)</f>
        <v/>
      </c>
      <c r="M3863" s="10" t="n">
        <v>616</v>
      </c>
      <c r="N3863" s="10">
        <f>L3863-M3863</f>
        <v/>
      </c>
    </row>
    <row r="3864">
      <c r="A3864" s="7" t="inlineStr">
        <is>
          <t>ORD-02004</t>
        </is>
      </c>
      <c r="B3864" s="8" t="n">
        <v>45713</v>
      </c>
      <c r="C3864" s="9" t="n">
        <v>45689</v>
      </c>
      <c r="D3864" s="7" t="n">
        <v>2025</v>
      </c>
      <c r="E3864" s="7" t="inlineStr">
        <is>
          <t>West</t>
        </is>
      </c>
      <c r="F3864" s="7" t="inlineStr">
        <is>
          <t>Technology</t>
        </is>
      </c>
      <c r="G3864" s="7" t="inlineStr">
        <is>
          <t>Keyboard</t>
        </is>
      </c>
      <c r="H3864" s="7" t="inlineStr">
        <is>
          <t>Consumer</t>
        </is>
      </c>
      <c r="I3864" s="7" t="n">
        <v>3</v>
      </c>
      <c r="J3864" s="10" t="n">
        <v>46.2</v>
      </c>
      <c r="K3864" s="11" t="n">
        <v>0</v>
      </c>
      <c r="L3864" s="10">
        <f>I3864*J3864*(1-K3864)</f>
        <v/>
      </c>
      <c r="M3864" s="10" t="n">
        <v>74.25</v>
      </c>
      <c r="N3864" s="10">
        <f>L3864-M3864</f>
        <v/>
      </c>
    </row>
    <row r="3865">
      <c r="A3865" s="7" t="inlineStr">
        <is>
          <t>ORD-02021</t>
        </is>
      </c>
      <c r="B3865" s="8" t="n">
        <v>45713</v>
      </c>
      <c r="C3865" s="9" t="n">
        <v>45689</v>
      </c>
      <c r="D3865" s="7" t="n">
        <v>2025</v>
      </c>
      <c r="E3865" s="7" t="inlineStr">
        <is>
          <t>West</t>
        </is>
      </c>
      <c r="F3865" s="7" t="inlineStr">
        <is>
          <t>Office Supplies</t>
        </is>
      </c>
      <c r="G3865" s="7" t="inlineStr">
        <is>
          <t>Printer Ink</t>
        </is>
      </c>
      <c r="H3865" s="7" t="inlineStr">
        <is>
          <t>Corporate</t>
        </is>
      </c>
      <c r="I3865" s="7" t="n">
        <v>6</v>
      </c>
      <c r="J3865" s="10" t="n">
        <v>61.16</v>
      </c>
      <c r="K3865" s="11" t="n">
        <v>0.1</v>
      </c>
      <c r="L3865" s="10">
        <f>I3865*J3865*(1-K3865)</f>
        <v/>
      </c>
      <c r="M3865" s="10" t="n">
        <v>216</v>
      </c>
      <c r="N3865" s="10">
        <f>L3865-M3865</f>
        <v/>
      </c>
    </row>
    <row r="3866">
      <c r="A3866" s="7" t="inlineStr">
        <is>
          <t>ORD-05354</t>
        </is>
      </c>
      <c r="B3866" s="8" t="n">
        <v>45713</v>
      </c>
      <c r="C3866" s="9" t="n">
        <v>45689</v>
      </c>
      <c r="D3866" s="7" t="n">
        <v>2025</v>
      </c>
      <c r="E3866" s="7" t="inlineStr">
        <is>
          <t>West</t>
        </is>
      </c>
      <c r="F3866" s="7" t="inlineStr">
        <is>
          <t>Technology</t>
        </is>
      </c>
      <c r="G3866" s="7" t="inlineStr">
        <is>
          <t>Laptop</t>
        </is>
      </c>
      <c r="H3866" s="7" t="inlineStr">
        <is>
          <t>Consumer</t>
        </is>
      </c>
      <c r="I3866" s="7" t="n">
        <v>1</v>
      </c>
      <c r="J3866" s="10" t="n">
        <v>936.88</v>
      </c>
      <c r="K3866" s="11" t="n">
        <v>0.2</v>
      </c>
      <c r="L3866" s="10">
        <f>I3866*J3866*(1-K3866)</f>
        <v/>
      </c>
      <c r="M3866" s="10" t="n">
        <v>702</v>
      </c>
      <c r="N3866" s="10">
        <f>L3866-M3866</f>
        <v/>
      </c>
    </row>
    <row r="3867">
      <c r="A3867" s="7" t="inlineStr">
        <is>
          <t>ORD-05261</t>
        </is>
      </c>
      <c r="B3867" s="8" t="n">
        <v>45713</v>
      </c>
      <c r="C3867" s="9" t="n">
        <v>45689</v>
      </c>
      <c r="D3867" s="7" t="n">
        <v>2025</v>
      </c>
      <c r="E3867" s="7" t="inlineStr">
        <is>
          <t>East</t>
        </is>
      </c>
      <c r="F3867" s="7" t="inlineStr">
        <is>
          <t>Office Supplies</t>
        </is>
      </c>
      <c r="G3867" s="7" t="inlineStr">
        <is>
          <t>Pens</t>
        </is>
      </c>
      <c r="H3867" s="7" t="inlineStr">
        <is>
          <t>Corporate</t>
        </is>
      </c>
      <c r="I3867" s="7" t="n">
        <v>12</v>
      </c>
      <c r="J3867" s="10" t="n">
        <v>11.89</v>
      </c>
      <c r="K3867" s="11" t="n">
        <v>0.05</v>
      </c>
      <c r="L3867" s="10">
        <f>I3867*J3867*(1-K3867)</f>
        <v/>
      </c>
      <c r="M3867" s="10" t="n">
        <v>64.8</v>
      </c>
      <c r="N3867" s="10">
        <f>L3867-M3867</f>
        <v/>
      </c>
    </row>
    <row r="3868">
      <c r="A3868" s="7" t="inlineStr">
        <is>
          <t>ORD-04027</t>
        </is>
      </c>
      <c r="B3868" s="8" t="n">
        <v>45714</v>
      </c>
      <c r="C3868" s="9" t="n">
        <v>45689</v>
      </c>
      <c r="D3868" s="7" t="n">
        <v>2025</v>
      </c>
      <c r="E3868" s="7" t="inlineStr">
        <is>
          <t>North</t>
        </is>
      </c>
      <c r="F3868" s="7" t="inlineStr">
        <is>
          <t>Furniture</t>
        </is>
      </c>
      <c r="G3868" s="7" t="inlineStr">
        <is>
          <t>Bookcase</t>
        </is>
      </c>
      <c r="H3868" s="7" t="inlineStr">
        <is>
          <t>Home Office</t>
        </is>
      </c>
      <c r="I3868" s="7" t="n">
        <v>3</v>
      </c>
      <c r="J3868" s="10" t="n">
        <v>184.41</v>
      </c>
      <c r="K3868" s="11" t="n">
        <v>0.3</v>
      </c>
      <c r="L3868" s="10">
        <f>I3868*J3868*(1-K3868)</f>
        <v/>
      </c>
      <c r="M3868" s="10" t="n">
        <v>432</v>
      </c>
      <c r="N3868" s="10">
        <f>L3868-M3868</f>
        <v/>
      </c>
    </row>
    <row r="3869">
      <c r="A3869" s="7" t="inlineStr">
        <is>
          <t>ORD-00251</t>
        </is>
      </c>
      <c r="B3869" s="8" t="n">
        <v>45714</v>
      </c>
      <c r="C3869" s="9" t="n">
        <v>45689</v>
      </c>
      <c r="D3869" s="7" t="n">
        <v>2025</v>
      </c>
      <c r="E3869" s="7" t="inlineStr">
        <is>
          <t>North</t>
        </is>
      </c>
      <c r="F3869" s="7" t="inlineStr">
        <is>
          <t>Technology</t>
        </is>
      </c>
      <c r="G3869" s="7" t="inlineStr">
        <is>
          <t>Keyboard</t>
        </is>
      </c>
      <c r="H3869" s="7" t="inlineStr">
        <is>
          <t>Consumer</t>
        </is>
      </c>
      <c r="I3869" s="7" t="n">
        <v>1</v>
      </c>
      <c r="J3869" s="10" t="n">
        <v>45.23</v>
      </c>
      <c r="K3869" s="11" t="n">
        <v>0.05</v>
      </c>
      <c r="L3869" s="10">
        <f>I3869*J3869*(1-K3869)</f>
        <v/>
      </c>
      <c r="M3869" s="10" t="n">
        <v>24.75</v>
      </c>
      <c r="N3869" s="10">
        <f>L3869-M3869</f>
        <v/>
      </c>
    </row>
    <row r="3870">
      <c r="A3870" s="7" t="inlineStr">
        <is>
          <t>ORD-01377</t>
        </is>
      </c>
      <c r="B3870" s="8" t="n">
        <v>45714</v>
      </c>
      <c r="C3870" s="9" t="n">
        <v>45689</v>
      </c>
      <c r="D3870" s="7" t="n">
        <v>2025</v>
      </c>
      <c r="E3870" s="7" t="inlineStr">
        <is>
          <t>West</t>
        </is>
      </c>
      <c r="F3870" s="7" t="inlineStr">
        <is>
          <t>Furniture</t>
        </is>
      </c>
      <c r="G3870" s="7" t="inlineStr">
        <is>
          <t>Bookcase</t>
        </is>
      </c>
      <c r="H3870" s="7" t="inlineStr">
        <is>
          <t>Consumer</t>
        </is>
      </c>
      <c r="I3870" s="7" t="n">
        <v>4</v>
      </c>
      <c r="J3870" s="10" t="n">
        <v>181.77</v>
      </c>
      <c r="K3870" s="11" t="n">
        <v>0.2</v>
      </c>
      <c r="L3870" s="10">
        <f>I3870*J3870*(1-K3870)</f>
        <v/>
      </c>
      <c r="M3870" s="10" t="n">
        <v>576</v>
      </c>
      <c r="N3870" s="10">
        <f>L3870-M3870</f>
        <v/>
      </c>
    </row>
    <row r="3871">
      <c r="A3871" s="7" t="inlineStr">
        <is>
          <t>ORD-05950</t>
        </is>
      </c>
      <c r="B3871" s="8" t="n">
        <v>45714</v>
      </c>
      <c r="C3871" s="9" t="n">
        <v>45689</v>
      </c>
      <c r="D3871" s="7" t="n">
        <v>2025</v>
      </c>
      <c r="E3871" s="7" t="inlineStr">
        <is>
          <t>East</t>
        </is>
      </c>
      <c r="F3871" s="7" t="inlineStr">
        <is>
          <t>Office Supplies</t>
        </is>
      </c>
      <c r="G3871" s="7" t="inlineStr">
        <is>
          <t>Binder</t>
        </is>
      </c>
      <c r="H3871" s="7" t="inlineStr">
        <is>
          <t>Home Office</t>
        </is>
      </c>
      <c r="I3871" s="7" t="n">
        <v>5</v>
      </c>
      <c r="J3871" s="10" t="n">
        <v>7.85</v>
      </c>
      <c r="K3871" s="11" t="n">
        <v>0.2</v>
      </c>
      <c r="L3871" s="10">
        <f>I3871*J3871*(1-K3871)</f>
        <v/>
      </c>
      <c r="M3871" s="10" t="n">
        <v>16</v>
      </c>
      <c r="N3871" s="10">
        <f>L3871-M3871</f>
        <v/>
      </c>
    </row>
    <row r="3872">
      <c r="A3872" s="7" t="inlineStr">
        <is>
          <t>ORD-01162</t>
        </is>
      </c>
      <c r="B3872" s="8" t="n">
        <v>45714</v>
      </c>
      <c r="C3872" s="9" t="n">
        <v>45689</v>
      </c>
      <c r="D3872" s="7" t="n">
        <v>2025</v>
      </c>
      <c r="E3872" s="7" t="inlineStr">
        <is>
          <t>East</t>
        </is>
      </c>
      <c r="F3872" s="7" t="inlineStr">
        <is>
          <t>Office Supplies</t>
        </is>
      </c>
      <c r="G3872" s="7" t="inlineStr">
        <is>
          <t>Pens</t>
        </is>
      </c>
      <c r="H3872" s="7" t="inlineStr">
        <is>
          <t>Consumer</t>
        </is>
      </c>
      <c r="I3872" s="7" t="n">
        <v>11</v>
      </c>
      <c r="J3872" s="10" t="n">
        <v>12.42</v>
      </c>
      <c r="K3872" s="11" t="n">
        <v>0</v>
      </c>
      <c r="L3872" s="10">
        <f>I3872*J3872*(1-K3872)</f>
        <v/>
      </c>
      <c r="M3872" s="10" t="n">
        <v>59.4</v>
      </c>
      <c r="N3872" s="10">
        <f>L3872-M3872</f>
        <v/>
      </c>
    </row>
    <row r="3873">
      <c r="A3873" s="7" t="inlineStr">
        <is>
          <t>ORD-03980</t>
        </is>
      </c>
      <c r="B3873" s="8" t="n">
        <v>45714</v>
      </c>
      <c r="C3873" s="9" t="n">
        <v>45689</v>
      </c>
      <c r="D3873" s="7" t="n">
        <v>2025</v>
      </c>
      <c r="E3873" s="7" t="inlineStr">
        <is>
          <t>West</t>
        </is>
      </c>
      <c r="F3873" s="7" t="inlineStr">
        <is>
          <t>Technology</t>
        </is>
      </c>
      <c r="G3873" s="7" t="inlineStr">
        <is>
          <t>Keyboard</t>
        </is>
      </c>
      <c r="H3873" s="7" t="inlineStr">
        <is>
          <t>Home Office</t>
        </is>
      </c>
      <c r="I3873" s="7" t="n">
        <v>2</v>
      </c>
      <c r="J3873" s="10" t="n">
        <v>44.02</v>
      </c>
      <c r="K3873" s="11" t="n">
        <v>0</v>
      </c>
      <c r="L3873" s="10">
        <f>I3873*J3873*(1-K3873)</f>
        <v/>
      </c>
      <c r="M3873" s="10" t="n">
        <v>49.5</v>
      </c>
      <c r="N3873" s="10">
        <f>L3873-M3873</f>
        <v/>
      </c>
    </row>
    <row r="3874">
      <c r="A3874" s="7" t="inlineStr">
        <is>
          <t>ORD-04604</t>
        </is>
      </c>
      <c r="B3874" s="8" t="n">
        <v>45714</v>
      </c>
      <c r="C3874" s="9" t="n">
        <v>45689</v>
      </c>
      <c r="D3874" s="7" t="n">
        <v>2025</v>
      </c>
      <c r="E3874" s="7" t="inlineStr">
        <is>
          <t>South</t>
        </is>
      </c>
      <c r="F3874" s="7" t="inlineStr">
        <is>
          <t>Office Supplies</t>
        </is>
      </c>
      <c r="G3874" s="7" t="inlineStr">
        <is>
          <t>Binder</t>
        </is>
      </c>
      <c r="H3874" s="7" t="inlineStr">
        <is>
          <t>Consumer</t>
        </is>
      </c>
      <c r="I3874" s="7" t="n">
        <v>2</v>
      </c>
      <c r="J3874" s="10" t="n">
        <v>7.65</v>
      </c>
      <c r="K3874" s="11" t="n">
        <v>0</v>
      </c>
      <c r="L3874" s="10">
        <f>I3874*J3874*(1-K3874)</f>
        <v/>
      </c>
      <c r="M3874" s="10" t="n">
        <v>6.4</v>
      </c>
      <c r="N3874" s="10">
        <f>L3874-M3874</f>
        <v/>
      </c>
    </row>
    <row r="3875">
      <c r="A3875" s="7" t="inlineStr">
        <is>
          <t>ORD-05614</t>
        </is>
      </c>
      <c r="B3875" s="8" t="n">
        <v>45714</v>
      </c>
      <c r="C3875" s="9" t="n">
        <v>45689</v>
      </c>
      <c r="D3875" s="7" t="n">
        <v>2025</v>
      </c>
      <c r="E3875" s="7" t="inlineStr">
        <is>
          <t>South</t>
        </is>
      </c>
      <c r="F3875" s="7" t="inlineStr">
        <is>
          <t>Office Supplies</t>
        </is>
      </c>
      <c r="G3875" s="7" t="inlineStr">
        <is>
          <t>Pens</t>
        </is>
      </c>
      <c r="H3875" s="7" t="inlineStr">
        <is>
          <t>Corporate</t>
        </is>
      </c>
      <c r="I3875" s="7" t="n">
        <v>8</v>
      </c>
      <c r="J3875" s="10" t="n">
        <v>11.81</v>
      </c>
      <c r="K3875" s="11" t="n">
        <v>0</v>
      </c>
      <c r="L3875" s="10">
        <f>I3875*J3875*(1-K3875)</f>
        <v/>
      </c>
      <c r="M3875" s="10" t="n">
        <v>43.2</v>
      </c>
      <c r="N3875" s="10">
        <f>L3875-M3875</f>
        <v/>
      </c>
    </row>
    <row r="3876">
      <c r="A3876" s="7" t="inlineStr">
        <is>
          <t>ORD-00719</t>
        </is>
      </c>
      <c r="B3876" s="8" t="n">
        <v>45715</v>
      </c>
      <c r="C3876" s="9" t="n">
        <v>45689</v>
      </c>
      <c r="D3876" s="7" t="n">
        <v>2025</v>
      </c>
      <c r="E3876" s="7" t="inlineStr">
        <is>
          <t>South</t>
        </is>
      </c>
      <c r="F3876" s="7" t="inlineStr">
        <is>
          <t>Technology</t>
        </is>
      </c>
      <c r="G3876" s="7" t="inlineStr">
        <is>
          <t>Headphones</t>
        </is>
      </c>
      <c r="H3876" s="7" t="inlineStr">
        <is>
          <t>Consumer</t>
        </is>
      </c>
      <c r="I3876" s="7" t="n">
        <v>2</v>
      </c>
      <c r="J3876" s="10" t="n">
        <v>124.58</v>
      </c>
      <c r="K3876" s="11" t="n">
        <v>0</v>
      </c>
      <c r="L3876" s="10">
        <f>I3876*J3876*(1-K3876)</f>
        <v/>
      </c>
      <c r="M3876" s="10" t="n">
        <v>144</v>
      </c>
      <c r="N3876" s="10">
        <f>L3876-M3876</f>
        <v/>
      </c>
    </row>
    <row r="3877">
      <c r="A3877" s="7" t="inlineStr">
        <is>
          <t>ORD-00906</t>
        </is>
      </c>
      <c r="B3877" s="8" t="n">
        <v>45715</v>
      </c>
      <c r="C3877" s="9" t="n">
        <v>45689</v>
      </c>
      <c r="D3877" s="7" t="n">
        <v>2025</v>
      </c>
      <c r="E3877" s="7" t="inlineStr">
        <is>
          <t>South</t>
        </is>
      </c>
      <c r="F3877" s="7" t="inlineStr">
        <is>
          <t>Office Supplies</t>
        </is>
      </c>
      <c r="G3877" s="7" t="inlineStr">
        <is>
          <t>Pens</t>
        </is>
      </c>
      <c r="H3877" s="7" t="inlineStr">
        <is>
          <t>Home Office</t>
        </is>
      </c>
      <c r="I3877" s="7" t="n">
        <v>6</v>
      </c>
      <c r="J3877" s="10" t="n">
        <v>12.2</v>
      </c>
      <c r="K3877" s="11" t="n">
        <v>0</v>
      </c>
      <c r="L3877" s="10">
        <f>I3877*J3877*(1-K3877)</f>
        <v/>
      </c>
      <c r="M3877" s="10" t="n">
        <v>32.4</v>
      </c>
      <c r="N3877" s="10">
        <f>L3877-M3877</f>
        <v/>
      </c>
    </row>
    <row r="3878">
      <c r="A3878" s="7" t="inlineStr">
        <is>
          <t>ORD-01129</t>
        </is>
      </c>
      <c r="B3878" s="8" t="n">
        <v>45715</v>
      </c>
      <c r="C3878" s="9" t="n">
        <v>45689</v>
      </c>
      <c r="D3878" s="7" t="n">
        <v>2025</v>
      </c>
      <c r="E3878" s="7" t="inlineStr">
        <is>
          <t>North</t>
        </is>
      </c>
      <c r="F3878" s="7" t="inlineStr">
        <is>
          <t>Technology</t>
        </is>
      </c>
      <c r="G3878" s="7" t="inlineStr">
        <is>
          <t>Keyboard</t>
        </is>
      </c>
      <c r="H3878" s="7" t="inlineStr">
        <is>
          <t>Corporate</t>
        </is>
      </c>
      <c r="I3878" s="7" t="n">
        <v>1</v>
      </c>
      <c r="J3878" s="10" t="n">
        <v>44.45</v>
      </c>
      <c r="K3878" s="11" t="n">
        <v>0</v>
      </c>
      <c r="L3878" s="10">
        <f>I3878*J3878*(1-K3878)</f>
        <v/>
      </c>
      <c r="M3878" s="10" t="n">
        <v>24.75</v>
      </c>
      <c r="N3878" s="10">
        <f>L3878-M3878</f>
        <v/>
      </c>
    </row>
    <row r="3879">
      <c r="A3879" s="7" t="inlineStr">
        <is>
          <t>ORD-02593</t>
        </is>
      </c>
      <c r="B3879" s="8" t="n">
        <v>45715</v>
      </c>
      <c r="C3879" s="9" t="n">
        <v>45689</v>
      </c>
      <c r="D3879" s="7" t="n">
        <v>2025</v>
      </c>
      <c r="E3879" s="7" t="inlineStr">
        <is>
          <t>North</t>
        </is>
      </c>
      <c r="F3879" s="7" t="inlineStr">
        <is>
          <t>Office Supplies</t>
        </is>
      </c>
      <c r="G3879" s="7" t="inlineStr">
        <is>
          <t>Paper</t>
        </is>
      </c>
      <c r="H3879" s="7" t="inlineStr">
        <is>
          <t>Corporate</t>
        </is>
      </c>
      <c r="I3879" s="7" t="n">
        <v>13</v>
      </c>
      <c r="J3879" s="10" t="n">
        <v>24.88</v>
      </c>
      <c r="K3879" s="11" t="n">
        <v>0.1</v>
      </c>
      <c r="L3879" s="10">
        <f>I3879*J3879*(1-K3879)</f>
        <v/>
      </c>
      <c r="M3879" s="10" t="n">
        <v>162.5</v>
      </c>
      <c r="N3879" s="10">
        <f>L3879-M3879</f>
        <v/>
      </c>
    </row>
    <row r="3880">
      <c r="A3880" s="7" t="inlineStr">
        <is>
          <t>ORD-02761</t>
        </is>
      </c>
      <c r="B3880" s="8" t="n">
        <v>45715</v>
      </c>
      <c r="C3880" s="9" t="n">
        <v>45689</v>
      </c>
      <c r="D3880" s="7" t="n">
        <v>2025</v>
      </c>
      <c r="E3880" s="7" t="inlineStr">
        <is>
          <t>East</t>
        </is>
      </c>
      <c r="F3880" s="7" t="inlineStr">
        <is>
          <t>Technology</t>
        </is>
      </c>
      <c r="G3880" s="7" t="inlineStr">
        <is>
          <t>Smartphone</t>
        </is>
      </c>
      <c r="H3880" s="7" t="inlineStr">
        <is>
          <t>Consumer</t>
        </is>
      </c>
      <c r="I3880" s="7" t="n">
        <v>1</v>
      </c>
      <c r="J3880" s="10" t="n">
        <v>599.13</v>
      </c>
      <c r="K3880" s="11" t="n">
        <v>0</v>
      </c>
      <c r="L3880" s="10">
        <f>I3880*J3880*(1-K3880)</f>
        <v/>
      </c>
      <c r="M3880" s="10" t="n">
        <v>450</v>
      </c>
      <c r="N3880" s="10">
        <f>L3880-M3880</f>
        <v/>
      </c>
    </row>
    <row r="3881">
      <c r="A3881" s="7" t="inlineStr">
        <is>
          <t>ORD-03843</t>
        </is>
      </c>
      <c r="B3881" s="8" t="n">
        <v>45715</v>
      </c>
      <c r="C3881" s="9" t="n">
        <v>45689</v>
      </c>
      <c r="D3881" s="7" t="n">
        <v>2025</v>
      </c>
      <c r="E3881" s="7" t="inlineStr">
        <is>
          <t>West</t>
        </is>
      </c>
      <c r="F3881" s="7" t="inlineStr">
        <is>
          <t>Office Supplies</t>
        </is>
      </c>
      <c r="G3881" s="7" t="inlineStr">
        <is>
          <t>Paper</t>
        </is>
      </c>
      <c r="H3881" s="7" t="inlineStr">
        <is>
          <t>Consumer</t>
        </is>
      </c>
      <c r="I3881" s="7" t="n">
        <v>15</v>
      </c>
      <c r="J3881" s="10" t="n">
        <v>23.94</v>
      </c>
      <c r="K3881" s="11" t="n">
        <v>0.1</v>
      </c>
      <c r="L3881" s="10">
        <f>I3881*J3881*(1-K3881)</f>
        <v/>
      </c>
      <c r="M3881" s="10" t="n">
        <v>187.5</v>
      </c>
      <c r="N3881" s="10">
        <f>L3881-M3881</f>
        <v/>
      </c>
    </row>
    <row r="3882">
      <c r="A3882" s="7" t="inlineStr">
        <is>
          <t>ORD-00326</t>
        </is>
      </c>
      <c r="B3882" s="8" t="n">
        <v>45715</v>
      </c>
      <c r="C3882" s="9" t="n">
        <v>45689</v>
      </c>
      <c r="D3882" s="7" t="n">
        <v>2025</v>
      </c>
      <c r="E3882" s="7" t="inlineStr">
        <is>
          <t>West</t>
        </is>
      </c>
      <c r="F3882" s="7" t="inlineStr">
        <is>
          <t>Office Supplies</t>
        </is>
      </c>
      <c r="G3882" s="7" t="inlineStr">
        <is>
          <t>Binder</t>
        </is>
      </c>
      <c r="H3882" s="7" t="inlineStr">
        <is>
          <t>Consumer</t>
        </is>
      </c>
      <c r="I3882" s="7" t="n">
        <v>2</v>
      </c>
      <c r="J3882" s="10" t="n">
        <v>7.69</v>
      </c>
      <c r="K3882" s="11" t="n">
        <v>0.05</v>
      </c>
      <c r="L3882" s="10">
        <f>I3882*J3882*(1-K3882)</f>
        <v/>
      </c>
      <c r="M3882" s="10" t="n">
        <v>6.4</v>
      </c>
      <c r="N3882" s="10">
        <f>L3882-M3882</f>
        <v/>
      </c>
    </row>
    <row r="3883">
      <c r="A3883" s="7" t="inlineStr">
        <is>
          <t>ORD-05834</t>
        </is>
      </c>
      <c r="B3883" s="8" t="n">
        <v>45716</v>
      </c>
      <c r="C3883" s="9" t="n">
        <v>45689</v>
      </c>
      <c r="D3883" s="7" t="n">
        <v>2025</v>
      </c>
      <c r="E3883" s="7" t="inlineStr">
        <is>
          <t>East</t>
        </is>
      </c>
      <c r="F3883" s="7" t="inlineStr">
        <is>
          <t>Technology</t>
        </is>
      </c>
      <c r="G3883" s="7" t="inlineStr">
        <is>
          <t>Laptop</t>
        </is>
      </c>
      <c r="H3883" s="7" t="inlineStr">
        <is>
          <t>Consumer</t>
        </is>
      </c>
      <c r="I3883" s="7" t="n">
        <v>1</v>
      </c>
      <c r="J3883" s="10" t="n">
        <v>895.66</v>
      </c>
      <c r="K3883" s="11" t="n">
        <v>0.1</v>
      </c>
      <c r="L3883" s="10">
        <f>I3883*J3883*(1-K3883)</f>
        <v/>
      </c>
      <c r="M3883" s="10" t="n">
        <v>702</v>
      </c>
      <c r="N3883" s="10">
        <f>L3883-M3883</f>
        <v/>
      </c>
    </row>
    <row r="3884">
      <c r="A3884" s="7" t="inlineStr">
        <is>
          <t>ORD-01465</t>
        </is>
      </c>
      <c r="B3884" s="8" t="n">
        <v>45716</v>
      </c>
      <c r="C3884" s="9" t="n">
        <v>45689</v>
      </c>
      <c r="D3884" s="7" t="n">
        <v>2025</v>
      </c>
      <c r="E3884" s="7" t="inlineStr">
        <is>
          <t>North</t>
        </is>
      </c>
      <c r="F3884" s="7" t="inlineStr">
        <is>
          <t>Technology</t>
        </is>
      </c>
      <c r="G3884" s="7" t="inlineStr">
        <is>
          <t>Smartphone</t>
        </is>
      </c>
      <c r="H3884" s="7" t="inlineStr">
        <is>
          <t>Corporate</t>
        </is>
      </c>
      <c r="I3884" s="7" t="n">
        <v>3</v>
      </c>
      <c r="J3884" s="10" t="n">
        <v>611.46</v>
      </c>
      <c r="K3884" s="11" t="n">
        <v>0</v>
      </c>
      <c r="L3884" s="10">
        <f>I3884*J3884*(1-K3884)</f>
        <v/>
      </c>
      <c r="M3884" s="10" t="n">
        <v>1350</v>
      </c>
      <c r="N3884" s="10">
        <f>L3884-M3884</f>
        <v/>
      </c>
    </row>
    <row r="3885">
      <c r="A3885" s="7" t="inlineStr">
        <is>
          <t>ORD-04394</t>
        </is>
      </c>
      <c r="B3885" s="8" t="n">
        <v>45716</v>
      </c>
      <c r="C3885" s="9" t="n">
        <v>45689</v>
      </c>
      <c r="D3885" s="7" t="n">
        <v>2025</v>
      </c>
      <c r="E3885" s="7" t="inlineStr">
        <is>
          <t>East</t>
        </is>
      </c>
      <c r="F3885" s="7" t="inlineStr">
        <is>
          <t>Technology</t>
        </is>
      </c>
      <c r="G3885" s="7" t="inlineStr">
        <is>
          <t>Monitor</t>
        </is>
      </c>
      <c r="H3885" s="7" t="inlineStr">
        <is>
          <t>Home Office</t>
        </is>
      </c>
      <c r="I3885" s="7" t="n">
        <v>3</v>
      </c>
      <c r="J3885" s="10" t="n">
        <v>254.47</v>
      </c>
      <c r="K3885" s="11" t="n">
        <v>0.05</v>
      </c>
      <c r="L3885" s="10">
        <f>I3885*J3885*(1-K3885)</f>
        <v/>
      </c>
      <c r="M3885" s="10" t="n">
        <v>540</v>
      </c>
      <c r="N3885" s="10">
        <f>L3885-M3885</f>
        <v/>
      </c>
    </row>
    <row r="3886">
      <c r="A3886" s="7" t="inlineStr">
        <is>
          <t>ORD-00699</t>
        </is>
      </c>
      <c r="B3886" s="8" t="n">
        <v>45716</v>
      </c>
      <c r="C3886" s="9" t="n">
        <v>45689</v>
      </c>
      <c r="D3886" s="7" t="n">
        <v>2025</v>
      </c>
      <c r="E3886" s="7" t="inlineStr">
        <is>
          <t>South</t>
        </is>
      </c>
      <c r="F3886" s="7" t="inlineStr">
        <is>
          <t>Furniture</t>
        </is>
      </c>
      <c r="G3886" s="7" t="inlineStr">
        <is>
          <t>Bookcase</t>
        </is>
      </c>
      <c r="H3886" s="7" t="inlineStr">
        <is>
          <t>Corporate</t>
        </is>
      </c>
      <c r="I3886" s="7" t="n">
        <v>4</v>
      </c>
      <c r="J3886" s="10" t="n">
        <v>175.45</v>
      </c>
      <c r="K3886" s="11" t="n">
        <v>0.3</v>
      </c>
      <c r="L3886" s="10">
        <f>I3886*J3886*(1-K3886)</f>
        <v/>
      </c>
      <c r="M3886" s="10" t="n">
        <v>576</v>
      </c>
      <c r="N3886" s="10">
        <f>L3886-M3886</f>
        <v/>
      </c>
    </row>
    <row r="3887">
      <c r="A3887" s="7" t="inlineStr">
        <is>
          <t>ORD-05246</t>
        </is>
      </c>
      <c r="B3887" s="8" t="n">
        <v>45716</v>
      </c>
      <c r="C3887" s="9" t="n">
        <v>45689</v>
      </c>
      <c r="D3887" s="7" t="n">
        <v>2025</v>
      </c>
      <c r="E3887" s="7" t="inlineStr">
        <is>
          <t>East</t>
        </is>
      </c>
      <c r="F3887" s="7" t="inlineStr">
        <is>
          <t>Office Supplies</t>
        </is>
      </c>
      <c r="G3887" s="7" t="inlineStr">
        <is>
          <t>Printer Ink</t>
        </is>
      </c>
      <c r="H3887" s="7" t="inlineStr">
        <is>
          <t>Consumer</t>
        </is>
      </c>
      <c r="I3887" s="7" t="n">
        <v>14</v>
      </c>
      <c r="J3887" s="10" t="n">
        <v>57.62</v>
      </c>
      <c r="K3887" s="11" t="n">
        <v>0.3</v>
      </c>
      <c r="L3887" s="10">
        <f>I3887*J3887*(1-K3887)</f>
        <v/>
      </c>
      <c r="M3887" s="10" t="n">
        <v>504</v>
      </c>
      <c r="N3887" s="10">
        <f>L3887-M3887</f>
        <v/>
      </c>
    </row>
    <row r="3888">
      <c r="A3888" s="7" t="inlineStr">
        <is>
          <t>ORD-02230</t>
        </is>
      </c>
      <c r="B3888" s="8" t="n">
        <v>45716</v>
      </c>
      <c r="C3888" s="9" t="n">
        <v>45689</v>
      </c>
      <c r="D3888" s="7" t="n">
        <v>2025</v>
      </c>
      <c r="E3888" s="7" t="inlineStr">
        <is>
          <t>South</t>
        </is>
      </c>
      <c r="F3888" s="7" t="inlineStr">
        <is>
          <t>Furniture</t>
        </is>
      </c>
      <c r="G3888" s="7" t="inlineStr">
        <is>
          <t>Bookcase</t>
        </is>
      </c>
      <c r="H3888" s="7" t="inlineStr">
        <is>
          <t>Consumer</t>
        </is>
      </c>
      <c r="I3888" s="7" t="n">
        <v>1</v>
      </c>
      <c r="J3888" s="10" t="n">
        <v>181.36</v>
      </c>
      <c r="K3888" s="11" t="n">
        <v>0.3</v>
      </c>
      <c r="L3888" s="10">
        <f>I3888*J3888*(1-K3888)</f>
        <v/>
      </c>
      <c r="M3888" s="10" t="n">
        <v>144</v>
      </c>
      <c r="N3888" s="10">
        <f>L3888-M3888</f>
        <v/>
      </c>
    </row>
    <row r="3889">
      <c r="A3889" s="7" t="inlineStr">
        <is>
          <t>ORD-01190</t>
        </is>
      </c>
      <c r="B3889" s="8" t="n">
        <v>45716</v>
      </c>
      <c r="C3889" s="9" t="n">
        <v>45689</v>
      </c>
      <c r="D3889" s="7" t="n">
        <v>2025</v>
      </c>
      <c r="E3889" s="7" t="inlineStr">
        <is>
          <t>South</t>
        </is>
      </c>
      <c r="F3889" s="7" t="inlineStr">
        <is>
          <t>Office Supplies</t>
        </is>
      </c>
      <c r="G3889" s="7" t="inlineStr">
        <is>
          <t>Paper</t>
        </is>
      </c>
      <c r="H3889" s="7" t="inlineStr">
        <is>
          <t>Corporate</t>
        </is>
      </c>
      <c r="I3889" s="7" t="n">
        <v>13</v>
      </c>
      <c r="J3889" s="10" t="n">
        <v>25.42</v>
      </c>
      <c r="K3889" s="11" t="n">
        <v>0.2</v>
      </c>
      <c r="L3889" s="10">
        <f>I3889*J3889*(1-K3889)</f>
        <v/>
      </c>
      <c r="M3889" s="10" t="n">
        <v>162.5</v>
      </c>
      <c r="N3889" s="10">
        <f>L3889-M3889</f>
        <v/>
      </c>
    </row>
    <row r="3890">
      <c r="A3890" s="7" t="inlineStr">
        <is>
          <t>ORD-03796</t>
        </is>
      </c>
      <c r="B3890" s="8" t="n">
        <v>45716</v>
      </c>
      <c r="C3890" s="9" t="n">
        <v>45689</v>
      </c>
      <c r="D3890" s="7" t="n">
        <v>2025</v>
      </c>
      <c r="E3890" s="7" t="inlineStr">
        <is>
          <t>South</t>
        </is>
      </c>
      <c r="F3890" s="7" t="inlineStr">
        <is>
          <t>Technology</t>
        </is>
      </c>
      <c r="G3890" s="7" t="inlineStr">
        <is>
          <t>Headphones</t>
        </is>
      </c>
      <c r="H3890" s="7" t="inlineStr">
        <is>
          <t>Corporate</t>
        </is>
      </c>
      <c r="I3890" s="7" t="n">
        <v>3</v>
      </c>
      <c r="J3890" s="10" t="n">
        <v>125.8</v>
      </c>
      <c r="K3890" s="11" t="n">
        <v>0.1</v>
      </c>
      <c r="L3890" s="10">
        <f>I3890*J3890*(1-K3890)</f>
        <v/>
      </c>
      <c r="M3890" s="10" t="n">
        <v>216</v>
      </c>
      <c r="N3890" s="10">
        <f>L3890-M3890</f>
        <v/>
      </c>
    </row>
    <row r="3891">
      <c r="A3891" s="7" t="inlineStr">
        <is>
          <t>ORD-04453</t>
        </is>
      </c>
      <c r="B3891" s="8" t="n">
        <v>45716</v>
      </c>
      <c r="C3891" s="9" t="n">
        <v>45689</v>
      </c>
      <c r="D3891" s="7" t="n">
        <v>2025</v>
      </c>
      <c r="E3891" s="7" t="inlineStr">
        <is>
          <t>South</t>
        </is>
      </c>
      <c r="F3891" s="7" t="inlineStr">
        <is>
          <t>Technology</t>
        </is>
      </c>
      <c r="G3891" s="7" t="inlineStr">
        <is>
          <t>Laptop</t>
        </is>
      </c>
      <c r="H3891" s="7" t="inlineStr">
        <is>
          <t>Consumer</t>
        </is>
      </c>
      <c r="I3891" s="7" t="n">
        <v>3</v>
      </c>
      <c r="J3891" s="10" t="n">
        <v>904.36</v>
      </c>
      <c r="K3891" s="11" t="n">
        <v>0.1</v>
      </c>
      <c r="L3891" s="10">
        <f>I3891*J3891*(1-K3891)</f>
        <v/>
      </c>
      <c r="M3891" s="10" t="n">
        <v>2106</v>
      </c>
      <c r="N3891" s="10">
        <f>L3891-M3891</f>
        <v/>
      </c>
    </row>
    <row r="3892">
      <c r="A3892" s="7" t="inlineStr">
        <is>
          <t>ORD-04533</t>
        </is>
      </c>
      <c r="B3892" s="8" t="n">
        <v>45717</v>
      </c>
      <c r="C3892" s="9" t="n">
        <v>45717</v>
      </c>
      <c r="D3892" s="7" t="n">
        <v>2025</v>
      </c>
      <c r="E3892" s="7" t="inlineStr">
        <is>
          <t>East</t>
        </is>
      </c>
      <c r="F3892" s="7" t="inlineStr">
        <is>
          <t>Office Supplies</t>
        </is>
      </c>
      <c r="G3892" s="7" t="inlineStr">
        <is>
          <t>Pens</t>
        </is>
      </c>
      <c r="H3892" s="7" t="inlineStr">
        <is>
          <t>Home Office</t>
        </is>
      </c>
      <c r="I3892" s="7" t="n">
        <v>13</v>
      </c>
      <c r="J3892" s="10" t="n">
        <v>11.42</v>
      </c>
      <c r="K3892" s="11" t="n">
        <v>0</v>
      </c>
      <c r="L3892" s="10">
        <f>I3892*J3892*(1-K3892)</f>
        <v/>
      </c>
      <c r="M3892" s="10" t="n">
        <v>70.2</v>
      </c>
      <c r="N3892" s="10">
        <f>L3892-M3892</f>
        <v/>
      </c>
    </row>
    <row r="3893">
      <c r="A3893" s="7" t="inlineStr">
        <is>
          <t>ORD-02977</t>
        </is>
      </c>
      <c r="B3893" s="8" t="n">
        <v>45717</v>
      </c>
      <c r="C3893" s="9" t="n">
        <v>45717</v>
      </c>
      <c r="D3893" s="7" t="n">
        <v>2025</v>
      </c>
      <c r="E3893" s="7" t="inlineStr">
        <is>
          <t>West</t>
        </is>
      </c>
      <c r="F3893" s="7" t="inlineStr">
        <is>
          <t>Technology</t>
        </is>
      </c>
      <c r="G3893" s="7" t="inlineStr">
        <is>
          <t>Smartphone</t>
        </is>
      </c>
      <c r="H3893" s="7" t="inlineStr">
        <is>
          <t>Consumer</t>
        </is>
      </c>
      <c r="I3893" s="7" t="n">
        <v>1</v>
      </c>
      <c r="J3893" s="10" t="n">
        <v>625.46</v>
      </c>
      <c r="K3893" s="11" t="n">
        <v>0</v>
      </c>
      <c r="L3893" s="10">
        <f>I3893*J3893*(1-K3893)</f>
        <v/>
      </c>
      <c r="M3893" s="10" t="n">
        <v>450</v>
      </c>
      <c r="N3893" s="10">
        <f>L3893-M3893</f>
        <v/>
      </c>
    </row>
    <row r="3894">
      <c r="A3894" s="7" t="inlineStr">
        <is>
          <t>ORD-04179</t>
        </is>
      </c>
      <c r="B3894" s="8" t="n">
        <v>45717</v>
      </c>
      <c r="C3894" s="9" t="n">
        <v>45717</v>
      </c>
      <c r="D3894" s="7" t="n">
        <v>2025</v>
      </c>
      <c r="E3894" s="7" t="inlineStr">
        <is>
          <t>West</t>
        </is>
      </c>
      <c r="F3894" s="7" t="inlineStr">
        <is>
          <t>Technology</t>
        </is>
      </c>
      <c r="G3894" s="7" t="inlineStr">
        <is>
          <t>Headphones</t>
        </is>
      </c>
      <c r="H3894" s="7" t="inlineStr">
        <is>
          <t>Consumer</t>
        </is>
      </c>
      <c r="I3894" s="7" t="n">
        <v>2</v>
      </c>
      <c r="J3894" s="10" t="n">
        <v>116.28</v>
      </c>
      <c r="K3894" s="11" t="n">
        <v>0.3</v>
      </c>
      <c r="L3894" s="10">
        <f>I3894*J3894*(1-K3894)</f>
        <v/>
      </c>
      <c r="M3894" s="10" t="n">
        <v>144</v>
      </c>
      <c r="N3894" s="10">
        <f>L3894-M3894</f>
        <v/>
      </c>
    </row>
    <row r="3895">
      <c r="A3895" s="7" t="inlineStr">
        <is>
          <t>ORD-00612</t>
        </is>
      </c>
      <c r="B3895" s="8" t="n">
        <v>45717</v>
      </c>
      <c r="C3895" s="9" t="n">
        <v>45717</v>
      </c>
      <c r="D3895" s="7" t="n">
        <v>2025</v>
      </c>
      <c r="E3895" s="7" t="inlineStr">
        <is>
          <t>West</t>
        </is>
      </c>
      <c r="F3895" s="7" t="inlineStr">
        <is>
          <t>Office Supplies</t>
        </is>
      </c>
      <c r="G3895" s="7" t="inlineStr">
        <is>
          <t>Binder</t>
        </is>
      </c>
      <c r="H3895" s="7" t="inlineStr">
        <is>
          <t>Consumer</t>
        </is>
      </c>
      <c r="I3895" s="7" t="n">
        <v>5</v>
      </c>
      <c r="J3895" s="10" t="n">
        <v>7.88</v>
      </c>
      <c r="K3895" s="11" t="n">
        <v>0</v>
      </c>
      <c r="L3895" s="10">
        <f>I3895*J3895*(1-K3895)</f>
        <v/>
      </c>
      <c r="M3895" s="10" t="n">
        <v>16</v>
      </c>
      <c r="N3895" s="10">
        <f>L3895-M3895</f>
        <v/>
      </c>
    </row>
    <row r="3896">
      <c r="A3896" s="7" t="inlineStr">
        <is>
          <t>ORD-04476</t>
        </is>
      </c>
      <c r="B3896" s="8" t="n">
        <v>45717</v>
      </c>
      <c r="C3896" s="9" t="n">
        <v>45717</v>
      </c>
      <c r="D3896" s="7" t="n">
        <v>2025</v>
      </c>
      <c r="E3896" s="7" t="inlineStr">
        <is>
          <t>West</t>
        </is>
      </c>
      <c r="F3896" s="7" t="inlineStr">
        <is>
          <t>Office Supplies</t>
        </is>
      </c>
      <c r="G3896" s="7" t="inlineStr">
        <is>
          <t>Paper</t>
        </is>
      </c>
      <c r="H3896" s="7" t="inlineStr">
        <is>
          <t>Corporate</t>
        </is>
      </c>
      <c r="I3896" s="7" t="n">
        <v>9</v>
      </c>
      <c r="J3896" s="10" t="n">
        <v>24.41</v>
      </c>
      <c r="K3896" s="11" t="n">
        <v>0</v>
      </c>
      <c r="L3896" s="10">
        <f>I3896*J3896*(1-K3896)</f>
        <v/>
      </c>
      <c r="M3896" s="10" t="n">
        <v>112.5</v>
      </c>
      <c r="N3896" s="10">
        <f>L3896-M3896</f>
        <v/>
      </c>
    </row>
    <row r="3897">
      <c r="A3897" s="7" t="inlineStr">
        <is>
          <t>ORD-01043</t>
        </is>
      </c>
      <c r="B3897" s="8" t="n">
        <v>45718</v>
      </c>
      <c r="C3897" s="9" t="n">
        <v>45717</v>
      </c>
      <c r="D3897" s="7" t="n">
        <v>2025</v>
      </c>
      <c r="E3897" s="7" t="inlineStr">
        <is>
          <t>West</t>
        </is>
      </c>
      <c r="F3897" s="7" t="inlineStr">
        <is>
          <t>Office Supplies</t>
        </is>
      </c>
      <c r="G3897" s="7" t="inlineStr">
        <is>
          <t>Binder</t>
        </is>
      </c>
      <c r="H3897" s="7" t="inlineStr">
        <is>
          <t>Consumer</t>
        </is>
      </c>
      <c r="I3897" s="7" t="n">
        <v>15</v>
      </c>
      <c r="J3897" s="10" t="n">
        <v>8.06</v>
      </c>
      <c r="K3897" s="11" t="n">
        <v>0.05</v>
      </c>
      <c r="L3897" s="10">
        <f>I3897*J3897*(1-K3897)</f>
        <v/>
      </c>
      <c r="M3897" s="10" t="n">
        <v>48</v>
      </c>
      <c r="N3897" s="10">
        <f>L3897-M3897</f>
        <v/>
      </c>
    </row>
    <row r="3898">
      <c r="A3898" s="7" t="inlineStr">
        <is>
          <t>ORD-02232</t>
        </is>
      </c>
      <c r="B3898" s="8" t="n">
        <v>45718</v>
      </c>
      <c r="C3898" s="9" t="n">
        <v>45717</v>
      </c>
      <c r="D3898" s="7" t="n">
        <v>2025</v>
      </c>
      <c r="E3898" s="7" t="inlineStr">
        <is>
          <t>West</t>
        </is>
      </c>
      <c r="F3898" s="7" t="inlineStr">
        <is>
          <t>Office Supplies</t>
        </is>
      </c>
      <c r="G3898" s="7" t="inlineStr">
        <is>
          <t>Pens</t>
        </is>
      </c>
      <c r="H3898" s="7" t="inlineStr">
        <is>
          <t>Consumer</t>
        </is>
      </c>
      <c r="I3898" s="7" t="n">
        <v>5</v>
      </c>
      <c r="J3898" s="10" t="n">
        <v>12.54</v>
      </c>
      <c r="K3898" s="11" t="n">
        <v>0.05</v>
      </c>
      <c r="L3898" s="10">
        <f>I3898*J3898*(1-K3898)</f>
        <v/>
      </c>
      <c r="M3898" s="10" t="n">
        <v>27</v>
      </c>
      <c r="N3898" s="10">
        <f>L3898-M3898</f>
        <v/>
      </c>
    </row>
    <row r="3899">
      <c r="A3899" s="7" t="inlineStr">
        <is>
          <t>ORD-02569</t>
        </is>
      </c>
      <c r="B3899" s="8" t="n">
        <v>45718</v>
      </c>
      <c r="C3899" s="9" t="n">
        <v>45717</v>
      </c>
      <c r="D3899" s="7" t="n">
        <v>2025</v>
      </c>
      <c r="E3899" s="7" t="inlineStr">
        <is>
          <t>South</t>
        </is>
      </c>
      <c r="F3899" s="7" t="inlineStr">
        <is>
          <t>Office Supplies</t>
        </is>
      </c>
      <c r="G3899" s="7" t="inlineStr">
        <is>
          <t>Binder</t>
        </is>
      </c>
      <c r="H3899" s="7" t="inlineStr">
        <is>
          <t>Consumer</t>
        </is>
      </c>
      <c r="I3899" s="7" t="n">
        <v>3</v>
      </c>
      <c r="J3899" s="10" t="n">
        <v>8.27</v>
      </c>
      <c r="K3899" s="11" t="n">
        <v>0.3</v>
      </c>
      <c r="L3899" s="10">
        <f>I3899*J3899*(1-K3899)</f>
        <v/>
      </c>
      <c r="M3899" s="10" t="n">
        <v>9.6</v>
      </c>
      <c r="N3899" s="10">
        <f>L3899-M3899</f>
        <v/>
      </c>
    </row>
    <row r="3900">
      <c r="A3900" s="7" t="inlineStr">
        <is>
          <t>ORD-04949</t>
        </is>
      </c>
      <c r="B3900" s="8" t="n">
        <v>45718</v>
      </c>
      <c r="C3900" s="9" t="n">
        <v>45717</v>
      </c>
      <c r="D3900" s="7" t="n">
        <v>2025</v>
      </c>
      <c r="E3900" s="7" t="inlineStr">
        <is>
          <t>East</t>
        </is>
      </c>
      <c r="F3900" s="7" t="inlineStr">
        <is>
          <t>Office Supplies</t>
        </is>
      </c>
      <c r="G3900" s="7" t="inlineStr">
        <is>
          <t>Binder</t>
        </is>
      </c>
      <c r="H3900" s="7" t="inlineStr">
        <is>
          <t>Consumer</t>
        </is>
      </c>
      <c r="I3900" s="7" t="n">
        <v>2</v>
      </c>
      <c r="J3900" s="10" t="n">
        <v>7.75</v>
      </c>
      <c r="K3900" s="11" t="n">
        <v>0.05</v>
      </c>
      <c r="L3900" s="10">
        <f>I3900*J3900*(1-K3900)</f>
        <v/>
      </c>
      <c r="M3900" s="10" t="n">
        <v>6.4</v>
      </c>
      <c r="N3900" s="10">
        <f>L3900-M3900</f>
        <v/>
      </c>
    </row>
    <row r="3901">
      <c r="A3901" s="7" t="inlineStr">
        <is>
          <t>ORD-02997</t>
        </is>
      </c>
      <c r="B3901" s="8" t="n">
        <v>45718</v>
      </c>
      <c r="C3901" s="9" t="n">
        <v>45717</v>
      </c>
      <c r="D3901" s="7" t="n">
        <v>2025</v>
      </c>
      <c r="E3901" s="7" t="inlineStr">
        <is>
          <t>North</t>
        </is>
      </c>
      <c r="F3901" s="7" t="inlineStr">
        <is>
          <t>Office Supplies</t>
        </is>
      </c>
      <c r="G3901" s="7" t="inlineStr">
        <is>
          <t>Printer Ink</t>
        </is>
      </c>
      <c r="H3901" s="7" t="inlineStr">
        <is>
          <t>Corporate</t>
        </is>
      </c>
      <c r="I3901" s="7" t="n">
        <v>4</v>
      </c>
      <c r="J3901" s="10" t="n">
        <v>57.89</v>
      </c>
      <c r="K3901" s="11" t="n">
        <v>0.05</v>
      </c>
      <c r="L3901" s="10">
        <f>I3901*J3901*(1-K3901)</f>
        <v/>
      </c>
      <c r="M3901" s="10" t="n">
        <v>144</v>
      </c>
      <c r="N3901" s="10">
        <f>L3901-M3901</f>
        <v/>
      </c>
    </row>
    <row r="3902">
      <c r="A3902" s="7" t="inlineStr">
        <is>
          <t>ORD-04240</t>
        </is>
      </c>
      <c r="B3902" s="8" t="n">
        <v>45718</v>
      </c>
      <c r="C3902" s="9" t="n">
        <v>45717</v>
      </c>
      <c r="D3902" s="7" t="n">
        <v>2025</v>
      </c>
      <c r="E3902" s="7" t="inlineStr">
        <is>
          <t>East</t>
        </is>
      </c>
      <c r="F3902" s="7" t="inlineStr">
        <is>
          <t>Technology</t>
        </is>
      </c>
      <c r="G3902" s="7" t="inlineStr">
        <is>
          <t>Monitor</t>
        </is>
      </c>
      <c r="H3902" s="7" t="inlineStr">
        <is>
          <t>Home Office</t>
        </is>
      </c>
      <c r="I3902" s="7" t="n">
        <v>2</v>
      </c>
      <c r="J3902" s="10" t="n">
        <v>251.13</v>
      </c>
      <c r="K3902" s="11" t="n">
        <v>0</v>
      </c>
      <c r="L3902" s="10">
        <f>I3902*J3902*(1-K3902)</f>
        <v/>
      </c>
      <c r="M3902" s="10" t="n">
        <v>360</v>
      </c>
      <c r="N3902" s="10">
        <f>L3902-M3902</f>
        <v/>
      </c>
    </row>
    <row r="3903">
      <c r="A3903" s="7" t="inlineStr">
        <is>
          <t>ORD-05939</t>
        </is>
      </c>
      <c r="B3903" s="8" t="n">
        <v>45718</v>
      </c>
      <c r="C3903" s="9" t="n">
        <v>45717</v>
      </c>
      <c r="D3903" s="7" t="n">
        <v>2025</v>
      </c>
      <c r="E3903" s="7" t="inlineStr">
        <is>
          <t>East</t>
        </is>
      </c>
      <c r="F3903" s="7" t="inlineStr">
        <is>
          <t>Office Supplies</t>
        </is>
      </c>
      <c r="G3903" s="7" t="inlineStr">
        <is>
          <t>Pens</t>
        </is>
      </c>
      <c r="H3903" s="7" t="inlineStr">
        <is>
          <t>Consumer</t>
        </is>
      </c>
      <c r="I3903" s="7" t="n">
        <v>10</v>
      </c>
      <c r="J3903" s="10" t="n">
        <v>11.52</v>
      </c>
      <c r="K3903" s="11" t="n">
        <v>0.05</v>
      </c>
      <c r="L3903" s="10">
        <f>I3903*J3903*(1-K3903)</f>
        <v/>
      </c>
      <c r="M3903" s="10" t="n">
        <v>54</v>
      </c>
      <c r="N3903" s="10">
        <f>L3903-M3903</f>
        <v/>
      </c>
    </row>
    <row r="3904">
      <c r="A3904" s="7" t="inlineStr">
        <is>
          <t>ORD-04780</t>
        </is>
      </c>
      <c r="B3904" s="8" t="n">
        <v>45718</v>
      </c>
      <c r="C3904" s="9" t="n">
        <v>45717</v>
      </c>
      <c r="D3904" s="7" t="n">
        <v>2025</v>
      </c>
      <c r="E3904" s="7" t="inlineStr">
        <is>
          <t>East</t>
        </is>
      </c>
      <c r="F3904" s="7" t="inlineStr">
        <is>
          <t>Office Supplies</t>
        </is>
      </c>
      <c r="G3904" s="7" t="inlineStr">
        <is>
          <t>Binder</t>
        </is>
      </c>
      <c r="H3904" s="7" t="inlineStr">
        <is>
          <t>Consumer</t>
        </is>
      </c>
      <c r="I3904" s="7" t="n">
        <v>15</v>
      </c>
      <c r="J3904" s="10" t="n">
        <v>8.06</v>
      </c>
      <c r="K3904" s="11" t="n">
        <v>0.2</v>
      </c>
      <c r="L3904" s="10">
        <f>I3904*J3904*(1-K3904)</f>
        <v/>
      </c>
      <c r="M3904" s="10" t="n">
        <v>48</v>
      </c>
      <c r="N3904" s="10">
        <f>L3904-M3904</f>
        <v/>
      </c>
    </row>
    <row r="3905">
      <c r="A3905" s="7" t="inlineStr">
        <is>
          <t>ORD-01198</t>
        </is>
      </c>
      <c r="B3905" s="8" t="n">
        <v>45719</v>
      </c>
      <c r="C3905" s="9" t="n">
        <v>45717</v>
      </c>
      <c r="D3905" s="7" t="n">
        <v>2025</v>
      </c>
      <c r="E3905" s="7" t="inlineStr">
        <is>
          <t>North</t>
        </is>
      </c>
      <c r="F3905" s="7" t="inlineStr">
        <is>
          <t>Office Supplies</t>
        </is>
      </c>
      <c r="G3905" s="7" t="inlineStr">
        <is>
          <t>Binder</t>
        </is>
      </c>
      <c r="H3905" s="7" t="inlineStr">
        <is>
          <t>Home Office</t>
        </is>
      </c>
      <c r="I3905" s="7" t="n">
        <v>8</v>
      </c>
      <c r="J3905" s="10" t="n">
        <v>7.73</v>
      </c>
      <c r="K3905" s="11" t="n">
        <v>0.3</v>
      </c>
      <c r="L3905" s="10">
        <f>I3905*J3905*(1-K3905)</f>
        <v/>
      </c>
      <c r="M3905" s="10" t="n">
        <v>25.6</v>
      </c>
      <c r="N3905" s="10">
        <f>L3905-M3905</f>
        <v/>
      </c>
    </row>
    <row r="3906">
      <c r="A3906" s="7" t="inlineStr">
        <is>
          <t>ORD-02151</t>
        </is>
      </c>
      <c r="B3906" s="8" t="n">
        <v>45719</v>
      </c>
      <c r="C3906" s="9" t="n">
        <v>45717</v>
      </c>
      <c r="D3906" s="7" t="n">
        <v>2025</v>
      </c>
      <c r="E3906" s="7" t="inlineStr">
        <is>
          <t>East</t>
        </is>
      </c>
      <c r="F3906" s="7" t="inlineStr">
        <is>
          <t>Office Supplies</t>
        </is>
      </c>
      <c r="G3906" s="7" t="inlineStr">
        <is>
          <t>Paper</t>
        </is>
      </c>
      <c r="H3906" s="7" t="inlineStr">
        <is>
          <t>Consumer</t>
        </is>
      </c>
      <c r="I3906" s="7" t="n">
        <v>12</v>
      </c>
      <c r="J3906" s="10" t="n">
        <v>24.84</v>
      </c>
      <c r="K3906" s="11" t="n">
        <v>0.3</v>
      </c>
      <c r="L3906" s="10">
        <f>I3906*J3906*(1-K3906)</f>
        <v/>
      </c>
      <c r="M3906" s="10" t="n">
        <v>150</v>
      </c>
      <c r="N3906" s="10">
        <f>L3906-M3906</f>
        <v/>
      </c>
    </row>
    <row r="3907">
      <c r="A3907" s="7" t="inlineStr">
        <is>
          <t>ORD-03611</t>
        </is>
      </c>
      <c r="B3907" s="8" t="n">
        <v>45719</v>
      </c>
      <c r="C3907" s="9" t="n">
        <v>45717</v>
      </c>
      <c r="D3907" s="7" t="n">
        <v>2025</v>
      </c>
      <c r="E3907" s="7" t="inlineStr">
        <is>
          <t>North</t>
        </is>
      </c>
      <c r="F3907" s="7" t="inlineStr">
        <is>
          <t>Technology</t>
        </is>
      </c>
      <c r="G3907" s="7" t="inlineStr">
        <is>
          <t>Laptop</t>
        </is>
      </c>
      <c r="H3907" s="7" t="inlineStr">
        <is>
          <t>Consumer</t>
        </is>
      </c>
      <c r="I3907" s="7" t="n">
        <v>1</v>
      </c>
      <c r="J3907" s="10" t="n">
        <v>899.04</v>
      </c>
      <c r="K3907" s="11" t="n">
        <v>0</v>
      </c>
      <c r="L3907" s="10">
        <f>I3907*J3907*(1-K3907)</f>
        <v/>
      </c>
      <c r="M3907" s="10" t="n">
        <v>702</v>
      </c>
      <c r="N3907" s="10">
        <f>L3907-M3907</f>
        <v/>
      </c>
    </row>
    <row r="3908">
      <c r="A3908" s="7" t="inlineStr">
        <is>
          <t>ORD-03114</t>
        </is>
      </c>
      <c r="B3908" s="8" t="n">
        <v>45719</v>
      </c>
      <c r="C3908" s="9" t="n">
        <v>45717</v>
      </c>
      <c r="D3908" s="7" t="n">
        <v>2025</v>
      </c>
      <c r="E3908" s="7" t="inlineStr">
        <is>
          <t>East</t>
        </is>
      </c>
      <c r="F3908" s="7" t="inlineStr">
        <is>
          <t>Office Supplies</t>
        </is>
      </c>
      <c r="G3908" s="7" t="inlineStr">
        <is>
          <t>Binder</t>
        </is>
      </c>
      <c r="H3908" s="7" t="inlineStr">
        <is>
          <t>Home Office</t>
        </is>
      </c>
      <c r="I3908" s="7" t="n">
        <v>12</v>
      </c>
      <c r="J3908" s="10" t="n">
        <v>8.18</v>
      </c>
      <c r="K3908" s="11" t="n">
        <v>0.05</v>
      </c>
      <c r="L3908" s="10">
        <f>I3908*J3908*(1-K3908)</f>
        <v/>
      </c>
      <c r="M3908" s="10" t="n">
        <v>38.4</v>
      </c>
      <c r="N3908" s="10">
        <f>L3908-M3908</f>
        <v/>
      </c>
    </row>
    <row r="3909">
      <c r="A3909" s="7" t="inlineStr">
        <is>
          <t>ORD-04848</t>
        </is>
      </c>
      <c r="B3909" s="8" t="n">
        <v>45719</v>
      </c>
      <c r="C3909" s="9" t="n">
        <v>45717</v>
      </c>
      <c r="D3909" s="7" t="n">
        <v>2025</v>
      </c>
      <c r="E3909" s="7" t="inlineStr">
        <is>
          <t>West</t>
        </is>
      </c>
      <c r="F3909" s="7" t="inlineStr">
        <is>
          <t>Office Supplies</t>
        </is>
      </c>
      <c r="G3909" s="7" t="inlineStr">
        <is>
          <t>Binder</t>
        </is>
      </c>
      <c r="H3909" s="7" t="inlineStr">
        <is>
          <t>Consumer</t>
        </is>
      </c>
      <c r="I3909" s="7" t="n">
        <v>5</v>
      </c>
      <c r="J3909" s="10" t="n">
        <v>8.029999999999999</v>
      </c>
      <c r="K3909" s="11" t="n">
        <v>0.1</v>
      </c>
      <c r="L3909" s="10">
        <f>I3909*J3909*(1-K3909)</f>
        <v/>
      </c>
      <c r="M3909" s="10" t="n">
        <v>16</v>
      </c>
      <c r="N3909" s="10">
        <f>L3909-M3909</f>
        <v/>
      </c>
    </row>
    <row r="3910">
      <c r="A3910" s="7" t="inlineStr">
        <is>
          <t>ORD-00421</t>
        </is>
      </c>
      <c r="B3910" s="8" t="n">
        <v>45719</v>
      </c>
      <c r="C3910" s="9" t="n">
        <v>45717</v>
      </c>
      <c r="D3910" s="7" t="n">
        <v>2025</v>
      </c>
      <c r="E3910" s="7" t="inlineStr">
        <is>
          <t>East</t>
        </is>
      </c>
      <c r="F3910" s="7" t="inlineStr">
        <is>
          <t>Office Supplies</t>
        </is>
      </c>
      <c r="G3910" s="7" t="inlineStr">
        <is>
          <t>Printer Ink</t>
        </is>
      </c>
      <c r="H3910" s="7" t="inlineStr">
        <is>
          <t>Consumer</t>
        </is>
      </c>
      <c r="I3910" s="7" t="n">
        <v>9</v>
      </c>
      <c r="J3910" s="10" t="n">
        <v>62.28</v>
      </c>
      <c r="K3910" s="11" t="n">
        <v>0</v>
      </c>
      <c r="L3910" s="10">
        <f>I3910*J3910*(1-K3910)</f>
        <v/>
      </c>
      <c r="M3910" s="10" t="n">
        <v>324</v>
      </c>
      <c r="N3910" s="10">
        <f>L3910-M3910</f>
        <v/>
      </c>
    </row>
    <row r="3911">
      <c r="A3911" s="7" t="inlineStr">
        <is>
          <t>ORD-04353</t>
        </is>
      </c>
      <c r="B3911" s="8" t="n">
        <v>45719</v>
      </c>
      <c r="C3911" s="9" t="n">
        <v>45717</v>
      </c>
      <c r="D3911" s="7" t="n">
        <v>2025</v>
      </c>
      <c r="E3911" s="7" t="inlineStr">
        <is>
          <t>East</t>
        </is>
      </c>
      <c r="F3911" s="7" t="inlineStr">
        <is>
          <t>Furniture</t>
        </is>
      </c>
      <c r="G3911" s="7" t="inlineStr">
        <is>
          <t>Desk</t>
        </is>
      </c>
      <c r="H3911" s="7" t="inlineStr">
        <is>
          <t>Consumer</t>
        </is>
      </c>
      <c r="I3911" s="7" t="n">
        <v>1</v>
      </c>
      <c r="J3911" s="10" t="n">
        <v>452.4</v>
      </c>
      <c r="K3911" s="11" t="n">
        <v>0.05</v>
      </c>
      <c r="L3911" s="10">
        <f>I3911*J3911*(1-K3911)</f>
        <v/>
      </c>
      <c r="M3911" s="10" t="n">
        <v>382.5</v>
      </c>
      <c r="N3911" s="10">
        <f>L3911-M3911</f>
        <v/>
      </c>
    </row>
    <row r="3912">
      <c r="A3912" s="7" t="inlineStr">
        <is>
          <t>ORD-01897</t>
        </is>
      </c>
      <c r="B3912" s="8" t="n">
        <v>45719</v>
      </c>
      <c r="C3912" s="9" t="n">
        <v>45717</v>
      </c>
      <c r="D3912" s="7" t="n">
        <v>2025</v>
      </c>
      <c r="E3912" s="7" t="inlineStr">
        <is>
          <t>East</t>
        </is>
      </c>
      <c r="F3912" s="7" t="inlineStr">
        <is>
          <t>Office Supplies</t>
        </is>
      </c>
      <c r="G3912" s="7" t="inlineStr">
        <is>
          <t>Binder</t>
        </is>
      </c>
      <c r="H3912" s="7" t="inlineStr">
        <is>
          <t>Consumer</t>
        </is>
      </c>
      <c r="I3912" s="7" t="n">
        <v>7</v>
      </c>
      <c r="J3912" s="10" t="n">
        <v>8.050000000000001</v>
      </c>
      <c r="K3912" s="11" t="n">
        <v>0.05</v>
      </c>
      <c r="L3912" s="10">
        <f>I3912*J3912*(1-K3912)</f>
        <v/>
      </c>
      <c r="M3912" s="10" t="n">
        <v>22.4</v>
      </c>
      <c r="N3912" s="10">
        <f>L3912-M3912</f>
        <v/>
      </c>
    </row>
    <row r="3913">
      <c r="A3913" s="7" t="inlineStr">
        <is>
          <t>ORD-05669</t>
        </is>
      </c>
      <c r="B3913" s="8" t="n">
        <v>45720</v>
      </c>
      <c r="C3913" s="9" t="n">
        <v>45717</v>
      </c>
      <c r="D3913" s="7" t="n">
        <v>2025</v>
      </c>
      <c r="E3913" s="7" t="inlineStr">
        <is>
          <t>East</t>
        </is>
      </c>
      <c r="F3913" s="7" t="inlineStr">
        <is>
          <t>Office Supplies</t>
        </is>
      </c>
      <c r="G3913" s="7" t="inlineStr">
        <is>
          <t>Binder</t>
        </is>
      </c>
      <c r="H3913" s="7" t="inlineStr">
        <is>
          <t>Corporate</t>
        </is>
      </c>
      <c r="I3913" s="7" t="n">
        <v>5</v>
      </c>
      <c r="J3913" s="10" t="n">
        <v>8.029999999999999</v>
      </c>
      <c r="K3913" s="11" t="n">
        <v>0</v>
      </c>
      <c r="L3913" s="10">
        <f>I3913*J3913*(1-K3913)</f>
        <v/>
      </c>
      <c r="M3913" s="10" t="n">
        <v>16</v>
      </c>
      <c r="N3913" s="10">
        <f>L3913-M3913</f>
        <v/>
      </c>
    </row>
    <row r="3914">
      <c r="A3914" s="7" t="inlineStr">
        <is>
          <t>ORD-02451</t>
        </is>
      </c>
      <c r="B3914" s="8" t="n">
        <v>45720</v>
      </c>
      <c r="C3914" s="9" t="n">
        <v>45717</v>
      </c>
      <c r="D3914" s="7" t="n">
        <v>2025</v>
      </c>
      <c r="E3914" s="7" t="inlineStr">
        <is>
          <t>North</t>
        </is>
      </c>
      <c r="F3914" s="7" t="inlineStr">
        <is>
          <t>Office Supplies</t>
        </is>
      </c>
      <c r="G3914" s="7" t="inlineStr">
        <is>
          <t>Pens</t>
        </is>
      </c>
      <c r="H3914" s="7" t="inlineStr">
        <is>
          <t>Corporate</t>
        </is>
      </c>
      <c r="I3914" s="7" t="n">
        <v>5</v>
      </c>
      <c r="J3914" s="10" t="n">
        <v>12.28</v>
      </c>
      <c r="K3914" s="11" t="n">
        <v>0.3</v>
      </c>
      <c r="L3914" s="10">
        <f>I3914*J3914*(1-K3914)</f>
        <v/>
      </c>
      <c r="M3914" s="10" t="n">
        <v>27</v>
      </c>
      <c r="N3914" s="10">
        <f>L3914-M3914</f>
        <v/>
      </c>
    </row>
    <row r="3915">
      <c r="A3915" s="7" t="inlineStr">
        <is>
          <t>ORD-00365</t>
        </is>
      </c>
      <c r="B3915" s="8" t="n">
        <v>45721</v>
      </c>
      <c r="C3915" s="9" t="n">
        <v>45717</v>
      </c>
      <c r="D3915" s="7" t="n">
        <v>2025</v>
      </c>
      <c r="E3915" s="7" t="inlineStr">
        <is>
          <t>North</t>
        </is>
      </c>
      <c r="F3915" s="7" t="inlineStr">
        <is>
          <t>Technology</t>
        </is>
      </c>
      <c r="G3915" s="7" t="inlineStr">
        <is>
          <t>Monitor</t>
        </is>
      </c>
      <c r="H3915" s="7" t="inlineStr">
        <is>
          <t>Home Office</t>
        </is>
      </c>
      <c r="I3915" s="7" t="n">
        <v>3</v>
      </c>
      <c r="J3915" s="10" t="n">
        <v>245.6</v>
      </c>
      <c r="K3915" s="11" t="n">
        <v>0.05</v>
      </c>
      <c r="L3915" s="10">
        <f>I3915*J3915*(1-K3915)</f>
        <v/>
      </c>
      <c r="M3915" s="10" t="n">
        <v>540</v>
      </c>
      <c r="N3915" s="10">
        <f>L3915-M3915</f>
        <v/>
      </c>
    </row>
    <row r="3916">
      <c r="A3916" s="7" t="inlineStr">
        <is>
          <t>ORD-05433</t>
        </is>
      </c>
      <c r="B3916" s="8" t="n">
        <v>45721</v>
      </c>
      <c r="C3916" s="9" t="n">
        <v>45717</v>
      </c>
      <c r="D3916" s="7" t="n">
        <v>2025</v>
      </c>
      <c r="E3916" s="7" t="inlineStr">
        <is>
          <t>South</t>
        </is>
      </c>
      <c r="F3916" s="7" t="inlineStr">
        <is>
          <t>Office Supplies</t>
        </is>
      </c>
      <c r="G3916" s="7" t="inlineStr">
        <is>
          <t>Printer Ink</t>
        </is>
      </c>
      <c r="H3916" s="7" t="inlineStr">
        <is>
          <t>Consumer</t>
        </is>
      </c>
      <c r="I3916" s="7" t="n">
        <v>4</v>
      </c>
      <c r="J3916" s="10" t="n">
        <v>59.96</v>
      </c>
      <c r="K3916" s="11" t="n">
        <v>0.1</v>
      </c>
      <c r="L3916" s="10">
        <f>I3916*J3916*(1-K3916)</f>
        <v/>
      </c>
      <c r="M3916" s="10" t="n">
        <v>144</v>
      </c>
      <c r="N3916" s="10">
        <f>L3916-M3916</f>
        <v/>
      </c>
    </row>
    <row r="3917">
      <c r="A3917" s="7" t="inlineStr">
        <is>
          <t>ORD-05353</t>
        </is>
      </c>
      <c r="B3917" s="8" t="n">
        <v>45721</v>
      </c>
      <c r="C3917" s="9" t="n">
        <v>45717</v>
      </c>
      <c r="D3917" s="7" t="n">
        <v>2025</v>
      </c>
      <c r="E3917" s="7" t="inlineStr">
        <is>
          <t>West</t>
        </is>
      </c>
      <c r="F3917" s="7" t="inlineStr">
        <is>
          <t>Technology</t>
        </is>
      </c>
      <c r="G3917" s="7" t="inlineStr">
        <is>
          <t>Headphones</t>
        </is>
      </c>
      <c r="H3917" s="7" t="inlineStr">
        <is>
          <t>Corporate</t>
        </is>
      </c>
      <c r="I3917" s="7" t="n">
        <v>1</v>
      </c>
      <c r="J3917" s="10" t="n">
        <v>124.42</v>
      </c>
      <c r="K3917" s="11" t="n">
        <v>0.2</v>
      </c>
      <c r="L3917" s="10">
        <f>I3917*J3917*(1-K3917)</f>
        <v/>
      </c>
      <c r="M3917" s="10" t="n">
        <v>72</v>
      </c>
      <c r="N3917" s="10">
        <f>L3917-M3917</f>
        <v/>
      </c>
    </row>
    <row r="3918">
      <c r="A3918" s="7" t="inlineStr">
        <is>
          <t>ORD-05181</t>
        </is>
      </c>
      <c r="B3918" s="8" t="n">
        <v>45721</v>
      </c>
      <c r="C3918" s="9" t="n">
        <v>45717</v>
      </c>
      <c r="D3918" s="7" t="n">
        <v>2025</v>
      </c>
      <c r="E3918" s="7" t="inlineStr">
        <is>
          <t>West</t>
        </is>
      </c>
      <c r="F3918" s="7" t="inlineStr">
        <is>
          <t>Office Supplies</t>
        </is>
      </c>
      <c r="G3918" s="7" t="inlineStr">
        <is>
          <t>Binder</t>
        </is>
      </c>
      <c r="H3918" s="7" t="inlineStr">
        <is>
          <t>Corporate</t>
        </is>
      </c>
      <c r="I3918" s="7" t="n">
        <v>15</v>
      </c>
      <c r="J3918" s="10" t="n">
        <v>7.71</v>
      </c>
      <c r="K3918" s="11" t="n">
        <v>0</v>
      </c>
      <c r="L3918" s="10">
        <f>I3918*J3918*(1-K3918)</f>
        <v/>
      </c>
      <c r="M3918" s="10" t="n">
        <v>48</v>
      </c>
      <c r="N3918" s="10">
        <f>L3918-M3918</f>
        <v/>
      </c>
    </row>
    <row r="3919">
      <c r="A3919" s="7" t="inlineStr">
        <is>
          <t>ORD-01719</t>
        </is>
      </c>
      <c r="B3919" s="8" t="n">
        <v>45722</v>
      </c>
      <c r="C3919" s="9" t="n">
        <v>45717</v>
      </c>
      <c r="D3919" s="7" t="n">
        <v>2025</v>
      </c>
      <c r="E3919" s="7" t="inlineStr">
        <is>
          <t>South</t>
        </is>
      </c>
      <c r="F3919" s="7" t="inlineStr">
        <is>
          <t>Office Supplies</t>
        </is>
      </c>
      <c r="G3919" s="7" t="inlineStr">
        <is>
          <t>Stapler</t>
        </is>
      </c>
      <c r="H3919" s="7" t="inlineStr">
        <is>
          <t>Corporate</t>
        </is>
      </c>
      <c r="I3919" s="7" t="n">
        <v>14</v>
      </c>
      <c r="J3919" s="10" t="n">
        <v>15.23</v>
      </c>
      <c r="K3919" s="11" t="n">
        <v>0.2</v>
      </c>
      <c r="L3919" s="10">
        <f>I3919*J3919*(1-K3919)</f>
        <v/>
      </c>
      <c r="M3919" s="10" t="n">
        <v>105</v>
      </c>
      <c r="N3919" s="10">
        <f>L3919-M3919</f>
        <v/>
      </c>
    </row>
    <row r="3920">
      <c r="A3920" s="7" t="inlineStr">
        <is>
          <t>ORD-04468</t>
        </is>
      </c>
      <c r="B3920" s="8" t="n">
        <v>45722</v>
      </c>
      <c r="C3920" s="9" t="n">
        <v>45717</v>
      </c>
      <c r="D3920" s="7" t="n">
        <v>2025</v>
      </c>
      <c r="E3920" s="7" t="inlineStr">
        <is>
          <t>West</t>
        </is>
      </c>
      <c r="F3920" s="7" t="inlineStr">
        <is>
          <t>Technology</t>
        </is>
      </c>
      <c r="G3920" s="7" t="inlineStr">
        <is>
          <t>Laptop</t>
        </is>
      </c>
      <c r="H3920" s="7" t="inlineStr">
        <is>
          <t>Home Office</t>
        </is>
      </c>
      <c r="I3920" s="7" t="n">
        <v>3</v>
      </c>
      <c r="J3920" s="10" t="n">
        <v>894.38</v>
      </c>
      <c r="K3920" s="11" t="n">
        <v>0.3</v>
      </c>
      <c r="L3920" s="10">
        <f>I3920*J3920*(1-K3920)</f>
        <v/>
      </c>
      <c r="M3920" s="10" t="n">
        <v>2106</v>
      </c>
      <c r="N3920" s="10">
        <f>L3920-M3920</f>
        <v/>
      </c>
    </row>
    <row r="3921">
      <c r="A3921" s="7" t="inlineStr">
        <is>
          <t>ORD-03423</t>
        </is>
      </c>
      <c r="B3921" s="8" t="n">
        <v>45722</v>
      </c>
      <c r="C3921" s="9" t="n">
        <v>45717</v>
      </c>
      <c r="D3921" s="7" t="n">
        <v>2025</v>
      </c>
      <c r="E3921" s="7" t="inlineStr">
        <is>
          <t>East</t>
        </is>
      </c>
      <c r="F3921" s="7" t="inlineStr">
        <is>
          <t>Technology</t>
        </is>
      </c>
      <c r="G3921" s="7" t="inlineStr">
        <is>
          <t>Keyboard</t>
        </is>
      </c>
      <c r="H3921" s="7" t="inlineStr">
        <is>
          <t>Corporate</t>
        </is>
      </c>
      <c r="I3921" s="7" t="n">
        <v>2</v>
      </c>
      <c r="J3921" s="10" t="n">
        <v>43.23</v>
      </c>
      <c r="K3921" s="11" t="n">
        <v>0.1</v>
      </c>
      <c r="L3921" s="10">
        <f>I3921*J3921*(1-K3921)</f>
        <v/>
      </c>
      <c r="M3921" s="10" t="n">
        <v>49.5</v>
      </c>
      <c r="N3921" s="10">
        <f>L3921-M3921</f>
        <v/>
      </c>
    </row>
    <row r="3922">
      <c r="A3922" s="7" t="inlineStr">
        <is>
          <t>ORD-04102</t>
        </is>
      </c>
      <c r="B3922" s="8" t="n">
        <v>45722</v>
      </c>
      <c r="C3922" s="9" t="n">
        <v>45717</v>
      </c>
      <c r="D3922" s="7" t="n">
        <v>2025</v>
      </c>
      <c r="E3922" s="7" t="inlineStr">
        <is>
          <t>South</t>
        </is>
      </c>
      <c r="F3922" s="7" t="inlineStr">
        <is>
          <t>Technology</t>
        </is>
      </c>
      <c r="G3922" s="7" t="inlineStr">
        <is>
          <t>Smartphone</t>
        </is>
      </c>
      <c r="H3922" s="7" t="inlineStr">
        <is>
          <t>Consumer</t>
        </is>
      </c>
      <c r="I3922" s="7" t="n">
        <v>1</v>
      </c>
      <c r="J3922" s="10" t="n">
        <v>615.1799999999999</v>
      </c>
      <c r="K3922" s="11" t="n">
        <v>0.05</v>
      </c>
      <c r="L3922" s="10">
        <f>I3922*J3922*(1-K3922)</f>
        <v/>
      </c>
      <c r="M3922" s="10" t="n">
        <v>450</v>
      </c>
      <c r="N3922" s="10">
        <f>L3922-M3922</f>
        <v/>
      </c>
    </row>
    <row r="3923">
      <c r="A3923" s="7" t="inlineStr">
        <is>
          <t>ORD-05151</t>
        </is>
      </c>
      <c r="B3923" s="8" t="n">
        <v>45722</v>
      </c>
      <c r="C3923" s="9" t="n">
        <v>45717</v>
      </c>
      <c r="D3923" s="7" t="n">
        <v>2025</v>
      </c>
      <c r="E3923" s="7" t="inlineStr">
        <is>
          <t>West</t>
        </is>
      </c>
      <c r="F3923" s="7" t="inlineStr">
        <is>
          <t>Technology</t>
        </is>
      </c>
      <c r="G3923" s="7" t="inlineStr">
        <is>
          <t>Keyboard</t>
        </is>
      </c>
      <c r="H3923" s="7" t="inlineStr">
        <is>
          <t>Home Office</t>
        </is>
      </c>
      <c r="I3923" s="7" t="n">
        <v>2</v>
      </c>
      <c r="J3923" s="10" t="n">
        <v>44.39</v>
      </c>
      <c r="K3923" s="11" t="n">
        <v>0.1</v>
      </c>
      <c r="L3923" s="10">
        <f>I3923*J3923*(1-K3923)</f>
        <v/>
      </c>
      <c r="M3923" s="10" t="n">
        <v>49.5</v>
      </c>
      <c r="N3923" s="10">
        <f>L3923-M3923</f>
        <v/>
      </c>
    </row>
    <row r="3924">
      <c r="A3924" s="7" t="inlineStr">
        <is>
          <t>ORD-03411</t>
        </is>
      </c>
      <c r="B3924" s="8" t="n">
        <v>45722</v>
      </c>
      <c r="C3924" s="9" t="n">
        <v>45717</v>
      </c>
      <c r="D3924" s="7" t="n">
        <v>2025</v>
      </c>
      <c r="E3924" s="7" t="inlineStr">
        <is>
          <t>East</t>
        </is>
      </c>
      <c r="F3924" s="7" t="inlineStr">
        <is>
          <t>Office Supplies</t>
        </is>
      </c>
      <c r="G3924" s="7" t="inlineStr">
        <is>
          <t>Stapler</t>
        </is>
      </c>
      <c r="H3924" s="7" t="inlineStr">
        <is>
          <t>Home Office</t>
        </is>
      </c>
      <c r="I3924" s="7" t="n">
        <v>12</v>
      </c>
      <c r="J3924" s="10" t="n">
        <v>14.68</v>
      </c>
      <c r="K3924" s="11" t="n">
        <v>0.1</v>
      </c>
      <c r="L3924" s="10">
        <f>I3924*J3924*(1-K3924)</f>
        <v/>
      </c>
      <c r="M3924" s="10" t="n">
        <v>90</v>
      </c>
      <c r="N3924" s="10">
        <f>L3924-M3924</f>
        <v/>
      </c>
    </row>
    <row r="3925">
      <c r="A3925" s="7" t="inlineStr">
        <is>
          <t>ORD-04767</t>
        </is>
      </c>
      <c r="B3925" s="8" t="n">
        <v>45722</v>
      </c>
      <c r="C3925" s="9" t="n">
        <v>45717</v>
      </c>
      <c r="D3925" s="7" t="n">
        <v>2025</v>
      </c>
      <c r="E3925" s="7" t="inlineStr">
        <is>
          <t>West</t>
        </is>
      </c>
      <c r="F3925" s="7" t="inlineStr">
        <is>
          <t>Office Supplies</t>
        </is>
      </c>
      <c r="G3925" s="7" t="inlineStr">
        <is>
          <t>Pens</t>
        </is>
      </c>
      <c r="H3925" s="7" t="inlineStr">
        <is>
          <t>Consumer</t>
        </is>
      </c>
      <c r="I3925" s="7" t="n">
        <v>12</v>
      </c>
      <c r="J3925" s="10" t="n">
        <v>12.38</v>
      </c>
      <c r="K3925" s="11" t="n">
        <v>0.05</v>
      </c>
      <c r="L3925" s="10">
        <f>I3925*J3925*(1-K3925)</f>
        <v/>
      </c>
      <c r="M3925" s="10" t="n">
        <v>64.8</v>
      </c>
      <c r="N3925" s="10">
        <f>L3925-M3925</f>
        <v/>
      </c>
    </row>
    <row r="3926">
      <c r="A3926" s="7" t="inlineStr">
        <is>
          <t>ORD-01292</t>
        </is>
      </c>
      <c r="B3926" s="8" t="n">
        <v>45722</v>
      </c>
      <c r="C3926" s="9" t="n">
        <v>45717</v>
      </c>
      <c r="D3926" s="7" t="n">
        <v>2025</v>
      </c>
      <c r="E3926" s="7" t="inlineStr">
        <is>
          <t>West</t>
        </is>
      </c>
      <c r="F3926" s="7" t="inlineStr">
        <is>
          <t>Office Supplies</t>
        </is>
      </c>
      <c r="G3926" s="7" t="inlineStr">
        <is>
          <t>Pens</t>
        </is>
      </c>
      <c r="H3926" s="7" t="inlineStr">
        <is>
          <t>Corporate</t>
        </is>
      </c>
      <c r="I3926" s="7" t="n">
        <v>15</v>
      </c>
      <c r="J3926" s="10" t="n">
        <v>11.42</v>
      </c>
      <c r="K3926" s="11" t="n">
        <v>0</v>
      </c>
      <c r="L3926" s="10">
        <f>I3926*J3926*(1-K3926)</f>
        <v/>
      </c>
      <c r="M3926" s="10" t="n">
        <v>81</v>
      </c>
      <c r="N3926" s="10">
        <f>L3926-M3926</f>
        <v/>
      </c>
    </row>
    <row r="3927">
      <c r="A3927" s="7" t="inlineStr">
        <is>
          <t>ORD-04363</t>
        </is>
      </c>
      <c r="B3927" s="8" t="n">
        <v>45723</v>
      </c>
      <c r="C3927" s="9" t="n">
        <v>45717</v>
      </c>
      <c r="D3927" s="7" t="n">
        <v>2025</v>
      </c>
      <c r="E3927" s="7" t="inlineStr">
        <is>
          <t>West</t>
        </is>
      </c>
      <c r="F3927" s="7" t="inlineStr">
        <is>
          <t>Technology</t>
        </is>
      </c>
      <c r="G3927" s="7" t="inlineStr">
        <is>
          <t>Keyboard</t>
        </is>
      </c>
      <c r="H3927" s="7" t="inlineStr">
        <is>
          <t>Home Office</t>
        </is>
      </c>
      <c r="I3927" s="7" t="n">
        <v>1</v>
      </c>
      <c r="J3927" s="10" t="n">
        <v>46.1</v>
      </c>
      <c r="K3927" s="11" t="n">
        <v>0</v>
      </c>
      <c r="L3927" s="10">
        <f>I3927*J3927*(1-K3927)</f>
        <v/>
      </c>
      <c r="M3927" s="10" t="n">
        <v>24.75</v>
      </c>
      <c r="N3927" s="10">
        <f>L3927-M3927</f>
        <v/>
      </c>
    </row>
    <row r="3928">
      <c r="A3928" s="7" t="inlineStr">
        <is>
          <t>ORD-00158</t>
        </is>
      </c>
      <c r="B3928" s="8" t="n">
        <v>45723</v>
      </c>
      <c r="C3928" s="9" t="n">
        <v>45717</v>
      </c>
      <c r="D3928" s="7" t="n">
        <v>2025</v>
      </c>
      <c r="E3928" s="7" t="inlineStr">
        <is>
          <t>West</t>
        </is>
      </c>
      <c r="F3928" s="7" t="inlineStr">
        <is>
          <t>Office Supplies</t>
        </is>
      </c>
      <c r="G3928" s="7" t="inlineStr">
        <is>
          <t>Binder</t>
        </is>
      </c>
      <c r="H3928" s="7" t="inlineStr">
        <is>
          <t>Corporate</t>
        </is>
      </c>
      <c r="I3928" s="7" t="n">
        <v>8</v>
      </c>
      <c r="J3928" s="10" t="n">
        <v>7.98</v>
      </c>
      <c r="K3928" s="11" t="n">
        <v>0</v>
      </c>
      <c r="L3928" s="10">
        <f>I3928*J3928*(1-K3928)</f>
        <v/>
      </c>
      <c r="M3928" s="10" t="n">
        <v>25.6</v>
      </c>
      <c r="N3928" s="10">
        <f>L3928-M3928</f>
        <v/>
      </c>
    </row>
    <row r="3929">
      <c r="A3929" s="7" t="inlineStr">
        <is>
          <t>ORD-03083</t>
        </is>
      </c>
      <c r="B3929" s="8" t="n">
        <v>45723</v>
      </c>
      <c r="C3929" s="9" t="n">
        <v>45717</v>
      </c>
      <c r="D3929" s="7" t="n">
        <v>2025</v>
      </c>
      <c r="E3929" s="7" t="inlineStr">
        <is>
          <t>West</t>
        </is>
      </c>
      <c r="F3929" s="7" t="inlineStr">
        <is>
          <t>Furniture</t>
        </is>
      </c>
      <c r="G3929" s="7" t="inlineStr">
        <is>
          <t>Office Chair</t>
        </is>
      </c>
      <c r="H3929" s="7" t="inlineStr">
        <is>
          <t>Consumer</t>
        </is>
      </c>
      <c r="I3929" s="7" t="n">
        <v>3</v>
      </c>
      <c r="J3929" s="10" t="n">
        <v>220.85</v>
      </c>
      <c r="K3929" s="11" t="n">
        <v>0.2</v>
      </c>
      <c r="L3929" s="10">
        <f>I3929*J3929*(1-K3929)</f>
        <v/>
      </c>
      <c r="M3929" s="10" t="n">
        <v>541.2</v>
      </c>
      <c r="N3929" s="10">
        <f>L3929-M3929</f>
        <v/>
      </c>
    </row>
    <row r="3930">
      <c r="A3930" s="7" t="inlineStr">
        <is>
          <t>ORD-05799</t>
        </is>
      </c>
      <c r="B3930" s="8" t="n">
        <v>45723</v>
      </c>
      <c r="C3930" s="9" t="n">
        <v>45717</v>
      </c>
      <c r="D3930" s="7" t="n">
        <v>2025</v>
      </c>
      <c r="E3930" s="7" t="inlineStr">
        <is>
          <t>West</t>
        </is>
      </c>
      <c r="F3930" s="7" t="inlineStr">
        <is>
          <t>Technology</t>
        </is>
      </c>
      <c r="G3930" s="7" t="inlineStr">
        <is>
          <t>Headphones</t>
        </is>
      </c>
      <c r="H3930" s="7" t="inlineStr">
        <is>
          <t>Consumer</t>
        </is>
      </c>
      <c r="I3930" s="7" t="n">
        <v>1</v>
      </c>
      <c r="J3930" s="10" t="n">
        <v>116.82</v>
      </c>
      <c r="K3930" s="11" t="n">
        <v>0.1</v>
      </c>
      <c r="L3930" s="10">
        <f>I3930*J3930*(1-K3930)</f>
        <v/>
      </c>
      <c r="M3930" s="10" t="n">
        <v>72</v>
      </c>
      <c r="N3930" s="10">
        <f>L3930-M3930</f>
        <v/>
      </c>
    </row>
    <row r="3931">
      <c r="A3931" s="7" t="inlineStr">
        <is>
          <t>ORD-01011</t>
        </is>
      </c>
      <c r="B3931" s="8" t="n">
        <v>45723</v>
      </c>
      <c r="C3931" s="9" t="n">
        <v>45717</v>
      </c>
      <c r="D3931" s="7" t="n">
        <v>2025</v>
      </c>
      <c r="E3931" s="7" t="inlineStr">
        <is>
          <t>West</t>
        </is>
      </c>
      <c r="F3931" s="7" t="inlineStr">
        <is>
          <t>Technology</t>
        </is>
      </c>
      <c r="G3931" s="7" t="inlineStr">
        <is>
          <t>Smartphone</t>
        </is>
      </c>
      <c r="H3931" s="7" t="inlineStr">
        <is>
          <t>Consumer</t>
        </is>
      </c>
      <c r="I3931" s="7" t="n">
        <v>2</v>
      </c>
      <c r="J3931" s="10" t="n">
        <v>576.87</v>
      </c>
      <c r="K3931" s="11" t="n">
        <v>0</v>
      </c>
      <c r="L3931" s="10">
        <f>I3931*J3931*(1-K3931)</f>
        <v/>
      </c>
      <c r="M3931" s="10" t="n">
        <v>900</v>
      </c>
      <c r="N3931" s="10">
        <f>L3931-M3931</f>
        <v/>
      </c>
    </row>
    <row r="3932">
      <c r="A3932" s="7" t="inlineStr">
        <is>
          <t>ORD-04675</t>
        </is>
      </c>
      <c r="B3932" s="8" t="n">
        <v>45723</v>
      </c>
      <c r="C3932" s="9" t="n">
        <v>45717</v>
      </c>
      <c r="D3932" s="7" t="n">
        <v>2025</v>
      </c>
      <c r="E3932" s="7" t="inlineStr">
        <is>
          <t>North</t>
        </is>
      </c>
      <c r="F3932" s="7" t="inlineStr">
        <is>
          <t>Furniture</t>
        </is>
      </c>
      <c r="G3932" s="7" t="inlineStr">
        <is>
          <t>Office Chair</t>
        </is>
      </c>
      <c r="H3932" s="7" t="inlineStr">
        <is>
          <t>Corporate</t>
        </is>
      </c>
      <c r="I3932" s="7" t="n">
        <v>1</v>
      </c>
      <c r="J3932" s="10" t="n">
        <v>214.65</v>
      </c>
      <c r="K3932" s="11" t="n">
        <v>0.05</v>
      </c>
      <c r="L3932" s="10">
        <f>I3932*J3932*(1-K3932)</f>
        <v/>
      </c>
      <c r="M3932" s="10" t="n">
        <v>180.4</v>
      </c>
      <c r="N3932" s="10">
        <f>L3932-M3932</f>
        <v/>
      </c>
    </row>
    <row r="3933">
      <c r="A3933" s="7" t="inlineStr">
        <is>
          <t>ORD-01025</t>
        </is>
      </c>
      <c r="B3933" s="8" t="n">
        <v>45723</v>
      </c>
      <c r="C3933" s="9" t="n">
        <v>45717</v>
      </c>
      <c r="D3933" s="7" t="n">
        <v>2025</v>
      </c>
      <c r="E3933" s="7" t="inlineStr">
        <is>
          <t>West</t>
        </is>
      </c>
      <c r="F3933" s="7" t="inlineStr">
        <is>
          <t>Office Supplies</t>
        </is>
      </c>
      <c r="G3933" s="7" t="inlineStr">
        <is>
          <t>Pens</t>
        </is>
      </c>
      <c r="H3933" s="7" t="inlineStr">
        <is>
          <t>Consumer</t>
        </is>
      </c>
      <c r="I3933" s="7" t="n">
        <v>9</v>
      </c>
      <c r="J3933" s="10" t="n">
        <v>11.51</v>
      </c>
      <c r="K3933" s="11" t="n">
        <v>0</v>
      </c>
      <c r="L3933" s="10">
        <f>I3933*J3933*(1-K3933)</f>
        <v/>
      </c>
      <c r="M3933" s="10" t="n">
        <v>48.6</v>
      </c>
      <c r="N3933" s="10">
        <f>L3933-M3933</f>
        <v/>
      </c>
    </row>
    <row r="3934">
      <c r="A3934" s="7" t="inlineStr">
        <is>
          <t>ORD-01917</t>
        </is>
      </c>
      <c r="B3934" s="8" t="n">
        <v>45723</v>
      </c>
      <c r="C3934" s="9" t="n">
        <v>45717</v>
      </c>
      <c r="D3934" s="7" t="n">
        <v>2025</v>
      </c>
      <c r="E3934" s="7" t="inlineStr">
        <is>
          <t>North</t>
        </is>
      </c>
      <c r="F3934" s="7" t="inlineStr">
        <is>
          <t>Technology</t>
        </is>
      </c>
      <c r="G3934" s="7" t="inlineStr">
        <is>
          <t>Laptop</t>
        </is>
      </c>
      <c r="H3934" s="7" t="inlineStr">
        <is>
          <t>Consumer</t>
        </is>
      </c>
      <c r="I3934" s="7" t="n">
        <v>3</v>
      </c>
      <c r="J3934" s="10" t="n">
        <v>863.26</v>
      </c>
      <c r="K3934" s="11" t="n">
        <v>0</v>
      </c>
      <c r="L3934" s="10">
        <f>I3934*J3934*(1-K3934)</f>
        <v/>
      </c>
      <c r="M3934" s="10" t="n">
        <v>2106</v>
      </c>
      <c r="N3934" s="10">
        <f>L3934-M3934</f>
        <v/>
      </c>
    </row>
    <row r="3935">
      <c r="A3935" s="7" t="inlineStr">
        <is>
          <t>ORD-04566</t>
        </is>
      </c>
      <c r="B3935" s="8" t="n">
        <v>45724</v>
      </c>
      <c r="C3935" s="9" t="n">
        <v>45717</v>
      </c>
      <c r="D3935" s="7" t="n">
        <v>2025</v>
      </c>
      <c r="E3935" s="7" t="inlineStr">
        <is>
          <t>East</t>
        </is>
      </c>
      <c r="F3935" s="7" t="inlineStr">
        <is>
          <t>Technology</t>
        </is>
      </c>
      <c r="G3935" s="7" t="inlineStr">
        <is>
          <t>Laptop</t>
        </is>
      </c>
      <c r="H3935" s="7" t="inlineStr">
        <is>
          <t>Corporate</t>
        </is>
      </c>
      <c r="I3935" s="7" t="n">
        <v>3</v>
      </c>
      <c r="J3935" s="10" t="n">
        <v>917.24</v>
      </c>
      <c r="K3935" s="11" t="n">
        <v>0.3</v>
      </c>
      <c r="L3935" s="10">
        <f>I3935*J3935*(1-K3935)</f>
        <v/>
      </c>
      <c r="M3935" s="10" t="n">
        <v>2106</v>
      </c>
      <c r="N3935" s="10">
        <f>L3935-M3935</f>
        <v/>
      </c>
    </row>
    <row r="3936">
      <c r="A3936" s="7" t="inlineStr">
        <is>
          <t>ORD-02857</t>
        </is>
      </c>
      <c r="B3936" s="8" t="n">
        <v>45724</v>
      </c>
      <c r="C3936" s="9" t="n">
        <v>45717</v>
      </c>
      <c r="D3936" s="7" t="n">
        <v>2025</v>
      </c>
      <c r="E3936" s="7" t="inlineStr">
        <is>
          <t>North</t>
        </is>
      </c>
      <c r="F3936" s="7" t="inlineStr">
        <is>
          <t>Technology</t>
        </is>
      </c>
      <c r="G3936" s="7" t="inlineStr">
        <is>
          <t>Laptop</t>
        </is>
      </c>
      <c r="H3936" s="7" t="inlineStr">
        <is>
          <t>Corporate</t>
        </is>
      </c>
      <c r="I3936" s="7" t="n">
        <v>1</v>
      </c>
      <c r="J3936" s="10" t="n">
        <v>915.51</v>
      </c>
      <c r="K3936" s="11" t="n">
        <v>0.2</v>
      </c>
      <c r="L3936" s="10">
        <f>I3936*J3936*(1-K3936)</f>
        <v/>
      </c>
      <c r="M3936" s="10" t="n">
        <v>702</v>
      </c>
      <c r="N3936" s="10">
        <f>L3936-M3936</f>
        <v/>
      </c>
    </row>
    <row r="3937">
      <c r="A3937" s="7" t="inlineStr">
        <is>
          <t>ORD-04454</t>
        </is>
      </c>
      <c r="B3937" s="8" t="n">
        <v>45724</v>
      </c>
      <c r="C3937" s="9" t="n">
        <v>45717</v>
      </c>
      <c r="D3937" s="7" t="n">
        <v>2025</v>
      </c>
      <c r="E3937" s="7" t="inlineStr">
        <is>
          <t>West</t>
        </is>
      </c>
      <c r="F3937" s="7" t="inlineStr">
        <is>
          <t>Office Supplies</t>
        </is>
      </c>
      <c r="G3937" s="7" t="inlineStr">
        <is>
          <t>Paper</t>
        </is>
      </c>
      <c r="H3937" s="7" t="inlineStr">
        <is>
          <t>Consumer</t>
        </is>
      </c>
      <c r="I3937" s="7" t="n">
        <v>15</v>
      </c>
      <c r="J3937" s="10" t="n">
        <v>25.05</v>
      </c>
      <c r="K3937" s="11" t="n">
        <v>0.3</v>
      </c>
      <c r="L3937" s="10">
        <f>I3937*J3937*(1-K3937)</f>
        <v/>
      </c>
      <c r="M3937" s="10" t="n">
        <v>187.5</v>
      </c>
      <c r="N3937" s="10">
        <f>L3937-M3937</f>
        <v/>
      </c>
    </row>
    <row r="3938">
      <c r="A3938" s="7" t="inlineStr">
        <is>
          <t>ORD-03919</t>
        </is>
      </c>
      <c r="B3938" s="8" t="n">
        <v>45724</v>
      </c>
      <c r="C3938" s="9" t="n">
        <v>45717</v>
      </c>
      <c r="D3938" s="7" t="n">
        <v>2025</v>
      </c>
      <c r="E3938" s="7" t="inlineStr">
        <is>
          <t>West</t>
        </is>
      </c>
      <c r="F3938" s="7" t="inlineStr">
        <is>
          <t>Technology</t>
        </is>
      </c>
      <c r="G3938" s="7" t="inlineStr">
        <is>
          <t>Keyboard</t>
        </is>
      </c>
      <c r="H3938" s="7" t="inlineStr">
        <is>
          <t>Consumer</t>
        </is>
      </c>
      <c r="I3938" s="7" t="n">
        <v>2</v>
      </c>
      <c r="J3938" s="10" t="n">
        <v>45.92</v>
      </c>
      <c r="K3938" s="11" t="n">
        <v>0.3</v>
      </c>
      <c r="L3938" s="10">
        <f>I3938*J3938*(1-K3938)</f>
        <v/>
      </c>
      <c r="M3938" s="10" t="n">
        <v>49.5</v>
      </c>
      <c r="N3938" s="10">
        <f>L3938-M3938</f>
        <v/>
      </c>
    </row>
    <row r="3939">
      <c r="A3939" s="7" t="inlineStr">
        <is>
          <t>ORD-00186</t>
        </is>
      </c>
      <c r="B3939" s="8" t="n">
        <v>45725</v>
      </c>
      <c r="C3939" s="9" t="n">
        <v>45717</v>
      </c>
      <c r="D3939" s="7" t="n">
        <v>2025</v>
      </c>
      <c r="E3939" s="7" t="inlineStr">
        <is>
          <t>South</t>
        </is>
      </c>
      <c r="F3939" s="7" t="inlineStr">
        <is>
          <t>Technology</t>
        </is>
      </c>
      <c r="G3939" s="7" t="inlineStr">
        <is>
          <t>Monitor</t>
        </is>
      </c>
      <c r="H3939" s="7" t="inlineStr">
        <is>
          <t>Consumer</t>
        </is>
      </c>
      <c r="I3939" s="7" t="n">
        <v>3</v>
      </c>
      <c r="J3939" s="10" t="n">
        <v>239.16</v>
      </c>
      <c r="K3939" s="11" t="n">
        <v>0.3</v>
      </c>
      <c r="L3939" s="10">
        <f>I3939*J3939*(1-K3939)</f>
        <v/>
      </c>
      <c r="M3939" s="10" t="n">
        <v>540</v>
      </c>
      <c r="N3939" s="10">
        <f>L3939-M3939</f>
        <v/>
      </c>
    </row>
    <row r="3940">
      <c r="A3940" s="7" t="inlineStr">
        <is>
          <t>ORD-00078</t>
        </is>
      </c>
      <c r="B3940" s="8" t="n">
        <v>45725</v>
      </c>
      <c r="C3940" s="9" t="n">
        <v>45717</v>
      </c>
      <c r="D3940" s="7" t="n">
        <v>2025</v>
      </c>
      <c r="E3940" s="7" t="inlineStr">
        <is>
          <t>East</t>
        </is>
      </c>
      <c r="F3940" s="7" t="inlineStr">
        <is>
          <t>Office Supplies</t>
        </is>
      </c>
      <c r="G3940" s="7" t="inlineStr">
        <is>
          <t>Paper</t>
        </is>
      </c>
      <c r="H3940" s="7" t="inlineStr">
        <is>
          <t>Home Office</t>
        </is>
      </c>
      <c r="I3940" s="7" t="n">
        <v>13</v>
      </c>
      <c r="J3940" s="10" t="n">
        <v>25.93</v>
      </c>
      <c r="K3940" s="11" t="n">
        <v>0.05</v>
      </c>
      <c r="L3940" s="10">
        <f>I3940*J3940*(1-K3940)</f>
        <v/>
      </c>
      <c r="M3940" s="10" t="n">
        <v>162.5</v>
      </c>
      <c r="N3940" s="10">
        <f>L3940-M3940</f>
        <v/>
      </c>
    </row>
    <row r="3941">
      <c r="A3941" s="7" t="inlineStr">
        <is>
          <t>ORD-04028</t>
        </is>
      </c>
      <c r="B3941" s="8" t="n">
        <v>45726</v>
      </c>
      <c r="C3941" s="9" t="n">
        <v>45717</v>
      </c>
      <c r="D3941" s="7" t="n">
        <v>2025</v>
      </c>
      <c r="E3941" s="7" t="inlineStr">
        <is>
          <t>West</t>
        </is>
      </c>
      <c r="F3941" s="7" t="inlineStr">
        <is>
          <t>Furniture</t>
        </is>
      </c>
      <c r="G3941" s="7" t="inlineStr">
        <is>
          <t>Office Chair</t>
        </is>
      </c>
      <c r="H3941" s="7" t="inlineStr">
        <is>
          <t>Home Office</t>
        </is>
      </c>
      <c r="I3941" s="7" t="n">
        <v>4</v>
      </c>
      <c r="J3941" s="10" t="n">
        <v>227.24</v>
      </c>
      <c r="K3941" s="11" t="n">
        <v>0.05</v>
      </c>
      <c r="L3941" s="10">
        <f>I3941*J3941*(1-K3941)</f>
        <v/>
      </c>
      <c r="M3941" s="10" t="n">
        <v>721.6</v>
      </c>
      <c r="N3941" s="10">
        <f>L3941-M3941</f>
        <v/>
      </c>
    </row>
    <row r="3942">
      <c r="A3942" s="7" t="inlineStr">
        <is>
          <t>ORD-02200</t>
        </is>
      </c>
      <c r="B3942" s="8" t="n">
        <v>45726</v>
      </c>
      <c r="C3942" s="9" t="n">
        <v>45717</v>
      </c>
      <c r="D3942" s="7" t="n">
        <v>2025</v>
      </c>
      <c r="E3942" s="7" t="inlineStr">
        <is>
          <t>West</t>
        </is>
      </c>
      <c r="F3942" s="7" t="inlineStr">
        <is>
          <t>Office Supplies</t>
        </is>
      </c>
      <c r="G3942" s="7" t="inlineStr">
        <is>
          <t>Binder</t>
        </is>
      </c>
      <c r="H3942" s="7" t="inlineStr">
        <is>
          <t>Corporate</t>
        </is>
      </c>
      <c r="I3942" s="7" t="n">
        <v>13</v>
      </c>
      <c r="J3942" s="10" t="n">
        <v>8.199999999999999</v>
      </c>
      <c r="K3942" s="11" t="n">
        <v>0.1</v>
      </c>
      <c r="L3942" s="10">
        <f>I3942*J3942*(1-K3942)</f>
        <v/>
      </c>
      <c r="M3942" s="10" t="n">
        <v>41.6</v>
      </c>
      <c r="N3942" s="10">
        <f>L3942-M3942</f>
        <v/>
      </c>
    </row>
    <row r="3943">
      <c r="A3943" s="7" t="inlineStr">
        <is>
          <t>ORD-01044</t>
        </is>
      </c>
      <c r="B3943" s="8" t="n">
        <v>45726</v>
      </c>
      <c r="C3943" s="9" t="n">
        <v>45717</v>
      </c>
      <c r="D3943" s="7" t="n">
        <v>2025</v>
      </c>
      <c r="E3943" s="7" t="inlineStr">
        <is>
          <t>West</t>
        </is>
      </c>
      <c r="F3943" s="7" t="inlineStr">
        <is>
          <t>Office Supplies</t>
        </is>
      </c>
      <c r="G3943" s="7" t="inlineStr">
        <is>
          <t>Paper</t>
        </is>
      </c>
      <c r="H3943" s="7" t="inlineStr">
        <is>
          <t>Corporate</t>
        </is>
      </c>
      <c r="I3943" s="7" t="n">
        <v>6</v>
      </c>
      <c r="J3943" s="10" t="n">
        <v>24.98</v>
      </c>
      <c r="K3943" s="11" t="n">
        <v>0.05</v>
      </c>
      <c r="L3943" s="10">
        <f>I3943*J3943*(1-K3943)</f>
        <v/>
      </c>
      <c r="M3943" s="10" t="n">
        <v>75</v>
      </c>
      <c r="N3943" s="10">
        <f>L3943-M3943</f>
        <v/>
      </c>
    </row>
    <row r="3944">
      <c r="A3944" s="7" t="inlineStr">
        <is>
          <t>ORD-05555</t>
        </is>
      </c>
      <c r="B3944" s="8" t="n">
        <v>45726</v>
      </c>
      <c r="C3944" s="9" t="n">
        <v>45717</v>
      </c>
      <c r="D3944" s="7" t="n">
        <v>2025</v>
      </c>
      <c r="E3944" s="7" t="inlineStr">
        <is>
          <t>South</t>
        </is>
      </c>
      <c r="F3944" s="7" t="inlineStr">
        <is>
          <t>Office Supplies</t>
        </is>
      </c>
      <c r="G3944" s="7" t="inlineStr">
        <is>
          <t>Binder</t>
        </is>
      </c>
      <c r="H3944" s="7" t="inlineStr">
        <is>
          <t>Consumer</t>
        </is>
      </c>
      <c r="I3944" s="7" t="n">
        <v>4</v>
      </c>
      <c r="J3944" s="10" t="n">
        <v>8.359999999999999</v>
      </c>
      <c r="K3944" s="11" t="n">
        <v>0</v>
      </c>
      <c r="L3944" s="10">
        <f>I3944*J3944*(1-K3944)</f>
        <v/>
      </c>
      <c r="M3944" s="10" t="n">
        <v>12.8</v>
      </c>
      <c r="N3944" s="10">
        <f>L3944-M3944</f>
        <v/>
      </c>
    </row>
    <row r="3945">
      <c r="A3945" s="7" t="inlineStr">
        <is>
          <t>ORD-01500</t>
        </is>
      </c>
      <c r="B3945" s="8" t="n">
        <v>45726</v>
      </c>
      <c r="C3945" s="9" t="n">
        <v>45717</v>
      </c>
      <c r="D3945" s="7" t="n">
        <v>2025</v>
      </c>
      <c r="E3945" s="7" t="inlineStr">
        <is>
          <t>West</t>
        </is>
      </c>
      <c r="F3945" s="7" t="inlineStr">
        <is>
          <t>Office Supplies</t>
        </is>
      </c>
      <c r="G3945" s="7" t="inlineStr">
        <is>
          <t>Printer Ink</t>
        </is>
      </c>
      <c r="H3945" s="7" t="inlineStr">
        <is>
          <t>Corporate</t>
        </is>
      </c>
      <c r="I3945" s="7" t="n">
        <v>2</v>
      </c>
      <c r="J3945" s="10" t="n">
        <v>57.54</v>
      </c>
      <c r="K3945" s="11" t="n">
        <v>0.05</v>
      </c>
      <c r="L3945" s="10">
        <f>I3945*J3945*(1-K3945)</f>
        <v/>
      </c>
      <c r="M3945" s="10" t="n">
        <v>72</v>
      </c>
      <c r="N3945" s="10">
        <f>L3945-M3945</f>
        <v/>
      </c>
    </row>
    <row r="3946">
      <c r="A3946" s="7" t="inlineStr">
        <is>
          <t>ORD-04865</t>
        </is>
      </c>
      <c r="B3946" s="8" t="n">
        <v>45726</v>
      </c>
      <c r="C3946" s="9" t="n">
        <v>45717</v>
      </c>
      <c r="D3946" s="7" t="n">
        <v>2025</v>
      </c>
      <c r="E3946" s="7" t="inlineStr">
        <is>
          <t>East</t>
        </is>
      </c>
      <c r="F3946" s="7" t="inlineStr">
        <is>
          <t>Furniture</t>
        </is>
      </c>
      <c r="G3946" s="7" t="inlineStr">
        <is>
          <t>Bookcase</t>
        </is>
      </c>
      <c r="H3946" s="7" t="inlineStr">
        <is>
          <t>Home Office</t>
        </is>
      </c>
      <c r="I3946" s="7" t="n">
        <v>2</v>
      </c>
      <c r="J3946" s="10" t="n">
        <v>184.61</v>
      </c>
      <c r="K3946" s="11" t="n">
        <v>0</v>
      </c>
      <c r="L3946" s="10">
        <f>I3946*J3946*(1-K3946)</f>
        <v/>
      </c>
      <c r="M3946" s="10" t="n">
        <v>288</v>
      </c>
      <c r="N3946" s="10">
        <f>L3946-M3946</f>
        <v/>
      </c>
    </row>
    <row r="3947">
      <c r="A3947" s="7" t="inlineStr">
        <is>
          <t>ORD-03769</t>
        </is>
      </c>
      <c r="B3947" s="8" t="n">
        <v>45726</v>
      </c>
      <c r="C3947" s="9" t="n">
        <v>45717</v>
      </c>
      <c r="D3947" s="7" t="n">
        <v>2025</v>
      </c>
      <c r="E3947" s="7" t="inlineStr">
        <is>
          <t>South</t>
        </is>
      </c>
      <c r="F3947" s="7" t="inlineStr">
        <is>
          <t>Office Supplies</t>
        </is>
      </c>
      <c r="G3947" s="7" t="inlineStr">
        <is>
          <t>Stapler</t>
        </is>
      </c>
      <c r="H3947" s="7" t="inlineStr">
        <is>
          <t>Consumer</t>
        </is>
      </c>
      <c r="I3947" s="7" t="n">
        <v>4</v>
      </c>
      <c r="J3947" s="10" t="n">
        <v>14.81</v>
      </c>
      <c r="K3947" s="11" t="n">
        <v>0</v>
      </c>
      <c r="L3947" s="10">
        <f>I3947*J3947*(1-K3947)</f>
        <v/>
      </c>
      <c r="M3947" s="10" t="n">
        <v>30</v>
      </c>
      <c r="N3947" s="10">
        <f>L3947-M3947</f>
        <v/>
      </c>
    </row>
    <row r="3948">
      <c r="A3948" s="7" t="inlineStr">
        <is>
          <t>ORD-00223</t>
        </is>
      </c>
      <c r="B3948" s="8" t="n">
        <v>45726</v>
      </c>
      <c r="C3948" s="9" t="n">
        <v>45717</v>
      </c>
      <c r="D3948" s="7" t="n">
        <v>2025</v>
      </c>
      <c r="E3948" s="7" t="inlineStr">
        <is>
          <t>East</t>
        </is>
      </c>
      <c r="F3948" s="7" t="inlineStr">
        <is>
          <t>Technology</t>
        </is>
      </c>
      <c r="G3948" s="7" t="inlineStr">
        <is>
          <t>Monitor</t>
        </is>
      </c>
      <c r="H3948" s="7" t="inlineStr">
        <is>
          <t>Corporate</t>
        </is>
      </c>
      <c r="I3948" s="7" t="n">
        <v>3</v>
      </c>
      <c r="J3948" s="10" t="n">
        <v>240.66</v>
      </c>
      <c r="K3948" s="11" t="n">
        <v>0.05</v>
      </c>
      <c r="L3948" s="10">
        <f>I3948*J3948*(1-K3948)</f>
        <v/>
      </c>
      <c r="M3948" s="10" t="n">
        <v>540</v>
      </c>
      <c r="N3948" s="10">
        <f>L3948-M3948</f>
        <v/>
      </c>
    </row>
    <row r="3949">
      <c r="A3949" s="7" t="inlineStr">
        <is>
          <t>ORD-05567</t>
        </is>
      </c>
      <c r="B3949" s="8" t="n">
        <v>45726</v>
      </c>
      <c r="C3949" s="9" t="n">
        <v>45717</v>
      </c>
      <c r="D3949" s="7" t="n">
        <v>2025</v>
      </c>
      <c r="E3949" s="7" t="inlineStr">
        <is>
          <t>East</t>
        </is>
      </c>
      <c r="F3949" s="7" t="inlineStr">
        <is>
          <t>Technology</t>
        </is>
      </c>
      <c r="G3949" s="7" t="inlineStr">
        <is>
          <t>Laptop</t>
        </is>
      </c>
      <c r="H3949" s="7" t="inlineStr">
        <is>
          <t>Consumer</t>
        </is>
      </c>
      <c r="I3949" s="7" t="n">
        <v>3</v>
      </c>
      <c r="J3949" s="10" t="n">
        <v>870.62</v>
      </c>
      <c r="K3949" s="11" t="n">
        <v>0.1</v>
      </c>
      <c r="L3949" s="10">
        <f>I3949*J3949*(1-K3949)</f>
        <v/>
      </c>
      <c r="M3949" s="10" t="n">
        <v>2106</v>
      </c>
      <c r="N3949" s="10">
        <f>L3949-M3949</f>
        <v/>
      </c>
    </row>
    <row r="3950">
      <c r="A3950" s="7" t="inlineStr">
        <is>
          <t>ORD-00824</t>
        </is>
      </c>
      <c r="B3950" s="8" t="n">
        <v>45727</v>
      </c>
      <c r="C3950" s="9" t="n">
        <v>45717</v>
      </c>
      <c r="D3950" s="7" t="n">
        <v>2025</v>
      </c>
      <c r="E3950" s="7" t="inlineStr">
        <is>
          <t>West</t>
        </is>
      </c>
      <c r="F3950" s="7" t="inlineStr">
        <is>
          <t>Office Supplies</t>
        </is>
      </c>
      <c r="G3950" s="7" t="inlineStr">
        <is>
          <t>Paper</t>
        </is>
      </c>
      <c r="H3950" s="7" t="inlineStr">
        <is>
          <t>Corporate</t>
        </is>
      </c>
      <c r="I3950" s="7" t="n">
        <v>7</v>
      </c>
      <c r="J3950" s="10" t="n">
        <v>25.08</v>
      </c>
      <c r="K3950" s="11" t="n">
        <v>0.3</v>
      </c>
      <c r="L3950" s="10">
        <f>I3950*J3950*(1-K3950)</f>
        <v/>
      </c>
      <c r="M3950" s="10" t="n">
        <v>87.5</v>
      </c>
      <c r="N3950" s="10">
        <f>L3950-M3950</f>
        <v/>
      </c>
    </row>
    <row r="3951">
      <c r="A3951" s="7" t="inlineStr">
        <is>
          <t>ORD-05492</t>
        </is>
      </c>
      <c r="B3951" s="8" t="n">
        <v>45727</v>
      </c>
      <c r="C3951" s="9" t="n">
        <v>45717</v>
      </c>
      <c r="D3951" s="7" t="n">
        <v>2025</v>
      </c>
      <c r="E3951" s="7" t="inlineStr">
        <is>
          <t>West</t>
        </is>
      </c>
      <c r="F3951" s="7" t="inlineStr">
        <is>
          <t>Furniture</t>
        </is>
      </c>
      <c r="G3951" s="7" t="inlineStr">
        <is>
          <t>Office Chair</t>
        </is>
      </c>
      <c r="H3951" s="7" t="inlineStr">
        <is>
          <t>Corporate</t>
        </is>
      </c>
      <c r="I3951" s="7" t="n">
        <v>1</v>
      </c>
      <c r="J3951" s="10" t="n">
        <v>226.99</v>
      </c>
      <c r="K3951" s="11" t="n">
        <v>0</v>
      </c>
      <c r="L3951" s="10">
        <f>I3951*J3951*(1-K3951)</f>
        <v/>
      </c>
      <c r="M3951" s="10" t="n">
        <v>180.4</v>
      </c>
      <c r="N3951" s="10">
        <f>L3951-M3951</f>
        <v/>
      </c>
    </row>
    <row r="3952">
      <c r="A3952" s="7" t="inlineStr">
        <is>
          <t>ORD-03892</t>
        </is>
      </c>
      <c r="B3952" s="8" t="n">
        <v>45727</v>
      </c>
      <c r="C3952" s="9" t="n">
        <v>45717</v>
      </c>
      <c r="D3952" s="7" t="n">
        <v>2025</v>
      </c>
      <c r="E3952" s="7" t="inlineStr">
        <is>
          <t>East</t>
        </is>
      </c>
      <c r="F3952" s="7" t="inlineStr">
        <is>
          <t>Office Supplies</t>
        </is>
      </c>
      <c r="G3952" s="7" t="inlineStr">
        <is>
          <t>Pens</t>
        </is>
      </c>
      <c r="H3952" s="7" t="inlineStr">
        <is>
          <t>Corporate</t>
        </is>
      </c>
      <c r="I3952" s="7" t="n">
        <v>5</v>
      </c>
      <c r="J3952" s="10" t="n">
        <v>11.54</v>
      </c>
      <c r="K3952" s="11" t="n">
        <v>0</v>
      </c>
      <c r="L3952" s="10">
        <f>I3952*J3952*(1-K3952)</f>
        <v/>
      </c>
      <c r="M3952" s="10" t="n">
        <v>27</v>
      </c>
      <c r="N3952" s="10">
        <f>L3952-M3952</f>
        <v/>
      </c>
    </row>
    <row r="3953">
      <c r="A3953" s="7" t="inlineStr">
        <is>
          <t>ORD-01121</t>
        </is>
      </c>
      <c r="B3953" s="8" t="n">
        <v>45727</v>
      </c>
      <c r="C3953" s="9" t="n">
        <v>45717</v>
      </c>
      <c r="D3953" s="7" t="n">
        <v>2025</v>
      </c>
      <c r="E3953" s="7" t="inlineStr">
        <is>
          <t>East</t>
        </is>
      </c>
      <c r="F3953" s="7" t="inlineStr">
        <is>
          <t>Furniture</t>
        </is>
      </c>
      <c r="G3953" s="7" t="inlineStr">
        <is>
          <t>Office Chair</t>
        </is>
      </c>
      <c r="H3953" s="7" t="inlineStr">
        <is>
          <t>Consumer</t>
        </is>
      </c>
      <c r="I3953" s="7" t="n">
        <v>3</v>
      </c>
      <c r="J3953" s="10" t="n">
        <v>219.76</v>
      </c>
      <c r="K3953" s="11" t="n">
        <v>0.3</v>
      </c>
      <c r="L3953" s="10">
        <f>I3953*J3953*(1-K3953)</f>
        <v/>
      </c>
      <c r="M3953" s="10" t="n">
        <v>541.2</v>
      </c>
      <c r="N3953" s="10">
        <f>L3953-M3953</f>
        <v/>
      </c>
    </row>
    <row r="3954">
      <c r="A3954" s="7" t="inlineStr">
        <is>
          <t>ORD-00081</t>
        </is>
      </c>
      <c r="B3954" s="8" t="n">
        <v>45728</v>
      </c>
      <c r="C3954" s="9" t="n">
        <v>45717</v>
      </c>
      <c r="D3954" s="7" t="n">
        <v>2025</v>
      </c>
      <c r="E3954" s="7" t="inlineStr">
        <is>
          <t>West</t>
        </is>
      </c>
      <c r="F3954" s="7" t="inlineStr">
        <is>
          <t>Office Supplies</t>
        </is>
      </c>
      <c r="G3954" s="7" t="inlineStr">
        <is>
          <t>Printer Ink</t>
        </is>
      </c>
      <c r="H3954" s="7" t="inlineStr">
        <is>
          <t>Home Office</t>
        </is>
      </c>
      <c r="I3954" s="7" t="n">
        <v>8</v>
      </c>
      <c r="J3954" s="10" t="n">
        <v>60.97</v>
      </c>
      <c r="K3954" s="11" t="n">
        <v>0</v>
      </c>
      <c r="L3954" s="10">
        <f>I3954*J3954*(1-K3954)</f>
        <v/>
      </c>
      <c r="M3954" s="10" t="n">
        <v>288</v>
      </c>
      <c r="N3954" s="10">
        <f>L3954-M3954</f>
        <v/>
      </c>
    </row>
    <row r="3955">
      <c r="A3955" s="7" t="inlineStr">
        <is>
          <t>ORD-03281</t>
        </is>
      </c>
      <c r="B3955" s="8" t="n">
        <v>45728</v>
      </c>
      <c r="C3955" s="9" t="n">
        <v>45717</v>
      </c>
      <c r="D3955" s="7" t="n">
        <v>2025</v>
      </c>
      <c r="E3955" s="7" t="inlineStr">
        <is>
          <t>North</t>
        </is>
      </c>
      <c r="F3955" s="7" t="inlineStr">
        <is>
          <t>Office Supplies</t>
        </is>
      </c>
      <c r="G3955" s="7" t="inlineStr">
        <is>
          <t>Paper</t>
        </is>
      </c>
      <c r="H3955" s="7" t="inlineStr">
        <is>
          <t>Home Office</t>
        </is>
      </c>
      <c r="I3955" s="7" t="n">
        <v>10</v>
      </c>
      <c r="J3955" s="10" t="n">
        <v>24.13</v>
      </c>
      <c r="K3955" s="11" t="n">
        <v>0.1</v>
      </c>
      <c r="L3955" s="10">
        <f>I3955*J3955*(1-K3955)</f>
        <v/>
      </c>
      <c r="M3955" s="10" t="n">
        <v>125</v>
      </c>
      <c r="N3955" s="10">
        <f>L3955-M3955</f>
        <v/>
      </c>
    </row>
    <row r="3956">
      <c r="A3956" s="7" t="inlineStr">
        <is>
          <t>ORD-02649</t>
        </is>
      </c>
      <c r="B3956" s="8" t="n">
        <v>45728</v>
      </c>
      <c r="C3956" s="9" t="n">
        <v>45717</v>
      </c>
      <c r="D3956" s="7" t="n">
        <v>2025</v>
      </c>
      <c r="E3956" s="7" t="inlineStr">
        <is>
          <t>East</t>
        </is>
      </c>
      <c r="F3956" s="7" t="inlineStr">
        <is>
          <t>Office Supplies</t>
        </is>
      </c>
      <c r="G3956" s="7" t="inlineStr">
        <is>
          <t>Paper</t>
        </is>
      </c>
      <c r="H3956" s="7" t="inlineStr">
        <is>
          <t>Home Office</t>
        </is>
      </c>
      <c r="I3956" s="7" t="n">
        <v>12</v>
      </c>
      <c r="J3956" s="10" t="n">
        <v>26.1</v>
      </c>
      <c r="K3956" s="11" t="n">
        <v>0</v>
      </c>
      <c r="L3956" s="10">
        <f>I3956*J3956*(1-K3956)</f>
        <v/>
      </c>
      <c r="M3956" s="10" t="n">
        <v>150</v>
      </c>
      <c r="N3956" s="10">
        <f>L3956-M3956</f>
        <v/>
      </c>
    </row>
    <row r="3957">
      <c r="A3957" s="7" t="inlineStr">
        <is>
          <t>ORD-02438</t>
        </is>
      </c>
      <c r="B3957" s="8" t="n">
        <v>45728</v>
      </c>
      <c r="C3957" s="9" t="n">
        <v>45717</v>
      </c>
      <c r="D3957" s="7" t="n">
        <v>2025</v>
      </c>
      <c r="E3957" s="7" t="inlineStr">
        <is>
          <t>South</t>
        </is>
      </c>
      <c r="F3957" s="7" t="inlineStr">
        <is>
          <t>Office Supplies</t>
        </is>
      </c>
      <c r="G3957" s="7" t="inlineStr">
        <is>
          <t>Pens</t>
        </is>
      </c>
      <c r="H3957" s="7" t="inlineStr">
        <is>
          <t>Corporate</t>
        </is>
      </c>
      <c r="I3957" s="7" t="n">
        <v>5</v>
      </c>
      <c r="J3957" s="10" t="n">
        <v>11.48</v>
      </c>
      <c r="K3957" s="11" t="n">
        <v>0.1</v>
      </c>
      <c r="L3957" s="10">
        <f>I3957*J3957*(1-K3957)</f>
        <v/>
      </c>
      <c r="M3957" s="10" t="n">
        <v>27</v>
      </c>
      <c r="N3957" s="10">
        <f>L3957-M3957</f>
        <v/>
      </c>
    </row>
    <row r="3958">
      <c r="A3958" s="7" t="inlineStr">
        <is>
          <t>ORD-04823</t>
        </is>
      </c>
      <c r="B3958" s="8" t="n">
        <v>45729</v>
      </c>
      <c r="C3958" s="9" t="n">
        <v>45717</v>
      </c>
      <c r="D3958" s="7" t="n">
        <v>2025</v>
      </c>
      <c r="E3958" s="7" t="inlineStr">
        <is>
          <t>West</t>
        </is>
      </c>
      <c r="F3958" s="7" t="inlineStr">
        <is>
          <t>Office Supplies</t>
        </is>
      </c>
      <c r="G3958" s="7" t="inlineStr">
        <is>
          <t>Paper</t>
        </is>
      </c>
      <c r="H3958" s="7" t="inlineStr">
        <is>
          <t>Corporate</t>
        </is>
      </c>
      <c r="I3958" s="7" t="n">
        <v>6</v>
      </c>
      <c r="J3958" s="10" t="n">
        <v>24.88</v>
      </c>
      <c r="K3958" s="11" t="n">
        <v>0.05</v>
      </c>
      <c r="L3958" s="10">
        <f>I3958*J3958*(1-K3958)</f>
        <v/>
      </c>
      <c r="M3958" s="10" t="n">
        <v>75</v>
      </c>
      <c r="N3958" s="10">
        <f>L3958-M3958</f>
        <v/>
      </c>
    </row>
    <row r="3959">
      <c r="A3959" s="7" t="inlineStr">
        <is>
          <t>ORD-00411</t>
        </is>
      </c>
      <c r="B3959" s="8" t="n">
        <v>45729</v>
      </c>
      <c r="C3959" s="9" t="n">
        <v>45717</v>
      </c>
      <c r="D3959" s="7" t="n">
        <v>2025</v>
      </c>
      <c r="E3959" s="7" t="inlineStr">
        <is>
          <t>West</t>
        </is>
      </c>
      <c r="F3959" s="7" t="inlineStr">
        <is>
          <t>Office Supplies</t>
        </is>
      </c>
      <c r="G3959" s="7" t="inlineStr">
        <is>
          <t>Pens</t>
        </is>
      </c>
      <c r="H3959" s="7" t="inlineStr">
        <is>
          <t>Corporate</t>
        </is>
      </c>
      <c r="I3959" s="7" t="n">
        <v>2</v>
      </c>
      <c r="J3959" s="10" t="n">
        <v>12.04</v>
      </c>
      <c r="K3959" s="11" t="n">
        <v>0</v>
      </c>
      <c r="L3959" s="10">
        <f>I3959*J3959*(1-K3959)</f>
        <v/>
      </c>
      <c r="M3959" s="10" t="n">
        <v>10.8</v>
      </c>
      <c r="N3959" s="10">
        <f>L3959-M3959</f>
        <v/>
      </c>
    </row>
    <row r="3960">
      <c r="A3960" s="7" t="inlineStr">
        <is>
          <t>ORD-02365</t>
        </is>
      </c>
      <c r="B3960" s="8" t="n">
        <v>45729</v>
      </c>
      <c r="C3960" s="9" t="n">
        <v>45717</v>
      </c>
      <c r="D3960" s="7" t="n">
        <v>2025</v>
      </c>
      <c r="E3960" s="7" t="inlineStr">
        <is>
          <t>East</t>
        </is>
      </c>
      <c r="F3960" s="7" t="inlineStr">
        <is>
          <t>Furniture</t>
        </is>
      </c>
      <c r="G3960" s="7" t="inlineStr">
        <is>
          <t>Office Chair</t>
        </is>
      </c>
      <c r="H3960" s="7" t="inlineStr">
        <is>
          <t>Consumer</t>
        </is>
      </c>
      <c r="I3960" s="7" t="n">
        <v>1</v>
      </c>
      <c r="J3960" s="10" t="n">
        <v>221.53</v>
      </c>
      <c r="K3960" s="11" t="n">
        <v>0.2</v>
      </c>
      <c r="L3960" s="10">
        <f>I3960*J3960*(1-K3960)</f>
        <v/>
      </c>
      <c r="M3960" s="10" t="n">
        <v>180.4</v>
      </c>
      <c r="N3960" s="10">
        <f>L3960-M3960</f>
        <v/>
      </c>
    </row>
    <row r="3961">
      <c r="A3961" s="7" t="inlineStr">
        <is>
          <t>ORD-00054</t>
        </is>
      </c>
      <c r="B3961" s="8" t="n">
        <v>45729</v>
      </c>
      <c r="C3961" s="9" t="n">
        <v>45717</v>
      </c>
      <c r="D3961" s="7" t="n">
        <v>2025</v>
      </c>
      <c r="E3961" s="7" t="inlineStr">
        <is>
          <t>West</t>
        </is>
      </c>
      <c r="F3961" s="7" t="inlineStr">
        <is>
          <t>Technology</t>
        </is>
      </c>
      <c r="G3961" s="7" t="inlineStr">
        <is>
          <t>Laptop</t>
        </is>
      </c>
      <c r="H3961" s="7" t="inlineStr">
        <is>
          <t>Consumer</t>
        </is>
      </c>
      <c r="I3961" s="7" t="n">
        <v>2</v>
      </c>
      <c r="J3961" s="10" t="n">
        <v>855.35</v>
      </c>
      <c r="K3961" s="11" t="n">
        <v>0.2</v>
      </c>
      <c r="L3961" s="10">
        <f>I3961*J3961*(1-K3961)</f>
        <v/>
      </c>
      <c r="M3961" s="10" t="n">
        <v>1404</v>
      </c>
      <c r="N3961" s="10">
        <f>L3961-M3961</f>
        <v/>
      </c>
    </row>
    <row r="3962">
      <c r="A3962" s="7" t="inlineStr">
        <is>
          <t>ORD-05980</t>
        </is>
      </c>
      <c r="B3962" s="8" t="n">
        <v>45730</v>
      </c>
      <c r="C3962" s="9" t="n">
        <v>45717</v>
      </c>
      <c r="D3962" s="7" t="n">
        <v>2025</v>
      </c>
      <c r="E3962" s="7" t="inlineStr">
        <is>
          <t>North</t>
        </is>
      </c>
      <c r="F3962" s="7" t="inlineStr">
        <is>
          <t>Office Supplies</t>
        </is>
      </c>
      <c r="G3962" s="7" t="inlineStr">
        <is>
          <t>Printer Ink</t>
        </is>
      </c>
      <c r="H3962" s="7" t="inlineStr">
        <is>
          <t>Consumer</t>
        </is>
      </c>
      <c r="I3962" s="7" t="n">
        <v>9</v>
      </c>
      <c r="J3962" s="10" t="n">
        <v>61.06</v>
      </c>
      <c r="K3962" s="11" t="n">
        <v>0</v>
      </c>
      <c r="L3962" s="10">
        <f>I3962*J3962*(1-K3962)</f>
        <v/>
      </c>
      <c r="M3962" s="10" t="n">
        <v>324</v>
      </c>
      <c r="N3962" s="10">
        <f>L3962-M3962</f>
        <v/>
      </c>
    </row>
    <row r="3963">
      <c r="A3963" s="7" t="inlineStr">
        <is>
          <t>ORD-05349</t>
        </is>
      </c>
      <c r="B3963" s="8" t="n">
        <v>45730</v>
      </c>
      <c r="C3963" s="9" t="n">
        <v>45717</v>
      </c>
      <c r="D3963" s="7" t="n">
        <v>2025</v>
      </c>
      <c r="E3963" s="7" t="inlineStr">
        <is>
          <t>East</t>
        </is>
      </c>
      <c r="F3963" s="7" t="inlineStr">
        <is>
          <t>Technology</t>
        </is>
      </c>
      <c r="G3963" s="7" t="inlineStr">
        <is>
          <t>Smartphone</t>
        </is>
      </c>
      <c r="H3963" s="7" t="inlineStr">
        <is>
          <t>Consumer</t>
        </is>
      </c>
      <c r="I3963" s="7" t="n">
        <v>1</v>
      </c>
      <c r="J3963" s="10" t="n">
        <v>616.84</v>
      </c>
      <c r="K3963" s="11" t="n">
        <v>0.2</v>
      </c>
      <c r="L3963" s="10">
        <f>I3963*J3963*(1-K3963)</f>
        <v/>
      </c>
      <c r="M3963" s="10" t="n">
        <v>450</v>
      </c>
      <c r="N3963" s="10">
        <f>L3963-M3963</f>
        <v/>
      </c>
    </row>
    <row r="3964">
      <c r="A3964" s="7" t="inlineStr">
        <is>
          <t>ORD-02609</t>
        </is>
      </c>
      <c r="B3964" s="8" t="n">
        <v>45730</v>
      </c>
      <c r="C3964" s="9" t="n">
        <v>45717</v>
      </c>
      <c r="D3964" s="7" t="n">
        <v>2025</v>
      </c>
      <c r="E3964" s="7" t="inlineStr">
        <is>
          <t>West</t>
        </is>
      </c>
      <c r="F3964" s="7" t="inlineStr">
        <is>
          <t>Technology</t>
        </is>
      </c>
      <c r="G3964" s="7" t="inlineStr">
        <is>
          <t>Smartphone</t>
        </is>
      </c>
      <c r="H3964" s="7" t="inlineStr">
        <is>
          <t>Corporate</t>
        </is>
      </c>
      <c r="I3964" s="7" t="n">
        <v>1</v>
      </c>
      <c r="J3964" s="10" t="n">
        <v>571.9</v>
      </c>
      <c r="K3964" s="11" t="n">
        <v>0.1</v>
      </c>
      <c r="L3964" s="10">
        <f>I3964*J3964*(1-K3964)</f>
        <v/>
      </c>
      <c r="M3964" s="10" t="n">
        <v>450</v>
      </c>
      <c r="N3964" s="10">
        <f>L3964-M3964</f>
        <v/>
      </c>
    </row>
    <row r="3965">
      <c r="A3965" s="7" t="inlineStr">
        <is>
          <t>ORD-04537</t>
        </is>
      </c>
      <c r="B3965" s="8" t="n">
        <v>45730</v>
      </c>
      <c r="C3965" s="9" t="n">
        <v>45717</v>
      </c>
      <c r="D3965" s="7" t="n">
        <v>2025</v>
      </c>
      <c r="E3965" s="7" t="inlineStr">
        <is>
          <t>South</t>
        </is>
      </c>
      <c r="F3965" s="7" t="inlineStr">
        <is>
          <t>Office Supplies</t>
        </is>
      </c>
      <c r="G3965" s="7" t="inlineStr">
        <is>
          <t>Binder</t>
        </is>
      </c>
      <c r="H3965" s="7" t="inlineStr">
        <is>
          <t>Consumer</t>
        </is>
      </c>
      <c r="I3965" s="7" t="n">
        <v>11</v>
      </c>
      <c r="J3965" s="10" t="n">
        <v>7.89</v>
      </c>
      <c r="K3965" s="11" t="n">
        <v>0.3</v>
      </c>
      <c r="L3965" s="10">
        <f>I3965*J3965*(1-K3965)</f>
        <v/>
      </c>
      <c r="M3965" s="10" t="n">
        <v>35.2</v>
      </c>
      <c r="N3965" s="10">
        <f>L3965-M3965</f>
        <v/>
      </c>
    </row>
    <row r="3966">
      <c r="A3966" s="7" t="inlineStr">
        <is>
          <t>ORD-03807</t>
        </is>
      </c>
      <c r="B3966" s="8" t="n">
        <v>45730</v>
      </c>
      <c r="C3966" s="9" t="n">
        <v>45717</v>
      </c>
      <c r="D3966" s="7" t="n">
        <v>2025</v>
      </c>
      <c r="E3966" s="7" t="inlineStr">
        <is>
          <t>South</t>
        </is>
      </c>
      <c r="F3966" s="7" t="inlineStr">
        <is>
          <t>Technology</t>
        </is>
      </c>
      <c r="G3966" s="7" t="inlineStr">
        <is>
          <t>Monitor</t>
        </is>
      </c>
      <c r="H3966" s="7" t="inlineStr">
        <is>
          <t>Home Office</t>
        </is>
      </c>
      <c r="I3966" s="7" t="n">
        <v>2</v>
      </c>
      <c r="J3966" s="10" t="n">
        <v>250.69</v>
      </c>
      <c r="K3966" s="11" t="n">
        <v>0.1</v>
      </c>
      <c r="L3966" s="10">
        <f>I3966*J3966*(1-K3966)</f>
        <v/>
      </c>
      <c r="M3966" s="10" t="n">
        <v>360</v>
      </c>
      <c r="N3966" s="10">
        <f>L3966-M3966</f>
        <v/>
      </c>
    </row>
    <row r="3967">
      <c r="A3967" s="7" t="inlineStr">
        <is>
          <t>ORD-05338</t>
        </is>
      </c>
      <c r="B3967" s="8" t="n">
        <v>45730</v>
      </c>
      <c r="C3967" s="9" t="n">
        <v>45717</v>
      </c>
      <c r="D3967" s="7" t="n">
        <v>2025</v>
      </c>
      <c r="E3967" s="7" t="inlineStr">
        <is>
          <t>East</t>
        </is>
      </c>
      <c r="F3967" s="7" t="inlineStr">
        <is>
          <t>Technology</t>
        </is>
      </c>
      <c r="G3967" s="7" t="inlineStr">
        <is>
          <t>Smartphone</t>
        </is>
      </c>
      <c r="H3967" s="7" t="inlineStr">
        <is>
          <t>Corporate</t>
        </is>
      </c>
      <c r="I3967" s="7" t="n">
        <v>1</v>
      </c>
      <c r="J3967" s="10" t="n">
        <v>608.46</v>
      </c>
      <c r="K3967" s="11" t="n">
        <v>0.05</v>
      </c>
      <c r="L3967" s="10">
        <f>I3967*J3967*(1-K3967)</f>
        <v/>
      </c>
      <c r="M3967" s="10" t="n">
        <v>450</v>
      </c>
      <c r="N3967" s="10">
        <f>L3967-M3967</f>
        <v/>
      </c>
    </row>
    <row r="3968">
      <c r="A3968" s="7" t="inlineStr">
        <is>
          <t>ORD-05985</t>
        </is>
      </c>
      <c r="B3968" s="8" t="n">
        <v>45731</v>
      </c>
      <c r="C3968" s="9" t="n">
        <v>45717</v>
      </c>
      <c r="D3968" s="7" t="n">
        <v>2025</v>
      </c>
      <c r="E3968" s="7" t="inlineStr">
        <is>
          <t>West</t>
        </is>
      </c>
      <c r="F3968" s="7" t="inlineStr">
        <is>
          <t>Office Supplies</t>
        </is>
      </c>
      <c r="G3968" s="7" t="inlineStr">
        <is>
          <t>Pens</t>
        </is>
      </c>
      <c r="H3968" s="7" t="inlineStr">
        <is>
          <t>Corporate</t>
        </is>
      </c>
      <c r="I3968" s="7" t="n">
        <v>14</v>
      </c>
      <c r="J3968" s="10" t="n">
        <v>11.46</v>
      </c>
      <c r="K3968" s="11" t="n">
        <v>0</v>
      </c>
      <c r="L3968" s="10">
        <f>I3968*J3968*(1-K3968)</f>
        <v/>
      </c>
      <c r="M3968" s="10" t="n">
        <v>75.59999999999999</v>
      </c>
      <c r="N3968" s="10">
        <f>L3968-M3968</f>
        <v/>
      </c>
    </row>
    <row r="3969">
      <c r="A3969" s="7" t="inlineStr">
        <is>
          <t>ORD-03360</t>
        </is>
      </c>
      <c r="B3969" s="8" t="n">
        <v>45731</v>
      </c>
      <c r="C3969" s="9" t="n">
        <v>45717</v>
      </c>
      <c r="D3969" s="7" t="n">
        <v>2025</v>
      </c>
      <c r="E3969" s="7" t="inlineStr">
        <is>
          <t>West</t>
        </is>
      </c>
      <c r="F3969" s="7" t="inlineStr">
        <is>
          <t>Technology</t>
        </is>
      </c>
      <c r="G3969" s="7" t="inlineStr">
        <is>
          <t>Smartphone</t>
        </is>
      </c>
      <c r="H3969" s="7" t="inlineStr">
        <is>
          <t>Consumer</t>
        </is>
      </c>
      <c r="I3969" s="7" t="n">
        <v>1</v>
      </c>
      <c r="J3969" s="10" t="n">
        <v>591.8</v>
      </c>
      <c r="K3969" s="11" t="n">
        <v>0.2</v>
      </c>
      <c r="L3969" s="10">
        <f>I3969*J3969*(1-K3969)</f>
        <v/>
      </c>
      <c r="M3969" s="10" t="n">
        <v>450</v>
      </c>
      <c r="N3969" s="10">
        <f>L3969-M3969</f>
        <v/>
      </c>
    </row>
    <row r="3970">
      <c r="A3970" s="7" t="inlineStr">
        <is>
          <t>ORD-02602</t>
        </is>
      </c>
      <c r="B3970" s="8" t="n">
        <v>45731</v>
      </c>
      <c r="C3970" s="9" t="n">
        <v>45717</v>
      </c>
      <c r="D3970" s="7" t="n">
        <v>2025</v>
      </c>
      <c r="E3970" s="7" t="inlineStr">
        <is>
          <t>West</t>
        </is>
      </c>
      <c r="F3970" s="7" t="inlineStr">
        <is>
          <t>Office Supplies</t>
        </is>
      </c>
      <c r="G3970" s="7" t="inlineStr">
        <is>
          <t>Printer Ink</t>
        </is>
      </c>
      <c r="H3970" s="7" t="inlineStr">
        <is>
          <t>Home Office</t>
        </is>
      </c>
      <c r="I3970" s="7" t="n">
        <v>10</v>
      </c>
      <c r="J3970" s="10" t="n">
        <v>58.15</v>
      </c>
      <c r="K3970" s="11" t="n">
        <v>0</v>
      </c>
      <c r="L3970" s="10">
        <f>I3970*J3970*(1-K3970)</f>
        <v/>
      </c>
      <c r="M3970" s="10" t="n">
        <v>360</v>
      </c>
      <c r="N3970" s="10">
        <f>L3970-M3970</f>
        <v/>
      </c>
    </row>
    <row r="3971">
      <c r="A3971" s="7" t="inlineStr">
        <is>
          <t>ORD-01042</t>
        </is>
      </c>
      <c r="B3971" s="8" t="n">
        <v>45731</v>
      </c>
      <c r="C3971" s="9" t="n">
        <v>45717</v>
      </c>
      <c r="D3971" s="7" t="n">
        <v>2025</v>
      </c>
      <c r="E3971" s="7" t="inlineStr">
        <is>
          <t>West</t>
        </is>
      </c>
      <c r="F3971" s="7" t="inlineStr">
        <is>
          <t>Furniture</t>
        </is>
      </c>
      <c r="G3971" s="7" t="inlineStr">
        <is>
          <t>Office Chair</t>
        </is>
      </c>
      <c r="H3971" s="7" t="inlineStr">
        <is>
          <t>Consumer</t>
        </is>
      </c>
      <c r="I3971" s="7" t="n">
        <v>1</v>
      </c>
      <c r="J3971" s="10" t="n">
        <v>228.79</v>
      </c>
      <c r="K3971" s="11" t="n">
        <v>0.3</v>
      </c>
      <c r="L3971" s="10">
        <f>I3971*J3971*(1-K3971)</f>
        <v/>
      </c>
      <c r="M3971" s="10" t="n">
        <v>180.4</v>
      </c>
      <c r="N3971" s="10">
        <f>L3971-M3971</f>
        <v/>
      </c>
    </row>
    <row r="3972">
      <c r="A3972" s="7" t="inlineStr">
        <is>
          <t>ORD-02935</t>
        </is>
      </c>
      <c r="B3972" s="8" t="n">
        <v>45731</v>
      </c>
      <c r="C3972" s="9" t="n">
        <v>45717</v>
      </c>
      <c r="D3972" s="7" t="n">
        <v>2025</v>
      </c>
      <c r="E3972" s="7" t="inlineStr">
        <is>
          <t>South</t>
        </is>
      </c>
      <c r="F3972" s="7" t="inlineStr">
        <is>
          <t>Office Supplies</t>
        </is>
      </c>
      <c r="G3972" s="7" t="inlineStr">
        <is>
          <t>Paper</t>
        </is>
      </c>
      <c r="H3972" s="7" t="inlineStr">
        <is>
          <t>Home Office</t>
        </is>
      </c>
      <c r="I3972" s="7" t="n">
        <v>15</v>
      </c>
      <c r="J3972" s="10" t="n">
        <v>25.71</v>
      </c>
      <c r="K3972" s="11" t="n">
        <v>0</v>
      </c>
      <c r="L3972" s="10">
        <f>I3972*J3972*(1-K3972)</f>
        <v/>
      </c>
      <c r="M3972" s="10" t="n">
        <v>187.5</v>
      </c>
      <c r="N3972" s="10">
        <f>L3972-M3972</f>
        <v/>
      </c>
    </row>
    <row r="3973">
      <c r="A3973" s="7" t="inlineStr">
        <is>
          <t>ORD-05948</t>
        </is>
      </c>
      <c r="B3973" s="8" t="n">
        <v>45731</v>
      </c>
      <c r="C3973" s="9" t="n">
        <v>45717</v>
      </c>
      <c r="D3973" s="7" t="n">
        <v>2025</v>
      </c>
      <c r="E3973" s="7" t="inlineStr">
        <is>
          <t>East</t>
        </is>
      </c>
      <c r="F3973" s="7" t="inlineStr">
        <is>
          <t>Office Supplies</t>
        </is>
      </c>
      <c r="G3973" s="7" t="inlineStr">
        <is>
          <t>Pens</t>
        </is>
      </c>
      <c r="H3973" s="7" t="inlineStr">
        <is>
          <t>Corporate</t>
        </is>
      </c>
      <c r="I3973" s="7" t="n">
        <v>11</v>
      </c>
      <c r="J3973" s="10" t="n">
        <v>11.67</v>
      </c>
      <c r="K3973" s="11" t="n">
        <v>0.1</v>
      </c>
      <c r="L3973" s="10">
        <f>I3973*J3973*(1-K3973)</f>
        <v/>
      </c>
      <c r="M3973" s="10" t="n">
        <v>59.4</v>
      </c>
      <c r="N3973" s="10">
        <f>L3973-M3973</f>
        <v/>
      </c>
    </row>
    <row r="3974">
      <c r="A3974" s="7" t="inlineStr">
        <is>
          <t>ORD-05294</t>
        </is>
      </c>
      <c r="B3974" s="8" t="n">
        <v>45732</v>
      </c>
      <c r="C3974" s="9" t="n">
        <v>45717</v>
      </c>
      <c r="D3974" s="7" t="n">
        <v>2025</v>
      </c>
      <c r="E3974" s="7" t="inlineStr">
        <is>
          <t>East</t>
        </is>
      </c>
      <c r="F3974" s="7" t="inlineStr">
        <is>
          <t>Furniture</t>
        </is>
      </c>
      <c r="G3974" s="7" t="inlineStr">
        <is>
          <t>Desk</t>
        </is>
      </c>
      <c r="H3974" s="7" t="inlineStr">
        <is>
          <t>Consumer</t>
        </is>
      </c>
      <c r="I3974" s="7" t="n">
        <v>1</v>
      </c>
      <c r="J3974" s="10" t="n">
        <v>460.28</v>
      </c>
      <c r="K3974" s="11" t="n">
        <v>0</v>
      </c>
      <c r="L3974" s="10">
        <f>I3974*J3974*(1-K3974)</f>
        <v/>
      </c>
      <c r="M3974" s="10" t="n">
        <v>382.5</v>
      </c>
      <c r="N3974" s="10">
        <f>L3974-M3974</f>
        <v/>
      </c>
    </row>
    <row r="3975">
      <c r="A3975" s="7" t="inlineStr">
        <is>
          <t>ORD-00061</t>
        </is>
      </c>
      <c r="B3975" s="8" t="n">
        <v>45732</v>
      </c>
      <c r="C3975" s="9" t="n">
        <v>45717</v>
      </c>
      <c r="D3975" s="7" t="n">
        <v>2025</v>
      </c>
      <c r="E3975" s="7" t="inlineStr">
        <is>
          <t>South</t>
        </is>
      </c>
      <c r="F3975" s="7" t="inlineStr">
        <is>
          <t>Office Supplies</t>
        </is>
      </c>
      <c r="G3975" s="7" t="inlineStr">
        <is>
          <t>Pens</t>
        </is>
      </c>
      <c r="H3975" s="7" t="inlineStr">
        <is>
          <t>Consumer</t>
        </is>
      </c>
      <c r="I3975" s="7" t="n">
        <v>2</v>
      </c>
      <c r="J3975" s="10" t="n">
        <v>11.56</v>
      </c>
      <c r="K3975" s="11" t="n">
        <v>0.2</v>
      </c>
      <c r="L3975" s="10">
        <f>I3975*J3975*(1-K3975)</f>
        <v/>
      </c>
      <c r="M3975" s="10" t="n">
        <v>10.8</v>
      </c>
      <c r="N3975" s="10">
        <f>L3975-M3975</f>
        <v/>
      </c>
    </row>
    <row r="3976">
      <c r="A3976" s="7" t="inlineStr">
        <is>
          <t>ORD-05959</t>
        </is>
      </c>
      <c r="B3976" s="8" t="n">
        <v>45732</v>
      </c>
      <c r="C3976" s="9" t="n">
        <v>45717</v>
      </c>
      <c r="D3976" s="7" t="n">
        <v>2025</v>
      </c>
      <c r="E3976" s="7" t="inlineStr">
        <is>
          <t>South</t>
        </is>
      </c>
      <c r="F3976" s="7" t="inlineStr">
        <is>
          <t>Office Supplies</t>
        </is>
      </c>
      <c r="G3976" s="7" t="inlineStr">
        <is>
          <t>Binder</t>
        </is>
      </c>
      <c r="H3976" s="7" t="inlineStr">
        <is>
          <t>Corporate</t>
        </is>
      </c>
      <c r="I3976" s="7" t="n">
        <v>7</v>
      </c>
      <c r="J3976" s="10" t="n">
        <v>8.15</v>
      </c>
      <c r="K3976" s="11" t="n">
        <v>0.05</v>
      </c>
      <c r="L3976" s="10">
        <f>I3976*J3976*(1-K3976)</f>
        <v/>
      </c>
      <c r="M3976" s="10" t="n">
        <v>22.4</v>
      </c>
      <c r="N3976" s="10">
        <f>L3976-M3976</f>
        <v/>
      </c>
    </row>
    <row r="3977">
      <c r="A3977" s="7" t="inlineStr">
        <is>
          <t>ORD-05738</t>
        </is>
      </c>
      <c r="B3977" s="8" t="n">
        <v>45732</v>
      </c>
      <c r="C3977" s="9" t="n">
        <v>45717</v>
      </c>
      <c r="D3977" s="7" t="n">
        <v>2025</v>
      </c>
      <c r="E3977" s="7" t="inlineStr">
        <is>
          <t>South</t>
        </is>
      </c>
      <c r="F3977" s="7" t="inlineStr">
        <is>
          <t>Furniture</t>
        </is>
      </c>
      <c r="G3977" s="7" t="inlineStr">
        <is>
          <t>Office Chair</t>
        </is>
      </c>
      <c r="H3977" s="7" t="inlineStr">
        <is>
          <t>Corporate</t>
        </is>
      </c>
      <c r="I3977" s="7" t="n">
        <v>2</v>
      </c>
      <c r="J3977" s="10" t="n">
        <v>223.43</v>
      </c>
      <c r="K3977" s="11" t="n">
        <v>0.1</v>
      </c>
      <c r="L3977" s="10">
        <f>I3977*J3977*(1-K3977)</f>
        <v/>
      </c>
      <c r="M3977" s="10" t="n">
        <v>360.8</v>
      </c>
      <c r="N3977" s="10">
        <f>L3977-M3977</f>
        <v/>
      </c>
    </row>
    <row r="3978">
      <c r="A3978" s="7" t="inlineStr">
        <is>
          <t>ORD-04918</t>
        </is>
      </c>
      <c r="B3978" s="8" t="n">
        <v>45732</v>
      </c>
      <c r="C3978" s="9" t="n">
        <v>45717</v>
      </c>
      <c r="D3978" s="7" t="n">
        <v>2025</v>
      </c>
      <c r="E3978" s="7" t="inlineStr">
        <is>
          <t>South</t>
        </is>
      </c>
      <c r="F3978" s="7" t="inlineStr">
        <is>
          <t>Technology</t>
        </is>
      </c>
      <c r="G3978" s="7" t="inlineStr">
        <is>
          <t>Headphones</t>
        </is>
      </c>
      <c r="H3978" s="7" t="inlineStr">
        <is>
          <t>Consumer</t>
        </is>
      </c>
      <c r="I3978" s="7" t="n">
        <v>1</v>
      </c>
      <c r="J3978" s="10" t="n">
        <v>114.32</v>
      </c>
      <c r="K3978" s="11" t="n">
        <v>0.3</v>
      </c>
      <c r="L3978" s="10">
        <f>I3978*J3978*(1-K3978)</f>
        <v/>
      </c>
      <c r="M3978" s="10" t="n">
        <v>72</v>
      </c>
      <c r="N3978" s="10">
        <f>L3978-M3978</f>
        <v/>
      </c>
    </row>
    <row r="3979">
      <c r="A3979" s="7" t="inlineStr">
        <is>
          <t>ORD-01051</t>
        </is>
      </c>
      <c r="B3979" s="8" t="n">
        <v>45732</v>
      </c>
      <c r="C3979" s="9" t="n">
        <v>45717</v>
      </c>
      <c r="D3979" s="7" t="n">
        <v>2025</v>
      </c>
      <c r="E3979" s="7" t="inlineStr">
        <is>
          <t>North</t>
        </is>
      </c>
      <c r="F3979" s="7" t="inlineStr">
        <is>
          <t>Furniture</t>
        </is>
      </c>
      <c r="G3979" s="7" t="inlineStr">
        <is>
          <t>Sofa</t>
        </is>
      </c>
      <c r="H3979" s="7" t="inlineStr">
        <is>
          <t>Consumer</t>
        </is>
      </c>
      <c r="I3979" s="7" t="n">
        <v>3</v>
      </c>
      <c r="J3979" s="10" t="n">
        <v>730.02</v>
      </c>
      <c r="K3979" s="11" t="n">
        <v>0.05</v>
      </c>
      <c r="L3979" s="10">
        <f>I3979*J3979*(1-K3979)</f>
        <v/>
      </c>
      <c r="M3979" s="10" t="n">
        <v>1848</v>
      </c>
      <c r="N3979" s="10">
        <f>L3979-M3979</f>
        <v/>
      </c>
    </row>
    <row r="3980">
      <c r="A3980" s="7" t="inlineStr">
        <is>
          <t>ORD-01361</t>
        </is>
      </c>
      <c r="B3980" s="8" t="n">
        <v>45732</v>
      </c>
      <c r="C3980" s="9" t="n">
        <v>45717</v>
      </c>
      <c r="D3980" s="7" t="n">
        <v>2025</v>
      </c>
      <c r="E3980" s="7" t="inlineStr">
        <is>
          <t>East</t>
        </is>
      </c>
      <c r="F3980" s="7" t="inlineStr">
        <is>
          <t>Office Supplies</t>
        </is>
      </c>
      <c r="G3980" s="7" t="inlineStr">
        <is>
          <t>Pens</t>
        </is>
      </c>
      <c r="H3980" s="7" t="inlineStr">
        <is>
          <t>Consumer</t>
        </is>
      </c>
      <c r="I3980" s="7" t="n">
        <v>5</v>
      </c>
      <c r="J3980" s="10" t="n">
        <v>12.43</v>
      </c>
      <c r="K3980" s="11" t="n">
        <v>0</v>
      </c>
      <c r="L3980" s="10">
        <f>I3980*J3980*(1-K3980)</f>
        <v/>
      </c>
      <c r="M3980" s="10" t="n">
        <v>27</v>
      </c>
      <c r="N3980" s="10">
        <f>L3980-M3980</f>
        <v/>
      </c>
    </row>
    <row r="3981">
      <c r="A3981" s="7" t="inlineStr">
        <is>
          <t>ORD-04052</t>
        </is>
      </c>
      <c r="B3981" s="8" t="n">
        <v>45733</v>
      </c>
      <c r="C3981" s="9" t="n">
        <v>45717</v>
      </c>
      <c r="D3981" s="7" t="n">
        <v>2025</v>
      </c>
      <c r="E3981" s="7" t="inlineStr">
        <is>
          <t>West</t>
        </is>
      </c>
      <c r="F3981" s="7" t="inlineStr">
        <is>
          <t>Furniture</t>
        </is>
      </c>
      <c r="G3981" s="7" t="inlineStr">
        <is>
          <t>Office Chair</t>
        </is>
      </c>
      <c r="H3981" s="7" t="inlineStr">
        <is>
          <t>Consumer</t>
        </is>
      </c>
      <c r="I3981" s="7" t="n">
        <v>3</v>
      </c>
      <c r="J3981" s="10" t="n">
        <v>214.5</v>
      </c>
      <c r="K3981" s="11" t="n">
        <v>0.2</v>
      </c>
      <c r="L3981" s="10">
        <f>I3981*J3981*(1-K3981)</f>
        <v/>
      </c>
      <c r="M3981" s="10" t="n">
        <v>541.2</v>
      </c>
      <c r="N3981" s="10">
        <f>L3981-M3981</f>
        <v/>
      </c>
    </row>
    <row r="3982">
      <c r="A3982" s="7" t="inlineStr">
        <is>
          <t>ORD-03906</t>
        </is>
      </c>
      <c r="B3982" s="8" t="n">
        <v>45733</v>
      </c>
      <c r="C3982" s="9" t="n">
        <v>45717</v>
      </c>
      <c r="D3982" s="7" t="n">
        <v>2025</v>
      </c>
      <c r="E3982" s="7" t="inlineStr">
        <is>
          <t>South</t>
        </is>
      </c>
      <c r="F3982" s="7" t="inlineStr">
        <is>
          <t>Office Supplies</t>
        </is>
      </c>
      <c r="G3982" s="7" t="inlineStr">
        <is>
          <t>Paper</t>
        </is>
      </c>
      <c r="H3982" s="7" t="inlineStr">
        <is>
          <t>Consumer</t>
        </is>
      </c>
      <c r="I3982" s="7" t="n">
        <v>12</v>
      </c>
      <c r="J3982" s="10" t="n">
        <v>24.84</v>
      </c>
      <c r="K3982" s="11" t="n">
        <v>0</v>
      </c>
      <c r="L3982" s="10">
        <f>I3982*J3982*(1-K3982)</f>
        <v/>
      </c>
      <c r="M3982" s="10" t="n">
        <v>150</v>
      </c>
      <c r="N3982" s="10">
        <f>L3982-M3982</f>
        <v/>
      </c>
    </row>
    <row r="3983">
      <c r="A3983" s="7" t="inlineStr">
        <is>
          <t>ORD-04696</t>
        </is>
      </c>
      <c r="B3983" s="8" t="n">
        <v>45733</v>
      </c>
      <c r="C3983" s="9" t="n">
        <v>45717</v>
      </c>
      <c r="D3983" s="7" t="n">
        <v>2025</v>
      </c>
      <c r="E3983" s="7" t="inlineStr">
        <is>
          <t>West</t>
        </is>
      </c>
      <c r="F3983" s="7" t="inlineStr">
        <is>
          <t>Office Supplies</t>
        </is>
      </c>
      <c r="G3983" s="7" t="inlineStr">
        <is>
          <t>Paper</t>
        </is>
      </c>
      <c r="H3983" s="7" t="inlineStr">
        <is>
          <t>Consumer</t>
        </is>
      </c>
      <c r="I3983" s="7" t="n">
        <v>4</v>
      </c>
      <c r="J3983" s="10" t="n">
        <v>24.58</v>
      </c>
      <c r="K3983" s="11" t="n">
        <v>0.05</v>
      </c>
      <c r="L3983" s="10">
        <f>I3983*J3983*(1-K3983)</f>
        <v/>
      </c>
      <c r="M3983" s="10" t="n">
        <v>50</v>
      </c>
      <c r="N3983" s="10">
        <f>L3983-M3983</f>
        <v/>
      </c>
    </row>
    <row r="3984">
      <c r="A3984" s="7" t="inlineStr">
        <is>
          <t>ORD-05636</t>
        </is>
      </c>
      <c r="B3984" s="8" t="n">
        <v>45733</v>
      </c>
      <c r="C3984" s="9" t="n">
        <v>45717</v>
      </c>
      <c r="D3984" s="7" t="n">
        <v>2025</v>
      </c>
      <c r="E3984" s="7" t="inlineStr">
        <is>
          <t>East</t>
        </is>
      </c>
      <c r="F3984" s="7" t="inlineStr">
        <is>
          <t>Office Supplies</t>
        </is>
      </c>
      <c r="G3984" s="7" t="inlineStr">
        <is>
          <t>Pens</t>
        </is>
      </c>
      <c r="H3984" s="7" t="inlineStr">
        <is>
          <t>Corporate</t>
        </is>
      </c>
      <c r="I3984" s="7" t="n">
        <v>3</v>
      </c>
      <c r="J3984" s="10" t="n">
        <v>11.62</v>
      </c>
      <c r="K3984" s="11" t="n">
        <v>0</v>
      </c>
      <c r="L3984" s="10">
        <f>I3984*J3984*(1-K3984)</f>
        <v/>
      </c>
      <c r="M3984" s="10" t="n">
        <v>16.2</v>
      </c>
      <c r="N3984" s="10">
        <f>L3984-M3984</f>
        <v/>
      </c>
    </row>
    <row r="3985">
      <c r="A3985" s="7" t="inlineStr">
        <is>
          <t>ORD-01308</t>
        </is>
      </c>
      <c r="B3985" s="8" t="n">
        <v>45733</v>
      </c>
      <c r="C3985" s="9" t="n">
        <v>45717</v>
      </c>
      <c r="D3985" s="7" t="n">
        <v>2025</v>
      </c>
      <c r="E3985" s="7" t="inlineStr">
        <is>
          <t>South</t>
        </is>
      </c>
      <c r="F3985" s="7" t="inlineStr">
        <is>
          <t>Technology</t>
        </is>
      </c>
      <c r="G3985" s="7" t="inlineStr">
        <is>
          <t>Headphones</t>
        </is>
      </c>
      <c r="H3985" s="7" t="inlineStr">
        <is>
          <t>Consumer</t>
        </is>
      </c>
      <c r="I3985" s="7" t="n">
        <v>2</v>
      </c>
      <c r="J3985" s="10" t="n">
        <v>116.82</v>
      </c>
      <c r="K3985" s="11" t="n">
        <v>0.1</v>
      </c>
      <c r="L3985" s="10">
        <f>I3985*J3985*(1-K3985)</f>
        <v/>
      </c>
      <c r="M3985" s="10" t="n">
        <v>144</v>
      </c>
      <c r="N3985" s="10">
        <f>L3985-M3985</f>
        <v/>
      </c>
    </row>
    <row r="3986">
      <c r="A3986" s="7" t="inlineStr">
        <is>
          <t>ORD-03625</t>
        </is>
      </c>
      <c r="B3986" s="8" t="n">
        <v>45733</v>
      </c>
      <c r="C3986" s="9" t="n">
        <v>45717</v>
      </c>
      <c r="D3986" s="7" t="n">
        <v>2025</v>
      </c>
      <c r="E3986" s="7" t="inlineStr">
        <is>
          <t>South</t>
        </is>
      </c>
      <c r="F3986" s="7" t="inlineStr">
        <is>
          <t>Office Supplies</t>
        </is>
      </c>
      <c r="G3986" s="7" t="inlineStr">
        <is>
          <t>Printer Ink</t>
        </is>
      </c>
      <c r="H3986" s="7" t="inlineStr">
        <is>
          <t>Consumer</t>
        </is>
      </c>
      <c r="I3986" s="7" t="n">
        <v>10</v>
      </c>
      <c r="J3986" s="10" t="n">
        <v>60.25</v>
      </c>
      <c r="K3986" s="11" t="n">
        <v>0.3</v>
      </c>
      <c r="L3986" s="10">
        <f>I3986*J3986*(1-K3986)</f>
        <v/>
      </c>
      <c r="M3986" s="10" t="n">
        <v>360</v>
      </c>
      <c r="N3986" s="10">
        <f>L3986-M3986</f>
        <v/>
      </c>
    </row>
    <row r="3987">
      <c r="A3987" s="7" t="inlineStr">
        <is>
          <t>ORD-00566</t>
        </is>
      </c>
      <c r="B3987" s="8" t="n">
        <v>45734</v>
      </c>
      <c r="C3987" s="9" t="n">
        <v>45717</v>
      </c>
      <c r="D3987" s="7" t="n">
        <v>2025</v>
      </c>
      <c r="E3987" s="7" t="inlineStr">
        <is>
          <t>South</t>
        </is>
      </c>
      <c r="F3987" s="7" t="inlineStr">
        <is>
          <t>Office Supplies</t>
        </is>
      </c>
      <c r="G3987" s="7" t="inlineStr">
        <is>
          <t>Binder</t>
        </is>
      </c>
      <c r="H3987" s="7" t="inlineStr">
        <is>
          <t>Consumer</t>
        </is>
      </c>
      <c r="I3987" s="7" t="n">
        <v>13</v>
      </c>
      <c r="J3987" s="10" t="n">
        <v>8.25</v>
      </c>
      <c r="K3987" s="11" t="n">
        <v>0.1</v>
      </c>
      <c r="L3987" s="10">
        <f>I3987*J3987*(1-K3987)</f>
        <v/>
      </c>
      <c r="M3987" s="10" t="n">
        <v>41.6</v>
      </c>
      <c r="N3987" s="10">
        <f>L3987-M3987</f>
        <v/>
      </c>
    </row>
    <row r="3988">
      <c r="A3988" s="7" t="inlineStr">
        <is>
          <t>ORD-03708</t>
        </is>
      </c>
      <c r="B3988" s="8" t="n">
        <v>45734</v>
      </c>
      <c r="C3988" s="9" t="n">
        <v>45717</v>
      </c>
      <c r="D3988" s="7" t="n">
        <v>2025</v>
      </c>
      <c r="E3988" s="7" t="inlineStr">
        <is>
          <t>North</t>
        </is>
      </c>
      <c r="F3988" s="7" t="inlineStr">
        <is>
          <t>Office Supplies</t>
        </is>
      </c>
      <c r="G3988" s="7" t="inlineStr">
        <is>
          <t>Pens</t>
        </is>
      </c>
      <c r="H3988" s="7" t="inlineStr">
        <is>
          <t>Home Office</t>
        </is>
      </c>
      <c r="I3988" s="7" t="n">
        <v>13</v>
      </c>
      <c r="J3988" s="10" t="n">
        <v>11.68</v>
      </c>
      <c r="K3988" s="11" t="n">
        <v>0.1</v>
      </c>
      <c r="L3988" s="10">
        <f>I3988*J3988*(1-K3988)</f>
        <v/>
      </c>
      <c r="M3988" s="10" t="n">
        <v>70.2</v>
      </c>
      <c r="N3988" s="10">
        <f>L3988-M3988</f>
        <v/>
      </c>
    </row>
    <row r="3989">
      <c r="A3989" s="7" t="inlineStr">
        <is>
          <t>ORD-00040</t>
        </is>
      </c>
      <c r="B3989" s="8" t="n">
        <v>45734</v>
      </c>
      <c r="C3989" s="9" t="n">
        <v>45717</v>
      </c>
      <c r="D3989" s="7" t="n">
        <v>2025</v>
      </c>
      <c r="E3989" s="7" t="inlineStr">
        <is>
          <t>East</t>
        </is>
      </c>
      <c r="F3989" s="7" t="inlineStr">
        <is>
          <t>Office Supplies</t>
        </is>
      </c>
      <c r="G3989" s="7" t="inlineStr">
        <is>
          <t>Paper</t>
        </is>
      </c>
      <c r="H3989" s="7" t="inlineStr">
        <is>
          <t>Corporate</t>
        </is>
      </c>
      <c r="I3989" s="7" t="n">
        <v>5</v>
      </c>
      <c r="J3989" s="10" t="n">
        <v>24.74</v>
      </c>
      <c r="K3989" s="11" t="n">
        <v>0.05</v>
      </c>
      <c r="L3989" s="10">
        <f>I3989*J3989*(1-K3989)</f>
        <v/>
      </c>
      <c r="M3989" s="10" t="n">
        <v>62.5</v>
      </c>
      <c r="N3989" s="10">
        <f>L3989-M3989</f>
        <v/>
      </c>
    </row>
    <row r="3990">
      <c r="A3990" s="7" t="inlineStr">
        <is>
          <t>ORD-05559</t>
        </is>
      </c>
      <c r="B3990" s="8" t="n">
        <v>45735</v>
      </c>
      <c r="C3990" s="9" t="n">
        <v>45717</v>
      </c>
      <c r="D3990" s="7" t="n">
        <v>2025</v>
      </c>
      <c r="E3990" s="7" t="inlineStr">
        <is>
          <t>South</t>
        </is>
      </c>
      <c r="F3990" s="7" t="inlineStr">
        <is>
          <t>Technology</t>
        </is>
      </c>
      <c r="G3990" s="7" t="inlineStr">
        <is>
          <t>Smartphone</t>
        </is>
      </c>
      <c r="H3990" s="7" t="inlineStr">
        <is>
          <t>Consumer</t>
        </is>
      </c>
      <c r="I3990" s="7" t="n">
        <v>2</v>
      </c>
      <c r="J3990" s="10" t="n">
        <v>580.98</v>
      </c>
      <c r="K3990" s="11" t="n">
        <v>0.05</v>
      </c>
      <c r="L3990" s="10">
        <f>I3990*J3990*(1-K3990)</f>
        <v/>
      </c>
      <c r="M3990" s="10" t="n">
        <v>900</v>
      </c>
      <c r="N3990" s="10">
        <f>L3990-M3990</f>
        <v/>
      </c>
    </row>
    <row r="3991">
      <c r="A3991" s="7" t="inlineStr">
        <is>
          <t>ORD-05549</t>
        </is>
      </c>
      <c r="B3991" s="8" t="n">
        <v>45735</v>
      </c>
      <c r="C3991" s="9" t="n">
        <v>45717</v>
      </c>
      <c r="D3991" s="7" t="n">
        <v>2025</v>
      </c>
      <c r="E3991" s="7" t="inlineStr">
        <is>
          <t>West</t>
        </is>
      </c>
      <c r="F3991" s="7" t="inlineStr">
        <is>
          <t>Office Supplies</t>
        </is>
      </c>
      <c r="G3991" s="7" t="inlineStr">
        <is>
          <t>Binder</t>
        </is>
      </c>
      <c r="H3991" s="7" t="inlineStr">
        <is>
          <t>Corporate</t>
        </is>
      </c>
      <c r="I3991" s="7" t="n">
        <v>2</v>
      </c>
      <c r="J3991" s="10" t="n">
        <v>8</v>
      </c>
      <c r="K3991" s="11" t="n">
        <v>0.05</v>
      </c>
      <c r="L3991" s="10">
        <f>I3991*J3991*(1-K3991)</f>
        <v/>
      </c>
      <c r="M3991" s="10" t="n">
        <v>6.4</v>
      </c>
      <c r="N3991" s="10">
        <f>L3991-M3991</f>
        <v/>
      </c>
    </row>
    <row r="3992">
      <c r="A3992" s="7" t="inlineStr">
        <is>
          <t>ORD-05831</t>
        </is>
      </c>
      <c r="B3992" s="8" t="n">
        <v>45735</v>
      </c>
      <c r="C3992" s="9" t="n">
        <v>45717</v>
      </c>
      <c r="D3992" s="7" t="n">
        <v>2025</v>
      </c>
      <c r="E3992" s="7" t="inlineStr">
        <is>
          <t>West</t>
        </is>
      </c>
      <c r="F3992" s="7" t="inlineStr">
        <is>
          <t>Technology</t>
        </is>
      </c>
      <c r="G3992" s="7" t="inlineStr">
        <is>
          <t>Headphones</t>
        </is>
      </c>
      <c r="H3992" s="7" t="inlineStr">
        <is>
          <t>Corporate</t>
        </is>
      </c>
      <c r="I3992" s="7" t="n">
        <v>2</v>
      </c>
      <c r="J3992" s="10" t="n">
        <v>125.42</v>
      </c>
      <c r="K3992" s="11" t="n">
        <v>0.05</v>
      </c>
      <c r="L3992" s="10">
        <f>I3992*J3992*(1-K3992)</f>
        <v/>
      </c>
      <c r="M3992" s="10" t="n">
        <v>144</v>
      </c>
      <c r="N3992" s="10">
        <f>L3992-M3992</f>
        <v/>
      </c>
    </row>
    <row r="3993">
      <c r="A3993" s="7" t="inlineStr">
        <is>
          <t>ORD-03172</t>
        </is>
      </c>
      <c r="B3993" s="8" t="n">
        <v>45736</v>
      </c>
      <c r="C3993" s="9" t="n">
        <v>45717</v>
      </c>
      <c r="D3993" s="7" t="n">
        <v>2025</v>
      </c>
      <c r="E3993" s="7" t="inlineStr">
        <is>
          <t>South</t>
        </is>
      </c>
      <c r="F3993" s="7" t="inlineStr">
        <is>
          <t>Office Supplies</t>
        </is>
      </c>
      <c r="G3993" s="7" t="inlineStr">
        <is>
          <t>Pens</t>
        </is>
      </c>
      <c r="H3993" s="7" t="inlineStr">
        <is>
          <t>Corporate</t>
        </is>
      </c>
      <c r="I3993" s="7" t="n">
        <v>14</v>
      </c>
      <c r="J3993" s="10" t="n">
        <v>12.34</v>
      </c>
      <c r="K3993" s="11" t="n">
        <v>0.3</v>
      </c>
      <c r="L3993" s="10">
        <f>I3993*J3993*(1-K3993)</f>
        <v/>
      </c>
      <c r="M3993" s="10" t="n">
        <v>75.59999999999999</v>
      </c>
      <c r="N3993" s="10">
        <f>L3993-M3993</f>
        <v/>
      </c>
    </row>
    <row r="3994">
      <c r="A3994" s="7" t="inlineStr">
        <is>
          <t>ORD-00368</t>
        </is>
      </c>
      <c r="B3994" s="8" t="n">
        <v>45736</v>
      </c>
      <c r="C3994" s="9" t="n">
        <v>45717</v>
      </c>
      <c r="D3994" s="7" t="n">
        <v>2025</v>
      </c>
      <c r="E3994" s="7" t="inlineStr">
        <is>
          <t>West</t>
        </is>
      </c>
      <c r="F3994" s="7" t="inlineStr">
        <is>
          <t>Office Supplies</t>
        </is>
      </c>
      <c r="G3994" s="7" t="inlineStr">
        <is>
          <t>Paper</t>
        </is>
      </c>
      <c r="H3994" s="7" t="inlineStr">
        <is>
          <t>Consumer</t>
        </is>
      </c>
      <c r="I3994" s="7" t="n">
        <v>14</v>
      </c>
      <c r="J3994" s="10" t="n">
        <v>26.08</v>
      </c>
      <c r="K3994" s="11" t="n">
        <v>0.2</v>
      </c>
      <c r="L3994" s="10">
        <f>I3994*J3994*(1-K3994)</f>
        <v/>
      </c>
      <c r="M3994" s="10" t="n">
        <v>175</v>
      </c>
      <c r="N3994" s="10">
        <f>L3994-M3994</f>
        <v/>
      </c>
    </row>
    <row r="3995">
      <c r="A3995" s="7" t="inlineStr">
        <is>
          <t>ORD-02688</t>
        </is>
      </c>
      <c r="B3995" s="8" t="n">
        <v>45736</v>
      </c>
      <c r="C3995" s="9" t="n">
        <v>45717</v>
      </c>
      <c r="D3995" s="7" t="n">
        <v>2025</v>
      </c>
      <c r="E3995" s="7" t="inlineStr">
        <is>
          <t>West</t>
        </is>
      </c>
      <c r="F3995" s="7" t="inlineStr">
        <is>
          <t>Furniture</t>
        </is>
      </c>
      <c r="G3995" s="7" t="inlineStr">
        <is>
          <t>Office Chair</t>
        </is>
      </c>
      <c r="H3995" s="7" t="inlineStr">
        <is>
          <t>Corporate</t>
        </is>
      </c>
      <c r="I3995" s="7" t="n">
        <v>1</v>
      </c>
      <c r="J3995" s="10" t="n">
        <v>223.99</v>
      </c>
      <c r="K3995" s="11" t="n">
        <v>0.3</v>
      </c>
      <c r="L3995" s="10">
        <f>I3995*J3995*(1-K3995)</f>
        <v/>
      </c>
      <c r="M3995" s="10" t="n">
        <v>180.4</v>
      </c>
      <c r="N3995" s="10">
        <f>L3995-M3995</f>
        <v/>
      </c>
    </row>
    <row r="3996">
      <c r="A3996" s="7" t="inlineStr">
        <is>
          <t>ORD-04585</t>
        </is>
      </c>
      <c r="B3996" s="8" t="n">
        <v>45736</v>
      </c>
      <c r="C3996" s="9" t="n">
        <v>45717</v>
      </c>
      <c r="D3996" s="7" t="n">
        <v>2025</v>
      </c>
      <c r="E3996" s="7" t="inlineStr">
        <is>
          <t>East</t>
        </is>
      </c>
      <c r="F3996" s="7" t="inlineStr">
        <is>
          <t>Technology</t>
        </is>
      </c>
      <c r="G3996" s="7" t="inlineStr">
        <is>
          <t>Laptop</t>
        </is>
      </c>
      <c r="H3996" s="7" t="inlineStr">
        <is>
          <t>Home Office</t>
        </is>
      </c>
      <c r="I3996" s="7" t="n">
        <v>3</v>
      </c>
      <c r="J3996" s="10" t="n">
        <v>892.8099999999999</v>
      </c>
      <c r="K3996" s="11" t="n">
        <v>0</v>
      </c>
      <c r="L3996" s="10">
        <f>I3996*J3996*(1-K3996)</f>
        <v/>
      </c>
      <c r="M3996" s="10" t="n">
        <v>2106</v>
      </c>
      <c r="N3996" s="10">
        <f>L3996-M3996</f>
        <v/>
      </c>
    </row>
    <row r="3997">
      <c r="A3997" s="7" t="inlineStr">
        <is>
          <t>ORD-03346</t>
        </is>
      </c>
      <c r="B3997" s="8" t="n">
        <v>45736</v>
      </c>
      <c r="C3997" s="9" t="n">
        <v>45717</v>
      </c>
      <c r="D3997" s="7" t="n">
        <v>2025</v>
      </c>
      <c r="E3997" s="7" t="inlineStr">
        <is>
          <t>East</t>
        </is>
      </c>
      <c r="F3997" s="7" t="inlineStr">
        <is>
          <t>Office Supplies</t>
        </is>
      </c>
      <c r="G3997" s="7" t="inlineStr">
        <is>
          <t>Paper</t>
        </is>
      </c>
      <c r="H3997" s="7" t="inlineStr">
        <is>
          <t>Home Office</t>
        </is>
      </c>
      <c r="I3997" s="7" t="n">
        <v>2</v>
      </c>
      <c r="J3997" s="10" t="n">
        <v>24.32</v>
      </c>
      <c r="K3997" s="11" t="n">
        <v>0</v>
      </c>
      <c r="L3997" s="10">
        <f>I3997*J3997*(1-K3997)</f>
        <v/>
      </c>
      <c r="M3997" s="10" t="n">
        <v>25</v>
      </c>
      <c r="N3997" s="10">
        <f>L3997-M3997</f>
        <v/>
      </c>
    </row>
    <row r="3998">
      <c r="A3998" s="7" t="inlineStr">
        <is>
          <t>ORD-01501</t>
        </is>
      </c>
      <c r="B3998" s="8" t="n">
        <v>45736</v>
      </c>
      <c r="C3998" s="9" t="n">
        <v>45717</v>
      </c>
      <c r="D3998" s="7" t="n">
        <v>2025</v>
      </c>
      <c r="E3998" s="7" t="inlineStr">
        <is>
          <t>East</t>
        </is>
      </c>
      <c r="F3998" s="7" t="inlineStr">
        <is>
          <t>Office Supplies</t>
        </is>
      </c>
      <c r="G3998" s="7" t="inlineStr">
        <is>
          <t>Printer Ink</t>
        </is>
      </c>
      <c r="H3998" s="7" t="inlineStr">
        <is>
          <t>Home Office</t>
        </is>
      </c>
      <c r="I3998" s="7" t="n">
        <v>4</v>
      </c>
      <c r="J3998" s="10" t="n">
        <v>60.86</v>
      </c>
      <c r="K3998" s="11" t="n">
        <v>0</v>
      </c>
      <c r="L3998" s="10">
        <f>I3998*J3998*(1-K3998)</f>
        <v/>
      </c>
      <c r="M3998" s="10" t="n">
        <v>144</v>
      </c>
      <c r="N3998" s="10">
        <f>L3998-M3998</f>
        <v/>
      </c>
    </row>
    <row r="3999">
      <c r="A3999" s="7" t="inlineStr">
        <is>
          <t>ORD-00653</t>
        </is>
      </c>
      <c r="B3999" s="8" t="n">
        <v>45736</v>
      </c>
      <c r="C3999" s="9" t="n">
        <v>45717</v>
      </c>
      <c r="D3999" s="7" t="n">
        <v>2025</v>
      </c>
      <c r="E3999" s="7" t="inlineStr">
        <is>
          <t>South</t>
        </is>
      </c>
      <c r="F3999" s="7" t="inlineStr">
        <is>
          <t>Office Supplies</t>
        </is>
      </c>
      <c r="G3999" s="7" t="inlineStr">
        <is>
          <t>Pens</t>
        </is>
      </c>
      <c r="H3999" s="7" t="inlineStr">
        <is>
          <t>Consumer</t>
        </is>
      </c>
      <c r="I3999" s="7" t="n">
        <v>12</v>
      </c>
      <c r="J3999" s="10" t="n">
        <v>11.44</v>
      </c>
      <c r="K3999" s="11" t="n">
        <v>0.1</v>
      </c>
      <c r="L3999" s="10">
        <f>I3999*J3999*(1-K3999)</f>
        <v/>
      </c>
      <c r="M3999" s="10" t="n">
        <v>64.8</v>
      </c>
      <c r="N3999" s="10">
        <f>L3999-M3999</f>
        <v/>
      </c>
    </row>
    <row r="4000">
      <c r="A4000" s="7" t="inlineStr">
        <is>
          <t>ORD-03628</t>
        </is>
      </c>
      <c r="B4000" s="8" t="n">
        <v>45737</v>
      </c>
      <c r="C4000" s="9" t="n">
        <v>45717</v>
      </c>
      <c r="D4000" s="7" t="n">
        <v>2025</v>
      </c>
      <c r="E4000" s="7" t="inlineStr">
        <is>
          <t>East</t>
        </is>
      </c>
      <c r="F4000" s="7" t="inlineStr">
        <is>
          <t>Office Supplies</t>
        </is>
      </c>
      <c r="G4000" s="7" t="inlineStr">
        <is>
          <t>Pens</t>
        </is>
      </c>
      <c r="H4000" s="7" t="inlineStr">
        <is>
          <t>Corporate</t>
        </is>
      </c>
      <c r="I4000" s="7" t="n">
        <v>13</v>
      </c>
      <c r="J4000" s="10" t="n">
        <v>12.09</v>
      </c>
      <c r="K4000" s="11" t="n">
        <v>0.05</v>
      </c>
      <c r="L4000" s="10">
        <f>I4000*J4000*(1-K4000)</f>
        <v/>
      </c>
      <c r="M4000" s="10" t="n">
        <v>70.2</v>
      </c>
      <c r="N4000" s="10">
        <f>L4000-M4000</f>
        <v/>
      </c>
    </row>
    <row r="4001">
      <c r="A4001" s="7" t="inlineStr">
        <is>
          <t>ORD-01140</t>
        </is>
      </c>
      <c r="B4001" s="8" t="n">
        <v>45737</v>
      </c>
      <c r="C4001" s="9" t="n">
        <v>45717</v>
      </c>
      <c r="D4001" s="7" t="n">
        <v>2025</v>
      </c>
      <c r="E4001" s="7" t="inlineStr">
        <is>
          <t>West</t>
        </is>
      </c>
      <c r="F4001" s="7" t="inlineStr">
        <is>
          <t>Office Supplies</t>
        </is>
      </c>
      <c r="G4001" s="7" t="inlineStr">
        <is>
          <t>Binder</t>
        </is>
      </c>
      <c r="H4001" s="7" t="inlineStr">
        <is>
          <t>Home Office</t>
        </is>
      </c>
      <c r="I4001" s="7" t="n">
        <v>12</v>
      </c>
      <c r="J4001" s="10" t="n">
        <v>7.67</v>
      </c>
      <c r="K4001" s="11" t="n">
        <v>0.2</v>
      </c>
      <c r="L4001" s="10">
        <f>I4001*J4001*(1-K4001)</f>
        <v/>
      </c>
      <c r="M4001" s="10" t="n">
        <v>38.4</v>
      </c>
      <c r="N4001" s="10">
        <f>L4001-M4001</f>
        <v/>
      </c>
    </row>
    <row r="4002">
      <c r="A4002" s="7" t="inlineStr">
        <is>
          <t>ORD-01466</t>
        </is>
      </c>
      <c r="B4002" s="8" t="n">
        <v>45737</v>
      </c>
      <c r="C4002" s="9" t="n">
        <v>45717</v>
      </c>
      <c r="D4002" s="7" t="n">
        <v>2025</v>
      </c>
      <c r="E4002" s="7" t="inlineStr">
        <is>
          <t>West</t>
        </is>
      </c>
      <c r="F4002" s="7" t="inlineStr">
        <is>
          <t>Office Supplies</t>
        </is>
      </c>
      <c r="G4002" s="7" t="inlineStr">
        <is>
          <t>Stapler</t>
        </is>
      </c>
      <c r="H4002" s="7" t="inlineStr">
        <is>
          <t>Consumer</t>
        </is>
      </c>
      <c r="I4002" s="7" t="n">
        <v>3</v>
      </c>
      <c r="J4002" s="10" t="n">
        <v>14.65</v>
      </c>
      <c r="K4002" s="11" t="n">
        <v>0</v>
      </c>
      <c r="L4002" s="10">
        <f>I4002*J4002*(1-K4002)</f>
        <v/>
      </c>
      <c r="M4002" s="10" t="n">
        <v>22.5</v>
      </c>
      <c r="N4002" s="10">
        <f>L4002-M4002</f>
        <v/>
      </c>
    </row>
    <row r="4003">
      <c r="A4003" s="7" t="inlineStr">
        <is>
          <t>ORD-00156</t>
        </is>
      </c>
      <c r="B4003" s="8" t="n">
        <v>45737</v>
      </c>
      <c r="C4003" s="9" t="n">
        <v>45717</v>
      </c>
      <c r="D4003" s="7" t="n">
        <v>2025</v>
      </c>
      <c r="E4003" s="7" t="inlineStr">
        <is>
          <t>West</t>
        </is>
      </c>
      <c r="F4003" s="7" t="inlineStr">
        <is>
          <t>Furniture</t>
        </is>
      </c>
      <c r="G4003" s="7" t="inlineStr">
        <is>
          <t>Office Chair</t>
        </is>
      </c>
      <c r="H4003" s="7" t="inlineStr">
        <is>
          <t>Consumer</t>
        </is>
      </c>
      <c r="I4003" s="7" t="n">
        <v>1</v>
      </c>
      <c r="J4003" s="10" t="n">
        <v>212.48</v>
      </c>
      <c r="K4003" s="11" t="n">
        <v>0.3</v>
      </c>
      <c r="L4003" s="10">
        <f>I4003*J4003*(1-K4003)</f>
        <v/>
      </c>
      <c r="M4003" s="10" t="n">
        <v>180.4</v>
      </c>
      <c r="N4003" s="10">
        <f>L4003-M4003</f>
        <v/>
      </c>
    </row>
    <row r="4004">
      <c r="A4004" s="7" t="inlineStr">
        <is>
          <t>ORD-05524</t>
        </is>
      </c>
      <c r="B4004" s="8" t="n">
        <v>45738</v>
      </c>
      <c r="C4004" s="9" t="n">
        <v>45717</v>
      </c>
      <c r="D4004" s="7" t="n">
        <v>2025</v>
      </c>
      <c r="E4004" s="7" t="inlineStr">
        <is>
          <t>West</t>
        </is>
      </c>
      <c r="F4004" s="7" t="inlineStr">
        <is>
          <t>Office Supplies</t>
        </is>
      </c>
      <c r="G4004" s="7" t="inlineStr">
        <is>
          <t>Paper</t>
        </is>
      </c>
      <c r="H4004" s="7" t="inlineStr">
        <is>
          <t>Consumer</t>
        </is>
      </c>
      <c r="I4004" s="7" t="n">
        <v>14</v>
      </c>
      <c r="J4004" s="10" t="n">
        <v>24.55</v>
      </c>
      <c r="K4004" s="11" t="n">
        <v>0</v>
      </c>
      <c r="L4004" s="10">
        <f>I4004*J4004*(1-K4004)</f>
        <v/>
      </c>
      <c r="M4004" s="10" t="n">
        <v>175</v>
      </c>
      <c r="N4004" s="10">
        <f>L4004-M4004</f>
        <v/>
      </c>
    </row>
    <row r="4005">
      <c r="A4005" s="7" t="inlineStr">
        <is>
          <t>ORD-05865</t>
        </is>
      </c>
      <c r="B4005" s="8" t="n">
        <v>45738</v>
      </c>
      <c r="C4005" s="9" t="n">
        <v>45717</v>
      </c>
      <c r="D4005" s="7" t="n">
        <v>2025</v>
      </c>
      <c r="E4005" s="7" t="inlineStr">
        <is>
          <t>East</t>
        </is>
      </c>
      <c r="F4005" s="7" t="inlineStr">
        <is>
          <t>Office Supplies</t>
        </is>
      </c>
      <c r="G4005" s="7" t="inlineStr">
        <is>
          <t>Stapler</t>
        </is>
      </c>
      <c r="H4005" s="7" t="inlineStr">
        <is>
          <t>Home Office</t>
        </is>
      </c>
      <c r="I4005" s="7" t="n">
        <v>5</v>
      </c>
      <c r="J4005" s="10" t="n">
        <v>14.72</v>
      </c>
      <c r="K4005" s="11" t="n">
        <v>0.1</v>
      </c>
      <c r="L4005" s="10">
        <f>I4005*J4005*(1-K4005)</f>
        <v/>
      </c>
      <c r="M4005" s="10" t="n">
        <v>37.5</v>
      </c>
      <c r="N4005" s="10">
        <f>L4005-M4005</f>
        <v/>
      </c>
    </row>
    <row r="4006">
      <c r="A4006" s="7" t="inlineStr">
        <is>
          <t>ORD-03118</t>
        </is>
      </c>
      <c r="B4006" s="8" t="n">
        <v>45738</v>
      </c>
      <c r="C4006" s="9" t="n">
        <v>45717</v>
      </c>
      <c r="D4006" s="7" t="n">
        <v>2025</v>
      </c>
      <c r="E4006" s="7" t="inlineStr">
        <is>
          <t>East</t>
        </is>
      </c>
      <c r="F4006" s="7" t="inlineStr">
        <is>
          <t>Furniture</t>
        </is>
      </c>
      <c r="G4006" s="7" t="inlineStr">
        <is>
          <t>Office Chair</t>
        </is>
      </c>
      <c r="H4006" s="7" t="inlineStr">
        <is>
          <t>Home Office</t>
        </is>
      </c>
      <c r="I4006" s="7" t="n">
        <v>1</v>
      </c>
      <c r="J4006" s="10" t="n">
        <v>209.24</v>
      </c>
      <c r="K4006" s="11" t="n">
        <v>0</v>
      </c>
      <c r="L4006" s="10">
        <f>I4006*J4006*(1-K4006)</f>
        <v/>
      </c>
      <c r="M4006" s="10" t="n">
        <v>180.4</v>
      </c>
      <c r="N4006" s="10">
        <f>L4006-M4006</f>
        <v/>
      </c>
    </row>
    <row r="4007">
      <c r="A4007" s="7" t="inlineStr">
        <is>
          <t>ORD-02914</t>
        </is>
      </c>
      <c r="B4007" s="8" t="n">
        <v>45738</v>
      </c>
      <c r="C4007" s="9" t="n">
        <v>45717</v>
      </c>
      <c r="D4007" s="7" t="n">
        <v>2025</v>
      </c>
      <c r="E4007" s="7" t="inlineStr">
        <is>
          <t>East</t>
        </is>
      </c>
      <c r="F4007" s="7" t="inlineStr">
        <is>
          <t>Office Supplies</t>
        </is>
      </c>
      <c r="G4007" s="7" t="inlineStr">
        <is>
          <t>Pens</t>
        </is>
      </c>
      <c r="H4007" s="7" t="inlineStr">
        <is>
          <t>Consumer</t>
        </is>
      </c>
      <c r="I4007" s="7" t="n">
        <v>13</v>
      </c>
      <c r="J4007" s="10" t="n">
        <v>11.54</v>
      </c>
      <c r="K4007" s="11" t="n">
        <v>0</v>
      </c>
      <c r="L4007" s="10">
        <f>I4007*J4007*(1-K4007)</f>
        <v/>
      </c>
      <c r="M4007" s="10" t="n">
        <v>70.2</v>
      </c>
      <c r="N4007" s="10">
        <f>L4007-M4007</f>
        <v/>
      </c>
    </row>
    <row r="4008">
      <c r="A4008" s="7" t="inlineStr">
        <is>
          <t>ORD-05184</t>
        </is>
      </c>
      <c r="B4008" s="8" t="n">
        <v>45738</v>
      </c>
      <c r="C4008" s="9" t="n">
        <v>45717</v>
      </c>
      <c r="D4008" s="7" t="n">
        <v>2025</v>
      </c>
      <c r="E4008" s="7" t="inlineStr">
        <is>
          <t>North</t>
        </is>
      </c>
      <c r="F4008" s="7" t="inlineStr">
        <is>
          <t>Office Supplies</t>
        </is>
      </c>
      <c r="G4008" s="7" t="inlineStr">
        <is>
          <t>Printer Ink</t>
        </is>
      </c>
      <c r="H4008" s="7" t="inlineStr">
        <is>
          <t>Consumer</t>
        </is>
      </c>
      <c r="I4008" s="7" t="n">
        <v>4</v>
      </c>
      <c r="J4008" s="10" t="n">
        <v>57.9</v>
      </c>
      <c r="K4008" s="11" t="n">
        <v>0</v>
      </c>
      <c r="L4008" s="10">
        <f>I4008*J4008*(1-K4008)</f>
        <v/>
      </c>
      <c r="M4008" s="10" t="n">
        <v>144</v>
      </c>
      <c r="N4008" s="10">
        <f>L4008-M4008</f>
        <v/>
      </c>
    </row>
    <row r="4009">
      <c r="A4009" s="7" t="inlineStr">
        <is>
          <t>ORD-01056</t>
        </is>
      </c>
      <c r="B4009" s="8" t="n">
        <v>45739</v>
      </c>
      <c r="C4009" s="9" t="n">
        <v>45717</v>
      </c>
      <c r="D4009" s="7" t="n">
        <v>2025</v>
      </c>
      <c r="E4009" s="7" t="inlineStr">
        <is>
          <t>East</t>
        </is>
      </c>
      <c r="F4009" s="7" t="inlineStr">
        <is>
          <t>Office Supplies</t>
        </is>
      </c>
      <c r="G4009" s="7" t="inlineStr">
        <is>
          <t>Paper</t>
        </is>
      </c>
      <c r="H4009" s="7" t="inlineStr">
        <is>
          <t>Consumer</t>
        </is>
      </c>
      <c r="I4009" s="7" t="n">
        <v>9</v>
      </c>
      <c r="J4009" s="10" t="n">
        <v>25.76</v>
      </c>
      <c r="K4009" s="11" t="n">
        <v>0</v>
      </c>
      <c r="L4009" s="10">
        <f>I4009*J4009*(1-K4009)</f>
        <v/>
      </c>
      <c r="M4009" s="10" t="n">
        <v>112.5</v>
      </c>
      <c r="N4009" s="10">
        <f>L4009-M4009</f>
        <v/>
      </c>
    </row>
    <row r="4010">
      <c r="A4010" s="7" t="inlineStr">
        <is>
          <t>ORD-01992</t>
        </is>
      </c>
      <c r="B4010" s="8" t="n">
        <v>45739</v>
      </c>
      <c r="C4010" s="9" t="n">
        <v>45717</v>
      </c>
      <c r="D4010" s="7" t="n">
        <v>2025</v>
      </c>
      <c r="E4010" s="7" t="inlineStr">
        <is>
          <t>North</t>
        </is>
      </c>
      <c r="F4010" s="7" t="inlineStr">
        <is>
          <t>Technology</t>
        </is>
      </c>
      <c r="G4010" s="7" t="inlineStr">
        <is>
          <t>Laptop</t>
        </is>
      </c>
      <c r="H4010" s="7" t="inlineStr">
        <is>
          <t>Consumer</t>
        </is>
      </c>
      <c r="I4010" s="7" t="n">
        <v>1</v>
      </c>
      <c r="J4010" s="10" t="n">
        <v>908.25</v>
      </c>
      <c r="K4010" s="11" t="n">
        <v>0</v>
      </c>
      <c r="L4010" s="10">
        <f>I4010*J4010*(1-K4010)</f>
        <v/>
      </c>
      <c r="M4010" s="10" t="n">
        <v>702</v>
      </c>
      <c r="N4010" s="10">
        <f>L4010-M4010</f>
        <v/>
      </c>
    </row>
    <row r="4011">
      <c r="A4011" s="7" t="inlineStr">
        <is>
          <t>ORD-02759</t>
        </is>
      </c>
      <c r="B4011" s="8" t="n">
        <v>45739</v>
      </c>
      <c r="C4011" s="9" t="n">
        <v>45717</v>
      </c>
      <c r="D4011" s="7" t="n">
        <v>2025</v>
      </c>
      <c r="E4011" s="7" t="inlineStr">
        <is>
          <t>East</t>
        </is>
      </c>
      <c r="F4011" s="7" t="inlineStr">
        <is>
          <t>Technology</t>
        </is>
      </c>
      <c r="G4011" s="7" t="inlineStr">
        <is>
          <t>Keyboard</t>
        </is>
      </c>
      <c r="H4011" s="7" t="inlineStr">
        <is>
          <t>Consumer</t>
        </is>
      </c>
      <c r="I4011" s="7" t="n">
        <v>1</v>
      </c>
      <c r="J4011" s="10" t="n">
        <v>45.06</v>
      </c>
      <c r="K4011" s="11" t="n">
        <v>0.2</v>
      </c>
      <c r="L4011" s="10">
        <f>I4011*J4011*(1-K4011)</f>
        <v/>
      </c>
      <c r="M4011" s="10" t="n">
        <v>24.75</v>
      </c>
      <c r="N4011" s="10">
        <f>L4011-M4011</f>
        <v/>
      </c>
    </row>
    <row r="4012">
      <c r="A4012" s="7" t="inlineStr">
        <is>
          <t>ORD-00712</t>
        </is>
      </c>
      <c r="B4012" s="8" t="n">
        <v>45739</v>
      </c>
      <c r="C4012" s="9" t="n">
        <v>45717</v>
      </c>
      <c r="D4012" s="7" t="n">
        <v>2025</v>
      </c>
      <c r="E4012" s="7" t="inlineStr">
        <is>
          <t>North</t>
        </is>
      </c>
      <c r="F4012" s="7" t="inlineStr">
        <is>
          <t>Office Supplies</t>
        </is>
      </c>
      <c r="G4012" s="7" t="inlineStr">
        <is>
          <t>Paper</t>
        </is>
      </c>
      <c r="H4012" s="7" t="inlineStr">
        <is>
          <t>Consumer</t>
        </is>
      </c>
      <c r="I4012" s="7" t="n">
        <v>3</v>
      </c>
      <c r="J4012" s="10" t="n">
        <v>25.84</v>
      </c>
      <c r="K4012" s="11" t="n">
        <v>0</v>
      </c>
      <c r="L4012" s="10">
        <f>I4012*J4012*(1-K4012)</f>
        <v/>
      </c>
      <c r="M4012" s="10" t="n">
        <v>37.5</v>
      </c>
      <c r="N4012" s="10">
        <f>L4012-M4012</f>
        <v/>
      </c>
    </row>
    <row r="4013">
      <c r="A4013" s="7" t="inlineStr">
        <is>
          <t>ORD-02924</t>
        </is>
      </c>
      <c r="B4013" s="8" t="n">
        <v>45739</v>
      </c>
      <c r="C4013" s="9" t="n">
        <v>45717</v>
      </c>
      <c r="D4013" s="7" t="n">
        <v>2025</v>
      </c>
      <c r="E4013" s="7" t="inlineStr">
        <is>
          <t>East</t>
        </is>
      </c>
      <c r="F4013" s="7" t="inlineStr">
        <is>
          <t>Furniture</t>
        </is>
      </c>
      <c r="G4013" s="7" t="inlineStr">
        <is>
          <t>Bookcase</t>
        </is>
      </c>
      <c r="H4013" s="7" t="inlineStr">
        <is>
          <t>Consumer</t>
        </is>
      </c>
      <c r="I4013" s="7" t="n">
        <v>3</v>
      </c>
      <c r="J4013" s="10" t="n">
        <v>187.81</v>
      </c>
      <c r="K4013" s="11" t="n">
        <v>0.3</v>
      </c>
      <c r="L4013" s="10">
        <f>I4013*J4013*(1-K4013)</f>
        <v/>
      </c>
      <c r="M4013" s="10" t="n">
        <v>432</v>
      </c>
      <c r="N4013" s="10">
        <f>L4013-M4013</f>
        <v/>
      </c>
    </row>
    <row r="4014">
      <c r="A4014" s="7" t="inlineStr">
        <is>
          <t>ORD-01805</t>
        </is>
      </c>
      <c r="B4014" s="8" t="n">
        <v>45739</v>
      </c>
      <c r="C4014" s="9" t="n">
        <v>45717</v>
      </c>
      <c r="D4014" s="7" t="n">
        <v>2025</v>
      </c>
      <c r="E4014" s="7" t="inlineStr">
        <is>
          <t>West</t>
        </is>
      </c>
      <c r="F4014" s="7" t="inlineStr">
        <is>
          <t>Technology</t>
        </is>
      </c>
      <c r="G4014" s="7" t="inlineStr">
        <is>
          <t>Smartphone</t>
        </is>
      </c>
      <c r="H4014" s="7" t="inlineStr">
        <is>
          <t>Corporate</t>
        </is>
      </c>
      <c r="I4014" s="7" t="n">
        <v>3</v>
      </c>
      <c r="J4014" s="10" t="n">
        <v>617.75</v>
      </c>
      <c r="K4014" s="11" t="n">
        <v>0</v>
      </c>
      <c r="L4014" s="10">
        <f>I4014*J4014*(1-K4014)</f>
        <v/>
      </c>
      <c r="M4014" s="10" t="n">
        <v>1350</v>
      </c>
      <c r="N4014" s="10">
        <f>L4014-M4014</f>
        <v/>
      </c>
    </row>
    <row r="4015">
      <c r="A4015" s="7" t="inlineStr">
        <is>
          <t>ORD-02085</t>
        </is>
      </c>
      <c r="B4015" s="8" t="n">
        <v>45739</v>
      </c>
      <c r="C4015" s="9" t="n">
        <v>45717</v>
      </c>
      <c r="D4015" s="7" t="n">
        <v>2025</v>
      </c>
      <c r="E4015" s="7" t="inlineStr">
        <is>
          <t>West</t>
        </is>
      </c>
      <c r="F4015" s="7" t="inlineStr">
        <is>
          <t>Office Supplies</t>
        </is>
      </c>
      <c r="G4015" s="7" t="inlineStr">
        <is>
          <t>Stapler</t>
        </is>
      </c>
      <c r="H4015" s="7" t="inlineStr">
        <is>
          <t>Corporate</t>
        </is>
      </c>
      <c r="I4015" s="7" t="n">
        <v>6</v>
      </c>
      <c r="J4015" s="10" t="n">
        <v>14.47</v>
      </c>
      <c r="K4015" s="11" t="n">
        <v>0</v>
      </c>
      <c r="L4015" s="10">
        <f>I4015*J4015*(1-K4015)</f>
        <v/>
      </c>
      <c r="M4015" s="10" t="n">
        <v>45</v>
      </c>
      <c r="N4015" s="10">
        <f>L4015-M4015</f>
        <v/>
      </c>
    </row>
    <row r="4016">
      <c r="A4016" s="7" t="inlineStr">
        <is>
          <t>ORD-02768</t>
        </is>
      </c>
      <c r="B4016" s="8" t="n">
        <v>45740</v>
      </c>
      <c r="C4016" s="9" t="n">
        <v>45717</v>
      </c>
      <c r="D4016" s="7" t="n">
        <v>2025</v>
      </c>
      <c r="E4016" s="7" t="inlineStr">
        <is>
          <t>North</t>
        </is>
      </c>
      <c r="F4016" s="7" t="inlineStr">
        <is>
          <t>Technology</t>
        </is>
      </c>
      <c r="G4016" s="7" t="inlineStr">
        <is>
          <t>Monitor</t>
        </is>
      </c>
      <c r="H4016" s="7" t="inlineStr">
        <is>
          <t>Consumer</t>
        </is>
      </c>
      <c r="I4016" s="7" t="n">
        <v>1</v>
      </c>
      <c r="J4016" s="10" t="n">
        <v>240.42</v>
      </c>
      <c r="K4016" s="11" t="n">
        <v>0.1</v>
      </c>
      <c r="L4016" s="10">
        <f>I4016*J4016*(1-K4016)</f>
        <v/>
      </c>
      <c r="M4016" s="10" t="n">
        <v>180</v>
      </c>
      <c r="N4016" s="10">
        <f>L4016-M4016</f>
        <v/>
      </c>
    </row>
    <row r="4017">
      <c r="A4017" s="7" t="inlineStr">
        <is>
          <t>ORD-04613</t>
        </is>
      </c>
      <c r="B4017" s="8" t="n">
        <v>45740</v>
      </c>
      <c r="C4017" s="9" t="n">
        <v>45717</v>
      </c>
      <c r="D4017" s="7" t="n">
        <v>2025</v>
      </c>
      <c r="E4017" s="7" t="inlineStr">
        <is>
          <t>North</t>
        </is>
      </c>
      <c r="F4017" s="7" t="inlineStr">
        <is>
          <t>Office Supplies</t>
        </is>
      </c>
      <c r="G4017" s="7" t="inlineStr">
        <is>
          <t>Paper</t>
        </is>
      </c>
      <c r="H4017" s="7" t="inlineStr">
        <is>
          <t>Consumer</t>
        </is>
      </c>
      <c r="I4017" s="7" t="n">
        <v>14</v>
      </c>
      <c r="J4017" s="10" t="n">
        <v>24.31</v>
      </c>
      <c r="K4017" s="11" t="n">
        <v>0</v>
      </c>
      <c r="L4017" s="10">
        <f>I4017*J4017*(1-K4017)</f>
        <v/>
      </c>
      <c r="M4017" s="10" t="n">
        <v>175</v>
      </c>
      <c r="N4017" s="10">
        <f>L4017-M4017</f>
        <v/>
      </c>
    </row>
    <row r="4018">
      <c r="A4018" s="7" t="inlineStr">
        <is>
          <t>ORD-05194</t>
        </is>
      </c>
      <c r="B4018" s="8" t="n">
        <v>45740</v>
      </c>
      <c r="C4018" s="9" t="n">
        <v>45717</v>
      </c>
      <c r="D4018" s="7" t="n">
        <v>2025</v>
      </c>
      <c r="E4018" s="7" t="inlineStr">
        <is>
          <t>East</t>
        </is>
      </c>
      <c r="F4018" s="7" t="inlineStr">
        <is>
          <t>Office Supplies</t>
        </is>
      </c>
      <c r="G4018" s="7" t="inlineStr">
        <is>
          <t>Paper</t>
        </is>
      </c>
      <c r="H4018" s="7" t="inlineStr">
        <is>
          <t>Consumer</t>
        </is>
      </c>
      <c r="I4018" s="7" t="n">
        <v>11</v>
      </c>
      <c r="J4018" s="10" t="n">
        <v>26</v>
      </c>
      <c r="K4018" s="11" t="n">
        <v>0</v>
      </c>
      <c r="L4018" s="10">
        <f>I4018*J4018*(1-K4018)</f>
        <v/>
      </c>
      <c r="M4018" s="10" t="n">
        <v>137.5</v>
      </c>
      <c r="N4018" s="10">
        <f>L4018-M4018</f>
        <v/>
      </c>
    </row>
    <row r="4019">
      <c r="A4019" s="7" t="inlineStr">
        <is>
          <t>ORD-00637</t>
        </is>
      </c>
      <c r="B4019" s="8" t="n">
        <v>45740</v>
      </c>
      <c r="C4019" s="9" t="n">
        <v>45717</v>
      </c>
      <c r="D4019" s="7" t="n">
        <v>2025</v>
      </c>
      <c r="E4019" s="7" t="inlineStr">
        <is>
          <t>West</t>
        </is>
      </c>
      <c r="F4019" s="7" t="inlineStr">
        <is>
          <t>Office Supplies</t>
        </is>
      </c>
      <c r="G4019" s="7" t="inlineStr">
        <is>
          <t>Pens</t>
        </is>
      </c>
      <c r="H4019" s="7" t="inlineStr">
        <is>
          <t>Consumer</t>
        </is>
      </c>
      <c r="I4019" s="7" t="n">
        <v>15</v>
      </c>
      <c r="J4019" s="10" t="n">
        <v>11.4</v>
      </c>
      <c r="K4019" s="11" t="n">
        <v>0</v>
      </c>
      <c r="L4019" s="10">
        <f>I4019*J4019*(1-K4019)</f>
        <v/>
      </c>
      <c r="M4019" s="10" t="n">
        <v>81</v>
      </c>
      <c r="N4019" s="10">
        <f>L4019-M4019</f>
        <v/>
      </c>
    </row>
    <row r="4020">
      <c r="A4020" s="7" t="inlineStr">
        <is>
          <t>ORD-04554</t>
        </is>
      </c>
      <c r="B4020" s="8" t="n">
        <v>45741</v>
      </c>
      <c r="C4020" s="9" t="n">
        <v>45717</v>
      </c>
      <c r="D4020" s="7" t="n">
        <v>2025</v>
      </c>
      <c r="E4020" s="7" t="inlineStr">
        <is>
          <t>West</t>
        </is>
      </c>
      <c r="F4020" s="7" t="inlineStr">
        <is>
          <t>Office Supplies</t>
        </is>
      </c>
      <c r="G4020" s="7" t="inlineStr">
        <is>
          <t>Pens</t>
        </is>
      </c>
      <c r="H4020" s="7" t="inlineStr">
        <is>
          <t>Home Office</t>
        </is>
      </c>
      <c r="I4020" s="7" t="n">
        <v>10</v>
      </c>
      <c r="J4020" s="10" t="n">
        <v>12.55</v>
      </c>
      <c r="K4020" s="11" t="n">
        <v>0.2</v>
      </c>
      <c r="L4020" s="10">
        <f>I4020*J4020*(1-K4020)</f>
        <v/>
      </c>
      <c r="M4020" s="10" t="n">
        <v>54</v>
      </c>
      <c r="N4020" s="10">
        <f>L4020-M4020</f>
        <v/>
      </c>
    </row>
    <row r="4021">
      <c r="A4021" s="7" t="inlineStr">
        <is>
          <t>ORD-01219</t>
        </is>
      </c>
      <c r="B4021" s="8" t="n">
        <v>45741</v>
      </c>
      <c r="C4021" s="9" t="n">
        <v>45717</v>
      </c>
      <c r="D4021" s="7" t="n">
        <v>2025</v>
      </c>
      <c r="E4021" s="7" t="inlineStr">
        <is>
          <t>West</t>
        </is>
      </c>
      <c r="F4021" s="7" t="inlineStr">
        <is>
          <t>Office Supplies</t>
        </is>
      </c>
      <c r="G4021" s="7" t="inlineStr">
        <is>
          <t>Stapler</t>
        </is>
      </c>
      <c r="H4021" s="7" t="inlineStr">
        <is>
          <t>Corporate</t>
        </is>
      </c>
      <c r="I4021" s="7" t="n">
        <v>9</v>
      </c>
      <c r="J4021" s="10" t="n">
        <v>15.63</v>
      </c>
      <c r="K4021" s="11" t="n">
        <v>0</v>
      </c>
      <c r="L4021" s="10">
        <f>I4021*J4021*(1-K4021)</f>
        <v/>
      </c>
      <c r="M4021" s="10" t="n">
        <v>67.5</v>
      </c>
      <c r="N4021" s="10">
        <f>L4021-M4021</f>
        <v/>
      </c>
    </row>
    <row r="4022">
      <c r="A4022" s="7" t="inlineStr">
        <is>
          <t>ORD-03106</t>
        </is>
      </c>
      <c r="B4022" s="8" t="n">
        <v>45741</v>
      </c>
      <c r="C4022" s="9" t="n">
        <v>45717</v>
      </c>
      <c r="D4022" s="7" t="n">
        <v>2025</v>
      </c>
      <c r="E4022" s="7" t="inlineStr">
        <is>
          <t>South</t>
        </is>
      </c>
      <c r="F4022" s="7" t="inlineStr">
        <is>
          <t>Technology</t>
        </is>
      </c>
      <c r="G4022" s="7" t="inlineStr">
        <is>
          <t>Laptop</t>
        </is>
      </c>
      <c r="H4022" s="7" t="inlineStr">
        <is>
          <t>Corporate</t>
        </is>
      </c>
      <c r="I4022" s="7" t="n">
        <v>2</v>
      </c>
      <c r="J4022" s="10" t="n">
        <v>893.0599999999999</v>
      </c>
      <c r="K4022" s="11" t="n">
        <v>0.05</v>
      </c>
      <c r="L4022" s="10">
        <f>I4022*J4022*(1-K4022)</f>
        <v/>
      </c>
      <c r="M4022" s="10" t="n">
        <v>1404</v>
      </c>
      <c r="N4022" s="10">
        <f>L4022-M4022</f>
        <v/>
      </c>
    </row>
    <row r="4023">
      <c r="A4023" s="7" t="inlineStr">
        <is>
          <t>ORD-03487</t>
        </is>
      </c>
      <c r="B4023" s="8" t="n">
        <v>45741</v>
      </c>
      <c r="C4023" s="9" t="n">
        <v>45717</v>
      </c>
      <c r="D4023" s="7" t="n">
        <v>2025</v>
      </c>
      <c r="E4023" s="7" t="inlineStr">
        <is>
          <t>South</t>
        </is>
      </c>
      <c r="F4023" s="7" t="inlineStr">
        <is>
          <t>Office Supplies</t>
        </is>
      </c>
      <c r="G4023" s="7" t="inlineStr">
        <is>
          <t>Binder</t>
        </is>
      </c>
      <c r="H4023" s="7" t="inlineStr">
        <is>
          <t>Consumer</t>
        </is>
      </c>
      <c r="I4023" s="7" t="n">
        <v>12</v>
      </c>
      <c r="J4023" s="10" t="n">
        <v>7.79</v>
      </c>
      <c r="K4023" s="11" t="n">
        <v>0.05</v>
      </c>
      <c r="L4023" s="10">
        <f>I4023*J4023*(1-K4023)</f>
        <v/>
      </c>
      <c r="M4023" s="10" t="n">
        <v>38.4</v>
      </c>
      <c r="N4023" s="10">
        <f>L4023-M4023</f>
        <v/>
      </c>
    </row>
    <row r="4024">
      <c r="A4024" s="7" t="inlineStr">
        <is>
          <t>ORD-03863</t>
        </is>
      </c>
      <c r="B4024" s="8" t="n">
        <v>45741</v>
      </c>
      <c r="C4024" s="9" t="n">
        <v>45717</v>
      </c>
      <c r="D4024" s="7" t="n">
        <v>2025</v>
      </c>
      <c r="E4024" s="7" t="inlineStr">
        <is>
          <t>West</t>
        </is>
      </c>
      <c r="F4024" s="7" t="inlineStr">
        <is>
          <t>Furniture</t>
        </is>
      </c>
      <c r="G4024" s="7" t="inlineStr">
        <is>
          <t>Desk</t>
        </is>
      </c>
      <c r="H4024" s="7" t="inlineStr">
        <is>
          <t>Consumer</t>
        </is>
      </c>
      <c r="I4024" s="7" t="n">
        <v>2</v>
      </c>
      <c r="J4024" s="10" t="n">
        <v>452.49</v>
      </c>
      <c r="K4024" s="11" t="n">
        <v>0.1</v>
      </c>
      <c r="L4024" s="10">
        <f>I4024*J4024*(1-K4024)</f>
        <v/>
      </c>
      <c r="M4024" s="10" t="n">
        <v>765</v>
      </c>
      <c r="N4024" s="10">
        <f>L4024-M4024</f>
        <v/>
      </c>
    </row>
    <row r="4025">
      <c r="A4025" s="7" t="inlineStr">
        <is>
          <t>ORD-00649</t>
        </is>
      </c>
      <c r="B4025" s="8" t="n">
        <v>45742</v>
      </c>
      <c r="C4025" s="9" t="n">
        <v>45717</v>
      </c>
      <c r="D4025" s="7" t="n">
        <v>2025</v>
      </c>
      <c r="E4025" s="7" t="inlineStr">
        <is>
          <t>North</t>
        </is>
      </c>
      <c r="F4025" s="7" t="inlineStr">
        <is>
          <t>Technology</t>
        </is>
      </c>
      <c r="G4025" s="7" t="inlineStr">
        <is>
          <t>Monitor</t>
        </is>
      </c>
      <c r="H4025" s="7" t="inlineStr">
        <is>
          <t>Consumer</t>
        </is>
      </c>
      <c r="I4025" s="7" t="n">
        <v>3</v>
      </c>
      <c r="J4025" s="10" t="n">
        <v>256.97</v>
      </c>
      <c r="K4025" s="11" t="n">
        <v>0.3</v>
      </c>
      <c r="L4025" s="10">
        <f>I4025*J4025*(1-K4025)</f>
        <v/>
      </c>
      <c r="M4025" s="10" t="n">
        <v>540</v>
      </c>
      <c r="N4025" s="10">
        <f>L4025-M4025</f>
        <v/>
      </c>
    </row>
    <row r="4026">
      <c r="A4026" s="7" t="inlineStr">
        <is>
          <t>ORD-03227</t>
        </is>
      </c>
      <c r="B4026" s="8" t="n">
        <v>45742</v>
      </c>
      <c r="C4026" s="9" t="n">
        <v>45717</v>
      </c>
      <c r="D4026" s="7" t="n">
        <v>2025</v>
      </c>
      <c r="E4026" s="7" t="inlineStr">
        <is>
          <t>North</t>
        </is>
      </c>
      <c r="F4026" s="7" t="inlineStr">
        <is>
          <t>Office Supplies</t>
        </is>
      </c>
      <c r="G4026" s="7" t="inlineStr">
        <is>
          <t>Paper</t>
        </is>
      </c>
      <c r="H4026" s="7" t="inlineStr">
        <is>
          <t>Consumer</t>
        </is>
      </c>
      <c r="I4026" s="7" t="n">
        <v>7</v>
      </c>
      <c r="J4026" s="10" t="n">
        <v>23.88</v>
      </c>
      <c r="K4026" s="11" t="n">
        <v>0</v>
      </c>
      <c r="L4026" s="10">
        <f>I4026*J4026*(1-K4026)</f>
        <v/>
      </c>
      <c r="M4026" s="10" t="n">
        <v>87.5</v>
      </c>
      <c r="N4026" s="10">
        <f>L4026-M4026</f>
        <v/>
      </c>
    </row>
    <row r="4027">
      <c r="A4027" s="7" t="inlineStr">
        <is>
          <t>ORD-05578</t>
        </is>
      </c>
      <c r="B4027" s="8" t="n">
        <v>45742</v>
      </c>
      <c r="C4027" s="9" t="n">
        <v>45717</v>
      </c>
      <c r="D4027" s="7" t="n">
        <v>2025</v>
      </c>
      <c r="E4027" s="7" t="inlineStr">
        <is>
          <t>West</t>
        </is>
      </c>
      <c r="F4027" s="7" t="inlineStr">
        <is>
          <t>Technology</t>
        </is>
      </c>
      <c r="G4027" s="7" t="inlineStr">
        <is>
          <t>Smartphone</t>
        </is>
      </c>
      <c r="H4027" s="7" t="inlineStr">
        <is>
          <t>Consumer</t>
        </is>
      </c>
      <c r="I4027" s="7" t="n">
        <v>1</v>
      </c>
      <c r="J4027" s="10" t="n">
        <v>575.08</v>
      </c>
      <c r="K4027" s="11" t="n">
        <v>0</v>
      </c>
      <c r="L4027" s="10">
        <f>I4027*J4027*(1-K4027)</f>
        <v/>
      </c>
      <c r="M4027" s="10" t="n">
        <v>450</v>
      </c>
      <c r="N4027" s="10">
        <f>L4027-M4027</f>
        <v/>
      </c>
    </row>
    <row r="4028">
      <c r="A4028" s="7" t="inlineStr">
        <is>
          <t>ORD-01695</t>
        </is>
      </c>
      <c r="B4028" s="8" t="n">
        <v>45743</v>
      </c>
      <c r="C4028" s="9" t="n">
        <v>45717</v>
      </c>
      <c r="D4028" s="7" t="n">
        <v>2025</v>
      </c>
      <c r="E4028" s="7" t="inlineStr">
        <is>
          <t>West</t>
        </is>
      </c>
      <c r="F4028" s="7" t="inlineStr">
        <is>
          <t>Office Supplies</t>
        </is>
      </c>
      <c r="G4028" s="7" t="inlineStr">
        <is>
          <t>Pens</t>
        </is>
      </c>
      <c r="H4028" s="7" t="inlineStr">
        <is>
          <t>Consumer</t>
        </is>
      </c>
      <c r="I4028" s="7" t="n">
        <v>3</v>
      </c>
      <c r="J4028" s="10" t="n">
        <v>11.93</v>
      </c>
      <c r="K4028" s="11" t="n">
        <v>0.3</v>
      </c>
      <c r="L4028" s="10">
        <f>I4028*J4028*(1-K4028)</f>
        <v/>
      </c>
      <c r="M4028" s="10" t="n">
        <v>16.2</v>
      </c>
      <c r="N4028" s="10">
        <f>L4028-M4028</f>
        <v/>
      </c>
    </row>
    <row r="4029">
      <c r="A4029" s="7" t="inlineStr">
        <is>
          <t>ORD-04581</t>
        </is>
      </c>
      <c r="B4029" s="8" t="n">
        <v>45743</v>
      </c>
      <c r="C4029" s="9" t="n">
        <v>45717</v>
      </c>
      <c r="D4029" s="7" t="n">
        <v>2025</v>
      </c>
      <c r="E4029" s="7" t="inlineStr">
        <is>
          <t>South</t>
        </is>
      </c>
      <c r="F4029" s="7" t="inlineStr">
        <is>
          <t>Technology</t>
        </is>
      </c>
      <c r="G4029" s="7" t="inlineStr">
        <is>
          <t>Smartphone</t>
        </is>
      </c>
      <c r="H4029" s="7" t="inlineStr">
        <is>
          <t>Corporate</t>
        </is>
      </c>
      <c r="I4029" s="7" t="n">
        <v>3</v>
      </c>
      <c r="J4029" s="10" t="n">
        <v>575.02</v>
      </c>
      <c r="K4029" s="11" t="n">
        <v>0</v>
      </c>
      <c r="L4029" s="10">
        <f>I4029*J4029*(1-K4029)</f>
        <v/>
      </c>
      <c r="M4029" s="10" t="n">
        <v>1350</v>
      </c>
      <c r="N4029" s="10">
        <f>L4029-M4029</f>
        <v/>
      </c>
    </row>
    <row r="4030">
      <c r="A4030" s="7" t="inlineStr">
        <is>
          <t>ORD-03359</t>
        </is>
      </c>
      <c r="B4030" s="8" t="n">
        <v>45743</v>
      </c>
      <c r="C4030" s="9" t="n">
        <v>45717</v>
      </c>
      <c r="D4030" s="7" t="n">
        <v>2025</v>
      </c>
      <c r="E4030" s="7" t="inlineStr">
        <is>
          <t>South</t>
        </is>
      </c>
      <c r="F4030" s="7" t="inlineStr">
        <is>
          <t>Technology</t>
        </is>
      </c>
      <c r="G4030" s="7" t="inlineStr">
        <is>
          <t>Monitor</t>
        </is>
      </c>
      <c r="H4030" s="7" t="inlineStr">
        <is>
          <t>Corporate</t>
        </is>
      </c>
      <c r="I4030" s="7" t="n">
        <v>3</v>
      </c>
      <c r="J4030" s="10" t="n">
        <v>256.23</v>
      </c>
      <c r="K4030" s="11" t="n">
        <v>0</v>
      </c>
      <c r="L4030" s="10">
        <f>I4030*J4030*(1-K4030)</f>
        <v/>
      </c>
      <c r="M4030" s="10" t="n">
        <v>540</v>
      </c>
      <c r="N4030" s="10">
        <f>L4030-M4030</f>
        <v/>
      </c>
    </row>
    <row r="4031">
      <c r="A4031" s="7" t="inlineStr">
        <is>
          <t>ORD-02562</t>
        </is>
      </c>
      <c r="B4031" s="8" t="n">
        <v>45743</v>
      </c>
      <c r="C4031" s="9" t="n">
        <v>45717</v>
      </c>
      <c r="D4031" s="7" t="n">
        <v>2025</v>
      </c>
      <c r="E4031" s="7" t="inlineStr">
        <is>
          <t>West</t>
        </is>
      </c>
      <c r="F4031" s="7" t="inlineStr">
        <is>
          <t>Office Supplies</t>
        </is>
      </c>
      <c r="G4031" s="7" t="inlineStr">
        <is>
          <t>Pens</t>
        </is>
      </c>
      <c r="H4031" s="7" t="inlineStr">
        <is>
          <t>Home Office</t>
        </is>
      </c>
      <c r="I4031" s="7" t="n">
        <v>9</v>
      </c>
      <c r="J4031" s="10" t="n">
        <v>11.85</v>
      </c>
      <c r="K4031" s="11" t="n">
        <v>0.05</v>
      </c>
      <c r="L4031" s="10">
        <f>I4031*J4031*(1-K4031)</f>
        <v/>
      </c>
      <c r="M4031" s="10" t="n">
        <v>48.6</v>
      </c>
      <c r="N4031" s="10">
        <f>L4031-M4031</f>
        <v/>
      </c>
    </row>
    <row r="4032">
      <c r="A4032" s="7" t="inlineStr">
        <is>
          <t>ORD-03175</t>
        </is>
      </c>
      <c r="B4032" s="8" t="n">
        <v>45743</v>
      </c>
      <c r="C4032" s="9" t="n">
        <v>45717</v>
      </c>
      <c r="D4032" s="7" t="n">
        <v>2025</v>
      </c>
      <c r="E4032" s="7" t="inlineStr">
        <is>
          <t>North</t>
        </is>
      </c>
      <c r="F4032" s="7" t="inlineStr">
        <is>
          <t>Technology</t>
        </is>
      </c>
      <c r="G4032" s="7" t="inlineStr">
        <is>
          <t>Laptop</t>
        </is>
      </c>
      <c r="H4032" s="7" t="inlineStr">
        <is>
          <t>Consumer</t>
        </is>
      </c>
      <c r="I4032" s="7" t="n">
        <v>3</v>
      </c>
      <c r="J4032" s="10" t="n">
        <v>931.08</v>
      </c>
      <c r="K4032" s="11" t="n">
        <v>0</v>
      </c>
      <c r="L4032" s="10">
        <f>I4032*J4032*(1-K4032)</f>
        <v/>
      </c>
      <c r="M4032" s="10" t="n">
        <v>2106</v>
      </c>
      <c r="N4032" s="10">
        <f>L4032-M4032</f>
        <v/>
      </c>
    </row>
    <row r="4033">
      <c r="A4033" s="7" t="inlineStr">
        <is>
          <t>ORD-00208</t>
        </is>
      </c>
      <c r="B4033" s="8" t="n">
        <v>45743</v>
      </c>
      <c r="C4033" s="9" t="n">
        <v>45717</v>
      </c>
      <c r="D4033" s="7" t="n">
        <v>2025</v>
      </c>
      <c r="E4033" s="7" t="inlineStr">
        <is>
          <t>West</t>
        </is>
      </c>
      <c r="F4033" s="7" t="inlineStr">
        <is>
          <t>Office Supplies</t>
        </is>
      </c>
      <c r="G4033" s="7" t="inlineStr">
        <is>
          <t>Printer Ink</t>
        </is>
      </c>
      <c r="H4033" s="7" t="inlineStr">
        <is>
          <t>Consumer</t>
        </is>
      </c>
      <c r="I4033" s="7" t="n">
        <v>7</v>
      </c>
      <c r="J4033" s="10" t="n">
        <v>57.43</v>
      </c>
      <c r="K4033" s="11" t="n">
        <v>0</v>
      </c>
      <c r="L4033" s="10">
        <f>I4033*J4033*(1-K4033)</f>
        <v/>
      </c>
      <c r="M4033" s="10" t="n">
        <v>252</v>
      </c>
      <c r="N4033" s="10">
        <f>L4033-M4033</f>
        <v/>
      </c>
    </row>
    <row r="4034">
      <c r="A4034" s="7" t="inlineStr">
        <is>
          <t>ORD-00834</t>
        </is>
      </c>
      <c r="B4034" s="8" t="n">
        <v>45743</v>
      </c>
      <c r="C4034" s="9" t="n">
        <v>45717</v>
      </c>
      <c r="D4034" s="7" t="n">
        <v>2025</v>
      </c>
      <c r="E4034" s="7" t="inlineStr">
        <is>
          <t>North</t>
        </is>
      </c>
      <c r="F4034" s="7" t="inlineStr">
        <is>
          <t>Office Supplies</t>
        </is>
      </c>
      <c r="G4034" s="7" t="inlineStr">
        <is>
          <t>Paper</t>
        </is>
      </c>
      <c r="H4034" s="7" t="inlineStr">
        <is>
          <t>Consumer</t>
        </is>
      </c>
      <c r="I4034" s="7" t="n">
        <v>15</v>
      </c>
      <c r="J4034" s="10" t="n">
        <v>24.28</v>
      </c>
      <c r="K4034" s="11" t="n">
        <v>0.1</v>
      </c>
      <c r="L4034" s="10">
        <f>I4034*J4034*(1-K4034)</f>
        <v/>
      </c>
      <c r="M4034" s="10" t="n">
        <v>187.5</v>
      </c>
      <c r="N4034" s="10">
        <f>L4034-M4034</f>
        <v/>
      </c>
    </row>
    <row r="4035">
      <c r="A4035" s="7" t="inlineStr">
        <is>
          <t>ORD-01603</t>
        </is>
      </c>
      <c r="B4035" s="8" t="n">
        <v>45743</v>
      </c>
      <c r="C4035" s="9" t="n">
        <v>45717</v>
      </c>
      <c r="D4035" s="7" t="n">
        <v>2025</v>
      </c>
      <c r="E4035" s="7" t="inlineStr">
        <is>
          <t>East</t>
        </is>
      </c>
      <c r="F4035" s="7" t="inlineStr">
        <is>
          <t>Office Supplies</t>
        </is>
      </c>
      <c r="G4035" s="7" t="inlineStr">
        <is>
          <t>Stapler</t>
        </is>
      </c>
      <c r="H4035" s="7" t="inlineStr">
        <is>
          <t>Consumer</t>
        </is>
      </c>
      <c r="I4035" s="7" t="n">
        <v>6</v>
      </c>
      <c r="J4035" s="10" t="n">
        <v>14.49</v>
      </c>
      <c r="K4035" s="11" t="n">
        <v>0.05</v>
      </c>
      <c r="L4035" s="10">
        <f>I4035*J4035*(1-K4035)</f>
        <v/>
      </c>
      <c r="M4035" s="10" t="n">
        <v>45</v>
      </c>
      <c r="N4035" s="10">
        <f>L4035-M4035</f>
        <v/>
      </c>
    </row>
    <row r="4036">
      <c r="A4036" s="7" t="inlineStr">
        <is>
          <t>ORD-01017</t>
        </is>
      </c>
      <c r="B4036" s="8" t="n">
        <v>45743</v>
      </c>
      <c r="C4036" s="9" t="n">
        <v>45717</v>
      </c>
      <c r="D4036" s="7" t="n">
        <v>2025</v>
      </c>
      <c r="E4036" s="7" t="inlineStr">
        <is>
          <t>East</t>
        </is>
      </c>
      <c r="F4036" s="7" t="inlineStr">
        <is>
          <t>Office Supplies</t>
        </is>
      </c>
      <c r="G4036" s="7" t="inlineStr">
        <is>
          <t>Binder</t>
        </is>
      </c>
      <c r="H4036" s="7" t="inlineStr">
        <is>
          <t>Corporate</t>
        </is>
      </c>
      <c r="I4036" s="7" t="n">
        <v>4</v>
      </c>
      <c r="J4036" s="10" t="n">
        <v>8.380000000000001</v>
      </c>
      <c r="K4036" s="11" t="n">
        <v>0.05</v>
      </c>
      <c r="L4036" s="10">
        <f>I4036*J4036*(1-K4036)</f>
        <v/>
      </c>
      <c r="M4036" s="10" t="n">
        <v>12.8</v>
      </c>
      <c r="N4036" s="10">
        <f>L4036-M4036</f>
        <v/>
      </c>
    </row>
    <row r="4037">
      <c r="A4037" s="7" t="inlineStr">
        <is>
          <t>ORD-04217</t>
        </is>
      </c>
      <c r="B4037" s="8" t="n">
        <v>45744</v>
      </c>
      <c r="C4037" s="9" t="n">
        <v>45717</v>
      </c>
      <c r="D4037" s="7" t="n">
        <v>2025</v>
      </c>
      <c r="E4037" s="7" t="inlineStr">
        <is>
          <t>South</t>
        </is>
      </c>
      <c r="F4037" s="7" t="inlineStr">
        <is>
          <t>Office Supplies</t>
        </is>
      </c>
      <c r="G4037" s="7" t="inlineStr">
        <is>
          <t>Pens</t>
        </is>
      </c>
      <c r="H4037" s="7" t="inlineStr">
        <is>
          <t>Corporate</t>
        </is>
      </c>
      <c r="I4037" s="7" t="n">
        <v>7</v>
      </c>
      <c r="J4037" s="10" t="n">
        <v>12.4</v>
      </c>
      <c r="K4037" s="11" t="n">
        <v>0</v>
      </c>
      <c r="L4037" s="10">
        <f>I4037*J4037*(1-K4037)</f>
        <v/>
      </c>
      <c r="M4037" s="10" t="n">
        <v>37.8</v>
      </c>
      <c r="N4037" s="10">
        <f>L4037-M4037</f>
        <v/>
      </c>
    </row>
    <row r="4038">
      <c r="A4038" s="7" t="inlineStr">
        <is>
          <t>ORD-03447</t>
        </is>
      </c>
      <c r="B4038" s="8" t="n">
        <v>45744</v>
      </c>
      <c r="C4038" s="9" t="n">
        <v>45717</v>
      </c>
      <c r="D4038" s="7" t="n">
        <v>2025</v>
      </c>
      <c r="E4038" s="7" t="inlineStr">
        <is>
          <t>East</t>
        </is>
      </c>
      <c r="F4038" s="7" t="inlineStr">
        <is>
          <t>Technology</t>
        </is>
      </c>
      <c r="G4038" s="7" t="inlineStr">
        <is>
          <t>Headphones</t>
        </is>
      </c>
      <c r="H4038" s="7" t="inlineStr">
        <is>
          <t>Corporate</t>
        </is>
      </c>
      <c r="I4038" s="7" t="n">
        <v>2</v>
      </c>
      <c r="J4038" s="10" t="n">
        <v>115.59</v>
      </c>
      <c r="K4038" s="11" t="n">
        <v>0</v>
      </c>
      <c r="L4038" s="10">
        <f>I4038*J4038*(1-K4038)</f>
        <v/>
      </c>
      <c r="M4038" s="10" t="n">
        <v>144</v>
      </c>
      <c r="N4038" s="10">
        <f>L4038-M4038</f>
        <v/>
      </c>
    </row>
    <row r="4039">
      <c r="A4039" s="7" t="inlineStr">
        <is>
          <t>ORD-02822</t>
        </is>
      </c>
      <c r="B4039" s="8" t="n">
        <v>45744</v>
      </c>
      <c r="C4039" s="9" t="n">
        <v>45717</v>
      </c>
      <c r="D4039" s="7" t="n">
        <v>2025</v>
      </c>
      <c r="E4039" s="7" t="inlineStr">
        <is>
          <t>East</t>
        </is>
      </c>
      <c r="F4039" s="7" t="inlineStr">
        <is>
          <t>Technology</t>
        </is>
      </c>
      <c r="G4039" s="7" t="inlineStr">
        <is>
          <t>Monitor</t>
        </is>
      </c>
      <c r="H4039" s="7" t="inlineStr">
        <is>
          <t>Corporate</t>
        </is>
      </c>
      <c r="I4039" s="7" t="n">
        <v>2</v>
      </c>
      <c r="J4039" s="10" t="n">
        <v>258.61</v>
      </c>
      <c r="K4039" s="11" t="n">
        <v>0</v>
      </c>
      <c r="L4039" s="10">
        <f>I4039*J4039*(1-K4039)</f>
        <v/>
      </c>
      <c r="M4039" s="10" t="n">
        <v>360</v>
      </c>
      <c r="N4039" s="10">
        <f>L4039-M4039</f>
        <v/>
      </c>
    </row>
    <row r="4040">
      <c r="A4040" s="7" t="inlineStr">
        <is>
          <t>ORD-05813</t>
        </is>
      </c>
      <c r="B4040" s="8" t="n">
        <v>45744</v>
      </c>
      <c r="C4040" s="9" t="n">
        <v>45717</v>
      </c>
      <c r="D4040" s="7" t="n">
        <v>2025</v>
      </c>
      <c r="E4040" s="7" t="inlineStr">
        <is>
          <t>North</t>
        </is>
      </c>
      <c r="F4040" s="7" t="inlineStr">
        <is>
          <t>Technology</t>
        </is>
      </c>
      <c r="G4040" s="7" t="inlineStr">
        <is>
          <t>Laptop</t>
        </is>
      </c>
      <c r="H4040" s="7" t="inlineStr">
        <is>
          <t>Consumer</t>
        </is>
      </c>
      <c r="I4040" s="7" t="n">
        <v>3</v>
      </c>
      <c r="J4040" s="10" t="n">
        <v>860.7</v>
      </c>
      <c r="K4040" s="11" t="n">
        <v>0</v>
      </c>
      <c r="L4040" s="10">
        <f>I4040*J4040*(1-K4040)</f>
        <v/>
      </c>
      <c r="M4040" s="10" t="n">
        <v>2106</v>
      </c>
      <c r="N4040" s="10">
        <f>L4040-M4040</f>
        <v/>
      </c>
    </row>
    <row r="4041">
      <c r="A4041" s="7" t="inlineStr">
        <is>
          <t>ORD-02462</t>
        </is>
      </c>
      <c r="B4041" s="8" t="n">
        <v>45744</v>
      </c>
      <c r="C4041" s="9" t="n">
        <v>45717</v>
      </c>
      <c r="D4041" s="7" t="n">
        <v>2025</v>
      </c>
      <c r="E4041" s="7" t="inlineStr">
        <is>
          <t>South</t>
        </is>
      </c>
      <c r="F4041" s="7" t="inlineStr">
        <is>
          <t>Office Supplies</t>
        </is>
      </c>
      <c r="G4041" s="7" t="inlineStr">
        <is>
          <t>Paper</t>
        </is>
      </c>
      <c r="H4041" s="7" t="inlineStr">
        <is>
          <t>Corporate</t>
        </is>
      </c>
      <c r="I4041" s="7" t="n">
        <v>14</v>
      </c>
      <c r="J4041" s="10" t="n">
        <v>24.09</v>
      </c>
      <c r="K4041" s="11" t="n">
        <v>0.3</v>
      </c>
      <c r="L4041" s="10">
        <f>I4041*J4041*(1-K4041)</f>
        <v/>
      </c>
      <c r="M4041" s="10" t="n">
        <v>175</v>
      </c>
      <c r="N4041" s="10">
        <f>L4041-M4041</f>
        <v/>
      </c>
    </row>
    <row r="4042">
      <c r="A4042" s="7" t="inlineStr">
        <is>
          <t>ORD-01234</t>
        </is>
      </c>
      <c r="B4042" s="8" t="n">
        <v>45745</v>
      </c>
      <c r="C4042" s="9" t="n">
        <v>45717</v>
      </c>
      <c r="D4042" s="7" t="n">
        <v>2025</v>
      </c>
      <c r="E4042" s="7" t="inlineStr">
        <is>
          <t>East</t>
        </is>
      </c>
      <c r="F4042" s="7" t="inlineStr">
        <is>
          <t>Office Supplies</t>
        </is>
      </c>
      <c r="G4042" s="7" t="inlineStr">
        <is>
          <t>Printer Ink</t>
        </is>
      </c>
      <c r="H4042" s="7" t="inlineStr">
        <is>
          <t>Corporate</t>
        </is>
      </c>
      <c r="I4042" s="7" t="n">
        <v>10</v>
      </c>
      <c r="J4042" s="10" t="n">
        <v>60</v>
      </c>
      <c r="K4042" s="11" t="n">
        <v>0.2</v>
      </c>
      <c r="L4042" s="10">
        <f>I4042*J4042*(1-K4042)</f>
        <v/>
      </c>
      <c r="M4042" s="10" t="n">
        <v>360</v>
      </c>
      <c r="N4042" s="10">
        <f>L4042-M4042</f>
        <v/>
      </c>
    </row>
    <row r="4043">
      <c r="A4043" s="7" t="inlineStr">
        <is>
          <t>ORD-02083</t>
        </is>
      </c>
      <c r="B4043" s="8" t="n">
        <v>45745</v>
      </c>
      <c r="C4043" s="9" t="n">
        <v>45717</v>
      </c>
      <c r="D4043" s="7" t="n">
        <v>2025</v>
      </c>
      <c r="E4043" s="7" t="inlineStr">
        <is>
          <t>West</t>
        </is>
      </c>
      <c r="F4043" s="7" t="inlineStr">
        <is>
          <t>Office Supplies</t>
        </is>
      </c>
      <c r="G4043" s="7" t="inlineStr">
        <is>
          <t>Binder</t>
        </is>
      </c>
      <c r="H4043" s="7" t="inlineStr">
        <is>
          <t>Consumer</t>
        </is>
      </c>
      <c r="I4043" s="7" t="n">
        <v>11</v>
      </c>
      <c r="J4043" s="10" t="n">
        <v>8.109999999999999</v>
      </c>
      <c r="K4043" s="11" t="n">
        <v>0</v>
      </c>
      <c r="L4043" s="10">
        <f>I4043*J4043*(1-K4043)</f>
        <v/>
      </c>
      <c r="M4043" s="10" t="n">
        <v>35.2</v>
      </c>
      <c r="N4043" s="10">
        <f>L4043-M4043</f>
        <v/>
      </c>
    </row>
    <row r="4044">
      <c r="A4044" s="7" t="inlineStr">
        <is>
          <t>ORD-05745</t>
        </is>
      </c>
      <c r="B4044" s="8" t="n">
        <v>45745</v>
      </c>
      <c r="C4044" s="9" t="n">
        <v>45717</v>
      </c>
      <c r="D4044" s="7" t="n">
        <v>2025</v>
      </c>
      <c r="E4044" s="7" t="inlineStr">
        <is>
          <t>East</t>
        </is>
      </c>
      <c r="F4044" s="7" t="inlineStr">
        <is>
          <t>Office Supplies</t>
        </is>
      </c>
      <c r="G4044" s="7" t="inlineStr">
        <is>
          <t>Paper</t>
        </is>
      </c>
      <c r="H4044" s="7" t="inlineStr">
        <is>
          <t>Consumer</t>
        </is>
      </c>
      <c r="I4044" s="7" t="n">
        <v>9</v>
      </c>
      <c r="J4044" s="10" t="n">
        <v>25.65</v>
      </c>
      <c r="K4044" s="11" t="n">
        <v>0.05</v>
      </c>
      <c r="L4044" s="10">
        <f>I4044*J4044*(1-K4044)</f>
        <v/>
      </c>
      <c r="M4044" s="10" t="n">
        <v>112.5</v>
      </c>
      <c r="N4044" s="10">
        <f>L4044-M4044</f>
        <v/>
      </c>
    </row>
    <row r="4045">
      <c r="A4045" s="7" t="inlineStr">
        <is>
          <t>ORD-02799</t>
        </is>
      </c>
      <c r="B4045" s="8" t="n">
        <v>45745</v>
      </c>
      <c r="C4045" s="9" t="n">
        <v>45717</v>
      </c>
      <c r="D4045" s="7" t="n">
        <v>2025</v>
      </c>
      <c r="E4045" s="7" t="inlineStr">
        <is>
          <t>West</t>
        </is>
      </c>
      <c r="F4045" s="7" t="inlineStr">
        <is>
          <t>Office Supplies</t>
        </is>
      </c>
      <c r="G4045" s="7" t="inlineStr">
        <is>
          <t>Paper</t>
        </is>
      </c>
      <c r="H4045" s="7" t="inlineStr">
        <is>
          <t>Home Office</t>
        </is>
      </c>
      <c r="I4045" s="7" t="n">
        <v>2</v>
      </c>
      <c r="J4045" s="10" t="n">
        <v>24.17</v>
      </c>
      <c r="K4045" s="11" t="n">
        <v>0</v>
      </c>
      <c r="L4045" s="10">
        <f>I4045*J4045*(1-K4045)</f>
        <v/>
      </c>
      <c r="M4045" s="10" t="n">
        <v>25</v>
      </c>
      <c r="N4045" s="10">
        <f>L4045-M4045</f>
        <v/>
      </c>
    </row>
    <row r="4046">
      <c r="A4046" s="7" t="inlineStr">
        <is>
          <t>ORD-03664</t>
        </is>
      </c>
      <c r="B4046" s="8" t="n">
        <v>45745</v>
      </c>
      <c r="C4046" s="9" t="n">
        <v>45717</v>
      </c>
      <c r="D4046" s="7" t="n">
        <v>2025</v>
      </c>
      <c r="E4046" s="7" t="inlineStr">
        <is>
          <t>North</t>
        </is>
      </c>
      <c r="F4046" s="7" t="inlineStr">
        <is>
          <t>Office Supplies</t>
        </is>
      </c>
      <c r="G4046" s="7" t="inlineStr">
        <is>
          <t>Binder</t>
        </is>
      </c>
      <c r="H4046" s="7" t="inlineStr">
        <is>
          <t>Corporate</t>
        </is>
      </c>
      <c r="I4046" s="7" t="n">
        <v>11</v>
      </c>
      <c r="J4046" s="10" t="n">
        <v>8.279999999999999</v>
      </c>
      <c r="K4046" s="11" t="n">
        <v>0.05</v>
      </c>
      <c r="L4046" s="10">
        <f>I4046*J4046*(1-K4046)</f>
        <v/>
      </c>
      <c r="M4046" s="10" t="n">
        <v>35.2</v>
      </c>
      <c r="N4046" s="10">
        <f>L4046-M4046</f>
        <v/>
      </c>
    </row>
    <row r="4047">
      <c r="A4047" s="7" t="inlineStr">
        <is>
          <t>ORD-04878</t>
        </is>
      </c>
      <c r="B4047" s="8" t="n">
        <v>45746</v>
      </c>
      <c r="C4047" s="9" t="n">
        <v>45717</v>
      </c>
      <c r="D4047" s="7" t="n">
        <v>2025</v>
      </c>
      <c r="E4047" s="7" t="inlineStr">
        <is>
          <t>East</t>
        </is>
      </c>
      <c r="F4047" s="7" t="inlineStr">
        <is>
          <t>Technology</t>
        </is>
      </c>
      <c r="G4047" s="7" t="inlineStr">
        <is>
          <t>Headphones</t>
        </is>
      </c>
      <c r="H4047" s="7" t="inlineStr">
        <is>
          <t>Consumer</t>
        </is>
      </c>
      <c r="I4047" s="7" t="n">
        <v>3</v>
      </c>
      <c r="J4047" s="10" t="n">
        <v>117.82</v>
      </c>
      <c r="K4047" s="11" t="n">
        <v>0.3</v>
      </c>
      <c r="L4047" s="10">
        <f>I4047*J4047*(1-K4047)</f>
        <v/>
      </c>
      <c r="M4047" s="10" t="n">
        <v>216</v>
      </c>
      <c r="N4047" s="10">
        <f>L4047-M4047</f>
        <v/>
      </c>
    </row>
    <row r="4048">
      <c r="A4048" s="7" t="inlineStr">
        <is>
          <t>ORD-00275</t>
        </is>
      </c>
      <c r="B4048" s="8" t="n">
        <v>45746</v>
      </c>
      <c r="C4048" s="9" t="n">
        <v>45717</v>
      </c>
      <c r="D4048" s="7" t="n">
        <v>2025</v>
      </c>
      <c r="E4048" s="7" t="inlineStr">
        <is>
          <t>West</t>
        </is>
      </c>
      <c r="F4048" s="7" t="inlineStr">
        <is>
          <t>Technology</t>
        </is>
      </c>
      <c r="G4048" s="7" t="inlineStr">
        <is>
          <t>Keyboard</t>
        </is>
      </c>
      <c r="H4048" s="7" t="inlineStr">
        <is>
          <t>Corporate</t>
        </is>
      </c>
      <c r="I4048" s="7" t="n">
        <v>1</v>
      </c>
      <c r="J4048" s="10" t="n">
        <v>45.12</v>
      </c>
      <c r="K4048" s="11" t="n">
        <v>0.1</v>
      </c>
      <c r="L4048" s="10">
        <f>I4048*J4048*(1-K4048)</f>
        <v/>
      </c>
      <c r="M4048" s="10" t="n">
        <v>24.75</v>
      </c>
      <c r="N4048" s="10">
        <f>L4048-M4048</f>
        <v/>
      </c>
    </row>
    <row r="4049">
      <c r="A4049" s="7" t="inlineStr">
        <is>
          <t>ORD-01316</t>
        </is>
      </c>
      <c r="B4049" s="8" t="n">
        <v>45746</v>
      </c>
      <c r="C4049" s="9" t="n">
        <v>45717</v>
      </c>
      <c r="D4049" s="7" t="n">
        <v>2025</v>
      </c>
      <c r="E4049" s="7" t="inlineStr">
        <is>
          <t>West</t>
        </is>
      </c>
      <c r="F4049" s="7" t="inlineStr">
        <is>
          <t>Technology</t>
        </is>
      </c>
      <c r="G4049" s="7" t="inlineStr">
        <is>
          <t>Monitor</t>
        </is>
      </c>
      <c r="H4049" s="7" t="inlineStr">
        <is>
          <t>Consumer</t>
        </is>
      </c>
      <c r="I4049" s="7" t="n">
        <v>3</v>
      </c>
      <c r="J4049" s="10" t="n">
        <v>238.67</v>
      </c>
      <c r="K4049" s="11" t="n">
        <v>0</v>
      </c>
      <c r="L4049" s="10">
        <f>I4049*J4049*(1-K4049)</f>
        <v/>
      </c>
      <c r="M4049" s="10" t="n">
        <v>540</v>
      </c>
      <c r="N4049" s="10">
        <f>L4049-M4049</f>
        <v/>
      </c>
    </row>
    <row r="4050">
      <c r="A4050" s="7" t="inlineStr">
        <is>
          <t>ORD-05733</t>
        </is>
      </c>
      <c r="B4050" s="8" t="n">
        <v>45746</v>
      </c>
      <c r="C4050" s="9" t="n">
        <v>45717</v>
      </c>
      <c r="D4050" s="7" t="n">
        <v>2025</v>
      </c>
      <c r="E4050" s="7" t="inlineStr">
        <is>
          <t>North</t>
        </is>
      </c>
      <c r="F4050" s="7" t="inlineStr">
        <is>
          <t>Office Supplies</t>
        </is>
      </c>
      <c r="G4050" s="7" t="inlineStr">
        <is>
          <t>Pens</t>
        </is>
      </c>
      <c r="H4050" s="7" t="inlineStr">
        <is>
          <t>Corporate</t>
        </is>
      </c>
      <c r="I4050" s="7" t="n">
        <v>14</v>
      </c>
      <c r="J4050" s="10" t="n">
        <v>11.96</v>
      </c>
      <c r="K4050" s="11" t="n">
        <v>0.05</v>
      </c>
      <c r="L4050" s="10">
        <f>I4050*J4050*(1-K4050)</f>
        <v/>
      </c>
      <c r="M4050" s="10" t="n">
        <v>75.59999999999999</v>
      </c>
      <c r="N4050" s="10">
        <f>L4050-M4050</f>
        <v/>
      </c>
    </row>
    <row r="4051">
      <c r="A4051" s="7" t="inlineStr">
        <is>
          <t>ORD-04812</t>
        </is>
      </c>
      <c r="B4051" s="8" t="n">
        <v>45746</v>
      </c>
      <c r="C4051" s="9" t="n">
        <v>45717</v>
      </c>
      <c r="D4051" s="7" t="n">
        <v>2025</v>
      </c>
      <c r="E4051" s="7" t="inlineStr">
        <is>
          <t>East</t>
        </is>
      </c>
      <c r="F4051" s="7" t="inlineStr">
        <is>
          <t>Office Supplies</t>
        </is>
      </c>
      <c r="G4051" s="7" t="inlineStr">
        <is>
          <t>Binder</t>
        </is>
      </c>
      <c r="H4051" s="7" t="inlineStr">
        <is>
          <t>Home Office</t>
        </is>
      </c>
      <c r="I4051" s="7" t="n">
        <v>12</v>
      </c>
      <c r="J4051" s="10" t="n">
        <v>8.08</v>
      </c>
      <c r="K4051" s="11" t="n">
        <v>0.1</v>
      </c>
      <c r="L4051" s="10">
        <f>I4051*J4051*(1-K4051)</f>
        <v/>
      </c>
      <c r="M4051" s="10" t="n">
        <v>38.4</v>
      </c>
      <c r="N4051" s="10">
        <f>L4051-M4051</f>
        <v/>
      </c>
    </row>
    <row r="4052">
      <c r="A4052" s="7" t="inlineStr">
        <is>
          <t>ORD-03773</t>
        </is>
      </c>
      <c r="B4052" s="8" t="n">
        <v>45746</v>
      </c>
      <c r="C4052" s="9" t="n">
        <v>45717</v>
      </c>
      <c r="D4052" s="7" t="n">
        <v>2025</v>
      </c>
      <c r="E4052" s="7" t="inlineStr">
        <is>
          <t>South</t>
        </is>
      </c>
      <c r="F4052" s="7" t="inlineStr">
        <is>
          <t>Furniture</t>
        </is>
      </c>
      <c r="G4052" s="7" t="inlineStr">
        <is>
          <t>Sofa</t>
        </is>
      </c>
      <c r="H4052" s="7" t="inlineStr">
        <is>
          <t>Corporate</t>
        </is>
      </c>
      <c r="I4052" s="7" t="n">
        <v>1</v>
      </c>
      <c r="J4052" s="10" t="n">
        <v>719.5</v>
      </c>
      <c r="K4052" s="11" t="n">
        <v>0</v>
      </c>
      <c r="L4052" s="10">
        <f>I4052*J4052*(1-K4052)</f>
        <v/>
      </c>
      <c r="M4052" s="10" t="n">
        <v>616</v>
      </c>
      <c r="N4052" s="10">
        <f>L4052-M4052</f>
        <v/>
      </c>
    </row>
    <row r="4053">
      <c r="A4053" s="7" t="inlineStr">
        <is>
          <t>ORD-04528</t>
        </is>
      </c>
      <c r="B4053" s="8" t="n">
        <v>45747</v>
      </c>
      <c r="C4053" s="9" t="n">
        <v>45717</v>
      </c>
      <c r="D4053" s="7" t="n">
        <v>2025</v>
      </c>
      <c r="E4053" s="7" t="inlineStr">
        <is>
          <t>South</t>
        </is>
      </c>
      <c r="F4053" s="7" t="inlineStr">
        <is>
          <t>Office Supplies</t>
        </is>
      </c>
      <c r="G4053" s="7" t="inlineStr">
        <is>
          <t>Paper</t>
        </is>
      </c>
      <c r="H4053" s="7" t="inlineStr">
        <is>
          <t>Consumer</t>
        </is>
      </c>
      <c r="I4053" s="7" t="n">
        <v>7</v>
      </c>
      <c r="J4053" s="10" t="n">
        <v>23.95</v>
      </c>
      <c r="K4053" s="11" t="n">
        <v>0.2</v>
      </c>
      <c r="L4053" s="10">
        <f>I4053*J4053*(1-K4053)</f>
        <v/>
      </c>
      <c r="M4053" s="10" t="n">
        <v>87.5</v>
      </c>
      <c r="N4053" s="10">
        <f>L4053-M4053</f>
        <v/>
      </c>
    </row>
    <row r="4054">
      <c r="A4054" s="7" t="inlineStr">
        <is>
          <t>ORD-05192</t>
        </is>
      </c>
      <c r="B4054" s="8" t="n">
        <v>45747</v>
      </c>
      <c r="C4054" s="9" t="n">
        <v>45717</v>
      </c>
      <c r="D4054" s="7" t="n">
        <v>2025</v>
      </c>
      <c r="E4054" s="7" t="inlineStr">
        <is>
          <t>West</t>
        </is>
      </c>
      <c r="F4054" s="7" t="inlineStr">
        <is>
          <t>Furniture</t>
        </is>
      </c>
      <c r="G4054" s="7" t="inlineStr">
        <is>
          <t>Desk</t>
        </is>
      </c>
      <c r="H4054" s="7" t="inlineStr">
        <is>
          <t>Corporate</t>
        </is>
      </c>
      <c r="I4054" s="7" t="n">
        <v>2</v>
      </c>
      <c r="J4054" s="10" t="n">
        <v>430.96</v>
      </c>
      <c r="K4054" s="11" t="n">
        <v>0.3</v>
      </c>
      <c r="L4054" s="10">
        <f>I4054*J4054*(1-K4054)</f>
        <v/>
      </c>
      <c r="M4054" s="10" t="n">
        <v>765</v>
      </c>
      <c r="N4054" s="10">
        <f>L4054-M4054</f>
        <v/>
      </c>
    </row>
    <row r="4055">
      <c r="A4055" s="7" t="inlineStr">
        <is>
          <t>ORD-05376</t>
        </is>
      </c>
      <c r="B4055" s="8" t="n">
        <v>45747</v>
      </c>
      <c r="C4055" s="9" t="n">
        <v>45717</v>
      </c>
      <c r="D4055" s="7" t="n">
        <v>2025</v>
      </c>
      <c r="E4055" s="7" t="inlineStr">
        <is>
          <t>West</t>
        </is>
      </c>
      <c r="F4055" s="7" t="inlineStr">
        <is>
          <t>Office Supplies</t>
        </is>
      </c>
      <c r="G4055" s="7" t="inlineStr">
        <is>
          <t>Paper</t>
        </is>
      </c>
      <c r="H4055" s="7" t="inlineStr">
        <is>
          <t>Corporate</t>
        </is>
      </c>
      <c r="I4055" s="7" t="n">
        <v>15</v>
      </c>
      <c r="J4055" s="10" t="n">
        <v>25.72</v>
      </c>
      <c r="K4055" s="11" t="n">
        <v>0</v>
      </c>
      <c r="L4055" s="10">
        <f>I4055*J4055*(1-K4055)</f>
        <v/>
      </c>
      <c r="M4055" s="10" t="n">
        <v>187.5</v>
      </c>
      <c r="N4055" s="10">
        <f>L4055-M4055</f>
        <v/>
      </c>
    </row>
    <row r="4056">
      <c r="A4056" s="7" t="inlineStr">
        <is>
          <t>ORD-01596</t>
        </is>
      </c>
      <c r="B4056" s="8" t="n">
        <v>45747</v>
      </c>
      <c r="C4056" s="9" t="n">
        <v>45717</v>
      </c>
      <c r="D4056" s="7" t="n">
        <v>2025</v>
      </c>
      <c r="E4056" s="7" t="inlineStr">
        <is>
          <t>North</t>
        </is>
      </c>
      <c r="F4056" s="7" t="inlineStr">
        <is>
          <t>Office Supplies</t>
        </is>
      </c>
      <c r="G4056" s="7" t="inlineStr">
        <is>
          <t>Pens</t>
        </is>
      </c>
      <c r="H4056" s="7" t="inlineStr">
        <is>
          <t>Consumer</t>
        </is>
      </c>
      <c r="I4056" s="7" t="n">
        <v>10</v>
      </c>
      <c r="J4056" s="10" t="n">
        <v>11.96</v>
      </c>
      <c r="K4056" s="11" t="n">
        <v>0.05</v>
      </c>
      <c r="L4056" s="10">
        <f>I4056*J4056*(1-K4056)</f>
        <v/>
      </c>
      <c r="M4056" s="10" t="n">
        <v>54</v>
      </c>
      <c r="N4056" s="10">
        <f>L4056-M4056</f>
        <v/>
      </c>
    </row>
    <row r="4057">
      <c r="A4057" s="7" t="inlineStr">
        <is>
          <t>ORD-04737</t>
        </is>
      </c>
      <c r="B4057" s="8" t="n">
        <v>45747</v>
      </c>
      <c r="C4057" s="9" t="n">
        <v>45717</v>
      </c>
      <c r="D4057" s="7" t="n">
        <v>2025</v>
      </c>
      <c r="E4057" s="7" t="inlineStr">
        <is>
          <t>East</t>
        </is>
      </c>
      <c r="F4057" s="7" t="inlineStr">
        <is>
          <t>Technology</t>
        </is>
      </c>
      <c r="G4057" s="7" t="inlineStr">
        <is>
          <t>Keyboard</t>
        </is>
      </c>
      <c r="H4057" s="7" t="inlineStr">
        <is>
          <t>Corporate</t>
        </is>
      </c>
      <c r="I4057" s="7" t="n">
        <v>2</v>
      </c>
      <c r="J4057" s="10" t="n">
        <v>47.23</v>
      </c>
      <c r="K4057" s="11" t="n">
        <v>0</v>
      </c>
      <c r="L4057" s="10">
        <f>I4057*J4057*(1-K4057)</f>
        <v/>
      </c>
      <c r="M4057" s="10" t="n">
        <v>49.5</v>
      </c>
      <c r="N4057" s="10">
        <f>L4057-M4057</f>
        <v/>
      </c>
    </row>
    <row r="4058">
      <c r="A4058" s="7" t="inlineStr">
        <is>
          <t>ORD-05401</t>
        </is>
      </c>
      <c r="B4058" s="8" t="n">
        <v>45747</v>
      </c>
      <c r="C4058" s="9" t="n">
        <v>45717</v>
      </c>
      <c r="D4058" s="7" t="n">
        <v>2025</v>
      </c>
      <c r="E4058" s="7" t="inlineStr">
        <is>
          <t>South</t>
        </is>
      </c>
      <c r="F4058" s="7" t="inlineStr">
        <is>
          <t>Furniture</t>
        </is>
      </c>
      <c r="G4058" s="7" t="inlineStr">
        <is>
          <t>Desk</t>
        </is>
      </c>
      <c r="H4058" s="7" t="inlineStr">
        <is>
          <t>Home Office</t>
        </is>
      </c>
      <c r="I4058" s="7" t="n">
        <v>1</v>
      </c>
      <c r="J4058" s="10" t="n">
        <v>448.69</v>
      </c>
      <c r="K4058" s="11" t="n">
        <v>0.1</v>
      </c>
      <c r="L4058" s="10">
        <f>I4058*J4058*(1-K4058)</f>
        <v/>
      </c>
      <c r="M4058" s="10" t="n">
        <v>382.5</v>
      </c>
      <c r="N4058" s="10">
        <f>L4058-M4058</f>
        <v/>
      </c>
    </row>
    <row r="4059">
      <c r="A4059" s="7" t="inlineStr">
        <is>
          <t>ORD-03509</t>
        </is>
      </c>
      <c r="B4059" s="8" t="n">
        <v>45747</v>
      </c>
      <c r="C4059" s="9" t="n">
        <v>45717</v>
      </c>
      <c r="D4059" s="7" t="n">
        <v>2025</v>
      </c>
      <c r="E4059" s="7" t="inlineStr">
        <is>
          <t>South</t>
        </is>
      </c>
      <c r="F4059" s="7" t="inlineStr">
        <is>
          <t>Office Supplies</t>
        </is>
      </c>
      <c r="G4059" s="7" t="inlineStr">
        <is>
          <t>Pens</t>
        </is>
      </c>
      <c r="H4059" s="7" t="inlineStr">
        <is>
          <t>Consumer</t>
        </is>
      </c>
      <c r="I4059" s="7" t="n">
        <v>13</v>
      </c>
      <c r="J4059" s="10" t="n">
        <v>12</v>
      </c>
      <c r="K4059" s="11" t="n">
        <v>0.2</v>
      </c>
      <c r="L4059" s="10">
        <f>I4059*J4059*(1-K4059)</f>
        <v/>
      </c>
      <c r="M4059" s="10" t="n">
        <v>70.2</v>
      </c>
      <c r="N4059" s="10">
        <f>L4059-M4059</f>
        <v/>
      </c>
    </row>
    <row r="4060">
      <c r="A4060" s="7" t="inlineStr">
        <is>
          <t>ORD-01806</t>
        </is>
      </c>
      <c r="B4060" s="8" t="n">
        <v>45748</v>
      </c>
      <c r="C4060" s="9" t="n">
        <v>45748</v>
      </c>
      <c r="D4060" s="7" t="n">
        <v>2025</v>
      </c>
      <c r="E4060" s="7" t="inlineStr">
        <is>
          <t>South</t>
        </is>
      </c>
      <c r="F4060" s="7" t="inlineStr">
        <is>
          <t>Office Supplies</t>
        </is>
      </c>
      <c r="G4060" s="7" t="inlineStr">
        <is>
          <t>Binder</t>
        </is>
      </c>
      <c r="H4060" s="7" t="inlineStr">
        <is>
          <t>Consumer</t>
        </is>
      </c>
      <c r="I4060" s="7" t="n">
        <v>2</v>
      </c>
      <c r="J4060" s="10" t="n">
        <v>8.35</v>
      </c>
      <c r="K4060" s="11" t="n">
        <v>0.3</v>
      </c>
      <c r="L4060" s="10">
        <f>I4060*J4060*(1-K4060)</f>
        <v/>
      </c>
      <c r="M4060" s="10" t="n">
        <v>6.4</v>
      </c>
      <c r="N4060" s="10">
        <f>L4060-M4060</f>
        <v/>
      </c>
    </row>
    <row r="4061">
      <c r="A4061" s="7" t="inlineStr">
        <is>
          <t>ORD-00030</t>
        </is>
      </c>
      <c r="B4061" s="8" t="n">
        <v>45748</v>
      </c>
      <c r="C4061" s="9" t="n">
        <v>45748</v>
      </c>
      <c r="D4061" s="7" t="n">
        <v>2025</v>
      </c>
      <c r="E4061" s="7" t="inlineStr">
        <is>
          <t>West</t>
        </is>
      </c>
      <c r="F4061" s="7" t="inlineStr">
        <is>
          <t>Office Supplies</t>
        </is>
      </c>
      <c r="G4061" s="7" t="inlineStr">
        <is>
          <t>Binder</t>
        </is>
      </c>
      <c r="H4061" s="7" t="inlineStr">
        <is>
          <t>Corporate</t>
        </is>
      </c>
      <c r="I4061" s="7" t="n">
        <v>11</v>
      </c>
      <c r="J4061" s="10" t="n">
        <v>8.390000000000001</v>
      </c>
      <c r="K4061" s="11" t="n">
        <v>0.05</v>
      </c>
      <c r="L4061" s="10">
        <f>I4061*J4061*(1-K4061)</f>
        <v/>
      </c>
      <c r="M4061" s="10" t="n">
        <v>35.2</v>
      </c>
      <c r="N4061" s="10">
        <f>L4061-M4061</f>
        <v/>
      </c>
    </row>
    <row r="4062">
      <c r="A4062" s="7" t="inlineStr">
        <is>
          <t>ORD-04833</t>
        </is>
      </c>
      <c r="B4062" s="8" t="n">
        <v>45748</v>
      </c>
      <c r="C4062" s="9" t="n">
        <v>45748</v>
      </c>
      <c r="D4062" s="7" t="n">
        <v>2025</v>
      </c>
      <c r="E4062" s="7" t="inlineStr">
        <is>
          <t>West</t>
        </is>
      </c>
      <c r="F4062" s="7" t="inlineStr">
        <is>
          <t>Technology</t>
        </is>
      </c>
      <c r="G4062" s="7" t="inlineStr">
        <is>
          <t>Laptop</t>
        </is>
      </c>
      <c r="H4062" s="7" t="inlineStr">
        <is>
          <t>Consumer</t>
        </is>
      </c>
      <c r="I4062" s="7" t="n">
        <v>3</v>
      </c>
      <c r="J4062" s="10" t="n">
        <v>901.35</v>
      </c>
      <c r="K4062" s="11" t="n">
        <v>0.05</v>
      </c>
      <c r="L4062" s="10">
        <f>I4062*J4062*(1-K4062)</f>
        <v/>
      </c>
      <c r="M4062" s="10" t="n">
        <v>2106</v>
      </c>
      <c r="N4062" s="10">
        <f>L4062-M4062</f>
        <v/>
      </c>
    </row>
    <row r="4063">
      <c r="A4063" s="7" t="inlineStr">
        <is>
          <t>ORD-00049</t>
        </is>
      </c>
      <c r="B4063" s="8" t="n">
        <v>45748</v>
      </c>
      <c r="C4063" s="9" t="n">
        <v>45748</v>
      </c>
      <c r="D4063" s="7" t="n">
        <v>2025</v>
      </c>
      <c r="E4063" s="7" t="inlineStr">
        <is>
          <t>West</t>
        </is>
      </c>
      <c r="F4063" s="7" t="inlineStr">
        <is>
          <t>Office Supplies</t>
        </is>
      </c>
      <c r="G4063" s="7" t="inlineStr">
        <is>
          <t>Binder</t>
        </is>
      </c>
      <c r="H4063" s="7" t="inlineStr">
        <is>
          <t>Corporate</t>
        </is>
      </c>
      <c r="I4063" s="7" t="n">
        <v>3</v>
      </c>
      <c r="J4063" s="10" t="n">
        <v>7.88</v>
      </c>
      <c r="K4063" s="11" t="n">
        <v>0.3</v>
      </c>
      <c r="L4063" s="10">
        <f>I4063*J4063*(1-K4063)</f>
        <v/>
      </c>
      <c r="M4063" s="10" t="n">
        <v>9.6</v>
      </c>
      <c r="N4063" s="10">
        <f>L4063-M4063</f>
        <v/>
      </c>
    </row>
    <row r="4064">
      <c r="A4064" s="7" t="inlineStr">
        <is>
          <t>ORD-03841</t>
        </is>
      </c>
      <c r="B4064" s="8" t="n">
        <v>45748</v>
      </c>
      <c r="C4064" s="9" t="n">
        <v>45748</v>
      </c>
      <c r="D4064" s="7" t="n">
        <v>2025</v>
      </c>
      <c r="E4064" s="7" t="inlineStr">
        <is>
          <t>East</t>
        </is>
      </c>
      <c r="F4064" s="7" t="inlineStr">
        <is>
          <t>Office Supplies</t>
        </is>
      </c>
      <c r="G4064" s="7" t="inlineStr">
        <is>
          <t>Pens</t>
        </is>
      </c>
      <c r="H4064" s="7" t="inlineStr">
        <is>
          <t>Corporate</t>
        </is>
      </c>
      <c r="I4064" s="7" t="n">
        <v>3</v>
      </c>
      <c r="J4064" s="10" t="n">
        <v>11.54</v>
      </c>
      <c r="K4064" s="11" t="n">
        <v>0.1</v>
      </c>
      <c r="L4064" s="10">
        <f>I4064*J4064*(1-K4064)</f>
        <v/>
      </c>
      <c r="M4064" s="10" t="n">
        <v>16.2</v>
      </c>
      <c r="N4064" s="10">
        <f>L4064-M4064</f>
        <v/>
      </c>
    </row>
    <row r="4065">
      <c r="A4065" s="7" t="inlineStr">
        <is>
          <t>ORD-00848</t>
        </is>
      </c>
      <c r="B4065" s="8" t="n">
        <v>45748</v>
      </c>
      <c r="C4065" s="9" t="n">
        <v>45748</v>
      </c>
      <c r="D4065" s="7" t="n">
        <v>2025</v>
      </c>
      <c r="E4065" s="7" t="inlineStr">
        <is>
          <t>East</t>
        </is>
      </c>
      <c r="F4065" s="7" t="inlineStr">
        <is>
          <t>Office Supplies</t>
        </is>
      </c>
      <c r="G4065" s="7" t="inlineStr">
        <is>
          <t>Printer Ink</t>
        </is>
      </c>
      <c r="H4065" s="7" t="inlineStr">
        <is>
          <t>Corporate</t>
        </is>
      </c>
      <c r="I4065" s="7" t="n">
        <v>11</v>
      </c>
      <c r="J4065" s="10" t="n">
        <v>60.94</v>
      </c>
      <c r="K4065" s="11" t="n">
        <v>0.1</v>
      </c>
      <c r="L4065" s="10">
        <f>I4065*J4065*(1-K4065)</f>
        <v/>
      </c>
      <c r="M4065" s="10" t="n">
        <v>396</v>
      </c>
      <c r="N4065" s="10">
        <f>L4065-M4065</f>
        <v/>
      </c>
    </row>
    <row r="4066">
      <c r="A4066" s="7" t="inlineStr">
        <is>
          <t>ORD-02502</t>
        </is>
      </c>
      <c r="B4066" s="8" t="n">
        <v>45748</v>
      </c>
      <c r="C4066" s="9" t="n">
        <v>45748</v>
      </c>
      <c r="D4066" s="7" t="n">
        <v>2025</v>
      </c>
      <c r="E4066" s="7" t="inlineStr">
        <is>
          <t>South</t>
        </is>
      </c>
      <c r="F4066" s="7" t="inlineStr">
        <is>
          <t>Technology</t>
        </is>
      </c>
      <c r="G4066" s="7" t="inlineStr">
        <is>
          <t>Smartphone</t>
        </is>
      </c>
      <c r="H4066" s="7" t="inlineStr">
        <is>
          <t>Home Office</t>
        </is>
      </c>
      <c r="I4066" s="7" t="n">
        <v>3</v>
      </c>
      <c r="J4066" s="10" t="n">
        <v>628.7</v>
      </c>
      <c r="K4066" s="11" t="n">
        <v>0.1</v>
      </c>
      <c r="L4066" s="10">
        <f>I4066*J4066*(1-K4066)</f>
        <v/>
      </c>
      <c r="M4066" s="10" t="n">
        <v>1350</v>
      </c>
      <c r="N4066" s="10">
        <f>L4066-M4066</f>
        <v/>
      </c>
    </row>
    <row r="4067">
      <c r="A4067" s="7" t="inlineStr">
        <is>
          <t>ORD-05475</t>
        </is>
      </c>
      <c r="B4067" s="8" t="n">
        <v>45748</v>
      </c>
      <c r="C4067" s="9" t="n">
        <v>45748</v>
      </c>
      <c r="D4067" s="7" t="n">
        <v>2025</v>
      </c>
      <c r="E4067" s="7" t="inlineStr">
        <is>
          <t>West</t>
        </is>
      </c>
      <c r="F4067" s="7" t="inlineStr">
        <is>
          <t>Technology</t>
        </is>
      </c>
      <c r="G4067" s="7" t="inlineStr">
        <is>
          <t>Monitor</t>
        </is>
      </c>
      <c r="H4067" s="7" t="inlineStr">
        <is>
          <t>Consumer</t>
        </is>
      </c>
      <c r="I4067" s="7" t="n">
        <v>3</v>
      </c>
      <c r="J4067" s="10" t="n">
        <v>249.37</v>
      </c>
      <c r="K4067" s="11" t="n">
        <v>0.1</v>
      </c>
      <c r="L4067" s="10">
        <f>I4067*J4067*(1-K4067)</f>
        <v/>
      </c>
      <c r="M4067" s="10" t="n">
        <v>540</v>
      </c>
      <c r="N4067" s="10">
        <f>L4067-M4067</f>
        <v/>
      </c>
    </row>
    <row r="4068">
      <c r="A4068" s="7" t="inlineStr">
        <is>
          <t>ORD-04909</t>
        </is>
      </c>
      <c r="B4068" s="8" t="n">
        <v>45748</v>
      </c>
      <c r="C4068" s="9" t="n">
        <v>45748</v>
      </c>
      <c r="D4068" s="7" t="n">
        <v>2025</v>
      </c>
      <c r="E4068" s="7" t="inlineStr">
        <is>
          <t>South</t>
        </is>
      </c>
      <c r="F4068" s="7" t="inlineStr">
        <is>
          <t>Furniture</t>
        </is>
      </c>
      <c r="G4068" s="7" t="inlineStr">
        <is>
          <t>Office Chair</t>
        </is>
      </c>
      <c r="H4068" s="7" t="inlineStr">
        <is>
          <t>Consumer</t>
        </is>
      </c>
      <c r="I4068" s="7" t="n">
        <v>3</v>
      </c>
      <c r="J4068" s="10" t="n">
        <v>211.15</v>
      </c>
      <c r="K4068" s="11" t="n">
        <v>0.1</v>
      </c>
      <c r="L4068" s="10">
        <f>I4068*J4068*(1-K4068)</f>
        <v/>
      </c>
      <c r="M4068" s="10" t="n">
        <v>541.2</v>
      </c>
      <c r="N4068" s="10">
        <f>L4068-M4068</f>
        <v/>
      </c>
    </row>
    <row r="4069">
      <c r="A4069" s="7" t="inlineStr">
        <is>
          <t>ORD-00755</t>
        </is>
      </c>
      <c r="B4069" s="8" t="n">
        <v>45749</v>
      </c>
      <c r="C4069" s="9" t="n">
        <v>45748</v>
      </c>
      <c r="D4069" s="7" t="n">
        <v>2025</v>
      </c>
      <c r="E4069" s="7" t="inlineStr">
        <is>
          <t>East</t>
        </is>
      </c>
      <c r="F4069" s="7" t="inlineStr">
        <is>
          <t>Technology</t>
        </is>
      </c>
      <c r="G4069" s="7" t="inlineStr">
        <is>
          <t>Smartphone</t>
        </is>
      </c>
      <c r="H4069" s="7" t="inlineStr">
        <is>
          <t>Home Office</t>
        </is>
      </c>
      <c r="I4069" s="7" t="n">
        <v>1</v>
      </c>
      <c r="J4069" s="10" t="n">
        <v>616.13</v>
      </c>
      <c r="K4069" s="11" t="n">
        <v>0.1</v>
      </c>
      <c r="L4069" s="10">
        <f>I4069*J4069*(1-K4069)</f>
        <v/>
      </c>
      <c r="M4069" s="10" t="n">
        <v>450</v>
      </c>
      <c r="N4069" s="10">
        <f>L4069-M4069</f>
        <v/>
      </c>
    </row>
    <row r="4070">
      <c r="A4070" s="7" t="inlineStr">
        <is>
          <t>ORD-02835</t>
        </is>
      </c>
      <c r="B4070" s="8" t="n">
        <v>45749</v>
      </c>
      <c r="C4070" s="9" t="n">
        <v>45748</v>
      </c>
      <c r="D4070" s="7" t="n">
        <v>2025</v>
      </c>
      <c r="E4070" s="7" t="inlineStr">
        <is>
          <t>East</t>
        </is>
      </c>
      <c r="F4070" s="7" t="inlineStr">
        <is>
          <t>Technology</t>
        </is>
      </c>
      <c r="G4070" s="7" t="inlineStr">
        <is>
          <t>Smartphone</t>
        </is>
      </c>
      <c r="H4070" s="7" t="inlineStr">
        <is>
          <t>Home Office</t>
        </is>
      </c>
      <c r="I4070" s="7" t="n">
        <v>3</v>
      </c>
      <c r="J4070" s="10" t="n">
        <v>624.59</v>
      </c>
      <c r="K4070" s="11" t="n">
        <v>0.2</v>
      </c>
      <c r="L4070" s="10">
        <f>I4070*J4070*(1-K4070)</f>
        <v/>
      </c>
      <c r="M4070" s="10" t="n">
        <v>1350</v>
      </c>
      <c r="N4070" s="10">
        <f>L4070-M4070</f>
        <v/>
      </c>
    </row>
    <row r="4071">
      <c r="A4071" s="7" t="inlineStr">
        <is>
          <t>ORD-04552</t>
        </is>
      </c>
      <c r="B4071" s="8" t="n">
        <v>45749</v>
      </c>
      <c r="C4071" s="9" t="n">
        <v>45748</v>
      </c>
      <c r="D4071" s="7" t="n">
        <v>2025</v>
      </c>
      <c r="E4071" s="7" t="inlineStr">
        <is>
          <t>West</t>
        </is>
      </c>
      <c r="F4071" s="7" t="inlineStr">
        <is>
          <t>Office Supplies</t>
        </is>
      </c>
      <c r="G4071" s="7" t="inlineStr">
        <is>
          <t>Binder</t>
        </is>
      </c>
      <c r="H4071" s="7" t="inlineStr">
        <is>
          <t>Corporate</t>
        </is>
      </c>
      <c r="I4071" s="7" t="n">
        <v>14</v>
      </c>
      <c r="J4071" s="10" t="n">
        <v>7.78</v>
      </c>
      <c r="K4071" s="11" t="n">
        <v>0</v>
      </c>
      <c r="L4071" s="10">
        <f>I4071*J4071*(1-K4071)</f>
        <v/>
      </c>
      <c r="M4071" s="10" t="n">
        <v>44.8</v>
      </c>
      <c r="N4071" s="10">
        <f>L4071-M4071</f>
        <v/>
      </c>
    </row>
    <row r="4072">
      <c r="A4072" s="7" t="inlineStr">
        <is>
          <t>ORD-02927</t>
        </is>
      </c>
      <c r="B4072" s="8" t="n">
        <v>45749</v>
      </c>
      <c r="C4072" s="9" t="n">
        <v>45748</v>
      </c>
      <c r="D4072" s="7" t="n">
        <v>2025</v>
      </c>
      <c r="E4072" s="7" t="inlineStr">
        <is>
          <t>South</t>
        </is>
      </c>
      <c r="F4072" s="7" t="inlineStr">
        <is>
          <t>Office Supplies</t>
        </is>
      </c>
      <c r="G4072" s="7" t="inlineStr">
        <is>
          <t>Paper</t>
        </is>
      </c>
      <c r="H4072" s="7" t="inlineStr">
        <is>
          <t>Consumer</t>
        </is>
      </c>
      <c r="I4072" s="7" t="n">
        <v>12</v>
      </c>
      <c r="J4072" s="10" t="n">
        <v>23.84</v>
      </c>
      <c r="K4072" s="11" t="n">
        <v>0</v>
      </c>
      <c r="L4072" s="10">
        <f>I4072*J4072*(1-K4072)</f>
        <v/>
      </c>
      <c r="M4072" s="10" t="n">
        <v>150</v>
      </c>
      <c r="N4072" s="10">
        <f>L4072-M4072</f>
        <v/>
      </c>
    </row>
    <row r="4073">
      <c r="A4073" s="7" t="inlineStr">
        <is>
          <t>ORD-00890</t>
        </is>
      </c>
      <c r="B4073" s="8" t="n">
        <v>45750</v>
      </c>
      <c r="C4073" s="9" t="n">
        <v>45748</v>
      </c>
      <c r="D4073" s="7" t="n">
        <v>2025</v>
      </c>
      <c r="E4073" s="7" t="inlineStr">
        <is>
          <t>South</t>
        </is>
      </c>
      <c r="F4073" s="7" t="inlineStr">
        <is>
          <t>Office Supplies</t>
        </is>
      </c>
      <c r="G4073" s="7" t="inlineStr">
        <is>
          <t>Pens</t>
        </is>
      </c>
      <c r="H4073" s="7" t="inlineStr">
        <is>
          <t>Consumer</t>
        </is>
      </c>
      <c r="I4073" s="7" t="n">
        <v>12</v>
      </c>
      <c r="J4073" s="10" t="n">
        <v>11.42</v>
      </c>
      <c r="K4073" s="11" t="n">
        <v>0.05</v>
      </c>
      <c r="L4073" s="10">
        <f>I4073*J4073*(1-K4073)</f>
        <v/>
      </c>
      <c r="M4073" s="10" t="n">
        <v>64.8</v>
      </c>
      <c r="N4073" s="10">
        <f>L4073-M4073</f>
        <v/>
      </c>
    </row>
    <row r="4074">
      <c r="A4074" s="7" t="inlineStr">
        <is>
          <t>ORD-03704</t>
        </is>
      </c>
      <c r="B4074" s="8" t="n">
        <v>45750</v>
      </c>
      <c r="C4074" s="9" t="n">
        <v>45748</v>
      </c>
      <c r="D4074" s="7" t="n">
        <v>2025</v>
      </c>
      <c r="E4074" s="7" t="inlineStr">
        <is>
          <t>West</t>
        </is>
      </c>
      <c r="F4074" s="7" t="inlineStr">
        <is>
          <t>Office Supplies</t>
        </is>
      </c>
      <c r="G4074" s="7" t="inlineStr">
        <is>
          <t>Paper</t>
        </is>
      </c>
      <c r="H4074" s="7" t="inlineStr">
        <is>
          <t>Home Office</t>
        </is>
      </c>
      <c r="I4074" s="7" t="n">
        <v>6</v>
      </c>
      <c r="J4074" s="10" t="n">
        <v>25.52</v>
      </c>
      <c r="K4074" s="11" t="n">
        <v>0</v>
      </c>
      <c r="L4074" s="10">
        <f>I4074*J4074*(1-K4074)</f>
        <v/>
      </c>
      <c r="M4074" s="10" t="n">
        <v>75</v>
      </c>
      <c r="N4074" s="10">
        <f>L4074-M4074</f>
        <v/>
      </c>
    </row>
    <row r="4075">
      <c r="A4075" s="7" t="inlineStr">
        <is>
          <t>ORD-04220</t>
        </is>
      </c>
      <c r="B4075" s="8" t="n">
        <v>45750</v>
      </c>
      <c r="C4075" s="9" t="n">
        <v>45748</v>
      </c>
      <c r="D4075" s="7" t="n">
        <v>2025</v>
      </c>
      <c r="E4075" s="7" t="inlineStr">
        <is>
          <t>South</t>
        </is>
      </c>
      <c r="F4075" s="7" t="inlineStr">
        <is>
          <t>Furniture</t>
        </is>
      </c>
      <c r="G4075" s="7" t="inlineStr">
        <is>
          <t>Desk</t>
        </is>
      </c>
      <c r="H4075" s="7" t="inlineStr">
        <is>
          <t>Corporate</t>
        </is>
      </c>
      <c r="I4075" s="7" t="n">
        <v>1</v>
      </c>
      <c r="J4075" s="10" t="n">
        <v>442.54</v>
      </c>
      <c r="K4075" s="11" t="n">
        <v>0.3</v>
      </c>
      <c r="L4075" s="10">
        <f>I4075*J4075*(1-K4075)</f>
        <v/>
      </c>
      <c r="M4075" s="10" t="n">
        <v>382.5</v>
      </c>
      <c r="N4075" s="10">
        <f>L4075-M4075</f>
        <v/>
      </c>
    </row>
    <row r="4076">
      <c r="A4076" s="7" t="inlineStr">
        <is>
          <t>ORD-04790</t>
        </is>
      </c>
      <c r="B4076" s="8" t="n">
        <v>45750</v>
      </c>
      <c r="C4076" s="9" t="n">
        <v>45748</v>
      </c>
      <c r="D4076" s="7" t="n">
        <v>2025</v>
      </c>
      <c r="E4076" s="7" t="inlineStr">
        <is>
          <t>West</t>
        </is>
      </c>
      <c r="F4076" s="7" t="inlineStr">
        <is>
          <t>Office Supplies</t>
        </is>
      </c>
      <c r="G4076" s="7" t="inlineStr">
        <is>
          <t>Binder</t>
        </is>
      </c>
      <c r="H4076" s="7" t="inlineStr">
        <is>
          <t>Consumer</t>
        </is>
      </c>
      <c r="I4076" s="7" t="n">
        <v>12</v>
      </c>
      <c r="J4076" s="10" t="n">
        <v>7.63</v>
      </c>
      <c r="K4076" s="11" t="n">
        <v>0</v>
      </c>
      <c r="L4076" s="10">
        <f>I4076*J4076*(1-K4076)</f>
        <v/>
      </c>
      <c r="M4076" s="10" t="n">
        <v>38.4</v>
      </c>
      <c r="N4076" s="10">
        <f>L4076-M4076</f>
        <v/>
      </c>
    </row>
    <row r="4077">
      <c r="A4077" s="7" t="inlineStr">
        <is>
          <t>ORD-02366</t>
        </is>
      </c>
      <c r="B4077" s="8" t="n">
        <v>45751</v>
      </c>
      <c r="C4077" s="9" t="n">
        <v>45748</v>
      </c>
      <c r="D4077" s="7" t="n">
        <v>2025</v>
      </c>
      <c r="E4077" s="7" t="inlineStr">
        <is>
          <t>North</t>
        </is>
      </c>
      <c r="F4077" s="7" t="inlineStr">
        <is>
          <t>Office Supplies</t>
        </is>
      </c>
      <c r="G4077" s="7" t="inlineStr">
        <is>
          <t>Pens</t>
        </is>
      </c>
      <c r="H4077" s="7" t="inlineStr">
        <is>
          <t>Corporate</t>
        </is>
      </c>
      <c r="I4077" s="7" t="n">
        <v>2</v>
      </c>
      <c r="J4077" s="10" t="n">
        <v>11.48</v>
      </c>
      <c r="K4077" s="11" t="n">
        <v>0</v>
      </c>
      <c r="L4077" s="10">
        <f>I4077*J4077*(1-K4077)</f>
        <v/>
      </c>
      <c r="M4077" s="10" t="n">
        <v>10.8</v>
      </c>
      <c r="N4077" s="10">
        <f>L4077-M4077</f>
        <v/>
      </c>
    </row>
    <row r="4078">
      <c r="A4078" s="7" t="inlineStr">
        <is>
          <t>ORD-05461</t>
        </is>
      </c>
      <c r="B4078" s="8" t="n">
        <v>45751</v>
      </c>
      <c r="C4078" s="9" t="n">
        <v>45748</v>
      </c>
      <c r="D4078" s="7" t="n">
        <v>2025</v>
      </c>
      <c r="E4078" s="7" t="inlineStr">
        <is>
          <t>East</t>
        </is>
      </c>
      <c r="F4078" s="7" t="inlineStr">
        <is>
          <t>Furniture</t>
        </is>
      </c>
      <c r="G4078" s="7" t="inlineStr">
        <is>
          <t>Office Chair</t>
        </is>
      </c>
      <c r="H4078" s="7" t="inlineStr">
        <is>
          <t>Home Office</t>
        </is>
      </c>
      <c r="I4078" s="7" t="n">
        <v>3</v>
      </c>
      <c r="J4078" s="10" t="n">
        <v>220.37</v>
      </c>
      <c r="K4078" s="11" t="n">
        <v>0.3</v>
      </c>
      <c r="L4078" s="10">
        <f>I4078*J4078*(1-K4078)</f>
        <v/>
      </c>
      <c r="M4078" s="10" t="n">
        <v>541.2</v>
      </c>
      <c r="N4078" s="10">
        <f>L4078-M4078</f>
        <v/>
      </c>
    </row>
    <row r="4079">
      <c r="A4079" s="7" t="inlineStr">
        <is>
          <t>ORD-03819</t>
        </is>
      </c>
      <c r="B4079" s="8" t="n">
        <v>45751</v>
      </c>
      <c r="C4079" s="9" t="n">
        <v>45748</v>
      </c>
      <c r="D4079" s="7" t="n">
        <v>2025</v>
      </c>
      <c r="E4079" s="7" t="inlineStr">
        <is>
          <t>East</t>
        </is>
      </c>
      <c r="F4079" s="7" t="inlineStr">
        <is>
          <t>Technology</t>
        </is>
      </c>
      <c r="G4079" s="7" t="inlineStr">
        <is>
          <t>Headphones</t>
        </is>
      </c>
      <c r="H4079" s="7" t="inlineStr">
        <is>
          <t>Consumer</t>
        </is>
      </c>
      <c r="I4079" s="7" t="n">
        <v>1</v>
      </c>
      <c r="J4079" s="10" t="n">
        <v>121.28</v>
      </c>
      <c r="K4079" s="11" t="n">
        <v>0.05</v>
      </c>
      <c r="L4079" s="10">
        <f>I4079*J4079*(1-K4079)</f>
        <v/>
      </c>
      <c r="M4079" s="10" t="n">
        <v>72</v>
      </c>
      <c r="N4079" s="10">
        <f>L4079-M4079</f>
        <v/>
      </c>
    </row>
    <row r="4080">
      <c r="A4080" s="7" t="inlineStr">
        <is>
          <t>ORD-01068</t>
        </is>
      </c>
      <c r="B4080" s="8" t="n">
        <v>45751</v>
      </c>
      <c r="C4080" s="9" t="n">
        <v>45748</v>
      </c>
      <c r="D4080" s="7" t="n">
        <v>2025</v>
      </c>
      <c r="E4080" s="7" t="inlineStr">
        <is>
          <t>North</t>
        </is>
      </c>
      <c r="F4080" s="7" t="inlineStr">
        <is>
          <t>Office Supplies</t>
        </is>
      </c>
      <c r="G4080" s="7" t="inlineStr">
        <is>
          <t>Pens</t>
        </is>
      </c>
      <c r="H4080" s="7" t="inlineStr">
        <is>
          <t>Home Office</t>
        </is>
      </c>
      <c r="I4080" s="7" t="n">
        <v>15</v>
      </c>
      <c r="J4080" s="10" t="n">
        <v>12.11</v>
      </c>
      <c r="K4080" s="11" t="n">
        <v>0.2</v>
      </c>
      <c r="L4080" s="10">
        <f>I4080*J4080*(1-K4080)</f>
        <v/>
      </c>
      <c r="M4080" s="10" t="n">
        <v>81</v>
      </c>
      <c r="N4080" s="10">
        <f>L4080-M4080</f>
        <v/>
      </c>
    </row>
    <row r="4081">
      <c r="A4081" s="7" t="inlineStr">
        <is>
          <t>ORD-03386</t>
        </is>
      </c>
      <c r="B4081" s="8" t="n">
        <v>45751</v>
      </c>
      <c r="C4081" s="9" t="n">
        <v>45748</v>
      </c>
      <c r="D4081" s="7" t="n">
        <v>2025</v>
      </c>
      <c r="E4081" s="7" t="inlineStr">
        <is>
          <t>East</t>
        </is>
      </c>
      <c r="F4081" s="7" t="inlineStr">
        <is>
          <t>Technology</t>
        </is>
      </c>
      <c r="G4081" s="7" t="inlineStr">
        <is>
          <t>Keyboard</t>
        </is>
      </c>
      <c r="H4081" s="7" t="inlineStr">
        <is>
          <t>Corporate</t>
        </is>
      </c>
      <c r="I4081" s="7" t="n">
        <v>2</v>
      </c>
      <c r="J4081" s="10" t="n">
        <v>45.59</v>
      </c>
      <c r="K4081" s="11" t="n">
        <v>0.3</v>
      </c>
      <c r="L4081" s="10">
        <f>I4081*J4081*(1-K4081)</f>
        <v/>
      </c>
      <c r="M4081" s="10" t="n">
        <v>49.5</v>
      </c>
      <c r="N4081" s="10">
        <f>L4081-M4081</f>
        <v/>
      </c>
    </row>
    <row r="4082">
      <c r="A4082" s="7" t="inlineStr">
        <is>
          <t>ORD-04265</t>
        </is>
      </c>
      <c r="B4082" s="8" t="n">
        <v>45751</v>
      </c>
      <c r="C4082" s="9" t="n">
        <v>45748</v>
      </c>
      <c r="D4082" s="7" t="n">
        <v>2025</v>
      </c>
      <c r="E4082" s="7" t="inlineStr">
        <is>
          <t>West</t>
        </is>
      </c>
      <c r="F4082" s="7" t="inlineStr">
        <is>
          <t>Office Supplies</t>
        </is>
      </c>
      <c r="G4082" s="7" t="inlineStr">
        <is>
          <t>Binder</t>
        </is>
      </c>
      <c r="H4082" s="7" t="inlineStr">
        <is>
          <t>Home Office</t>
        </is>
      </c>
      <c r="I4082" s="7" t="n">
        <v>10</v>
      </c>
      <c r="J4082" s="10" t="n">
        <v>7.87</v>
      </c>
      <c r="K4082" s="11" t="n">
        <v>0.05</v>
      </c>
      <c r="L4082" s="10">
        <f>I4082*J4082*(1-K4082)</f>
        <v/>
      </c>
      <c r="M4082" s="10" t="n">
        <v>32</v>
      </c>
      <c r="N4082" s="10">
        <f>L4082-M4082</f>
        <v/>
      </c>
    </row>
    <row r="4083">
      <c r="A4083" s="7" t="inlineStr">
        <is>
          <t>ORD-03837</t>
        </is>
      </c>
      <c r="B4083" s="8" t="n">
        <v>45751</v>
      </c>
      <c r="C4083" s="9" t="n">
        <v>45748</v>
      </c>
      <c r="D4083" s="7" t="n">
        <v>2025</v>
      </c>
      <c r="E4083" s="7" t="inlineStr">
        <is>
          <t>West</t>
        </is>
      </c>
      <c r="F4083" s="7" t="inlineStr">
        <is>
          <t>Office Supplies</t>
        </is>
      </c>
      <c r="G4083" s="7" t="inlineStr">
        <is>
          <t>Paper</t>
        </is>
      </c>
      <c r="H4083" s="7" t="inlineStr">
        <is>
          <t>Consumer</t>
        </is>
      </c>
      <c r="I4083" s="7" t="n">
        <v>10</v>
      </c>
      <c r="J4083" s="10" t="n">
        <v>24.32</v>
      </c>
      <c r="K4083" s="11" t="n">
        <v>0.05</v>
      </c>
      <c r="L4083" s="10">
        <f>I4083*J4083*(1-K4083)</f>
        <v/>
      </c>
      <c r="M4083" s="10" t="n">
        <v>125</v>
      </c>
      <c r="N4083" s="10">
        <f>L4083-M4083</f>
        <v/>
      </c>
    </row>
    <row r="4084">
      <c r="A4084" s="7" t="inlineStr">
        <is>
          <t>ORD-00318</t>
        </is>
      </c>
      <c r="B4084" s="8" t="n">
        <v>45751</v>
      </c>
      <c r="C4084" s="9" t="n">
        <v>45748</v>
      </c>
      <c r="D4084" s="7" t="n">
        <v>2025</v>
      </c>
      <c r="E4084" s="7" t="inlineStr">
        <is>
          <t>South</t>
        </is>
      </c>
      <c r="F4084" s="7" t="inlineStr">
        <is>
          <t>Office Supplies</t>
        </is>
      </c>
      <c r="G4084" s="7" t="inlineStr">
        <is>
          <t>Stapler</t>
        </is>
      </c>
      <c r="H4084" s="7" t="inlineStr">
        <is>
          <t>Corporate</t>
        </is>
      </c>
      <c r="I4084" s="7" t="n">
        <v>10</v>
      </c>
      <c r="J4084" s="10" t="n">
        <v>15.55</v>
      </c>
      <c r="K4084" s="11" t="n">
        <v>0.3</v>
      </c>
      <c r="L4084" s="10">
        <f>I4084*J4084*(1-K4084)</f>
        <v/>
      </c>
      <c r="M4084" s="10" t="n">
        <v>75</v>
      </c>
      <c r="N4084" s="10">
        <f>L4084-M4084</f>
        <v/>
      </c>
    </row>
    <row r="4085">
      <c r="A4085" s="7" t="inlineStr">
        <is>
          <t>ORD-04661</t>
        </is>
      </c>
      <c r="B4085" s="8" t="n">
        <v>45752</v>
      </c>
      <c r="C4085" s="9" t="n">
        <v>45748</v>
      </c>
      <c r="D4085" s="7" t="n">
        <v>2025</v>
      </c>
      <c r="E4085" s="7" t="inlineStr">
        <is>
          <t>West</t>
        </is>
      </c>
      <c r="F4085" s="7" t="inlineStr">
        <is>
          <t>Office Supplies</t>
        </is>
      </c>
      <c r="G4085" s="7" t="inlineStr">
        <is>
          <t>Binder</t>
        </is>
      </c>
      <c r="H4085" s="7" t="inlineStr">
        <is>
          <t>Consumer</t>
        </is>
      </c>
      <c r="I4085" s="7" t="n">
        <v>3</v>
      </c>
      <c r="J4085" s="10" t="n">
        <v>7.6</v>
      </c>
      <c r="K4085" s="11" t="n">
        <v>0</v>
      </c>
      <c r="L4085" s="10">
        <f>I4085*J4085*(1-K4085)</f>
        <v/>
      </c>
      <c r="M4085" s="10" t="n">
        <v>9.6</v>
      </c>
      <c r="N4085" s="10">
        <f>L4085-M4085</f>
        <v/>
      </c>
    </row>
    <row r="4086">
      <c r="A4086" s="7" t="inlineStr">
        <is>
          <t>ORD-01788</t>
        </is>
      </c>
      <c r="B4086" s="8" t="n">
        <v>45752</v>
      </c>
      <c r="C4086" s="9" t="n">
        <v>45748</v>
      </c>
      <c r="D4086" s="7" t="n">
        <v>2025</v>
      </c>
      <c r="E4086" s="7" t="inlineStr">
        <is>
          <t>North</t>
        </is>
      </c>
      <c r="F4086" s="7" t="inlineStr">
        <is>
          <t>Office Supplies</t>
        </is>
      </c>
      <c r="G4086" s="7" t="inlineStr">
        <is>
          <t>Printer Ink</t>
        </is>
      </c>
      <c r="H4086" s="7" t="inlineStr">
        <is>
          <t>Consumer</t>
        </is>
      </c>
      <c r="I4086" s="7" t="n">
        <v>14</v>
      </c>
      <c r="J4086" s="10" t="n">
        <v>60.25</v>
      </c>
      <c r="K4086" s="11" t="n">
        <v>0.05</v>
      </c>
      <c r="L4086" s="10">
        <f>I4086*J4086*(1-K4086)</f>
        <v/>
      </c>
      <c r="M4086" s="10" t="n">
        <v>504</v>
      </c>
      <c r="N4086" s="10">
        <f>L4086-M4086</f>
        <v/>
      </c>
    </row>
    <row r="4087">
      <c r="A4087" s="7" t="inlineStr">
        <is>
          <t>ORD-01128</t>
        </is>
      </c>
      <c r="B4087" s="8" t="n">
        <v>45752</v>
      </c>
      <c r="C4087" s="9" t="n">
        <v>45748</v>
      </c>
      <c r="D4087" s="7" t="n">
        <v>2025</v>
      </c>
      <c r="E4087" s="7" t="inlineStr">
        <is>
          <t>East</t>
        </is>
      </c>
      <c r="F4087" s="7" t="inlineStr">
        <is>
          <t>Furniture</t>
        </is>
      </c>
      <c r="G4087" s="7" t="inlineStr">
        <is>
          <t>Office Chair</t>
        </is>
      </c>
      <c r="H4087" s="7" t="inlineStr">
        <is>
          <t>Corporate</t>
        </is>
      </c>
      <c r="I4087" s="7" t="n">
        <v>4</v>
      </c>
      <c r="J4087" s="10" t="n">
        <v>221.11</v>
      </c>
      <c r="K4087" s="11" t="n">
        <v>0.1</v>
      </c>
      <c r="L4087" s="10">
        <f>I4087*J4087*(1-K4087)</f>
        <v/>
      </c>
      <c r="M4087" s="10" t="n">
        <v>721.6</v>
      </c>
      <c r="N4087" s="10">
        <f>L4087-M4087</f>
        <v/>
      </c>
    </row>
    <row r="4088">
      <c r="A4088" s="7" t="inlineStr">
        <is>
          <t>ORD-00394</t>
        </is>
      </c>
      <c r="B4088" s="8" t="n">
        <v>45752</v>
      </c>
      <c r="C4088" s="9" t="n">
        <v>45748</v>
      </c>
      <c r="D4088" s="7" t="n">
        <v>2025</v>
      </c>
      <c r="E4088" s="7" t="inlineStr">
        <is>
          <t>West</t>
        </is>
      </c>
      <c r="F4088" s="7" t="inlineStr">
        <is>
          <t>Office Supplies</t>
        </is>
      </c>
      <c r="G4088" s="7" t="inlineStr">
        <is>
          <t>Printer Ink</t>
        </is>
      </c>
      <c r="H4088" s="7" t="inlineStr">
        <is>
          <t>Consumer</t>
        </is>
      </c>
      <c r="I4088" s="7" t="n">
        <v>14</v>
      </c>
      <c r="J4088" s="10" t="n">
        <v>59.48</v>
      </c>
      <c r="K4088" s="11" t="n">
        <v>0.3</v>
      </c>
      <c r="L4088" s="10">
        <f>I4088*J4088*(1-K4088)</f>
        <v/>
      </c>
      <c r="M4088" s="10" t="n">
        <v>504</v>
      </c>
      <c r="N4088" s="10">
        <f>L4088-M4088</f>
        <v/>
      </c>
    </row>
    <row r="4089">
      <c r="A4089" s="7" t="inlineStr">
        <is>
          <t>ORD-02787</t>
        </is>
      </c>
      <c r="B4089" s="8" t="n">
        <v>45752</v>
      </c>
      <c r="C4089" s="9" t="n">
        <v>45748</v>
      </c>
      <c r="D4089" s="7" t="n">
        <v>2025</v>
      </c>
      <c r="E4089" s="7" t="inlineStr">
        <is>
          <t>South</t>
        </is>
      </c>
      <c r="F4089" s="7" t="inlineStr">
        <is>
          <t>Technology</t>
        </is>
      </c>
      <c r="G4089" s="7" t="inlineStr">
        <is>
          <t>Keyboard</t>
        </is>
      </c>
      <c r="H4089" s="7" t="inlineStr">
        <is>
          <t>Home Office</t>
        </is>
      </c>
      <c r="I4089" s="7" t="n">
        <v>3</v>
      </c>
      <c r="J4089" s="10" t="n">
        <v>46.07</v>
      </c>
      <c r="K4089" s="11" t="n">
        <v>0.2</v>
      </c>
      <c r="L4089" s="10">
        <f>I4089*J4089*(1-K4089)</f>
        <v/>
      </c>
      <c r="M4089" s="10" t="n">
        <v>74.25</v>
      </c>
      <c r="N4089" s="10">
        <f>L4089-M4089</f>
        <v/>
      </c>
    </row>
    <row r="4090">
      <c r="A4090" s="7" t="inlineStr">
        <is>
          <t>ORD-05827</t>
        </is>
      </c>
      <c r="B4090" s="8" t="n">
        <v>45752</v>
      </c>
      <c r="C4090" s="9" t="n">
        <v>45748</v>
      </c>
      <c r="D4090" s="7" t="n">
        <v>2025</v>
      </c>
      <c r="E4090" s="7" t="inlineStr">
        <is>
          <t>East</t>
        </is>
      </c>
      <c r="F4090" s="7" t="inlineStr">
        <is>
          <t>Office Supplies</t>
        </is>
      </c>
      <c r="G4090" s="7" t="inlineStr">
        <is>
          <t>Binder</t>
        </is>
      </c>
      <c r="H4090" s="7" t="inlineStr">
        <is>
          <t>Consumer</t>
        </is>
      </c>
      <c r="I4090" s="7" t="n">
        <v>4</v>
      </c>
      <c r="J4090" s="10" t="n">
        <v>8.06</v>
      </c>
      <c r="K4090" s="11" t="n">
        <v>0.1</v>
      </c>
      <c r="L4090" s="10">
        <f>I4090*J4090*(1-K4090)</f>
        <v/>
      </c>
      <c r="M4090" s="10" t="n">
        <v>12.8</v>
      </c>
      <c r="N4090" s="10">
        <f>L4090-M4090</f>
        <v/>
      </c>
    </row>
    <row r="4091">
      <c r="A4091" s="7" t="inlineStr">
        <is>
          <t>ORD-05714</t>
        </is>
      </c>
      <c r="B4091" s="8" t="n">
        <v>45752</v>
      </c>
      <c r="C4091" s="9" t="n">
        <v>45748</v>
      </c>
      <c r="D4091" s="7" t="n">
        <v>2025</v>
      </c>
      <c r="E4091" s="7" t="inlineStr">
        <is>
          <t>East</t>
        </is>
      </c>
      <c r="F4091" s="7" t="inlineStr">
        <is>
          <t>Office Supplies</t>
        </is>
      </c>
      <c r="G4091" s="7" t="inlineStr">
        <is>
          <t>Printer Ink</t>
        </is>
      </c>
      <c r="H4091" s="7" t="inlineStr">
        <is>
          <t>Corporate</t>
        </is>
      </c>
      <c r="I4091" s="7" t="n">
        <v>5</v>
      </c>
      <c r="J4091" s="10" t="n">
        <v>62.61</v>
      </c>
      <c r="K4091" s="11" t="n">
        <v>0.05</v>
      </c>
      <c r="L4091" s="10">
        <f>I4091*J4091*(1-K4091)</f>
        <v/>
      </c>
      <c r="M4091" s="10" t="n">
        <v>180</v>
      </c>
      <c r="N4091" s="10">
        <f>L4091-M4091</f>
        <v/>
      </c>
    </row>
    <row r="4092">
      <c r="A4092" s="7" t="inlineStr">
        <is>
          <t>ORD-04099</t>
        </is>
      </c>
      <c r="B4092" s="8" t="n">
        <v>45752</v>
      </c>
      <c r="C4092" s="9" t="n">
        <v>45748</v>
      </c>
      <c r="D4092" s="7" t="n">
        <v>2025</v>
      </c>
      <c r="E4092" s="7" t="inlineStr">
        <is>
          <t>West</t>
        </is>
      </c>
      <c r="F4092" s="7" t="inlineStr">
        <is>
          <t>Office Supplies</t>
        </is>
      </c>
      <c r="G4092" s="7" t="inlineStr">
        <is>
          <t>Printer Ink</t>
        </is>
      </c>
      <c r="H4092" s="7" t="inlineStr">
        <is>
          <t>Consumer</t>
        </is>
      </c>
      <c r="I4092" s="7" t="n">
        <v>8</v>
      </c>
      <c r="J4092" s="10" t="n">
        <v>60.42</v>
      </c>
      <c r="K4092" s="11" t="n">
        <v>0</v>
      </c>
      <c r="L4092" s="10">
        <f>I4092*J4092*(1-K4092)</f>
        <v/>
      </c>
      <c r="M4092" s="10" t="n">
        <v>288</v>
      </c>
      <c r="N4092" s="10">
        <f>L4092-M4092</f>
        <v/>
      </c>
    </row>
    <row r="4093">
      <c r="A4093" s="7" t="inlineStr">
        <is>
          <t>ORD-05992</t>
        </is>
      </c>
      <c r="B4093" s="8" t="n">
        <v>45753</v>
      </c>
      <c r="C4093" s="9" t="n">
        <v>45748</v>
      </c>
      <c r="D4093" s="7" t="n">
        <v>2025</v>
      </c>
      <c r="E4093" s="7" t="inlineStr">
        <is>
          <t>West</t>
        </is>
      </c>
      <c r="F4093" s="7" t="inlineStr">
        <is>
          <t>Office Supplies</t>
        </is>
      </c>
      <c r="G4093" s="7" t="inlineStr">
        <is>
          <t>Binder</t>
        </is>
      </c>
      <c r="H4093" s="7" t="inlineStr">
        <is>
          <t>Consumer</t>
        </is>
      </c>
      <c r="I4093" s="7" t="n">
        <v>14</v>
      </c>
      <c r="J4093" s="10" t="n">
        <v>7.85</v>
      </c>
      <c r="K4093" s="11" t="n">
        <v>0</v>
      </c>
      <c r="L4093" s="10">
        <f>I4093*J4093*(1-K4093)</f>
        <v/>
      </c>
      <c r="M4093" s="10" t="n">
        <v>44.8</v>
      </c>
      <c r="N4093" s="10">
        <f>L4093-M4093</f>
        <v/>
      </c>
    </row>
    <row r="4094">
      <c r="A4094" s="7" t="inlineStr">
        <is>
          <t>ORD-00531</t>
        </is>
      </c>
      <c r="B4094" s="8" t="n">
        <v>45753</v>
      </c>
      <c r="C4094" s="9" t="n">
        <v>45748</v>
      </c>
      <c r="D4094" s="7" t="n">
        <v>2025</v>
      </c>
      <c r="E4094" s="7" t="inlineStr">
        <is>
          <t>West</t>
        </is>
      </c>
      <c r="F4094" s="7" t="inlineStr">
        <is>
          <t>Office Supplies</t>
        </is>
      </c>
      <c r="G4094" s="7" t="inlineStr">
        <is>
          <t>Stapler</t>
        </is>
      </c>
      <c r="H4094" s="7" t="inlineStr">
        <is>
          <t>Consumer</t>
        </is>
      </c>
      <c r="I4094" s="7" t="n">
        <v>12</v>
      </c>
      <c r="J4094" s="10" t="n">
        <v>14.41</v>
      </c>
      <c r="K4094" s="11" t="n">
        <v>0.1</v>
      </c>
      <c r="L4094" s="10">
        <f>I4094*J4094*(1-K4094)</f>
        <v/>
      </c>
      <c r="M4094" s="10" t="n">
        <v>90</v>
      </c>
      <c r="N4094" s="10">
        <f>L4094-M4094</f>
        <v/>
      </c>
    </row>
    <row r="4095">
      <c r="A4095" s="7" t="inlineStr">
        <is>
          <t>ORD-05399</t>
        </is>
      </c>
      <c r="B4095" s="8" t="n">
        <v>45753</v>
      </c>
      <c r="C4095" s="9" t="n">
        <v>45748</v>
      </c>
      <c r="D4095" s="7" t="n">
        <v>2025</v>
      </c>
      <c r="E4095" s="7" t="inlineStr">
        <is>
          <t>West</t>
        </is>
      </c>
      <c r="F4095" s="7" t="inlineStr">
        <is>
          <t>Furniture</t>
        </is>
      </c>
      <c r="G4095" s="7" t="inlineStr">
        <is>
          <t>Bookcase</t>
        </is>
      </c>
      <c r="H4095" s="7" t="inlineStr">
        <is>
          <t>Home Office</t>
        </is>
      </c>
      <c r="I4095" s="7" t="n">
        <v>4</v>
      </c>
      <c r="J4095" s="10" t="n">
        <v>186.45</v>
      </c>
      <c r="K4095" s="11" t="n">
        <v>0.3</v>
      </c>
      <c r="L4095" s="10">
        <f>I4095*J4095*(1-K4095)</f>
        <v/>
      </c>
      <c r="M4095" s="10" t="n">
        <v>576</v>
      </c>
      <c r="N4095" s="10">
        <f>L4095-M4095</f>
        <v/>
      </c>
    </row>
    <row r="4096">
      <c r="A4096" s="7" t="inlineStr">
        <is>
          <t>ORD-02010</t>
        </is>
      </c>
      <c r="B4096" s="8" t="n">
        <v>45753</v>
      </c>
      <c r="C4096" s="9" t="n">
        <v>45748</v>
      </c>
      <c r="D4096" s="7" t="n">
        <v>2025</v>
      </c>
      <c r="E4096" s="7" t="inlineStr">
        <is>
          <t>East</t>
        </is>
      </c>
      <c r="F4096" s="7" t="inlineStr">
        <is>
          <t>Technology</t>
        </is>
      </c>
      <c r="G4096" s="7" t="inlineStr">
        <is>
          <t>Smartphone</t>
        </is>
      </c>
      <c r="H4096" s="7" t="inlineStr">
        <is>
          <t>Corporate</t>
        </is>
      </c>
      <c r="I4096" s="7" t="n">
        <v>2</v>
      </c>
      <c r="J4096" s="10" t="n">
        <v>575.12</v>
      </c>
      <c r="K4096" s="11" t="n">
        <v>0.05</v>
      </c>
      <c r="L4096" s="10">
        <f>I4096*J4096*(1-K4096)</f>
        <v/>
      </c>
      <c r="M4096" s="10" t="n">
        <v>900</v>
      </c>
      <c r="N4096" s="10">
        <f>L4096-M4096</f>
        <v/>
      </c>
    </row>
    <row r="4097">
      <c r="A4097" s="7" t="inlineStr">
        <is>
          <t>ORD-02701</t>
        </is>
      </c>
      <c r="B4097" s="8" t="n">
        <v>45754</v>
      </c>
      <c r="C4097" s="9" t="n">
        <v>45748</v>
      </c>
      <c r="D4097" s="7" t="n">
        <v>2025</v>
      </c>
      <c r="E4097" s="7" t="inlineStr">
        <is>
          <t>West</t>
        </is>
      </c>
      <c r="F4097" s="7" t="inlineStr">
        <is>
          <t>Office Supplies</t>
        </is>
      </c>
      <c r="G4097" s="7" t="inlineStr">
        <is>
          <t>Printer Ink</t>
        </is>
      </c>
      <c r="H4097" s="7" t="inlineStr">
        <is>
          <t>Home Office</t>
        </is>
      </c>
      <c r="I4097" s="7" t="n">
        <v>10</v>
      </c>
      <c r="J4097" s="10" t="n">
        <v>60.39</v>
      </c>
      <c r="K4097" s="11" t="n">
        <v>0.2</v>
      </c>
      <c r="L4097" s="10">
        <f>I4097*J4097*(1-K4097)</f>
        <v/>
      </c>
      <c r="M4097" s="10" t="n">
        <v>360</v>
      </c>
      <c r="N4097" s="10">
        <f>L4097-M4097</f>
        <v/>
      </c>
    </row>
    <row r="4098">
      <c r="A4098" s="7" t="inlineStr">
        <is>
          <t>ORD-04300</t>
        </is>
      </c>
      <c r="B4098" s="8" t="n">
        <v>45754</v>
      </c>
      <c r="C4098" s="9" t="n">
        <v>45748</v>
      </c>
      <c r="D4098" s="7" t="n">
        <v>2025</v>
      </c>
      <c r="E4098" s="7" t="inlineStr">
        <is>
          <t>North</t>
        </is>
      </c>
      <c r="F4098" s="7" t="inlineStr">
        <is>
          <t>Furniture</t>
        </is>
      </c>
      <c r="G4098" s="7" t="inlineStr">
        <is>
          <t>Desk</t>
        </is>
      </c>
      <c r="H4098" s="7" t="inlineStr">
        <is>
          <t>Consumer</t>
        </is>
      </c>
      <c r="I4098" s="7" t="n">
        <v>4</v>
      </c>
      <c r="J4098" s="10" t="n">
        <v>427.95</v>
      </c>
      <c r="K4098" s="11" t="n">
        <v>0</v>
      </c>
      <c r="L4098" s="10">
        <f>I4098*J4098*(1-K4098)</f>
        <v/>
      </c>
      <c r="M4098" s="10" t="n">
        <v>1530</v>
      </c>
      <c r="N4098" s="10">
        <f>L4098-M4098</f>
        <v/>
      </c>
    </row>
    <row r="4099">
      <c r="A4099" s="7" t="inlineStr">
        <is>
          <t>ORD-01794</t>
        </is>
      </c>
      <c r="B4099" s="8" t="n">
        <v>45755</v>
      </c>
      <c r="C4099" s="9" t="n">
        <v>45748</v>
      </c>
      <c r="D4099" s="7" t="n">
        <v>2025</v>
      </c>
      <c r="E4099" s="7" t="inlineStr">
        <is>
          <t>East</t>
        </is>
      </c>
      <c r="F4099" s="7" t="inlineStr">
        <is>
          <t>Technology</t>
        </is>
      </c>
      <c r="G4099" s="7" t="inlineStr">
        <is>
          <t>Smartphone</t>
        </is>
      </c>
      <c r="H4099" s="7" t="inlineStr">
        <is>
          <t>Corporate</t>
        </is>
      </c>
      <c r="I4099" s="7" t="n">
        <v>1</v>
      </c>
      <c r="J4099" s="10" t="n">
        <v>613.66</v>
      </c>
      <c r="K4099" s="11" t="n">
        <v>0.2</v>
      </c>
      <c r="L4099" s="10">
        <f>I4099*J4099*(1-K4099)</f>
        <v/>
      </c>
      <c r="M4099" s="10" t="n">
        <v>450</v>
      </c>
      <c r="N4099" s="10">
        <f>L4099-M4099</f>
        <v/>
      </c>
    </row>
    <row r="4100">
      <c r="A4100" s="7" t="inlineStr">
        <is>
          <t>ORD-02336</t>
        </is>
      </c>
      <c r="B4100" s="8" t="n">
        <v>45755</v>
      </c>
      <c r="C4100" s="9" t="n">
        <v>45748</v>
      </c>
      <c r="D4100" s="7" t="n">
        <v>2025</v>
      </c>
      <c r="E4100" s="7" t="inlineStr">
        <is>
          <t>South</t>
        </is>
      </c>
      <c r="F4100" s="7" t="inlineStr">
        <is>
          <t>Office Supplies</t>
        </is>
      </c>
      <c r="G4100" s="7" t="inlineStr">
        <is>
          <t>Binder</t>
        </is>
      </c>
      <c r="H4100" s="7" t="inlineStr">
        <is>
          <t>Consumer</t>
        </is>
      </c>
      <c r="I4100" s="7" t="n">
        <v>10</v>
      </c>
      <c r="J4100" s="10" t="n">
        <v>8.390000000000001</v>
      </c>
      <c r="K4100" s="11" t="n">
        <v>0.2</v>
      </c>
      <c r="L4100" s="10">
        <f>I4100*J4100*(1-K4100)</f>
        <v/>
      </c>
      <c r="M4100" s="10" t="n">
        <v>32</v>
      </c>
      <c r="N4100" s="10">
        <f>L4100-M4100</f>
        <v/>
      </c>
    </row>
    <row r="4101">
      <c r="A4101" s="7" t="inlineStr">
        <is>
          <t>ORD-04638</t>
        </is>
      </c>
      <c r="B4101" s="8" t="n">
        <v>45755</v>
      </c>
      <c r="C4101" s="9" t="n">
        <v>45748</v>
      </c>
      <c r="D4101" s="7" t="n">
        <v>2025</v>
      </c>
      <c r="E4101" s="7" t="inlineStr">
        <is>
          <t>North</t>
        </is>
      </c>
      <c r="F4101" s="7" t="inlineStr">
        <is>
          <t>Office Supplies</t>
        </is>
      </c>
      <c r="G4101" s="7" t="inlineStr">
        <is>
          <t>Paper</t>
        </is>
      </c>
      <c r="H4101" s="7" t="inlineStr">
        <is>
          <t>Home Office</t>
        </is>
      </c>
      <c r="I4101" s="7" t="n">
        <v>3</v>
      </c>
      <c r="J4101" s="10" t="n">
        <v>24.01</v>
      </c>
      <c r="K4101" s="11" t="n">
        <v>0.3</v>
      </c>
      <c r="L4101" s="10">
        <f>I4101*J4101*(1-K4101)</f>
        <v/>
      </c>
      <c r="M4101" s="10" t="n">
        <v>37.5</v>
      </c>
      <c r="N4101" s="10">
        <f>L4101-M4101</f>
        <v/>
      </c>
    </row>
    <row r="4102">
      <c r="A4102" s="7" t="inlineStr">
        <is>
          <t>ORD-03129</t>
        </is>
      </c>
      <c r="B4102" s="8" t="n">
        <v>45755</v>
      </c>
      <c r="C4102" s="9" t="n">
        <v>45748</v>
      </c>
      <c r="D4102" s="7" t="n">
        <v>2025</v>
      </c>
      <c r="E4102" s="7" t="inlineStr">
        <is>
          <t>West</t>
        </is>
      </c>
      <c r="F4102" s="7" t="inlineStr">
        <is>
          <t>Office Supplies</t>
        </is>
      </c>
      <c r="G4102" s="7" t="inlineStr">
        <is>
          <t>Paper</t>
        </is>
      </c>
      <c r="H4102" s="7" t="inlineStr">
        <is>
          <t>Consumer</t>
        </is>
      </c>
      <c r="I4102" s="7" t="n">
        <v>2</v>
      </c>
      <c r="J4102" s="10" t="n">
        <v>25.8</v>
      </c>
      <c r="K4102" s="11" t="n">
        <v>0.05</v>
      </c>
      <c r="L4102" s="10">
        <f>I4102*J4102*(1-K4102)</f>
        <v/>
      </c>
      <c r="M4102" s="10" t="n">
        <v>25</v>
      </c>
      <c r="N4102" s="10">
        <f>L4102-M4102</f>
        <v/>
      </c>
    </row>
    <row r="4103">
      <c r="A4103" s="7" t="inlineStr">
        <is>
          <t>ORD-05097</t>
        </is>
      </c>
      <c r="B4103" s="8" t="n">
        <v>45755</v>
      </c>
      <c r="C4103" s="9" t="n">
        <v>45748</v>
      </c>
      <c r="D4103" s="7" t="n">
        <v>2025</v>
      </c>
      <c r="E4103" s="7" t="inlineStr">
        <is>
          <t>West</t>
        </is>
      </c>
      <c r="F4103" s="7" t="inlineStr">
        <is>
          <t>Office Supplies</t>
        </is>
      </c>
      <c r="G4103" s="7" t="inlineStr">
        <is>
          <t>Pens</t>
        </is>
      </c>
      <c r="H4103" s="7" t="inlineStr">
        <is>
          <t>Consumer</t>
        </is>
      </c>
      <c r="I4103" s="7" t="n">
        <v>2</v>
      </c>
      <c r="J4103" s="10" t="n">
        <v>11.78</v>
      </c>
      <c r="K4103" s="11" t="n">
        <v>0</v>
      </c>
      <c r="L4103" s="10">
        <f>I4103*J4103*(1-K4103)</f>
        <v/>
      </c>
      <c r="M4103" s="10" t="n">
        <v>10.8</v>
      </c>
      <c r="N4103" s="10">
        <f>L4103-M4103</f>
        <v/>
      </c>
    </row>
    <row r="4104">
      <c r="A4104" s="7" t="inlineStr">
        <is>
          <t>ORD-01359</t>
        </is>
      </c>
      <c r="B4104" s="8" t="n">
        <v>45756</v>
      </c>
      <c r="C4104" s="9" t="n">
        <v>45748</v>
      </c>
      <c r="D4104" s="7" t="n">
        <v>2025</v>
      </c>
      <c r="E4104" s="7" t="inlineStr">
        <is>
          <t>West</t>
        </is>
      </c>
      <c r="F4104" s="7" t="inlineStr">
        <is>
          <t>Office Supplies</t>
        </is>
      </c>
      <c r="G4104" s="7" t="inlineStr">
        <is>
          <t>Pens</t>
        </is>
      </c>
      <c r="H4104" s="7" t="inlineStr">
        <is>
          <t>Consumer</t>
        </is>
      </c>
      <c r="I4104" s="7" t="n">
        <v>15</v>
      </c>
      <c r="J4104" s="10" t="n">
        <v>12.37</v>
      </c>
      <c r="K4104" s="11" t="n">
        <v>0.05</v>
      </c>
      <c r="L4104" s="10">
        <f>I4104*J4104*(1-K4104)</f>
        <v/>
      </c>
      <c r="M4104" s="10" t="n">
        <v>81</v>
      </c>
      <c r="N4104" s="10">
        <f>L4104-M4104</f>
        <v/>
      </c>
    </row>
    <row r="4105">
      <c r="A4105" s="7" t="inlineStr">
        <is>
          <t>ORD-04148</t>
        </is>
      </c>
      <c r="B4105" s="8" t="n">
        <v>45756</v>
      </c>
      <c r="C4105" s="9" t="n">
        <v>45748</v>
      </c>
      <c r="D4105" s="7" t="n">
        <v>2025</v>
      </c>
      <c r="E4105" s="7" t="inlineStr">
        <is>
          <t>West</t>
        </is>
      </c>
      <c r="F4105" s="7" t="inlineStr">
        <is>
          <t>Technology</t>
        </is>
      </c>
      <c r="G4105" s="7" t="inlineStr">
        <is>
          <t>Laptop</t>
        </is>
      </c>
      <c r="H4105" s="7" t="inlineStr">
        <is>
          <t>Consumer</t>
        </is>
      </c>
      <c r="I4105" s="7" t="n">
        <v>2</v>
      </c>
      <c r="J4105" s="10" t="n">
        <v>898.1900000000001</v>
      </c>
      <c r="K4105" s="11" t="n">
        <v>0</v>
      </c>
      <c r="L4105" s="10">
        <f>I4105*J4105*(1-K4105)</f>
        <v/>
      </c>
      <c r="M4105" s="10" t="n">
        <v>1404</v>
      </c>
      <c r="N4105" s="10">
        <f>L4105-M4105</f>
        <v/>
      </c>
    </row>
    <row r="4106">
      <c r="A4106" s="7" t="inlineStr">
        <is>
          <t>ORD-01634</t>
        </is>
      </c>
      <c r="B4106" s="8" t="n">
        <v>45756</v>
      </c>
      <c r="C4106" s="9" t="n">
        <v>45748</v>
      </c>
      <c r="D4106" s="7" t="n">
        <v>2025</v>
      </c>
      <c r="E4106" s="7" t="inlineStr">
        <is>
          <t>East</t>
        </is>
      </c>
      <c r="F4106" s="7" t="inlineStr">
        <is>
          <t>Technology</t>
        </is>
      </c>
      <c r="G4106" s="7" t="inlineStr">
        <is>
          <t>Headphones</t>
        </is>
      </c>
      <c r="H4106" s="7" t="inlineStr">
        <is>
          <t>Consumer</t>
        </is>
      </c>
      <c r="I4106" s="7" t="n">
        <v>2</v>
      </c>
      <c r="J4106" s="10" t="n">
        <v>123.99</v>
      </c>
      <c r="K4106" s="11" t="n">
        <v>0.1</v>
      </c>
      <c r="L4106" s="10">
        <f>I4106*J4106*(1-K4106)</f>
        <v/>
      </c>
      <c r="M4106" s="10" t="n">
        <v>144</v>
      </c>
      <c r="N4106" s="10">
        <f>L4106-M4106</f>
        <v/>
      </c>
    </row>
    <row r="4107">
      <c r="A4107" s="7" t="inlineStr">
        <is>
          <t>ORD-02533</t>
        </is>
      </c>
      <c r="B4107" s="8" t="n">
        <v>45756</v>
      </c>
      <c r="C4107" s="9" t="n">
        <v>45748</v>
      </c>
      <c r="D4107" s="7" t="n">
        <v>2025</v>
      </c>
      <c r="E4107" s="7" t="inlineStr">
        <is>
          <t>West</t>
        </is>
      </c>
      <c r="F4107" s="7" t="inlineStr">
        <is>
          <t>Furniture</t>
        </is>
      </c>
      <c r="G4107" s="7" t="inlineStr">
        <is>
          <t>Bookcase</t>
        </is>
      </c>
      <c r="H4107" s="7" t="inlineStr">
        <is>
          <t>Corporate</t>
        </is>
      </c>
      <c r="I4107" s="7" t="n">
        <v>2</v>
      </c>
      <c r="J4107" s="10" t="n">
        <v>186.98</v>
      </c>
      <c r="K4107" s="11" t="n">
        <v>0.1</v>
      </c>
      <c r="L4107" s="10">
        <f>I4107*J4107*(1-K4107)</f>
        <v/>
      </c>
      <c r="M4107" s="10" t="n">
        <v>288</v>
      </c>
      <c r="N4107" s="10">
        <f>L4107-M4107</f>
        <v/>
      </c>
    </row>
    <row r="4108">
      <c r="A4108" s="7" t="inlineStr">
        <is>
          <t>ORD-03166</t>
        </is>
      </c>
      <c r="B4108" s="8" t="n">
        <v>45756</v>
      </c>
      <c r="C4108" s="9" t="n">
        <v>45748</v>
      </c>
      <c r="D4108" s="7" t="n">
        <v>2025</v>
      </c>
      <c r="E4108" s="7" t="inlineStr">
        <is>
          <t>East</t>
        </is>
      </c>
      <c r="F4108" s="7" t="inlineStr">
        <is>
          <t>Furniture</t>
        </is>
      </c>
      <c r="G4108" s="7" t="inlineStr">
        <is>
          <t>Sofa</t>
        </is>
      </c>
      <c r="H4108" s="7" t="inlineStr">
        <is>
          <t>Consumer</t>
        </is>
      </c>
      <c r="I4108" s="7" t="n">
        <v>2</v>
      </c>
      <c r="J4108" s="10" t="n">
        <v>678.8200000000001</v>
      </c>
      <c r="K4108" s="11" t="n">
        <v>0.05</v>
      </c>
      <c r="L4108" s="10">
        <f>I4108*J4108*(1-K4108)</f>
        <v/>
      </c>
      <c r="M4108" s="10" t="n">
        <v>1232</v>
      </c>
      <c r="N4108" s="10">
        <f>L4108-M4108</f>
        <v/>
      </c>
    </row>
    <row r="4109">
      <c r="A4109" s="7" t="inlineStr">
        <is>
          <t>ORD-05792</t>
        </is>
      </c>
      <c r="B4109" s="8" t="n">
        <v>45756</v>
      </c>
      <c r="C4109" s="9" t="n">
        <v>45748</v>
      </c>
      <c r="D4109" s="7" t="n">
        <v>2025</v>
      </c>
      <c r="E4109" s="7" t="inlineStr">
        <is>
          <t>South</t>
        </is>
      </c>
      <c r="F4109" s="7" t="inlineStr">
        <is>
          <t>Technology</t>
        </is>
      </c>
      <c r="G4109" s="7" t="inlineStr">
        <is>
          <t>Laptop</t>
        </is>
      </c>
      <c r="H4109" s="7" t="inlineStr">
        <is>
          <t>Consumer</t>
        </is>
      </c>
      <c r="I4109" s="7" t="n">
        <v>2</v>
      </c>
      <c r="J4109" s="10" t="n">
        <v>912.01</v>
      </c>
      <c r="K4109" s="11" t="n">
        <v>0</v>
      </c>
      <c r="L4109" s="10">
        <f>I4109*J4109*(1-K4109)</f>
        <v/>
      </c>
      <c r="M4109" s="10" t="n">
        <v>1404</v>
      </c>
      <c r="N4109" s="10">
        <f>L4109-M4109</f>
        <v/>
      </c>
    </row>
    <row r="4110">
      <c r="A4110" s="7" t="inlineStr">
        <is>
          <t>ORD-04356</t>
        </is>
      </c>
      <c r="B4110" s="8" t="n">
        <v>45757</v>
      </c>
      <c r="C4110" s="9" t="n">
        <v>45748</v>
      </c>
      <c r="D4110" s="7" t="n">
        <v>2025</v>
      </c>
      <c r="E4110" s="7" t="inlineStr">
        <is>
          <t>South</t>
        </is>
      </c>
      <c r="F4110" s="7" t="inlineStr">
        <is>
          <t>Furniture</t>
        </is>
      </c>
      <c r="G4110" s="7" t="inlineStr">
        <is>
          <t>Office Chair</t>
        </is>
      </c>
      <c r="H4110" s="7" t="inlineStr">
        <is>
          <t>Consumer</t>
        </is>
      </c>
      <c r="I4110" s="7" t="n">
        <v>2</v>
      </c>
      <c r="J4110" s="10" t="n">
        <v>219.61</v>
      </c>
      <c r="K4110" s="11" t="n">
        <v>0.1</v>
      </c>
      <c r="L4110" s="10">
        <f>I4110*J4110*(1-K4110)</f>
        <v/>
      </c>
      <c r="M4110" s="10" t="n">
        <v>360.8</v>
      </c>
      <c r="N4110" s="10">
        <f>L4110-M4110</f>
        <v/>
      </c>
    </row>
    <row r="4111">
      <c r="A4111" s="7" t="inlineStr">
        <is>
          <t>ORD-04950</t>
        </is>
      </c>
      <c r="B4111" s="8" t="n">
        <v>45757</v>
      </c>
      <c r="C4111" s="9" t="n">
        <v>45748</v>
      </c>
      <c r="D4111" s="7" t="n">
        <v>2025</v>
      </c>
      <c r="E4111" s="7" t="inlineStr">
        <is>
          <t>West</t>
        </is>
      </c>
      <c r="F4111" s="7" t="inlineStr">
        <is>
          <t>Office Supplies</t>
        </is>
      </c>
      <c r="G4111" s="7" t="inlineStr">
        <is>
          <t>Pens</t>
        </is>
      </c>
      <c r="H4111" s="7" t="inlineStr">
        <is>
          <t>Consumer</t>
        </is>
      </c>
      <c r="I4111" s="7" t="n">
        <v>9</v>
      </c>
      <c r="J4111" s="10" t="n">
        <v>12.51</v>
      </c>
      <c r="K4111" s="11" t="n">
        <v>0.3</v>
      </c>
      <c r="L4111" s="10">
        <f>I4111*J4111*(1-K4111)</f>
        <v/>
      </c>
      <c r="M4111" s="10" t="n">
        <v>48.6</v>
      </c>
      <c r="N4111" s="10">
        <f>L4111-M4111</f>
        <v/>
      </c>
    </row>
    <row r="4112">
      <c r="A4112" s="7" t="inlineStr">
        <is>
          <t>ORD-02428</t>
        </is>
      </c>
      <c r="B4112" s="8" t="n">
        <v>45758</v>
      </c>
      <c r="C4112" s="9" t="n">
        <v>45748</v>
      </c>
      <c r="D4112" s="7" t="n">
        <v>2025</v>
      </c>
      <c r="E4112" s="7" t="inlineStr">
        <is>
          <t>West</t>
        </is>
      </c>
      <c r="F4112" s="7" t="inlineStr">
        <is>
          <t>Office Supplies</t>
        </is>
      </c>
      <c r="G4112" s="7" t="inlineStr">
        <is>
          <t>Pens</t>
        </is>
      </c>
      <c r="H4112" s="7" t="inlineStr">
        <is>
          <t>Consumer</t>
        </is>
      </c>
      <c r="I4112" s="7" t="n">
        <v>6</v>
      </c>
      <c r="J4112" s="10" t="n">
        <v>11.97</v>
      </c>
      <c r="K4112" s="11" t="n">
        <v>0.2</v>
      </c>
      <c r="L4112" s="10">
        <f>I4112*J4112*(1-K4112)</f>
        <v/>
      </c>
      <c r="M4112" s="10" t="n">
        <v>32.4</v>
      </c>
      <c r="N4112" s="10">
        <f>L4112-M4112</f>
        <v/>
      </c>
    </row>
    <row r="4113">
      <c r="A4113" s="7" t="inlineStr">
        <is>
          <t>ORD-02786</t>
        </is>
      </c>
      <c r="B4113" s="8" t="n">
        <v>45758</v>
      </c>
      <c r="C4113" s="9" t="n">
        <v>45748</v>
      </c>
      <c r="D4113" s="7" t="n">
        <v>2025</v>
      </c>
      <c r="E4113" s="7" t="inlineStr">
        <is>
          <t>West</t>
        </is>
      </c>
      <c r="F4113" s="7" t="inlineStr">
        <is>
          <t>Office Supplies</t>
        </is>
      </c>
      <c r="G4113" s="7" t="inlineStr">
        <is>
          <t>Paper</t>
        </is>
      </c>
      <c r="H4113" s="7" t="inlineStr">
        <is>
          <t>Consumer</t>
        </is>
      </c>
      <c r="I4113" s="7" t="n">
        <v>3</v>
      </c>
      <c r="J4113" s="10" t="n">
        <v>26.07</v>
      </c>
      <c r="K4113" s="11" t="n">
        <v>0.2</v>
      </c>
      <c r="L4113" s="10">
        <f>I4113*J4113*(1-K4113)</f>
        <v/>
      </c>
      <c r="M4113" s="10" t="n">
        <v>37.5</v>
      </c>
      <c r="N4113" s="10">
        <f>L4113-M4113</f>
        <v/>
      </c>
    </row>
    <row r="4114">
      <c r="A4114" s="7" t="inlineStr">
        <is>
          <t>ORD-04895</t>
        </is>
      </c>
      <c r="B4114" s="8" t="n">
        <v>45758</v>
      </c>
      <c r="C4114" s="9" t="n">
        <v>45748</v>
      </c>
      <c r="D4114" s="7" t="n">
        <v>2025</v>
      </c>
      <c r="E4114" s="7" t="inlineStr">
        <is>
          <t>South</t>
        </is>
      </c>
      <c r="F4114" s="7" t="inlineStr">
        <is>
          <t>Office Supplies</t>
        </is>
      </c>
      <c r="G4114" s="7" t="inlineStr">
        <is>
          <t>Paper</t>
        </is>
      </c>
      <c r="H4114" s="7" t="inlineStr">
        <is>
          <t>Consumer</t>
        </is>
      </c>
      <c r="I4114" s="7" t="n">
        <v>14</v>
      </c>
      <c r="J4114" s="10" t="n">
        <v>25.5</v>
      </c>
      <c r="K4114" s="11" t="n">
        <v>0</v>
      </c>
      <c r="L4114" s="10">
        <f>I4114*J4114*(1-K4114)</f>
        <v/>
      </c>
      <c r="M4114" s="10" t="n">
        <v>175</v>
      </c>
      <c r="N4114" s="10">
        <f>L4114-M4114</f>
        <v/>
      </c>
    </row>
    <row r="4115">
      <c r="A4115" s="7" t="inlineStr">
        <is>
          <t>ORD-03451</t>
        </is>
      </c>
      <c r="B4115" s="8" t="n">
        <v>45758</v>
      </c>
      <c r="C4115" s="9" t="n">
        <v>45748</v>
      </c>
      <c r="D4115" s="7" t="n">
        <v>2025</v>
      </c>
      <c r="E4115" s="7" t="inlineStr">
        <is>
          <t>North</t>
        </is>
      </c>
      <c r="F4115" s="7" t="inlineStr">
        <is>
          <t>Technology</t>
        </is>
      </c>
      <c r="G4115" s="7" t="inlineStr">
        <is>
          <t>Monitor</t>
        </is>
      </c>
      <c r="H4115" s="7" t="inlineStr">
        <is>
          <t>Consumer</t>
        </is>
      </c>
      <c r="I4115" s="7" t="n">
        <v>1</v>
      </c>
      <c r="J4115" s="10" t="n">
        <v>250.66</v>
      </c>
      <c r="K4115" s="11" t="n">
        <v>0</v>
      </c>
      <c r="L4115" s="10">
        <f>I4115*J4115*(1-K4115)</f>
        <v/>
      </c>
      <c r="M4115" s="10" t="n">
        <v>180</v>
      </c>
      <c r="N4115" s="10">
        <f>L4115-M4115</f>
        <v/>
      </c>
    </row>
    <row r="4116">
      <c r="A4116" s="7" t="inlineStr">
        <is>
          <t>ORD-05941</t>
        </is>
      </c>
      <c r="B4116" s="8" t="n">
        <v>45758</v>
      </c>
      <c r="C4116" s="9" t="n">
        <v>45748</v>
      </c>
      <c r="D4116" s="7" t="n">
        <v>2025</v>
      </c>
      <c r="E4116" s="7" t="inlineStr">
        <is>
          <t>East</t>
        </is>
      </c>
      <c r="F4116" s="7" t="inlineStr">
        <is>
          <t>Office Supplies</t>
        </is>
      </c>
      <c r="G4116" s="7" t="inlineStr">
        <is>
          <t>Paper</t>
        </is>
      </c>
      <c r="H4116" s="7" t="inlineStr">
        <is>
          <t>Corporate</t>
        </is>
      </c>
      <c r="I4116" s="7" t="n">
        <v>11</v>
      </c>
      <c r="J4116" s="10" t="n">
        <v>26.11</v>
      </c>
      <c r="K4116" s="11" t="n">
        <v>0.2</v>
      </c>
      <c r="L4116" s="10">
        <f>I4116*J4116*(1-K4116)</f>
        <v/>
      </c>
      <c r="M4116" s="10" t="n">
        <v>137.5</v>
      </c>
      <c r="N4116" s="10">
        <f>L4116-M4116</f>
        <v/>
      </c>
    </row>
    <row r="4117">
      <c r="A4117" s="7" t="inlineStr">
        <is>
          <t>ORD-03399</t>
        </is>
      </c>
      <c r="B4117" s="8" t="n">
        <v>45758</v>
      </c>
      <c r="C4117" s="9" t="n">
        <v>45748</v>
      </c>
      <c r="D4117" s="7" t="n">
        <v>2025</v>
      </c>
      <c r="E4117" s="7" t="inlineStr">
        <is>
          <t>South</t>
        </is>
      </c>
      <c r="F4117" s="7" t="inlineStr">
        <is>
          <t>Office Supplies</t>
        </is>
      </c>
      <c r="G4117" s="7" t="inlineStr">
        <is>
          <t>Printer Ink</t>
        </is>
      </c>
      <c r="H4117" s="7" t="inlineStr">
        <is>
          <t>Home Office</t>
        </is>
      </c>
      <c r="I4117" s="7" t="n">
        <v>10</v>
      </c>
      <c r="J4117" s="10" t="n">
        <v>59.07</v>
      </c>
      <c r="K4117" s="11" t="n">
        <v>0</v>
      </c>
      <c r="L4117" s="10">
        <f>I4117*J4117*(1-K4117)</f>
        <v/>
      </c>
      <c r="M4117" s="10" t="n">
        <v>360</v>
      </c>
      <c r="N4117" s="10">
        <f>L4117-M4117</f>
        <v/>
      </c>
    </row>
    <row r="4118">
      <c r="A4118" s="7" t="inlineStr">
        <is>
          <t>ORD-02813</t>
        </is>
      </c>
      <c r="B4118" s="8" t="n">
        <v>45759</v>
      </c>
      <c r="C4118" s="9" t="n">
        <v>45748</v>
      </c>
      <c r="D4118" s="7" t="n">
        <v>2025</v>
      </c>
      <c r="E4118" s="7" t="inlineStr">
        <is>
          <t>East</t>
        </is>
      </c>
      <c r="F4118" s="7" t="inlineStr">
        <is>
          <t>Technology</t>
        </is>
      </c>
      <c r="G4118" s="7" t="inlineStr">
        <is>
          <t>Headphones</t>
        </is>
      </c>
      <c r="H4118" s="7" t="inlineStr">
        <is>
          <t>Home Office</t>
        </is>
      </c>
      <c r="I4118" s="7" t="n">
        <v>1</v>
      </c>
      <c r="J4118" s="10" t="n">
        <v>120.23</v>
      </c>
      <c r="K4118" s="11" t="n">
        <v>0.3</v>
      </c>
      <c r="L4118" s="10">
        <f>I4118*J4118*(1-K4118)</f>
        <v/>
      </c>
      <c r="M4118" s="10" t="n">
        <v>72</v>
      </c>
      <c r="N4118" s="10">
        <f>L4118-M4118</f>
        <v/>
      </c>
    </row>
    <row r="4119">
      <c r="A4119" s="7" t="inlineStr">
        <is>
          <t>ORD-01804</t>
        </is>
      </c>
      <c r="B4119" s="8" t="n">
        <v>45759</v>
      </c>
      <c r="C4119" s="9" t="n">
        <v>45748</v>
      </c>
      <c r="D4119" s="7" t="n">
        <v>2025</v>
      </c>
      <c r="E4119" s="7" t="inlineStr">
        <is>
          <t>East</t>
        </is>
      </c>
      <c r="F4119" s="7" t="inlineStr">
        <is>
          <t>Office Supplies</t>
        </is>
      </c>
      <c r="G4119" s="7" t="inlineStr">
        <is>
          <t>Binder</t>
        </is>
      </c>
      <c r="H4119" s="7" t="inlineStr">
        <is>
          <t>Corporate</t>
        </is>
      </c>
      <c r="I4119" s="7" t="n">
        <v>3</v>
      </c>
      <c r="J4119" s="10" t="n">
        <v>8.300000000000001</v>
      </c>
      <c r="K4119" s="11" t="n">
        <v>0.2</v>
      </c>
      <c r="L4119" s="10">
        <f>I4119*J4119*(1-K4119)</f>
        <v/>
      </c>
      <c r="M4119" s="10" t="n">
        <v>9.6</v>
      </c>
      <c r="N4119" s="10">
        <f>L4119-M4119</f>
        <v/>
      </c>
    </row>
    <row r="4120">
      <c r="A4120" s="7" t="inlineStr">
        <is>
          <t>ORD-02556</t>
        </is>
      </c>
      <c r="B4120" s="8" t="n">
        <v>45759</v>
      </c>
      <c r="C4120" s="9" t="n">
        <v>45748</v>
      </c>
      <c r="D4120" s="7" t="n">
        <v>2025</v>
      </c>
      <c r="E4120" s="7" t="inlineStr">
        <is>
          <t>West</t>
        </is>
      </c>
      <c r="F4120" s="7" t="inlineStr">
        <is>
          <t>Office Supplies</t>
        </is>
      </c>
      <c r="G4120" s="7" t="inlineStr">
        <is>
          <t>Binder</t>
        </is>
      </c>
      <c r="H4120" s="7" t="inlineStr">
        <is>
          <t>Corporate</t>
        </is>
      </c>
      <c r="I4120" s="7" t="n">
        <v>14</v>
      </c>
      <c r="J4120" s="10" t="n">
        <v>7.82</v>
      </c>
      <c r="K4120" s="11" t="n">
        <v>0</v>
      </c>
      <c r="L4120" s="10">
        <f>I4120*J4120*(1-K4120)</f>
        <v/>
      </c>
      <c r="M4120" s="10" t="n">
        <v>44.8</v>
      </c>
      <c r="N4120" s="10">
        <f>L4120-M4120</f>
        <v/>
      </c>
    </row>
    <row r="4121">
      <c r="A4121" s="7" t="inlineStr">
        <is>
          <t>ORD-01988</t>
        </is>
      </c>
      <c r="B4121" s="8" t="n">
        <v>45759</v>
      </c>
      <c r="C4121" s="9" t="n">
        <v>45748</v>
      </c>
      <c r="D4121" s="7" t="n">
        <v>2025</v>
      </c>
      <c r="E4121" s="7" t="inlineStr">
        <is>
          <t>North</t>
        </is>
      </c>
      <c r="F4121" s="7" t="inlineStr">
        <is>
          <t>Office Supplies</t>
        </is>
      </c>
      <c r="G4121" s="7" t="inlineStr">
        <is>
          <t>Binder</t>
        </is>
      </c>
      <c r="H4121" s="7" t="inlineStr">
        <is>
          <t>Home Office</t>
        </is>
      </c>
      <c r="I4121" s="7" t="n">
        <v>2</v>
      </c>
      <c r="J4121" s="10" t="n">
        <v>7.7</v>
      </c>
      <c r="K4121" s="11" t="n">
        <v>0</v>
      </c>
      <c r="L4121" s="10">
        <f>I4121*J4121*(1-K4121)</f>
        <v/>
      </c>
      <c r="M4121" s="10" t="n">
        <v>6.4</v>
      </c>
      <c r="N4121" s="10">
        <f>L4121-M4121</f>
        <v/>
      </c>
    </row>
    <row r="4122">
      <c r="A4122" s="7" t="inlineStr">
        <is>
          <t>ORD-00807</t>
        </is>
      </c>
      <c r="B4122" s="8" t="n">
        <v>45759</v>
      </c>
      <c r="C4122" s="9" t="n">
        <v>45748</v>
      </c>
      <c r="D4122" s="7" t="n">
        <v>2025</v>
      </c>
      <c r="E4122" s="7" t="inlineStr">
        <is>
          <t>East</t>
        </is>
      </c>
      <c r="F4122" s="7" t="inlineStr">
        <is>
          <t>Office Supplies</t>
        </is>
      </c>
      <c r="G4122" s="7" t="inlineStr">
        <is>
          <t>Pens</t>
        </is>
      </c>
      <c r="H4122" s="7" t="inlineStr">
        <is>
          <t>Home Office</t>
        </is>
      </c>
      <c r="I4122" s="7" t="n">
        <v>10</v>
      </c>
      <c r="J4122" s="10" t="n">
        <v>11.75</v>
      </c>
      <c r="K4122" s="11" t="n">
        <v>0.1</v>
      </c>
      <c r="L4122" s="10">
        <f>I4122*J4122*(1-K4122)</f>
        <v/>
      </c>
      <c r="M4122" s="10" t="n">
        <v>54</v>
      </c>
      <c r="N4122" s="10">
        <f>L4122-M4122</f>
        <v/>
      </c>
    </row>
    <row r="4123">
      <c r="A4123" s="7" t="inlineStr">
        <is>
          <t>ORD-05965</t>
        </is>
      </c>
      <c r="B4123" s="8" t="n">
        <v>45760</v>
      </c>
      <c r="C4123" s="9" t="n">
        <v>45748</v>
      </c>
      <c r="D4123" s="7" t="n">
        <v>2025</v>
      </c>
      <c r="E4123" s="7" t="inlineStr">
        <is>
          <t>West</t>
        </is>
      </c>
      <c r="F4123" s="7" t="inlineStr">
        <is>
          <t>Office Supplies</t>
        </is>
      </c>
      <c r="G4123" s="7" t="inlineStr">
        <is>
          <t>Paper</t>
        </is>
      </c>
      <c r="H4123" s="7" t="inlineStr">
        <is>
          <t>Consumer</t>
        </is>
      </c>
      <c r="I4123" s="7" t="n">
        <v>10</v>
      </c>
      <c r="J4123" s="10" t="n">
        <v>25.01</v>
      </c>
      <c r="K4123" s="11" t="n">
        <v>0</v>
      </c>
      <c r="L4123" s="10">
        <f>I4123*J4123*(1-K4123)</f>
        <v/>
      </c>
      <c r="M4123" s="10" t="n">
        <v>125</v>
      </c>
      <c r="N4123" s="10">
        <f>L4123-M4123</f>
        <v/>
      </c>
    </row>
    <row r="4124">
      <c r="A4124" s="7" t="inlineStr">
        <is>
          <t>ORD-03616</t>
        </is>
      </c>
      <c r="B4124" s="8" t="n">
        <v>45760</v>
      </c>
      <c r="C4124" s="9" t="n">
        <v>45748</v>
      </c>
      <c r="D4124" s="7" t="n">
        <v>2025</v>
      </c>
      <c r="E4124" s="7" t="inlineStr">
        <is>
          <t>East</t>
        </is>
      </c>
      <c r="F4124" s="7" t="inlineStr">
        <is>
          <t>Furniture</t>
        </is>
      </c>
      <c r="G4124" s="7" t="inlineStr">
        <is>
          <t>Office Chair</t>
        </is>
      </c>
      <c r="H4124" s="7" t="inlineStr">
        <is>
          <t>Corporate</t>
        </is>
      </c>
      <c r="I4124" s="7" t="n">
        <v>3</v>
      </c>
      <c r="J4124" s="10" t="n">
        <v>226.4</v>
      </c>
      <c r="K4124" s="11" t="n">
        <v>0</v>
      </c>
      <c r="L4124" s="10">
        <f>I4124*J4124*(1-K4124)</f>
        <v/>
      </c>
      <c r="M4124" s="10" t="n">
        <v>541.2</v>
      </c>
      <c r="N4124" s="10">
        <f>L4124-M4124</f>
        <v/>
      </c>
    </row>
    <row r="4125">
      <c r="A4125" s="7" t="inlineStr">
        <is>
          <t>ORD-02380</t>
        </is>
      </c>
      <c r="B4125" s="8" t="n">
        <v>45760</v>
      </c>
      <c r="C4125" s="9" t="n">
        <v>45748</v>
      </c>
      <c r="D4125" s="7" t="n">
        <v>2025</v>
      </c>
      <c r="E4125" s="7" t="inlineStr">
        <is>
          <t>East</t>
        </is>
      </c>
      <c r="F4125" s="7" t="inlineStr">
        <is>
          <t>Office Supplies</t>
        </is>
      </c>
      <c r="G4125" s="7" t="inlineStr">
        <is>
          <t>Paper</t>
        </is>
      </c>
      <c r="H4125" s="7" t="inlineStr">
        <is>
          <t>Consumer</t>
        </is>
      </c>
      <c r="I4125" s="7" t="n">
        <v>4</v>
      </c>
      <c r="J4125" s="10" t="n">
        <v>23.8</v>
      </c>
      <c r="K4125" s="11" t="n">
        <v>0</v>
      </c>
      <c r="L4125" s="10">
        <f>I4125*J4125*(1-K4125)</f>
        <v/>
      </c>
      <c r="M4125" s="10" t="n">
        <v>50</v>
      </c>
      <c r="N4125" s="10">
        <f>L4125-M4125</f>
        <v/>
      </c>
    </row>
    <row r="4126">
      <c r="A4126" s="7" t="inlineStr">
        <is>
          <t>ORD-00211</t>
        </is>
      </c>
      <c r="B4126" s="8" t="n">
        <v>45760</v>
      </c>
      <c r="C4126" s="9" t="n">
        <v>45748</v>
      </c>
      <c r="D4126" s="7" t="n">
        <v>2025</v>
      </c>
      <c r="E4126" s="7" t="inlineStr">
        <is>
          <t>West</t>
        </is>
      </c>
      <c r="F4126" s="7" t="inlineStr">
        <is>
          <t>Technology</t>
        </is>
      </c>
      <c r="G4126" s="7" t="inlineStr">
        <is>
          <t>Headphones</t>
        </is>
      </c>
      <c r="H4126" s="7" t="inlineStr">
        <is>
          <t>Corporate</t>
        </is>
      </c>
      <c r="I4126" s="7" t="n">
        <v>1</v>
      </c>
      <c r="J4126" s="10" t="n">
        <v>114.6</v>
      </c>
      <c r="K4126" s="11" t="n">
        <v>0</v>
      </c>
      <c r="L4126" s="10">
        <f>I4126*J4126*(1-K4126)</f>
        <v/>
      </c>
      <c r="M4126" s="10" t="n">
        <v>72</v>
      </c>
      <c r="N4126" s="10">
        <f>L4126-M4126</f>
        <v/>
      </c>
    </row>
    <row r="4127">
      <c r="A4127" s="7" t="inlineStr">
        <is>
          <t>ORD-03963</t>
        </is>
      </c>
      <c r="B4127" s="8" t="n">
        <v>45761</v>
      </c>
      <c r="C4127" s="9" t="n">
        <v>45748</v>
      </c>
      <c r="D4127" s="7" t="n">
        <v>2025</v>
      </c>
      <c r="E4127" s="7" t="inlineStr">
        <is>
          <t>West</t>
        </is>
      </c>
      <c r="F4127" s="7" t="inlineStr">
        <is>
          <t>Technology</t>
        </is>
      </c>
      <c r="G4127" s="7" t="inlineStr">
        <is>
          <t>Keyboard</t>
        </is>
      </c>
      <c r="H4127" s="7" t="inlineStr">
        <is>
          <t>Corporate</t>
        </is>
      </c>
      <c r="I4127" s="7" t="n">
        <v>2</v>
      </c>
      <c r="J4127" s="10" t="n">
        <v>45.85</v>
      </c>
      <c r="K4127" s="11" t="n">
        <v>0.05</v>
      </c>
      <c r="L4127" s="10">
        <f>I4127*J4127*(1-K4127)</f>
        <v/>
      </c>
      <c r="M4127" s="10" t="n">
        <v>49.5</v>
      </c>
      <c r="N4127" s="10">
        <f>L4127-M4127</f>
        <v/>
      </c>
    </row>
    <row r="4128">
      <c r="A4128" s="7" t="inlineStr">
        <is>
          <t>ORD-04068</t>
        </is>
      </c>
      <c r="B4128" s="8" t="n">
        <v>45761</v>
      </c>
      <c r="C4128" s="9" t="n">
        <v>45748</v>
      </c>
      <c r="D4128" s="7" t="n">
        <v>2025</v>
      </c>
      <c r="E4128" s="7" t="inlineStr">
        <is>
          <t>North</t>
        </is>
      </c>
      <c r="F4128" s="7" t="inlineStr">
        <is>
          <t>Office Supplies</t>
        </is>
      </c>
      <c r="G4128" s="7" t="inlineStr">
        <is>
          <t>Printer Ink</t>
        </is>
      </c>
      <c r="H4128" s="7" t="inlineStr">
        <is>
          <t>Home Office</t>
        </is>
      </c>
      <c r="I4128" s="7" t="n">
        <v>10</v>
      </c>
      <c r="J4128" s="10" t="n">
        <v>61.61</v>
      </c>
      <c r="K4128" s="11" t="n">
        <v>0.2</v>
      </c>
      <c r="L4128" s="10">
        <f>I4128*J4128*(1-K4128)</f>
        <v/>
      </c>
      <c r="M4128" s="10" t="n">
        <v>360</v>
      </c>
      <c r="N4128" s="10">
        <f>L4128-M4128</f>
        <v/>
      </c>
    </row>
    <row r="4129">
      <c r="A4129" s="7" t="inlineStr">
        <is>
          <t>ORD-04888</t>
        </is>
      </c>
      <c r="B4129" s="8" t="n">
        <v>45761</v>
      </c>
      <c r="C4129" s="9" t="n">
        <v>45748</v>
      </c>
      <c r="D4129" s="7" t="n">
        <v>2025</v>
      </c>
      <c r="E4129" s="7" t="inlineStr">
        <is>
          <t>North</t>
        </is>
      </c>
      <c r="F4129" s="7" t="inlineStr">
        <is>
          <t>Technology</t>
        </is>
      </c>
      <c r="G4129" s="7" t="inlineStr">
        <is>
          <t>Smartphone</t>
        </is>
      </c>
      <c r="H4129" s="7" t="inlineStr">
        <is>
          <t>Home Office</t>
        </is>
      </c>
      <c r="I4129" s="7" t="n">
        <v>1</v>
      </c>
      <c r="J4129" s="10" t="n">
        <v>574.74</v>
      </c>
      <c r="K4129" s="11" t="n">
        <v>0.05</v>
      </c>
      <c r="L4129" s="10">
        <f>I4129*J4129*(1-K4129)</f>
        <v/>
      </c>
      <c r="M4129" s="10" t="n">
        <v>450</v>
      </c>
      <c r="N4129" s="10">
        <f>L4129-M4129</f>
        <v/>
      </c>
    </row>
    <row r="4130">
      <c r="A4130" s="7" t="inlineStr">
        <is>
          <t>ORD-03224</t>
        </is>
      </c>
      <c r="B4130" s="8" t="n">
        <v>45761</v>
      </c>
      <c r="C4130" s="9" t="n">
        <v>45748</v>
      </c>
      <c r="D4130" s="7" t="n">
        <v>2025</v>
      </c>
      <c r="E4130" s="7" t="inlineStr">
        <is>
          <t>South</t>
        </is>
      </c>
      <c r="F4130" s="7" t="inlineStr">
        <is>
          <t>Office Supplies</t>
        </is>
      </c>
      <c r="G4130" s="7" t="inlineStr">
        <is>
          <t>Stapler</t>
        </is>
      </c>
      <c r="H4130" s="7" t="inlineStr">
        <is>
          <t>Corporate</t>
        </is>
      </c>
      <c r="I4130" s="7" t="n">
        <v>8</v>
      </c>
      <c r="J4130" s="10" t="n">
        <v>15.66</v>
      </c>
      <c r="K4130" s="11" t="n">
        <v>0.1</v>
      </c>
      <c r="L4130" s="10">
        <f>I4130*J4130*(1-K4130)</f>
        <v/>
      </c>
      <c r="M4130" s="10" t="n">
        <v>60</v>
      </c>
      <c r="N4130" s="10">
        <f>L4130-M4130</f>
        <v/>
      </c>
    </row>
    <row r="4131">
      <c r="A4131" s="7" t="inlineStr">
        <is>
          <t>ORD-00333</t>
        </is>
      </c>
      <c r="B4131" s="8" t="n">
        <v>45761</v>
      </c>
      <c r="C4131" s="9" t="n">
        <v>45748</v>
      </c>
      <c r="D4131" s="7" t="n">
        <v>2025</v>
      </c>
      <c r="E4131" s="7" t="inlineStr">
        <is>
          <t>East</t>
        </is>
      </c>
      <c r="F4131" s="7" t="inlineStr">
        <is>
          <t>Furniture</t>
        </is>
      </c>
      <c r="G4131" s="7" t="inlineStr">
        <is>
          <t>Desk</t>
        </is>
      </c>
      <c r="H4131" s="7" t="inlineStr">
        <is>
          <t>Corporate</t>
        </is>
      </c>
      <c r="I4131" s="7" t="n">
        <v>4</v>
      </c>
      <c r="J4131" s="10" t="n">
        <v>450.23</v>
      </c>
      <c r="K4131" s="11" t="n">
        <v>0.1</v>
      </c>
      <c r="L4131" s="10">
        <f>I4131*J4131*(1-K4131)</f>
        <v/>
      </c>
      <c r="M4131" s="10" t="n">
        <v>1530</v>
      </c>
      <c r="N4131" s="10">
        <f>L4131-M4131</f>
        <v/>
      </c>
    </row>
    <row r="4132">
      <c r="A4132" s="7" t="inlineStr">
        <is>
          <t>ORD-05337</t>
        </is>
      </c>
      <c r="B4132" s="8" t="n">
        <v>45761</v>
      </c>
      <c r="C4132" s="9" t="n">
        <v>45748</v>
      </c>
      <c r="D4132" s="7" t="n">
        <v>2025</v>
      </c>
      <c r="E4132" s="7" t="inlineStr">
        <is>
          <t>West</t>
        </is>
      </c>
      <c r="F4132" s="7" t="inlineStr">
        <is>
          <t>Office Supplies</t>
        </is>
      </c>
      <c r="G4132" s="7" t="inlineStr">
        <is>
          <t>Pens</t>
        </is>
      </c>
      <c r="H4132" s="7" t="inlineStr">
        <is>
          <t>Home Office</t>
        </is>
      </c>
      <c r="I4132" s="7" t="n">
        <v>3</v>
      </c>
      <c r="J4132" s="10" t="n">
        <v>12.33</v>
      </c>
      <c r="K4132" s="11" t="n">
        <v>0.05</v>
      </c>
      <c r="L4132" s="10">
        <f>I4132*J4132*(1-K4132)</f>
        <v/>
      </c>
      <c r="M4132" s="10" t="n">
        <v>16.2</v>
      </c>
      <c r="N4132" s="10">
        <f>L4132-M4132</f>
        <v/>
      </c>
    </row>
    <row r="4133">
      <c r="A4133" s="7" t="inlineStr">
        <is>
          <t>ORD-04873</t>
        </is>
      </c>
      <c r="B4133" s="8" t="n">
        <v>45762</v>
      </c>
      <c r="C4133" s="9" t="n">
        <v>45748</v>
      </c>
      <c r="D4133" s="7" t="n">
        <v>2025</v>
      </c>
      <c r="E4133" s="7" t="inlineStr">
        <is>
          <t>South</t>
        </is>
      </c>
      <c r="F4133" s="7" t="inlineStr">
        <is>
          <t>Office Supplies</t>
        </is>
      </c>
      <c r="G4133" s="7" t="inlineStr">
        <is>
          <t>Printer Ink</t>
        </is>
      </c>
      <c r="H4133" s="7" t="inlineStr">
        <is>
          <t>Consumer</t>
        </is>
      </c>
      <c r="I4133" s="7" t="n">
        <v>3</v>
      </c>
      <c r="J4133" s="10" t="n">
        <v>60.91</v>
      </c>
      <c r="K4133" s="11" t="n">
        <v>0</v>
      </c>
      <c r="L4133" s="10">
        <f>I4133*J4133*(1-K4133)</f>
        <v/>
      </c>
      <c r="M4133" s="10" t="n">
        <v>108</v>
      </c>
      <c r="N4133" s="10">
        <f>L4133-M4133</f>
        <v/>
      </c>
    </row>
    <row r="4134">
      <c r="A4134" s="7" t="inlineStr">
        <is>
          <t>ORD-03262</t>
        </is>
      </c>
      <c r="B4134" s="8" t="n">
        <v>45762</v>
      </c>
      <c r="C4134" s="9" t="n">
        <v>45748</v>
      </c>
      <c r="D4134" s="7" t="n">
        <v>2025</v>
      </c>
      <c r="E4134" s="7" t="inlineStr">
        <is>
          <t>West</t>
        </is>
      </c>
      <c r="F4134" s="7" t="inlineStr">
        <is>
          <t>Furniture</t>
        </is>
      </c>
      <c r="G4134" s="7" t="inlineStr">
        <is>
          <t>Bookcase</t>
        </is>
      </c>
      <c r="H4134" s="7" t="inlineStr">
        <is>
          <t>Home Office</t>
        </is>
      </c>
      <c r="I4134" s="7" t="n">
        <v>1</v>
      </c>
      <c r="J4134" s="10" t="n">
        <v>175.89</v>
      </c>
      <c r="K4134" s="11" t="n">
        <v>0.1</v>
      </c>
      <c r="L4134" s="10">
        <f>I4134*J4134*(1-K4134)</f>
        <v/>
      </c>
      <c r="M4134" s="10" t="n">
        <v>144</v>
      </c>
      <c r="N4134" s="10">
        <f>L4134-M4134</f>
        <v/>
      </c>
    </row>
    <row r="4135">
      <c r="A4135" s="7" t="inlineStr">
        <is>
          <t>ORD-05821</t>
        </is>
      </c>
      <c r="B4135" s="8" t="n">
        <v>45762</v>
      </c>
      <c r="C4135" s="9" t="n">
        <v>45748</v>
      </c>
      <c r="D4135" s="7" t="n">
        <v>2025</v>
      </c>
      <c r="E4135" s="7" t="inlineStr">
        <is>
          <t>South</t>
        </is>
      </c>
      <c r="F4135" s="7" t="inlineStr">
        <is>
          <t>Office Supplies</t>
        </is>
      </c>
      <c r="G4135" s="7" t="inlineStr">
        <is>
          <t>Paper</t>
        </is>
      </c>
      <c r="H4135" s="7" t="inlineStr">
        <is>
          <t>Corporate</t>
        </is>
      </c>
      <c r="I4135" s="7" t="n">
        <v>13</v>
      </c>
      <c r="J4135" s="10" t="n">
        <v>25.33</v>
      </c>
      <c r="K4135" s="11" t="n">
        <v>0.1</v>
      </c>
      <c r="L4135" s="10">
        <f>I4135*J4135*(1-K4135)</f>
        <v/>
      </c>
      <c r="M4135" s="10" t="n">
        <v>162.5</v>
      </c>
      <c r="N4135" s="10">
        <f>L4135-M4135</f>
        <v/>
      </c>
    </row>
    <row r="4136">
      <c r="A4136" s="7" t="inlineStr">
        <is>
          <t>ORD-05666</t>
        </is>
      </c>
      <c r="B4136" s="8" t="n">
        <v>45762</v>
      </c>
      <c r="C4136" s="9" t="n">
        <v>45748</v>
      </c>
      <c r="D4136" s="7" t="n">
        <v>2025</v>
      </c>
      <c r="E4136" s="7" t="inlineStr">
        <is>
          <t>South</t>
        </is>
      </c>
      <c r="F4136" s="7" t="inlineStr">
        <is>
          <t>Office Supplies</t>
        </is>
      </c>
      <c r="G4136" s="7" t="inlineStr">
        <is>
          <t>Paper</t>
        </is>
      </c>
      <c r="H4136" s="7" t="inlineStr">
        <is>
          <t>Consumer</t>
        </is>
      </c>
      <c r="I4136" s="7" t="n">
        <v>2</v>
      </c>
      <c r="J4136" s="10" t="n">
        <v>24.77</v>
      </c>
      <c r="K4136" s="11" t="n">
        <v>0.2</v>
      </c>
      <c r="L4136" s="10">
        <f>I4136*J4136*(1-K4136)</f>
        <v/>
      </c>
      <c r="M4136" s="10" t="n">
        <v>25</v>
      </c>
      <c r="N4136" s="10">
        <f>L4136-M4136</f>
        <v/>
      </c>
    </row>
    <row r="4137">
      <c r="A4137" s="7" t="inlineStr">
        <is>
          <t>ORD-00092</t>
        </is>
      </c>
      <c r="B4137" s="8" t="n">
        <v>45762</v>
      </c>
      <c r="C4137" s="9" t="n">
        <v>45748</v>
      </c>
      <c r="D4137" s="7" t="n">
        <v>2025</v>
      </c>
      <c r="E4137" s="7" t="inlineStr">
        <is>
          <t>West</t>
        </is>
      </c>
      <c r="F4137" s="7" t="inlineStr">
        <is>
          <t>Office Supplies</t>
        </is>
      </c>
      <c r="G4137" s="7" t="inlineStr">
        <is>
          <t>Binder</t>
        </is>
      </c>
      <c r="H4137" s="7" t="inlineStr">
        <is>
          <t>Consumer</t>
        </is>
      </c>
      <c r="I4137" s="7" t="n">
        <v>2</v>
      </c>
      <c r="J4137" s="10" t="n">
        <v>7.63</v>
      </c>
      <c r="K4137" s="11" t="n">
        <v>0.05</v>
      </c>
      <c r="L4137" s="10">
        <f>I4137*J4137*(1-K4137)</f>
        <v/>
      </c>
      <c r="M4137" s="10" t="n">
        <v>6.4</v>
      </c>
      <c r="N4137" s="10">
        <f>L4137-M4137</f>
        <v/>
      </c>
    </row>
    <row r="4138">
      <c r="A4138" s="7" t="inlineStr">
        <is>
          <t>ORD-02577</t>
        </is>
      </c>
      <c r="B4138" s="8" t="n">
        <v>45763</v>
      </c>
      <c r="C4138" s="9" t="n">
        <v>45748</v>
      </c>
      <c r="D4138" s="7" t="n">
        <v>2025</v>
      </c>
      <c r="E4138" s="7" t="inlineStr">
        <is>
          <t>West</t>
        </is>
      </c>
      <c r="F4138" s="7" t="inlineStr">
        <is>
          <t>Furniture</t>
        </is>
      </c>
      <c r="G4138" s="7" t="inlineStr">
        <is>
          <t>Office Chair</t>
        </is>
      </c>
      <c r="H4138" s="7" t="inlineStr">
        <is>
          <t>Corporate</t>
        </is>
      </c>
      <c r="I4138" s="7" t="n">
        <v>1</v>
      </c>
      <c r="J4138" s="10" t="n">
        <v>211.76</v>
      </c>
      <c r="K4138" s="11" t="n">
        <v>0.3</v>
      </c>
      <c r="L4138" s="10">
        <f>I4138*J4138*(1-K4138)</f>
        <v/>
      </c>
      <c r="M4138" s="10" t="n">
        <v>180.4</v>
      </c>
      <c r="N4138" s="10">
        <f>L4138-M4138</f>
        <v/>
      </c>
    </row>
    <row r="4139">
      <c r="A4139" s="7" t="inlineStr">
        <is>
          <t>ORD-05382</t>
        </is>
      </c>
      <c r="B4139" s="8" t="n">
        <v>45763</v>
      </c>
      <c r="C4139" s="9" t="n">
        <v>45748</v>
      </c>
      <c r="D4139" s="7" t="n">
        <v>2025</v>
      </c>
      <c r="E4139" s="7" t="inlineStr">
        <is>
          <t>West</t>
        </is>
      </c>
      <c r="F4139" s="7" t="inlineStr">
        <is>
          <t>Office Supplies</t>
        </is>
      </c>
      <c r="G4139" s="7" t="inlineStr">
        <is>
          <t>Pens</t>
        </is>
      </c>
      <c r="H4139" s="7" t="inlineStr">
        <is>
          <t>Consumer</t>
        </is>
      </c>
      <c r="I4139" s="7" t="n">
        <v>6</v>
      </c>
      <c r="J4139" s="10" t="n">
        <v>12.1</v>
      </c>
      <c r="K4139" s="11" t="n">
        <v>0</v>
      </c>
      <c r="L4139" s="10">
        <f>I4139*J4139*(1-K4139)</f>
        <v/>
      </c>
      <c r="M4139" s="10" t="n">
        <v>32.4</v>
      </c>
      <c r="N4139" s="10">
        <f>L4139-M4139</f>
        <v/>
      </c>
    </row>
    <row r="4140">
      <c r="A4140" s="7" t="inlineStr">
        <is>
          <t>ORD-02435</t>
        </is>
      </c>
      <c r="B4140" s="8" t="n">
        <v>45763</v>
      </c>
      <c r="C4140" s="9" t="n">
        <v>45748</v>
      </c>
      <c r="D4140" s="7" t="n">
        <v>2025</v>
      </c>
      <c r="E4140" s="7" t="inlineStr">
        <is>
          <t>South</t>
        </is>
      </c>
      <c r="F4140" s="7" t="inlineStr">
        <is>
          <t>Furniture</t>
        </is>
      </c>
      <c r="G4140" s="7" t="inlineStr">
        <is>
          <t>Bookcase</t>
        </is>
      </c>
      <c r="H4140" s="7" t="inlineStr">
        <is>
          <t>Consumer</t>
        </is>
      </c>
      <c r="I4140" s="7" t="n">
        <v>1</v>
      </c>
      <c r="J4140" s="10" t="n">
        <v>181.79</v>
      </c>
      <c r="K4140" s="11" t="n">
        <v>0.2</v>
      </c>
      <c r="L4140" s="10">
        <f>I4140*J4140*(1-K4140)</f>
        <v/>
      </c>
      <c r="M4140" s="10" t="n">
        <v>144</v>
      </c>
      <c r="N4140" s="10">
        <f>L4140-M4140</f>
        <v/>
      </c>
    </row>
    <row r="4141">
      <c r="A4141" s="7" t="inlineStr">
        <is>
          <t>ORD-02930</t>
        </is>
      </c>
      <c r="B4141" s="8" t="n">
        <v>45763</v>
      </c>
      <c r="C4141" s="9" t="n">
        <v>45748</v>
      </c>
      <c r="D4141" s="7" t="n">
        <v>2025</v>
      </c>
      <c r="E4141" s="7" t="inlineStr">
        <is>
          <t>East</t>
        </is>
      </c>
      <c r="F4141" s="7" t="inlineStr">
        <is>
          <t>Technology</t>
        </is>
      </c>
      <c r="G4141" s="7" t="inlineStr">
        <is>
          <t>Monitor</t>
        </is>
      </c>
      <c r="H4141" s="7" t="inlineStr">
        <is>
          <t>Consumer</t>
        </is>
      </c>
      <c r="I4141" s="7" t="n">
        <v>1</v>
      </c>
      <c r="J4141" s="10" t="n">
        <v>261.18</v>
      </c>
      <c r="K4141" s="11" t="n">
        <v>0.2</v>
      </c>
      <c r="L4141" s="10">
        <f>I4141*J4141*(1-K4141)</f>
        <v/>
      </c>
      <c r="M4141" s="10" t="n">
        <v>180</v>
      </c>
      <c r="N4141" s="10">
        <f>L4141-M4141</f>
        <v/>
      </c>
    </row>
    <row r="4142">
      <c r="A4142" s="7" t="inlineStr">
        <is>
          <t>ORD-00004</t>
        </is>
      </c>
      <c r="B4142" s="8" t="n">
        <v>45763</v>
      </c>
      <c r="C4142" s="9" t="n">
        <v>45748</v>
      </c>
      <c r="D4142" s="7" t="n">
        <v>2025</v>
      </c>
      <c r="E4142" s="7" t="inlineStr">
        <is>
          <t>West</t>
        </is>
      </c>
      <c r="F4142" s="7" t="inlineStr">
        <is>
          <t>Furniture</t>
        </is>
      </c>
      <c r="G4142" s="7" t="inlineStr">
        <is>
          <t>Desk</t>
        </is>
      </c>
      <c r="H4142" s="7" t="inlineStr">
        <is>
          <t>Home Office</t>
        </is>
      </c>
      <c r="I4142" s="7" t="n">
        <v>3</v>
      </c>
      <c r="J4142" s="10" t="n">
        <v>446.62</v>
      </c>
      <c r="K4142" s="11" t="n">
        <v>0.05</v>
      </c>
      <c r="L4142" s="10">
        <f>I4142*J4142*(1-K4142)</f>
        <v/>
      </c>
      <c r="M4142" s="10" t="n">
        <v>1147.5</v>
      </c>
      <c r="N4142" s="10">
        <f>L4142-M4142</f>
        <v/>
      </c>
    </row>
    <row r="4143">
      <c r="A4143" s="7" t="inlineStr">
        <is>
          <t>ORD-02261</t>
        </is>
      </c>
      <c r="B4143" s="8" t="n">
        <v>45764</v>
      </c>
      <c r="C4143" s="9" t="n">
        <v>45748</v>
      </c>
      <c r="D4143" s="7" t="n">
        <v>2025</v>
      </c>
      <c r="E4143" s="7" t="inlineStr">
        <is>
          <t>East</t>
        </is>
      </c>
      <c r="F4143" s="7" t="inlineStr">
        <is>
          <t>Office Supplies</t>
        </is>
      </c>
      <c r="G4143" s="7" t="inlineStr">
        <is>
          <t>Pens</t>
        </is>
      </c>
      <c r="H4143" s="7" t="inlineStr">
        <is>
          <t>Corporate</t>
        </is>
      </c>
      <c r="I4143" s="7" t="n">
        <v>14</v>
      </c>
      <c r="J4143" s="10" t="n">
        <v>11.75</v>
      </c>
      <c r="K4143" s="11" t="n">
        <v>0</v>
      </c>
      <c r="L4143" s="10">
        <f>I4143*J4143*(1-K4143)</f>
        <v/>
      </c>
      <c r="M4143" s="10" t="n">
        <v>75.59999999999999</v>
      </c>
      <c r="N4143" s="10">
        <f>L4143-M4143</f>
        <v/>
      </c>
    </row>
    <row r="4144">
      <c r="A4144" s="7" t="inlineStr">
        <is>
          <t>ORD-03790</t>
        </is>
      </c>
      <c r="B4144" s="8" t="n">
        <v>45764</v>
      </c>
      <c r="C4144" s="9" t="n">
        <v>45748</v>
      </c>
      <c r="D4144" s="7" t="n">
        <v>2025</v>
      </c>
      <c r="E4144" s="7" t="inlineStr">
        <is>
          <t>North</t>
        </is>
      </c>
      <c r="F4144" s="7" t="inlineStr">
        <is>
          <t>Office Supplies</t>
        </is>
      </c>
      <c r="G4144" s="7" t="inlineStr">
        <is>
          <t>Stapler</t>
        </is>
      </c>
      <c r="H4144" s="7" t="inlineStr">
        <is>
          <t>Corporate</t>
        </is>
      </c>
      <c r="I4144" s="7" t="n">
        <v>12</v>
      </c>
      <c r="J4144" s="10" t="n">
        <v>15.26</v>
      </c>
      <c r="K4144" s="11" t="n">
        <v>0.05</v>
      </c>
      <c r="L4144" s="10">
        <f>I4144*J4144*(1-K4144)</f>
        <v/>
      </c>
      <c r="M4144" s="10" t="n">
        <v>90</v>
      </c>
      <c r="N4144" s="10">
        <f>L4144-M4144</f>
        <v/>
      </c>
    </row>
    <row r="4145">
      <c r="A4145" s="7" t="inlineStr">
        <is>
          <t>ORD-00736</t>
        </is>
      </c>
      <c r="B4145" s="8" t="n">
        <v>45764</v>
      </c>
      <c r="C4145" s="9" t="n">
        <v>45748</v>
      </c>
      <c r="D4145" s="7" t="n">
        <v>2025</v>
      </c>
      <c r="E4145" s="7" t="inlineStr">
        <is>
          <t>North</t>
        </is>
      </c>
      <c r="F4145" s="7" t="inlineStr">
        <is>
          <t>Technology</t>
        </is>
      </c>
      <c r="G4145" s="7" t="inlineStr">
        <is>
          <t>Laptop</t>
        </is>
      </c>
      <c r="H4145" s="7" t="inlineStr">
        <is>
          <t>Home Office</t>
        </is>
      </c>
      <c r="I4145" s="7" t="n">
        <v>3</v>
      </c>
      <c r="J4145" s="10" t="n">
        <v>910.5</v>
      </c>
      <c r="K4145" s="11" t="n">
        <v>0.1</v>
      </c>
      <c r="L4145" s="10">
        <f>I4145*J4145*(1-K4145)</f>
        <v/>
      </c>
      <c r="M4145" s="10" t="n">
        <v>2106</v>
      </c>
      <c r="N4145" s="10">
        <f>L4145-M4145</f>
        <v/>
      </c>
    </row>
    <row r="4146">
      <c r="A4146" s="7" t="inlineStr">
        <is>
          <t>ORD-05581</t>
        </is>
      </c>
      <c r="B4146" s="8" t="n">
        <v>45764</v>
      </c>
      <c r="C4146" s="9" t="n">
        <v>45748</v>
      </c>
      <c r="D4146" s="7" t="n">
        <v>2025</v>
      </c>
      <c r="E4146" s="7" t="inlineStr">
        <is>
          <t>East</t>
        </is>
      </c>
      <c r="F4146" s="7" t="inlineStr">
        <is>
          <t>Technology</t>
        </is>
      </c>
      <c r="G4146" s="7" t="inlineStr">
        <is>
          <t>Laptop</t>
        </is>
      </c>
      <c r="H4146" s="7" t="inlineStr">
        <is>
          <t>Consumer</t>
        </is>
      </c>
      <c r="I4146" s="7" t="n">
        <v>2</v>
      </c>
      <c r="J4146" s="10" t="n">
        <v>942.11</v>
      </c>
      <c r="K4146" s="11" t="n">
        <v>0.1</v>
      </c>
      <c r="L4146" s="10">
        <f>I4146*J4146*(1-K4146)</f>
        <v/>
      </c>
      <c r="M4146" s="10" t="n">
        <v>1404</v>
      </c>
      <c r="N4146" s="10">
        <f>L4146-M4146</f>
        <v/>
      </c>
    </row>
    <row r="4147">
      <c r="A4147" s="7" t="inlineStr">
        <is>
          <t>ORD-02758</t>
        </is>
      </c>
      <c r="B4147" s="8" t="n">
        <v>45764</v>
      </c>
      <c r="C4147" s="9" t="n">
        <v>45748</v>
      </c>
      <c r="D4147" s="7" t="n">
        <v>2025</v>
      </c>
      <c r="E4147" s="7" t="inlineStr">
        <is>
          <t>West</t>
        </is>
      </c>
      <c r="F4147" s="7" t="inlineStr">
        <is>
          <t>Office Supplies</t>
        </is>
      </c>
      <c r="G4147" s="7" t="inlineStr">
        <is>
          <t>Paper</t>
        </is>
      </c>
      <c r="H4147" s="7" t="inlineStr">
        <is>
          <t>Home Office</t>
        </is>
      </c>
      <c r="I4147" s="7" t="n">
        <v>8</v>
      </c>
      <c r="J4147" s="10" t="n">
        <v>24.26</v>
      </c>
      <c r="K4147" s="11" t="n">
        <v>0</v>
      </c>
      <c r="L4147" s="10">
        <f>I4147*J4147*(1-K4147)</f>
        <v/>
      </c>
      <c r="M4147" s="10" t="n">
        <v>100</v>
      </c>
      <c r="N4147" s="10">
        <f>L4147-M4147</f>
        <v/>
      </c>
    </row>
    <row r="4148">
      <c r="A4148" s="7" t="inlineStr">
        <is>
          <t>ORD-00433</t>
        </is>
      </c>
      <c r="B4148" s="8" t="n">
        <v>45764</v>
      </c>
      <c r="C4148" s="9" t="n">
        <v>45748</v>
      </c>
      <c r="D4148" s="7" t="n">
        <v>2025</v>
      </c>
      <c r="E4148" s="7" t="inlineStr">
        <is>
          <t>West</t>
        </is>
      </c>
      <c r="F4148" s="7" t="inlineStr">
        <is>
          <t>Office Supplies</t>
        </is>
      </c>
      <c r="G4148" s="7" t="inlineStr">
        <is>
          <t>Paper</t>
        </is>
      </c>
      <c r="H4148" s="7" t="inlineStr">
        <is>
          <t>Consumer</t>
        </is>
      </c>
      <c r="I4148" s="7" t="n">
        <v>11</v>
      </c>
      <c r="J4148" s="10" t="n">
        <v>25.39</v>
      </c>
      <c r="K4148" s="11" t="n">
        <v>0.05</v>
      </c>
      <c r="L4148" s="10">
        <f>I4148*J4148*(1-K4148)</f>
        <v/>
      </c>
      <c r="M4148" s="10" t="n">
        <v>137.5</v>
      </c>
      <c r="N4148" s="10">
        <f>L4148-M4148</f>
        <v/>
      </c>
    </row>
    <row r="4149">
      <c r="A4149" s="7" t="inlineStr">
        <is>
          <t>ORD-03014</t>
        </is>
      </c>
      <c r="B4149" s="8" t="n">
        <v>45764</v>
      </c>
      <c r="C4149" s="9" t="n">
        <v>45748</v>
      </c>
      <c r="D4149" s="7" t="n">
        <v>2025</v>
      </c>
      <c r="E4149" s="7" t="inlineStr">
        <is>
          <t>West</t>
        </is>
      </c>
      <c r="F4149" s="7" t="inlineStr">
        <is>
          <t>Technology</t>
        </is>
      </c>
      <c r="G4149" s="7" t="inlineStr">
        <is>
          <t>Keyboard</t>
        </is>
      </c>
      <c r="H4149" s="7" t="inlineStr">
        <is>
          <t>Corporate</t>
        </is>
      </c>
      <c r="I4149" s="7" t="n">
        <v>2</v>
      </c>
      <c r="J4149" s="10" t="n">
        <v>44.97</v>
      </c>
      <c r="K4149" s="11" t="n">
        <v>0</v>
      </c>
      <c r="L4149" s="10">
        <f>I4149*J4149*(1-K4149)</f>
        <v/>
      </c>
      <c r="M4149" s="10" t="n">
        <v>49.5</v>
      </c>
      <c r="N4149" s="10">
        <f>L4149-M4149</f>
        <v/>
      </c>
    </row>
    <row r="4150">
      <c r="A4150" s="7" t="inlineStr">
        <is>
          <t>ORD-03392</t>
        </is>
      </c>
      <c r="B4150" s="8" t="n">
        <v>45765</v>
      </c>
      <c r="C4150" s="9" t="n">
        <v>45748</v>
      </c>
      <c r="D4150" s="7" t="n">
        <v>2025</v>
      </c>
      <c r="E4150" s="7" t="inlineStr">
        <is>
          <t>North</t>
        </is>
      </c>
      <c r="F4150" s="7" t="inlineStr">
        <is>
          <t>Office Supplies</t>
        </is>
      </c>
      <c r="G4150" s="7" t="inlineStr">
        <is>
          <t>Pens</t>
        </is>
      </c>
      <c r="H4150" s="7" t="inlineStr">
        <is>
          <t>Consumer</t>
        </is>
      </c>
      <c r="I4150" s="7" t="n">
        <v>5</v>
      </c>
      <c r="J4150" s="10" t="n">
        <v>12.15</v>
      </c>
      <c r="K4150" s="11" t="n">
        <v>0.1</v>
      </c>
      <c r="L4150" s="10">
        <f>I4150*J4150*(1-K4150)</f>
        <v/>
      </c>
      <c r="M4150" s="10" t="n">
        <v>27</v>
      </c>
      <c r="N4150" s="10">
        <f>L4150-M4150</f>
        <v/>
      </c>
    </row>
    <row r="4151">
      <c r="A4151" s="7" t="inlineStr">
        <is>
          <t>ORD-04183</t>
        </is>
      </c>
      <c r="B4151" s="8" t="n">
        <v>45765</v>
      </c>
      <c r="C4151" s="9" t="n">
        <v>45748</v>
      </c>
      <c r="D4151" s="7" t="n">
        <v>2025</v>
      </c>
      <c r="E4151" s="7" t="inlineStr">
        <is>
          <t>West</t>
        </is>
      </c>
      <c r="F4151" s="7" t="inlineStr">
        <is>
          <t>Office Supplies</t>
        </is>
      </c>
      <c r="G4151" s="7" t="inlineStr">
        <is>
          <t>Pens</t>
        </is>
      </c>
      <c r="H4151" s="7" t="inlineStr">
        <is>
          <t>Consumer</t>
        </is>
      </c>
      <c r="I4151" s="7" t="n">
        <v>5</v>
      </c>
      <c r="J4151" s="10" t="n">
        <v>11.79</v>
      </c>
      <c r="K4151" s="11" t="n">
        <v>0.1</v>
      </c>
      <c r="L4151" s="10">
        <f>I4151*J4151*(1-K4151)</f>
        <v/>
      </c>
      <c r="M4151" s="10" t="n">
        <v>27</v>
      </c>
      <c r="N4151" s="10">
        <f>L4151-M4151</f>
        <v/>
      </c>
    </row>
    <row r="4152">
      <c r="A4152" s="7" t="inlineStr">
        <is>
          <t>ORD-04211</t>
        </is>
      </c>
      <c r="B4152" s="8" t="n">
        <v>45765</v>
      </c>
      <c r="C4152" s="9" t="n">
        <v>45748</v>
      </c>
      <c r="D4152" s="7" t="n">
        <v>2025</v>
      </c>
      <c r="E4152" s="7" t="inlineStr">
        <is>
          <t>West</t>
        </is>
      </c>
      <c r="F4152" s="7" t="inlineStr">
        <is>
          <t>Technology</t>
        </is>
      </c>
      <c r="G4152" s="7" t="inlineStr">
        <is>
          <t>Keyboard</t>
        </is>
      </c>
      <c r="H4152" s="7" t="inlineStr">
        <is>
          <t>Corporate</t>
        </is>
      </c>
      <c r="I4152" s="7" t="n">
        <v>2</v>
      </c>
      <c r="J4152" s="10" t="n">
        <v>46.96</v>
      </c>
      <c r="K4152" s="11" t="n">
        <v>0.3</v>
      </c>
      <c r="L4152" s="10">
        <f>I4152*J4152*(1-K4152)</f>
        <v/>
      </c>
      <c r="M4152" s="10" t="n">
        <v>49.5</v>
      </c>
      <c r="N4152" s="10">
        <f>L4152-M4152</f>
        <v/>
      </c>
    </row>
    <row r="4153">
      <c r="A4153" s="7" t="inlineStr">
        <is>
          <t>ORD-03485</t>
        </is>
      </c>
      <c r="B4153" s="8" t="n">
        <v>45766</v>
      </c>
      <c r="C4153" s="9" t="n">
        <v>45748</v>
      </c>
      <c r="D4153" s="7" t="n">
        <v>2025</v>
      </c>
      <c r="E4153" s="7" t="inlineStr">
        <is>
          <t>South</t>
        </is>
      </c>
      <c r="F4153" s="7" t="inlineStr">
        <is>
          <t>Office Supplies</t>
        </is>
      </c>
      <c r="G4153" s="7" t="inlineStr">
        <is>
          <t>Binder</t>
        </is>
      </c>
      <c r="H4153" s="7" t="inlineStr">
        <is>
          <t>Consumer</t>
        </is>
      </c>
      <c r="I4153" s="7" t="n">
        <v>2</v>
      </c>
      <c r="J4153" s="10" t="n">
        <v>8.32</v>
      </c>
      <c r="K4153" s="11" t="n">
        <v>0.05</v>
      </c>
      <c r="L4153" s="10">
        <f>I4153*J4153*(1-K4153)</f>
        <v/>
      </c>
      <c r="M4153" s="10" t="n">
        <v>6.4</v>
      </c>
      <c r="N4153" s="10">
        <f>L4153-M4153</f>
        <v/>
      </c>
    </row>
    <row r="4154">
      <c r="A4154" s="7" t="inlineStr">
        <is>
          <t>ORD-00102</t>
        </is>
      </c>
      <c r="B4154" s="8" t="n">
        <v>45766</v>
      </c>
      <c r="C4154" s="9" t="n">
        <v>45748</v>
      </c>
      <c r="D4154" s="7" t="n">
        <v>2025</v>
      </c>
      <c r="E4154" s="7" t="inlineStr">
        <is>
          <t>West</t>
        </is>
      </c>
      <c r="F4154" s="7" t="inlineStr">
        <is>
          <t>Office Supplies</t>
        </is>
      </c>
      <c r="G4154" s="7" t="inlineStr">
        <is>
          <t>Binder</t>
        </is>
      </c>
      <c r="H4154" s="7" t="inlineStr">
        <is>
          <t>Consumer</t>
        </is>
      </c>
      <c r="I4154" s="7" t="n">
        <v>5</v>
      </c>
      <c r="J4154" s="10" t="n">
        <v>8.26</v>
      </c>
      <c r="K4154" s="11" t="n">
        <v>0</v>
      </c>
      <c r="L4154" s="10">
        <f>I4154*J4154*(1-K4154)</f>
        <v/>
      </c>
      <c r="M4154" s="10" t="n">
        <v>16</v>
      </c>
      <c r="N4154" s="10">
        <f>L4154-M4154</f>
        <v/>
      </c>
    </row>
    <row r="4155">
      <c r="A4155" s="7" t="inlineStr">
        <is>
          <t>ORD-00466</t>
        </is>
      </c>
      <c r="B4155" s="8" t="n">
        <v>45766</v>
      </c>
      <c r="C4155" s="9" t="n">
        <v>45748</v>
      </c>
      <c r="D4155" s="7" t="n">
        <v>2025</v>
      </c>
      <c r="E4155" s="7" t="inlineStr">
        <is>
          <t>North</t>
        </is>
      </c>
      <c r="F4155" s="7" t="inlineStr">
        <is>
          <t>Office Supplies</t>
        </is>
      </c>
      <c r="G4155" s="7" t="inlineStr">
        <is>
          <t>Paper</t>
        </is>
      </c>
      <c r="H4155" s="7" t="inlineStr">
        <is>
          <t>Corporate</t>
        </is>
      </c>
      <c r="I4155" s="7" t="n">
        <v>9</v>
      </c>
      <c r="J4155" s="10" t="n">
        <v>25.59</v>
      </c>
      <c r="K4155" s="11" t="n">
        <v>0.05</v>
      </c>
      <c r="L4155" s="10">
        <f>I4155*J4155*(1-K4155)</f>
        <v/>
      </c>
      <c r="M4155" s="10" t="n">
        <v>112.5</v>
      </c>
      <c r="N4155" s="10">
        <f>L4155-M4155</f>
        <v/>
      </c>
    </row>
    <row r="4156">
      <c r="A4156" s="7" t="inlineStr">
        <is>
          <t>ORD-03194</t>
        </is>
      </c>
      <c r="B4156" s="8" t="n">
        <v>45766</v>
      </c>
      <c r="C4156" s="9" t="n">
        <v>45748</v>
      </c>
      <c r="D4156" s="7" t="n">
        <v>2025</v>
      </c>
      <c r="E4156" s="7" t="inlineStr">
        <is>
          <t>West</t>
        </is>
      </c>
      <c r="F4156" s="7" t="inlineStr">
        <is>
          <t>Office Supplies</t>
        </is>
      </c>
      <c r="G4156" s="7" t="inlineStr">
        <is>
          <t>Paper</t>
        </is>
      </c>
      <c r="H4156" s="7" t="inlineStr">
        <is>
          <t>Consumer</t>
        </is>
      </c>
      <c r="I4156" s="7" t="n">
        <v>11</v>
      </c>
      <c r="J4156" s="10" t="n">
        <v>25.51</v>
      </c>
      <c r="K4156" s="11" t="n">
        <v>0.2</v>
      </c>
      <c r="L4156" s="10">
        <f>I4156*J4156*(1-K4156)</f>
        <v/>
      </c>
      <c r="M4156" s="10" t="n">
        <v>137.5</v>
      </c>
      <c r="N4156" s="10">
        <f>L4156-M4156</f>
        <v/>
      </c>
    </row>
    <row r="4157">
      <c r="A4157" s="7" t="inlineStr">
        <is>
          <t>ORD-04280</t>
        </is>
      </c>
      <c r="B4157" s="8" t="n">
        <v>45766</v>
      </c>
      <c r="C4157" s="9" t="n">
        <v>45748</v>
      </c>
      <c r="D4157" s="7" t="n">
        <v>2025</v>
      </c>
      <c r="E4157" s="7" t="inlineStr">
        <is>
          <t>North</t>
        </is>
      </c>
      <c r="F4157" s="7" t="inlineStr">
        <is>
          <t>Office Supplies</t>
        </is>
      </c>
      <c r="G4157" s="7" t="inlineStr">
        <is>
          <t>Stapler</t>
        </is>
      </c>
      <c r="H4157" s="7" t="inlineStr">
        <is>
          <t>Consumer</t>
        </is>
      </c>
      <c r="I4157" s="7" t="n">
        <v>13</v>
      </c>
      <c r="J4157" s="10" t="n">
        <v>14.6</v>
      </c>
      <c r="K4157" s="11" t="n">
        <v>0</v>
      </c>
      <c r="L4157" s="10">
        <f>I4157*J4157*(1-K4157)</f>
        <v/>
      </c>
      <c r="M4157" s="10" t="n">
        <v>97.5</v>
      </c>
      <c r="N4157" s="10">
        <f>L4157-M4157</f>
        <v/>
      </c>
    </row>
    <row r="4158">
      <c r="A4158" s="7" t="inlineStr">
        <is>
          <t>ORD-00043</t>
        </is>
      </c>
      <c r="B4158" s="8" t="n">
        <v>45766</v>
      </c>
      <c r="C4158" s="9" t="n">
        <v>45748</v>
      </c>
      <c r="D4158" s="7" t="n">
        <v>2025</v>
      </c>
      <c r="E4158" s="7" t="inlineStr">
        <is>
          <t>South</t>
        </is>
      </c>
      <c r="F4158" s="7" t="inlineStr">
        <is>
          <t>Office Supplies</t>
        </is>
      </c>
      <c r="G4158" s="7" t="inlineStr">
        <is>
          <t>Paper</t>
        </is>
      </c>
      <c r="H4158" s="7" t="inlineStr">
        <is>
          <t>Home Office</t>
        </is>
      </c>
      <c r="I4158" s="7" t="n">
        <v>10</v>
      </c>
      <c r="J4158" s="10" t="n">
        <v>23.9</v>
      </c>
      <c r="K4158" s="11" t="n">
        <v>0.05</v>
      </c>
      <c r="L4158" s="10">
        <f>I4158*J4158*(1-K4158)</f>
        <v/>
      </c>
      <c r="M4158" s="10" t="n">
        <v>125</v>
      </c>
      <c r="N4158" s="10">
        <f>L4158-M4158</f>
        <v/>
      </c>
    </row>
    <row r="4159">
      <c r="A4159" s="7" t="inlineStr">
        <is>
          <t>ORD-04605</t>
        </is>
      </c>
      <c r="B4159" s="8" t="n">
        <v>45766</v>
      </c>
      <c r="C4159" s="9" t="n">
        <v>45748</v>
      </c>
      <c r="D4159" s="7" t="n">
        <v>2025</v>
      </c>
      <c r="E4159" s="7" t="inlineStr">
        <is>
          <t>East</t>
        </is>
      </c>
      <c r="F4159" s="7" t="inlineStr">
        <is>
          <t>Technology</t>
        </is>
      </c>
      <c r="G4159" s="7" t="inlineStr">
        <is>
          <t>Keyboard</t>
        </is>
      </c>
      <c r="H4159" s="7" t="inlineStr">
        <is>
          <t>Corporate</t>
        </is>
      </c>
      <c r="I4159" s="7" t="n">
        <v>1</v>
      </c>
      <c r="J4159" s="10" t="n">
        <v>45.74</v>
      </c>
      <c r="K4159" s="11" t="n">
        <v>0</v>
      </c>
      <c r="L4159" s="10">
        <f>I4159*J4159*(1-K4159)</f>
        <v/>
      </c>
      <c r="M4159" s="10" t="n">
        <v>24.75</v>
      </c>
      <c r="N4159" s="10">
        <f>L4159-M4159</f>
        <v/>
      </c>
    </row>
    <row r="4160">
      <c r="A4160" s="7" t="inlineStr">
        <is>
          <t>ORD-00674</t>
        </is>
      </c>
      <c r="B4160" s="8" t="n">
        <v>45767</v>
      </c>
      <c r="C4160" s="9" t="n">
        <v>45748</v>
      </c>
      <c r="D4160" s="7" t="n">
        <v>2025</v>
      </c>
      <c r="E4160" s="7" t="inlineStr">
        <is>
          <t>East</t>
        </is>
      </c>
      <c r="F4160" s="7" t="inlineStr">
        <is>
          <t>Office Supplies</t>
        </is>
      </c>
      <c r="G4160" s="7" t="inlineStr">
        <is>
          <t>Binder</t>
        </is>
      </c>
      <c r="H4160" s="7" t="inlineStr">
        <is>
          <t>Corporate</t>
        </is>
      </c>
      <c r="I4160" s="7" t="n">
        <v>3</v>
      </c>
      <c r="J4160" s="10" t="n">
        <v>8.35</v>
      </c>
      <c r="K4160" s="11" t="n">
        <v>0.1</v>
      </c>
      <c r="L4160" s="10">
        <f>I4160*J4160*(1-K4160)</f>
        <v/>
      </c>
      <c r="M4160" s="10" t="n">
        <v>9.6</v>
      </c>
      <c r="N4160" s="10">
        <f>L4160-M4160</f>
        <v/>
      </c>
    </row>
    <row r="4161">
      <c r="A4161" s="7" t="inlineStr">
        <is>
          <t>ORD-01060</t>
        </is>
      </c>
      <c r="B4161" s="8" t="n">
        <v>45767</v>
      </c>
      <c r="C4161" s="9" t="n">
        <v>45748</v>
      </c>
      <c r="D4161" s="7" t="n">
        <v>2025</v>
      </c>
      <c r="E4161" s="7" t="inlineStr">
        <is>
          <t>East</t>
        </is>
      </c>
      <c r="F4161" s="7" t="inlineStr">
        <is>
          <t>Furniture</t>
        </is>
      </c>
      <c r="G4161" s="7" t="inlineStr">
        <is>
          <t>Office Chair</t>
        </is>
      </c>
      <c r="H4161" s="7" t="inlineStr">
        <is>
          <t>Corporate</t>
        </is>
      </c>
      <c r="I4161" s="7" t="n">
        <v>4</v>
      </c>
      <c r="J4161" s="10" t="n">
        <v>211.17</v>
      </c>
      <c r="K4161" s="11" t="n">
        <v>0</v>
      </c>
      <c r="L4161" s="10">
        <f>I4161*J4161*(1-K4161)</f>
        <v/>
      </c>
      <c r="M4161" s="10" t="n">
        <v>721.6</v>
      </c>
      <c r="N4161" s="10">
        <f>L4161-M4161</f>
        <v/>
      </c>
    </row>
    <row r="4162">
      <c r="A4162" s="7" t="inlineStr">
        <is>
          <t>ORD-03212</t>
        </is>
      </c>
      <c r="B4162" s="8" t="n">
        <v>45767</v>
      </c>
      <c r="C4162" s="9" t="n">
        <v>45748</v>
      </c>
      <c r="D4162" s="7" t="n">
        <v>2025</v>
      </c>
      <c r="E4162" s="7" t="inlineStr">
        <is>
          <t>East</t>
        </is>
      </c>
      <c r="F4162" s="7" t="inlineStr">
        <is>
          <t>Technology</t>
        </is>
      </c>
      <c r="G4162" s="7" t="inlineStr">
        <is>
          <t>Keyboard</t>
        </is>
      </c>
      <c r="H4162" s="7" t="inlineStr">
        <is>
          <t>Consumer</t>
        </is>
      </c>
      <c r="I4162" s="7" t="n">
        <v>2</v>
      </c>
      <c r="J4162" s="10" t="n">
        <v>46.93</v>
      </c>
      <c r="K4162" s="11" t="n">
        <v>0</v>
      </c>
      <c r="L4162" s="10">
        <f>I4162*J4162*(1-K4162)</f>
        <v/>
      </c>
      <c r="M4162" s="10" t="n">
        <v>49.5</v>
      </c>
      <c r="N4162" s="10">
        <f>L4162-M4162</f>
        <v/>
      </c>
    </row>
    <row r="4163">
      <c r="A4163" s="7" t="inlineStr">
        <is>
          <t>ORD-00491</t>
        </is>
      </c>
      <c r="B4163" s="8" t="n">
        <v>45768</v>
      </c>
      <c r="C4163" s="9" t="n">
        <v>45748</v>
      </c>
      <c r="D4163" s="7" t="n">
        <v>2025</v>
      </c>
      <c r="E4163" s="7" t="inlineStr">
        <is>
          <t>West</t>
        </is>
      </c>
      <c r="F4163" s="7" t="inlineStr">
        <is>
          <t>Furniture</t>
        </is>
      </c>
      <c r="G4163" s="7" t="inlineStr">
        <is>
          <t>Office Chair</t>
        </is>
      </c>
      <c r="H4163" s="7" t="inlineStr">
        <is>
          <t>Consumer</t>
        </is>
      </c>
      <c r="I4163" s="7" t="n">
        <v>1</v>
      </c>
      <c r="J4163" s="10" t="n">
        <v>213.41</v>
      </c>
      <c r="K4163" s="11" t="n">
        <v>0.3</v>
      </c>
      <c r="L4163" s="10">
        <f>I4163*J4163*(1-K4163)</f>
        <v/>
      </c>
      <c r="M4163" s="10" t="n">
        <v>180.4</v>
      </c>
      <c r="N4163" s="10">
        <f>L4163-M4163</f>
        <v/>
      </c>
    </row>
    <row r="4164">
      <c r="A4164" s="7" t="inlineStr">
        <is>
          <t>ORD-05009</t>
        </is>
      </c>
      <c r="B4164" s="8" t="n">
        <v>45768</v>
      </c>
      <c r="C4164" s="9" t="n">
        <v>45748</v>
      </c>
      <c r="D4164" s="7" t="n">
        <v>2025</v>
      </c>
      <c r="E4164" s="7" t="inlineStr">
        <is>
          <t>East</t>
        </is>
      </c>
      <c r="F4164" s="7" t="inlineStr">
        <is>
          <t>Office Supplies</t>
        </is>
      </c>
      <c r="G4164" s="7" t="inlineStr">
        <is>
          <t>Binder</t>
        </is>
      </c>
      <c r="H4164" s="7" t="inlineStr">
        <is>
          <t>Corporate</t>
        </is>
      </c>
      <c r="I4164" s="7" t="n">
        <v>14</v>
      </c>
      <c r="J4164" s="10" t="n">
        <v>7.64</v>
      </c>
      <c r="K4164" s="11" t="n">
        <v>0</v>
      </c>
      <c r="L4164" s="10">
        <f>I4164*J4164*(1-K4164)</f>
        <v/>
      </c>
      <c r="M4164" s="10" t="n">
        <v>44.8</v>
      </c>
      <c r="N4164" s="10">
        <f>L4164-M4164</f>
        <v/>
      </c>
    </row>
    <row r="4165">
      <c r="A4165" s="7" t="inlineStr">
        <is>
          <t>ORD-00597</t>
        </is>
      </c>
      <c r="B4165" s="8" t="n">
        <v>45769</v>
      </c>
      <c r="C4165" s="9" t="n">
        <v>45748</v>
      </c>
      <c r="D4165" s="7" t="n">
        <v>2025</v>
      </c>
      <c r="E4165" s="7" t="inlineStr">
        <is>
          <t>West</t>
        </is>
      </c>
      <c r="F4165" s="7" t="inlineStr">
        <is>
          <t>Technology</t>
        </is>
      </c>
      <c r="G4165" s="7" t="inlineStr">
        <is>
          <t>Headphones</t>
        </is>
      </c>
      <c r="H4165" s="7" t="inlineStr">
        <is>
          <t>Home Office</t>
        </is>
      </c>
      <c r="I4165" s="7" t="n">
        <v>2</v>
      </c>
      <c r="J4165" s="10" t="n">
        <v>124.78</v>
      </c>
      <c r="K4165" s="11" t="n">
        <v>0</v>
      </c>
      <c r="L4165" s="10">
        <f>I4165*J4165*(1-K4165)</f>
        <v/>
      </c>
      <c r="M4165" s="10" t="n">
        <v>144</v>
      </c>
      <c r="N4165" s="10">
        <f>L4165-M4165</f>
        <v/>
      </c>
    </row>
    <row r="4166">
      <c r="A4166" s="7" t="inlineStr">
        <is>
          <t>ORD-02284</t>
        </is>
      </c>
      <c r="B4166" s="8" t="n">
        <v>45770</v>
      </c>
      <c r="C4166" s="9" t="n">
        <v>45748</v>
      </c>
      <c r="D4166" s="7" t="n">
        <v>2025</v>
      </c>
      <c r="E4166" s="7" t="inlineStr">
        <is>
          <t>East</t>
        </is>
      </c>
      <c r="F4166" s="7" t="inlineStr">
        <is>
          <t>Technology</t>
        </is>
      </c>
      <c r="G4166" s="7" t="inlineStr">
        <is>
          <t>Smartphone</t>
        </is>
      </c>
      <c r="H4166" s="7" t="inlineStr">
        <is>
          <t>Corporate</t>
        </is>
      </c>
      <c r="I4166" s="7" t="n">
        <v>2</v>
      </c>
      <c r="J4166" s="10" t="n">
        <v>613.73</v>
      </c>
      <c r="K4166" s="11" t="n">
        <v>0.1</v>
      </c>
      <c r="L4166" s="10">
        <f>I4166*J4166*(1-K4166)</f>
        <v/>
      </c>
      <c r="M4166" s="10" t="n">
        <v>900</v>
      </c>
      <c r="N4166" s="10">
        <f>L4166-M4166</f>
        <v/>
      </c>
    </row>
    <row r="4167">
      <c r="A4167" s="7" t="inlineStr">
        <is>
          <t>ORD-04062</t>
        </is>
      </c>
      <c r="B4167" s="8" t="n">
        <v>45770</v>
      </c>
      <c r="C4167" s="9" t="n">
        <v>45748</v>
      </c>
      <c r="D4167" s="7" t="n">
        <v>2025</v>
      </c>
      <c r="E4167" s="7" t="inlineStr">
        <is>
          <t>East</t>
        </is>
      </c>
      <c r="F4167" s="7" t="inlineStr">
        <is>
          <t>Furniture</t>
        </is>
      </c>
      <c r="G4167" s="7" t="inlineStr">
        <is>
          <t>Office Chair</t>
        </is>
      </c>
      <c r="H4167" s="7" t="inlineStr">
        <is>
          <t>Consumer</t>
        </is>
      </c>
      <c r="I4167" s="7" t="n">
        <v>3</v>
      </c>
      <c r="J4167" s="10" t="n">
        <v>230.89</v>
      </c>
      <c r="K4167" s="11" t="n">
        <v>0</v>
      </c>
      <c r="L4167" s="10">
        <f>I4167*J4167*(1-K4167)</f>
        <v/>
      </c>
      <c r="M4167" s="10" t="n">
        <v>541.2</v>
      </c>
      <c r="N4167" s="10">
        <f>L4167-M4167</f>
        <v/>
      </c>
    </row>
    <row r="4168">
      <c r="A4168" s="7" t="inlineStr">
        <is>
          <t>ORD-04560</t>
        </is>
      </c>
      <c r="B4168" s="8" t="n">
        <v>45770</v>
      </c>
      <c r="C4168" s="9" t="n">
        <v>45748</v>
      </c>
      <c r="D4168" s="7" t="n">
        <v>2025</v>
      </c>
      <c r="E4168" s="7" t="inlineStr">
        <is>
          <t>North</t>
        </is>
      </c>
      <c r="F4168" s="7" t="inlineStr">
        <is>
          <t>Office Supplies</t>
        </is>
      </c>
      <c r="G4168" s="7" t="inlineStr">
        <is>
          <t>Stapler</t>
        </is>
      </c>
      <c r="H4168" s="7" t="inlineStr">
        <is>
          <t>Consumer</t>
        </is>
      </c>
      <c r="I4168" s="7" t="n">
        <v>3</v>
      </c>
      <c r="J4168" s="10" t="n">
        <v>14.39</v>
      </c>
      <c r="K4168" s="11" t="n">
        <v>0</v>
      </c>
      <c r="L4168" s="10">
        <f>I4168*J4168*(1-K4168)</f>
        <v/>
      </c>
      <c r="M4168" s="10" t="n">
        <v>22.5</v>
      </c>
      <c r="N4168" s="10">
        <f>L4168-M4168</f>
        <v/>
      </c>
    </row>
    <row r="4169">
      <c r="A4169" s="7" t="inlineStr">
        <is>
          <t>ORD-04993</t>
        </is>
      </c>
      <c r="B4169" s="8" t="n">
        <v>45770</v>
      </c>
      <c r="C4169" s="9" t="n">
        <v>45748</v>
      </c>
      <c r="D4169" s="7" t="n">
        <v>2025</v>
      </c>
      <c r="E4169" s="7" t="inlineStr">
        <is>
          <t>East</t>
        </is>
      </c>
      <c r="F4169" s="7" t="inlineStr">
        <is>
          <t>Office Supplies</t>
        </is>
      </c>
      <c r="G4169" s="7" t="inlineStr">
        <is>
          <t>Pens</t>
        </is>
      </c>
      <c r="H4169" s="7" t="inlineStr">
        <is>
          <t>Corporate</t>
        </is>
      </c>
      <c r="I4169" s="7" t="n">
        <v>3</v>
      </c>
      <c r="J4169" s="10" t="n">
        <v>12.49</v>
      </c>
      <c r="K4169" s="11" t="n">
        <v>0.1</v>
      </c>
      <c r="L4169" s="10">
        <f>I4169*J4169*(1-K4169)</f>
        <v/>
      </c>
      <c r="M4169" s="10" t="n">
        <v>16.2</v>
      </c>
      <c r="N4169" s="10">
        <f>L4169-M4169</f>
        <v/>
      </c>
    </row>
    <row r="4170">
      <c r="A4170" s="7" t="inlineStr">
        <is>
          <t>ORD-03275</t>
        </is>
      </c>
      <c r="B4170" s="8" t="n">
        <v>45770</v>
      </c>
      <c r="C4170" s="9" t="n">
        <v>45748</v>
      </c>
      <c r="D4170" s="7" t="n">
        <v>2025</v>
      </c>
      <c r="E4170" s="7" t="inlineStr">
        <is>
          <t>South</t>
        </is>
      </c>
      <c r="F4170" s="7" t="inlineStr">
        <is>
          <t>Furniture</t>
        </is>
      </c>
      <c r="G4170" s="7" t="inlineStr">
        <is>
          <t>Bookcase</t>
        </is>
      </c>
      <c r="H4170" s="7" t="inlineStr">
        <is>
          <t>Corporate</t>
        </is>
      </c>
      <c r="I4170" s="7" t="n">
        <v>2</v>
      </c>
      <c r="J4170" s="10" t="n">
        <v>181.32</v>
      </c>
      <c r="K4170" s="11" t="n">
        <v>0.05</v>
      </c>
      <c r="L4170" s="10">
        <f>I4170*J4170*(1-K4170)</f>
        <v/>
      </c>
      <c r="M4170" s="10" t="n">
        <v>288</v>
      </c>
      <c r="N4170" s="10">
        <f>L4170-M4170</f>
        <v/>
      </c>
    </row>
    <row r="4171">
      <c r="A4171" s="7" t="inlineStr">
        <is>
          <t>ORD-03535</t>
        </is>
      </c>
      <c r="B4171" s="8" t="n">
        <v>45771</v>
      </c>
      <c r="C4171" s="9" t="n">
        <v>45748</v>
      </c>
      <c r="D4171" s="7" t="n">
        <v>2025</v>
      </c>
      <c r="E4171" s="7" t="inlineStr">
        <is>
          <t>North</t>
        </is>
      </c>
      <c r="F4171" s="7" t="inlineStr">
        <is>
          <t>Office Supplies</t>
        </is>
      </c>
      <c r="G4171" s="7" t="inlineStr">
        <is>
          <t>Paper</t>
        </is>
      </c>
      <c r="H4171" s="7" t="inlineStr">
        <is>
          <t>Corporate</t>
        </is>
      </c>
      <c r="I4171" s="7" t="n">
        <v>2</v>
      </c>
      <c r="J4171" s="10" t="n">
        <v>25.38</v>
      </c>
      <c r="K4171" s="11" t="n">
        <v>0.2</v>
      </c>
      <c r="L4171" s="10">
        <f>I4171*J4171*(1-K4171)</f>
        <v/>
      </c>
      <c r="M4171" s="10" t="n">
        <v>25</v>
      </c>
      <c r="N4171" s="10">
        <f>L4171-M4171</f>
        <v/>
      </c>
    </row>
    <row r="4172">
      <c r="A4172" s="7" t="inlineStr">
        <is>
          <t>ORD-03903</t>
        </is>
      </c>
      <c r="B4172" s="8" t="n">
        <v>45771</v>
      </c>
      <c r="C4172" s="9" t="n">
        <v>45748</v>
      </c>
      <c r="D4172" s="7" t="n">
        <v>2025</v>
      </c>
      <c r="E4172" s="7" t="inlineStr">
        <is>
          <t>South</t>
        </is>
      </c>
      <c r="F4172" s="7" t="inlineStr">
        <is>
          <t>Office Supplies</t>
        </is>
      </c>
      <c r="G4172" s="7" t="inlineStr">
        <is>
          <t>Pens</t>
        </is>
      </c>
      <c r="H4172" s="7" t="inlineStr">
        <is>
          <t>Home Office</t>
        </is>
      </c>
      <c r="I4172" s="7" t="n">
        <v>12</v>
      </c>
      <c r="J4172" s="10" t="n">
        <v>12.47</v>
      </c>
      <c r="K4172" s="11" t="n">
        <v>0.3</v>
      </c>
      <c r="L4172" s="10">
        <f>I4172*J4172*(1-K4172)</f>
        <v/>
      </c>
      <c r="M4172" s="10" t="n">
        <v>64.8</v>
      </c>
      <c r="N4172" s="10">
        <f>L4172-M4172</f>
        <v/>
      </c>
    </row>
    <row r="4173">
      <c r="A4173" s="7" t="inlineStr">
        <is>
          <t>ORD-02227</t>
        </is>
      </c>
      <c r="B4173" s="8" t="n">
        <v>45771</v>
      </c>
      <c r="C4173" s="9" t="n">
        <v>45748</v>
      </c>
      <c r="D4173" s="7" t="n">
        <v>2025</v>
      </c>
      <c r="E4173" s="7" t="inlineStr">
        <is>
          <t>South</t>
        </is>
      </c>
      <c r="F4173" s="7" t="inlineStr">
        <is>
          <t>Office Supplies</t>
        </is>
      </c>
      <c r="G4173" s="7" t="inlineStr">
        <is>
          <t>Pens</t>
        </is>
      </c>
      <c r="H4173" s="7" t="inlineStr">
        <is>
          <t>Consumer</t>
        </is>
      </c>
      <c r="I4173" s="7" t="n">
        <v>11</v>
      </c>
      <c r="J4173" s="10" t="n">
        <v>11.77</v>
      </c>
      <c r="K4173" s="11" t="n">
        <v>0.05</v>
      </c>
      <c r="L4173" s="10">
        <f>I4173*J4173*(1-K4173)</f>
        <v/>
      </c>
      <c r="M4173" s="10" t="n">
        <v>59.4</v>
      </c>
      <c r="N4173" s="10">
        <f>L4173-M4173</f>
        <v/>
      </c>
    </row>
    <row r="4174">
      <c r="A4174" s="7" t="inlineStr">
        <is>
          <t>ORD-05807</t>
        </is>
      </c>
      <c r="B4174" s="8" t="n">
        <v>45771</v>
      </c>
      <c r="C4174" s="9" t="n">
        <v>45748</v>
      </c>
      <c r="D4174" s="7" t="n">
        <v>2025</v>
      </c>
      <c r="E4174" s="7" t="inlineStr">
        <is>
          <t>South</t>
        </is>
      </c>
      <c r="F4174" s="7" t="inlineStr">
        <is>
          <t>Office Supplies</t>
        </is>
      </c>
      <c r="G4174" s="7" t="inlineStr">
        <is>
          <t>Pens</t>
        </is>
      </c>
      <c r="H4174" s="7" t="inlineStr">
        <is>
          <t>Consumer</t>
        </is>
      </c>
      <c r="I4174" s="7" t="n">
        <v>10</v>
      </c>
      <c r="J4174" s="10" t="n">
        <v>11.72</v>
      </c>
      <c r="K4174" s="11" t="n">
        <v>0.3</v>
      </c>
      <c r="L4174" s="10">
        <f>I4174*J4174*(1-K4174)</f>
        <v/>
      </c>
      <c r="M4174" s="10" t="n">
        <v>54</v>
      </c>
      <c r="N4174" s="10">
        <f>L4174-M4174</f>
        <v/>
      </c>
    </row>
    <row r="4175">
      <c r="A4175" s="7" t="inlineStr">
        <is>
          <t>ORD-02911</t>
        </is>
      </c>
      <c r="B4175" s="8" t="n">
        <v>45771</v>
      </c>
      <c r="C4175" s="9" t="n">
        <v>45748</v>
      </c>
      <c r="D4175" s="7" t="n">
        <v>2025</v>
      </c>
      <c r="E4175" s="7" t="inlineStr">
        <is>
          <t>East</t>
        </is>
      </c>
      <c r="F4175" s="7" t="inlineStr">
        <is>
          <t>Technology</t>
        </is>
      </c>
      <c r="G4175" s="7" t="inlineStr">
        <is>
          <t>Laptop</t>
        </is>
      </c>
      <c r="H4175" s="7" t="inlineStr">
        <is>
          <t>Consumer</t>
        </is>
      </c>
      <c r="I4175" s="7" t="n">
        <v>3</v>
      </c>
      <c r="J4175" s="10" t="n">
        <v>892.71</v>
      </c>
      <c r="K4175" s="11" t="n">
        <v>0</v>
      </c>
      <c r="L4175" s="10">
        <f>I4175*J4175*(1-K4175)</f>
        <v/>
      </c>
      <c r="M4175" s="10" t="n">
        <v>2106</v>
      </c>
      <c r="N4175" s="10">
        <f>L4175-M4175</f>
        <v/>
      </c>
    </row>
    <row r="4176">
      <c r="A4176" s="7" t="inlineStr">
        <is>
          <t>ORD-03777</t>
        </is>
      </c>
      <c r="B4176" s="8" t="n">
        <v>45771</v>
      </c>
      <c r="C4176" s="9" t="n">
        <v>45748</v>
      </c>
      <c r="D4176" s="7" t="n">
        <v>2025</v>
      </c>
      <c r="E4176" s="7" t="inlineStr">
        <is>
          <t>West</t>
        </is>
      </c>
      <c r="F4176" s="7" t="inlineStr">
        <is>
          <t>Technology</t>
        </is>
      </c>
      <c r="G4176" s="7" t="inlineStr">
        <is>
          <t>Laptop</t>
        </is>
      </c>
      <c r="H4176" s="7" t="inlineStr">
        <is>
          <t>Consumer</t>
        </is>
      </c>
      <c r="I4176" s="7" t="n">
        <v>2</v>
      </c>
      <c r="J4176" s="10" t="n">
        <v>944.58</v>
      </c>
      <c r="K4176" s="11" t="n">
        <v>0</v>
      </c>
      <c r="L4176" s="10">
        <f>I4176*J4176*(1-K4176)</f>
        <v/>
      </c>
      <c r="M4176" s="10" t="n">
        <v>1404</v>
      </c>
      <c r="N4176" s="10">
        <f>L4176-M4176</f>
        <v/>
      </c>
    </row>
    <row r="4177">
      <c r="A4177" s="7" t="inlineStr">
        <is>
          <t>ORD-03482</t>
        </is>
      </c>
      <c r="B4177" s="8" t="n">
        <v>45771</v>
      </c>
      <c r="C4177" s="9" t="n">
        <v>45748</v>
      </c>
      <c r="D4177" s="7" t="n">
        <v>2025</v>
      </c>
      <c r="E4177" s="7" t="inlineStr">
        <is>
          <t>East</t>
        </is>
      </c>
      <c r="F4177" s="7" t="inlineStr">
        <is>
          <t>Office Supplies</t>
        </is>
      </c>
      <c r="G4177" s="7" t="inlineStr">
        <is>
          <t>Pens</t>
        </is>
      </c>
      <c r="H4177" s="7" t="inlineStr">
        <is>
          <t>Consumer</t>
        </is>
      </c>
      <c r="I4177" s="7" t="n">
        <v>3</v>
      </c>
      <c r="J4177" s="10" t="n">
        <v>11.91</v>
      </c>
      <c r="K4177" s="11" t="n">
        <v>0</v>
      </c>
      <c r="L4177" s="10">
        <f>I4177*J4177*(1-K4177)</f>
        <v/>
      </c>
      <c r="M4177" s="10" t="n">
        <v>16.2</v>
      </c>
      <c r="N4177" s="10">
        <f>L4177-M4177</f>
        <v/>
      </c>
    </row>
    <row r="4178">
      <c r="A4178" s="7" t="inlineStr">
        <is>
          <t>ORD-01421</t>
        </is>
      </c>
      <c r="B4178" s="8" t="n">
        <v>45771</v>
      </c>
      <c r="C4178" s="9" t="n">
        <v>45748</v>
      </c>
      <c r="D4178" s="7" t="n">
        <v>2025</v>
      </c>
      <c r="E4178" s="7" t="inlineStr">
        <is>
          <t>West</t>
        </is>
      </c>
      <c r="F4178" s="7" t="inlineStr">
        <is>
          <t>Office Supplies</t>
        </is>
      </c>
      <c r="G4178" s="7" t="inlineStr">
        <is>
          <t>Printer Ink</t>
        </is>
      </c>
      <c r="H4178" s="7" t="inlineStr">
        <is>
          <t>Consumer</t>
        </is>
      </c>
      <c r="I4178" s="7" t="n">
        <v>10</v>
      </c>
      <c r="J4178" s="10" t="n">
        <v>60.08</v>
      </c>
      <c r="K4178" s="11" t="n">
        <v>0.2</v>
      </c>
      <c r="L4178" s="10">
        <f>I4178*J4178*(1-K4178)</f>
        <v/>
      </c>
      <c r="M4178" s="10" t="n">
        <v>360</v>
      </c>
      <c r="N4178" s="10">
        <f>L4178-M4178</f>
        <v/>
      </c>
    </row>
    <row r="4179">
      <c r="A4179" s="7" t="inlineStr">
        <is>
          <t>ORD-00055</t>
        </is>
      </c>
      <c r="B4179" s="8" t="n">
        <v>45771</v>
      </c>
      <c r="C4179" s="9" t="n">
        <v>45748</v>
      </c>
      <c r="D4179" s="7" t="n">
        <v>2025</v>
      </c>
      <c r="E4179" s="7" t="inlineStr">
        <is>
          <t>West</t>
        </is>
      </c>
      <c r="F4179" s="7" t="inlineStr">
        <is>
          <t>Technology</t>
        </is>
      </c>
      <c r="G4179" s="7" t="inlineStr">
        <is>
          <t>Monitor</t>
        </is>
      </c>
      <c r="H4179" s="7" t="inlineStr">
        <is>
          <t>Home Office</t>
        </is>
      </c>
      <c r="I4179" s="7" t="n">
        <v>2</v>
      </c>
      <c r="J4179" s="10" t="n">
        <v>255.63</v>
      </c>
      <c r="K4179" s="11" t="n">
        <v>0</v>
      </c>
      <c r="L4179" s="10">
        <f>I4179*J4179*(1-K4179)</f>
        <v/>
      </c>
      <c r="M4179" s="10" t="n">
        <v>360</v>
      </c>
      <c r="N4179" s="10">
        <f>L4179-M4179</f>
        <v/>
      </c>
    </row>
    <row r="4180">
      <c r="A4180" s="7" t="inlineStr">
        <is>
          <t>ORD-01534</t>
        </is>
      </c>
      <c r="B4180" s="8" t="n">
        <v>45771</v>
      </c>
      <c r="C4180" s="9" t="n">
        <v>45748</v>
      </c>
      <c r="D4180" s="7" t="n">
        <v>2025</v>
      </c>
      <c r="E4180" s="7" t="inlineStr">
        <is>
          <t>West</t>
        </is>
      </c>
      <c r="F4180" s="7" t="inlineStr">
        <is>
          <t>Office Supplies</t>
        </is>
      </c>
      <c r="G4180" s="7" t="inlineStr">
        <is>
          <t>Binder</t>
        </is>
      </c>
      <c r="H4180" s="7" t="inlineStr">
        <is>
          <t>Home Office</t>
        </is>
      </c>
      <c r="I4180" s="7" t="n">
        <v>7</v>
      </c>
      <c r="J4180" s="10" t="n">
        <v>8.32</v>
      </c>
      <c r="K4180" s="11" t="n">
        <v>0.1</v>
      </c>
      <c r="L4180" s="10">
        <f>I4180*J4180*(1-K4180)</f>
        <v/>
      </c>
      <c r="M4180" s="10" t="n">
        <v>22.4</v>
      </c>
      <c r="N4180" s="10">
        <f>L4180-M4180</f>
        <v/>
      </c>
    </row>
    <row r="4181">
      <c r="A4181" s="7" t="inlineStr">
        <is>
          <t>ORD-01387</t>
        </is>
      </c>
      <c r="B4181" s="8" t="n">
        <v>45772</v>
      </c>
      <c r="C4181" s="9" t="n">
        <v>45748</v>
      </c>
      <c r="D4181" s="7" t="n">
        <v>2025</v>
      </c>
      <c r="E4181" s="7" t="inlineStr">
        <is>
          <t>East</t>
        </is>
      </c>
      <c r="F4181" s="7" t="inlineStr">
        <is>
          <t>Office Supplies</t>
        </is>
      </c>
      <c r="G4181" s="7" t="inlineStr">
        <is>
          <t>Binder</t>
        </is>
      </c>
      <c r="H4181" s="7" t="inlineStr">
        <is>
          <t>Consumer</t>
        </is>
      </c>
      <c r="I4181" s="7" t="n">
        <v>8</v>
      </c>
      <c r="J4181" s="10" t="n">
        <v>7.64</v>
      </c>
      <c r="K4181" s="11" t="n">
        <v>0</v>
      </c>
      <c r="L4181" s="10">
        <f>I4181*J4181*(1-K4181)</f>
        <v/>
      </c>
      <c r="M4181" s="10" t="n">
        <v>25.6</v>
      </c>
      <c r="N4181" s="10">
        <f>L4181-M4181</f>
        <v/>
      </c>
    </row>
    <row r="4182">
      <c r="A4182" s="7" t="inlineStr">
        <is>
          <t>ORD-03848</t>
        </is>
      </c>
      <c r="B4182" s="8" t="n">
        <v>45772</v>
      </c>
      <c r="C4182" s="9" t="n">
        <v>45748</v>
      </c>
      <c r="D4182" s="7" t="n">
        <v>2025</v>
      </c>
      <c r="E4182" s="7" t="inlineStr">
        <is>
          <t>East</t>
        </is>
      </c>
      <c r="F4182" s="7" t="inlineStr">
        <is>
          <t>Technology</t>
        </is>
      </c>
      <c r="G4182" s="7" t="inlineStr">
        <is>
          <t>Monitor</t>
        </is>
      </c>
      <c r="H4182" s="7" t="inlineStr">
        <is>
          <t>Consumer</t>
        </is>
      </c>
      <c r="I4182" s="7" t="n">
        <v>3</v>
      </c>
      <c r="J4182" s="10" t="n">
        <v>238.21</v>
      </c>
      <c r="K4182" s="11" t="n">
        <v>0</v>
      </c>
      <c r="L4182" s="10">
        <f>I4182*J4182*(1-K4182)</f>
        <v/>
      </c>
      <c r="M4182" s="10" t="n">
        <v>540</v>
      </c>
      <c r="N4182" s="10">
        <f>L4182-M4182</f>
        <v/>
      </c>
    </row>
    <row r="4183">
      <c r="A4183" s="7" t="inlineStr">
        <is>
          <t>ORD-00532</t>
        </is>
      </c>
      <c r="B4183" s="8" t="n">
        <v>45772</v>
      </c>
      <c r="C4183" s="9" t="n">
        <v>45748</v>
      </c>
      <c r="D4183" s="7" t="n">
        <v>2025</v>
      </c>
      <c r="E4183" s="7" t="inlineStr">
        <is>
          <t>North</t>
        </is>
      </c>
      <c r="F4183" s="7" t="inlineStr">
        <is>
          <t>Office Supplies</t>
        </is>
      </c>
      <c r="G4183" s="7" t="inlineStr">
        <is>
          <t>Printer Ink</t>
        </is>
      </c>
      <c r="H4183" s="7" t="inlineStr">
        <is>
          <t>Corporate</t>
        </is>
      </c>
      <c r="I4183" s="7" t="n">
        <v>7</v>
      </c>
      <c r="J4183" s="10" t="n">
        <v>60.24</v>
      </c>
      <c r="K4183" s="11" t="n">
        <v>0</v>
      </c>
      <c r="L4183" s="10">
        <f>I4183*J4183*(1-K4183)</f>
        <v/>
      </c>
      <c r="M4183" s="10" t="n">
        <v>252</v>
      </c>
      <c r="N4183" s="10">
        <f>L4183-M4183</f>
        <v/>
      </c>
    </row>
    <row r="4184">
      <c r="A4184" s="7" t="inlineStr">
        <is>
          <t>ORD-03036</t>
        </is>
      </c>
      <c r="B4184" s="8" t="n">
        <v>45772</v>
      </c>
      <c r="C4184" s="9" t="n">
        <v>45748</v>
      </c>
      <c r="D4184" s="7" t="n">
        <v>2025</v>
      </c>
      <c r="E4184" s="7" t="inlineStr">
        <is>
          <t>West</t>
        </is>
      </c>
      <c r="F4184" s="7" t="inlineStr">
        <is>
          <t>Technology</t>
        </is>
      </c>
      <c r="G4184" s="7" t="inlineStr">
        <is>
          <t>Smartphone</t>
        </is>
      </c>
      <c r="H4184" s="7" t="inlineStr">
        <is>
          <t>Consumer</t>
        </is>
      </c>
      <c r="I4184" s="7" t="n">
        <v>3</v>
      </c>
      <c r="J4184" s="10" t="n">
        <v>608.17</v>
      </c>
      <c r="K4184" s="11" t="n">
        <v>0.3</v>
      </c>
      <c r="L4184" s="10">
        <f>I4184*J4184*(1-K4184)</f>
        <v/>
      </c>
      <c r="M4184" s="10" t="n">
        <v>1350</v>
      </c>
      <c r="N4184" s="10">
        <f>L4184-M4184</f>
        <v/>
      </c>
    </row>
    <row r="4185">
      <c r="A4185" s="7" t="inlineStr">
        <is>
          <t>ORD-04172</t>
        </is>
      </c>
      <c r="B4185" s="8" t="n">
        <v>45773</v>
      </c>
      <c r="C4185" s="9" t="n">
        <v>45748</v>
      </c>
      <c r="D4185" s="7" t="n">
        <v>2025</v>
      </c>
      <c r="E4185" s="7" t="inlineStr">
        <is>
          <t>West</t>
        </is>
      </c>
      <c r="F4185" s="7" t="inlineStr">
        <is>
          <t>Office Supplies</t>
        </is>
      </c>
      <c r="G4185" s="7" t="inlineStr">
        <is>
          <t>Binder</t>
        </is>
      </c>
      <c r="H4185" s="7" t="inlineStr">
        <is>
          <t>Consumer</t>
        </is>
      </c>
      <c r="I4185" s="7" t="n">
        <v>6</v>
      </c>
      <c r="J4185" s="10" t="n">
        <v>7.78</v>
      </c>
      <c r="K4185" s="11" t="n">
        <v>0</v>
      </c>
      <c r="L4185" s="10">
        <f>I4185*J4185*(1-K4185)</f>
        <v/>
      </c>
      <c r="M4185" s="10" t="n">
        <v>19.2</v>
      </c>
      <c r="N4185" s="10">
        <f>L4185-M4185</f>
        <v/>
      </c>
    </row>
    <row r="4186">
      <c r="A4186" s="7" t="inlineStr">
        <is>
          <t>ORD-02739</t>
        </is>
      </c>
      <c r="B4186" s="8" t="n">
        <v>45773</v>
      </c>
      <c r="C4186" s="9" t="n">
        <v>45748</v>
      </c>
      <c r="D4186" s="7" t="n">
        <v>2025</v>
      </c>
      <c r="E4186" s="7" t="inlineStr">
        <is>
          <t>South</t>
        </is>
      </c>
      <c r="F4186" s="7" t="inlineStr">
        <is>
          <t>Office Supplies</t>
        </is>
      </c>
      <c r="G4186" s="7" t="inlineStr">
        <is>
          <t>Pens</t>
        </is>
      </c>
      <c r="H4186" s="7" t="inlineStr">
        <is>
          <t>Consumer</t>
        </is>
      </c>
      <c r="I4186" s="7" t="n">
        <v>5</v>
      </c>
      <c r="J4186" s="10" t="n">
        <v>12.47</v>
      </c>
      <c r="K4186" s="11" t="n">
        <v>0.05</v>
      </c>
      <c r="L4186" s="10">
        <f>I4186*J4186*(1-K4186)</f>
        <v/>
      </c>
      <c r="M4186" s="10" t="n">
        <v>27</v>
      </c>
      <c r="N4186" s="10">
        <f>L4186-M4186</f>
        <v/>
      </c>
    </row>
    <row r="4187">
      <c r="A4187" s="7" t="inlineStr">
        <is>
          <t>ORD-03859</t>
        </is>
      </c>
      <c r="B4187" s="8" t="n">
        <v>45773</v>
      </c>
      <c r="C4187" s="9" t="n">
        <v>45748</v>
      </c>
      <c r="D4187" s="7" t="n">
        <v>2025</v>
      </c>
      <c r="E4187" s="7" t="inlineStr">
        <is>
          <t>East</t>
        </is>
      </c>
      <c r="F4187" s="7" t="inlineStr">
        <is>
          <t>Furniture</t>
        </is>
      </c>
      <c r="G4187" s="7" t="inlineStr">
        <is>
          <t>Sofa</t>
        </is>
      </c>
      <c r="H4187" s="7" t="inlineStr">
        <is>
          <t>Corporate</t>
        </is>
      </c>
      <c r="I4187" s="7" t="n">
        <v>4</v>
      </c>
      <c r="J4187" s="10" t="n">
        <v>668.42</v>
      </c>
      <c r="K4187" s="11" t="n">
        <v>0.05</v>
      </c>
      <c r="L4187" s="10">
        <f>I4187*J4187*(1-K4187)</f>
        <v/>
      </c>
      <c r="M4187" s="10" t="n">
        <v>2464</v>
      </c>
      <c r="N4187" s="10">
        <f>L4187-M4187</f>
        <v/>
      </c>
    </row>
    <row r="4188">
      <c r="A4188" s="7" t="inlineStr">
        <is>
          <t>ORD-00800</t>
        </is>
      </c>
      <c r="B4188" s="8" t="n">
        <v>45774</v>
      </c>
      <c r="C4188" s="9" t="n">
        <v>45748</v>
      </c>
      <c r="D4188" s="7" t="n">
        <v>2025</v>
      </c>
      <c r="E4188" s="7" t="inlineStr">
        <is>
          <t>West</t>
        </is>
      </c>
      <c r="F4188" s="7" t="inlineStr">
        <is>
          <t>Furniture</t>
        </is>
      </c>
      <c r="G4188" s="7" t="inlineStr">
        <is>
          <t>Bookcase</t>
        </is>
      </c>
      <c r="H4188" s="7" t="inlineStr">
        <is>
          <t>Corporate</t>
        </is>
      </c>
      <c r="I4188" s="7" t="n">
        <v>3</v>
      </c>
      <c r="J4188" s="10" t="n">
        <v>186.8</v>
      </c>
      <c r="K4188" s="11" t="n">
        <v>0.2</v>
      </c>
      <c r="L4188" s="10">
        <f>I4188*J4188*(1-K4188)</f>
        <v/>
      </c>
      <c r="M4188" s="10" t="n">
        <v>432</v>
      </c>
      <c r="N4188" s="10">
        <f>L4188-M4188</f>
        <v/>
      </c>
    </row>
    <row r="4189">
      <c r="A4189" s="7" t="inlineStr">
        <is>
          <t>ORD-03323</t>
        </is>
      </c>
      <c r="B4189" s="8" t="n">
        <v>45774</v>
      </c>
      <c r="C4189" s="9" t="n">
        <v>45748</v>
      </c>
      <c r="D4189" s="7" t="n">
        <v>2025</v>
      </c>
      <c r="E4189" s="7" t="inlineStr">
        <is>
          <t>West</t>
        </is>
      </c>
      <c r="F4189" s="7" t="inlineStr">
        <is>
          <t>Office Supplies</t>
        </is>
      </c>
      <c r="G4189" s="7" t="inlineStr">
        <is>
          <t>Binder</t>
        </is>
      </c>
      <c r="H4189" s="7" t="inlineStr">
        <is>
          <t>Consumer</t>
        </is>
      </c>
      <c r="I4189" s="7" t="n">
        <v>10</v>
      </c>
      <c r="J4189" s="10" t="n">
        <v>7.67</v>
      </c>
      <c r="K4189" s="11" t="n">
        <v>0</v>
      </c>
      <c r="L4189" s="10">
        <f>I4189*J4189*(1-K4189)</f>
        <v/>
      </c>
      <c r="M4189" s="10" t="n">
        <v>32</v>
      </c>
      <c r="N4189" s="10">
        <f>L4189-M4189</f>
        <v/>
      </c>
    </row>
    <row r="4190">
      <c r="A4190" s="7" t="inlineStr">
        <is>
          <t>ORD-05777</t>
        </is>
      </c>
      <c r="B4190" s="8" t="n">
        <v>45774</v>
      </c>
      <c r="C4190" s="9" t="n">
        <v>45748</v>
      </c>
      <c r="D4190" s="7" t="n">
        <v>2025</v>
      </c>
      <c r="E4190" s="7" t="inlineStr">
        <is>
          <t>West</t>
        </is>
      </c>
      <c r="F4190" s="7" t="inlineStr">
        <is>
          <t>Technology</t>
        </is>
      </c>
      <c r="G4190" s="7" t="inlineStr">
        <is>
          <t>Monitor</t>
        </is>
      </c>
      <c r="H4190" s="7" t="inlineStr">
        <is>
          <t>Corporate</t>
        </is>
      </c>
      <c r="I4190" s="7" t="n">
        <v>1</v>
      </c>
      <c r="J4190" s="10" t="n">
        <v>245.62</v>
      </c>
      <c r="K4190" s="11" t="n">
        <v>0.1</v>
      </c>
      <c r="L4190" s="10">
        <f>I4190*J4190*(1-K4190)</f>
        <v/>
      </c>
      <c r="M4190" s="10" t="n">
        <v>180</v>
      </c>
      <c r="N4190" s="10">
        <f>L4190-M4190</f>
        <v/>
      </c>
    </row>
    <row r="4191">
      <c r="A4191" s="7" t="inlineStr">
        <is>
          <t>ORD-03512</t>
        </is>
      </c>
      <c r="B4191" s="8" t="n">
        <v>45774</v>
      </c>
      <c r="C4191" s="9" t="n">
        <v>45748</v>
      </c>
      <c r="D4191" s="7" t="n">
        <v>2025</v>
      </c>
      <c r="E4191" s="7" t="inlineStr">
        <is>
          <t>East</t>
        </is>
      </c>
      <c r="F4191" s="7" t="inlineStr">
        <is>
          <t>Office Supplies</t>
        </is>
      </c>
      <c r="G4191" s="7" t="inlineStr">
        <is>
          <t>Paper</t>
        </is>
      </c>
      <c r="H4191" s="7" t="inlineStr">
        <is>
          <t>Corporate</t>
        </is>
      </c>
      <c r="I4191" s="7" t="n">
        <v>13</v>
      </c>
      <c r="J4191" s="10" t="n">
        <v>24.48</v>
      </c>
      <c r="K4191" s="11" t="n">
        <v>0</v>
      </c>
      <c r="L4191" s="10">
        <f>I4191*J4191*(1-K4191)</f>
        <v/>
      </c>
      <c r="M4191" s="10" t="n">
        <v>162.5</v>
      </c>
      <c r="N4191" s="10">
        <f>L4191-M4191</f>
        <v/>
      </c>
    </row>
    <row r="4192">
      <c r="A4192" s="7" t="inlineStr">
        <is>
          <t>ORD-01525</t>
        </is>
      </c>
      <c r="B4192" s="8" t="n">
        <v>45774</v>
      </c>
      <c r="C4192" s="9" t="n">
        <v>45748</v>
      </c>
      <c r="D4192" s="7" t="n">
        <v>2025</v>
      </c>
      <c r="E4192" s="7" t="inlineStr">
        <is>
          <t>West</t>
        </is>
      </c>
      <c r="F4192" s="7" t="inlineStr">
        <is>
          <t>Office Supplies</t>
        </is>
      </c>
      <c r="G4192" s="7" t="inlineStr">
        <is>
          <t>Pens</t>
        </is>
      </c>
      <c r="H4192" s="7" t="inlineStr">
        <is>
          <t>Consumer</t>
        </is>
      </c>
      <c r="I4192" s="7" t="n">
        <v>15</v>
      </c>
      <c r="J4192" s="10" t="n">
        <v>12.32</v>
      </c>
      <c r="K4192" s="11" t="n">
        <v>0</v>
      </c>
      <c r="L4192" s="10">
        <f>I4192*J4192*(1-K4192)</f>
        <v/>
      </c>
      <c r="M4192" s="10" t="n">
        <v>81</v>
      </c>
      <c r="N4192" s="10">
        <f>L4192-M4192</f>
        <v/>
      </c>
    </row>
    <row r="4193">
      <c r="A4193" s="7" t="inlineStr">
        <is>
          <t>ORD-05610</t>
        </is>
      </c>
      <c r="B4193" s="8" t="n">
        <v>45775</v>
      </c>
      <c r="C4193" s="9" t="n">
        <v>45748</v>
      </c>
      <c r="D4193" s="7" t="n">
        <v>2025</v>
      </c>
      <c r="E4193" s="7" t="inlineStr">
        <is>
          <t>West</t>
        </is>
      </c>
      <c r="F4193" s="7" t="inlineStr">
        <is>
          <t>Office Supplies</t>
        </is>
      </c>
      <c r="G4193" s="7" t="inlineStr">
        <is>
          <t>Pens</t>
        </is>
      </c>
      <c r="H4193" s="7" t="inlineStr">
        <is>
          <t>Consumer</t>
        </is>
      </c>
      <c r="I4193" s="7" t="n">
        <v>6</v>
      </c>
      <c r="J4193" s="10" t="n">
        <v>11.92</v>
      </c>
      <c r="K4193" s="11" t="n">
        <v>0</v>
      </c>
      <c r="L4193" s="10">
        <f>I4193*J4193*(1-K4193)</f>
        <v/>
      </c>
      <c r="M4193" s="10" t="n">
        <v>32.4</v>
      </c>
      <c r="N4193" s="10">
        <f>L4193-M4193</f>
        <v/>
      </c>
    </row>
    <row r="4194">
      <c r="A4194" s="7" t="inlineStr">
        <is>
          <t>ORD-02292</t>
        </is>
      </c>
      <c r="B4194" s="8" t="n">
        <v>45775</v>
      </c>
      <c r="C4194" s="9" t="n">
        <v>45748</v>
      </c>
      <c r="D4194" s="7" t="n">
        <v>2025</v>
      </c>
      <c r="E4194" s="7" t="inlineStr">
        <is>
          <t>North</t>
        </is>
      </c>
      <c r="F4194" s="7" t="inlineStr">
        <is>
          <t>Office Supplies</t>
        </is>
      </c>
      <c r="G4194" s="7" t="inlineStr">
        <is>
          <t>Binder</t>
        </is>
      </c>
      <c r="H4194" s="7" t="inlineStr">
        <is>
          <t>Consumer</t>
        </is>
      </c>
      <c r="I4194" s="7" t="n">
        <v>7</v>
      </c>
      <c r="J4194" s="10" t="n">
        <v>8.23</v>
      </c>
      <c r="K4194" s="11" t="n">
        <v>0</v>
      </c>
      <c r="L4194" s="10">
        <f>I4194*J4194*(1-K4194)</f>
        <v/>
      </c>
      <c r="M4194" s="10" t="n">
        <v>22.4</v>
      </c>
      <c r="N4194" s="10">
        <f>L4194-M4194</f>
        <v/>
      </c>
    </row>
    <row r="4195">
      <c r="A4195" s="7" t="inlineStr">
        <is>
          <t>ORD-03016</t>
        </is>
      </c>
      <c r="B4195" s="8" t="n">
        <v>45775</v>
      </c>
      <c r="C4195" s="9" t="n">
        <v>45748</v>
      </c>
      <c r="D4195" s="7" t="n">
        <v>2025</v>
      </c>
      <c r="E4195" s="7" t="inlineStr">
        <is>
          <t>North</t>
        </is>
      </c>
      <c r="F4195" s="7" t="inlineStr">
        <is>
          <t>Furniture</t>
        </is>
      </c>
      <c r="G4195" s="7" t="inlineStr">
        <is>
          <t>Office Chair</t>
        </is>
      </c>
      <c r="H4195" s="7" t="inlineStr">
        <is>
          <t>Home Office</t>
        </is>
      </c>
      <c r="I4195" s="7" t="n">
        <v>4</v>
      </c>
      <c r="J4195" s="10" t="n">
        <v>220.42</v>
      </c>
      <c r="K4195" s="11" t="n">
        <v>0.2</v>
      </c>
      <c r="L4195" s="10">
        <f>I4195*J4195*(1-K4195)</f>
        <v/>
      </c>
      <c r="M4195" s="10" t="n">
        <v>721.6</v>
      </c>
      <c r="N4195" s="10">
        <f>L4195-M4195</f>
        <v/>
      </c>
    </row>
    <row r="4196">
      <c r="A4196" s="7" t="inlineStr">
        <is>
          <t>ORD-02920</t>
        </is>
      </c>
      <c r="B4196" s="8" t="n">
        <v>45775</v>
      </c>
      <c r="C4196" s="9" t="n">
        <v>45748</v>
      </c>
      <c r="D4196" s="7" t="n">
        <v>2025</v>
      </c>
      <c r="E4196" s="7" t="inlineStr">
        <is>
          <t>South</t>
        </is>
      </c>
      <c r="F4196" s="7" t="inlineStr">
        <is>
          <t>Furniture</t>
        </is>
      </c>
      <c r="G4196" s="7" t="inlineStr">
        <is>
          <t>Sofa</t>
        </is>
      </c>
      <c r="H4196" s="7" t="inlineStr">
        <is>
          <t>Consumer</t>
        </is>
      </c>
      <c r="I4196" s="7" t="n">
        <v>4</v>
      </c>
      <c r="J4196" s="10" t="n">
        <v>693.41</v>
      </c>
      <c r="K4196" s="11" t="n">
        <v>0.1</v>
      </c>
      <c r="L4196" s="10">
        <f>I4196*J4196*(1-K4196)</f>
        <v/>
      </c>
      <c r="M4196" s="10" t="n">
        <v>2464</v>
      </c>
      <c r="N4196" s="10">
        <f>L4196-M4196</f>
        <v/>
      </c>
    </row>
    <row r="4197">
      <c r="A4197" s="7" t="inlineStr">
        <is>
          <t>ORD-03274</t>
        </is>
      </c>
      <c r="B4197" s="8" t="n">
        <v>45776</v>
      </c>
      <c r="C4197" s="9" t="n">
        <v>45748</v>
      </c>
      <c r="D4197" s="7" t="n">
        <v>2025</v>
      </c>
      <c r="E4197" s="7" t="inlineStr">
        <is>
          <t>South</t>
        </is>
      </c>
      <c r="F4197" s="7" t="inlineStr">
        <is>
          <t>Furniture</t>
        </is>
      </c>
      <c r="G4197" s="7" t="inlineStr">
        <is>
          <t>Office Chair</t>
        </is>
      </c>
      <c r="H4197" s="7" t="inlineStr">
        <is>
          <t>Corporate</t>
        </is>
      </c>
      <c r="I4197" s="7" t="n">
        <v>3</v>
      </c>
      <c r="J4197" s="10" t="n">
        <v>213.65</v>
      </c>
      <c r="K4197" s="11" t="n">
        <v>0.2</v>
      </c>
      <c r="L4197" s="10">
        <f>I4197*J4197*(1-K4197)</f>
        <v/>
      </c>
      <c r="M4197" s="10" t="n">
        <v>541.2</v>
      </c>
      <c r="N4197" s="10">
        <f>L4197-M4197</f>
        <v/>
      </c>
    </row>
    <row r="4198">
      <c r="A4198" s="7" t="inlineStr">
        <is>
          <t>ORD-03729</t>
        </is>
      </c>
      <c r="B4198" s="8" t="n">
        <v>45776</v>
      </c>
      <c r="C4198" s="9" t="n">
        <v>45748</v>
      </c>
      <c r="D4198" s="7" t="n">
        <v>2025</v>
      </c>
      <c r="E4198" s="7" t="inlineStr">
        <is>
          <t>South</t>
        </is>
      </c>
      <c r="F4198" s="7" t="inlineStr">
        <is>
          <t>Office Supplies</t>
        </is>
      </c>
      <c r="G4198" s="7" t="inlineStr">
        <is>
          <t>Binder</t>
        </is>
      </c>
      <c r="H4198" s="7" t="inlineStr">
        <is>
          <t>Home Office</t>
        </is>
      </c>
      <c r="I4198" s="7" t="n">
        <v>7</v>
      </c>
      <c r="J4198" s="10" t="n">
        <v>7.68</v>
      </c>
      <c r="K4198" s="11" t="n">
        <v>0.05</v>
      </c>
      <c r="L4198" s="10">
        <f>I4198*J4198*(1-K4198)</f>
        <v/>
      </c>
      <c r="M4198" s="10" t="n">
        <v>22.4</v>
      </c>
      <c r="N4198" s="10">
        <f>L4198-M4198</f>
        <v/>
      </c>
    </row>
    <row r="4199">
      <c r="A4199" s="7" t="inlineStr">
        <is>
          <t>ORD-00446</t>
        </is>
      </c>
      <c r="B4199" s="8" t="n">
        <v>45776</v>
      </c>
      <c r="C4199" s="9" t="n">
        <v>45748</v>
      </c>
      <c r="D4199" s="7" t="n">
        <v>2025</v>
      </c>
      <c r="E4199" s="7" t="inlineStr">
        <is>
          <t>West</t>
        </is>
      </c>
      <c r="F4199" s="7" t="inlineStr">
        <is>
          <t>Technology</t>
        </is>
      </c>
      <c r="G4199" s="7" t="inlineStr">
        <is>
          <t>Smartphone</t>
        </is>
      </c>
      <c r="H4199" s="7" t="inlineStr">
        <is>
          <t>Consumer</t>
        </is>
      </c>
      <c r="I4199" s="7" t="n">
        <v>3</v>
      </c>
      <c r="J4199" s="10" t="n">
        <v>581.98</v>
      </c>
      <c r="K4199" s="11" t="n">
        <v>0.2</v>
      </c>
      <c r="L4199" s="10">
        <f>I4199*J4199*(1-K4199)</f>
        <v/>
      </c>
      <c r="M4199" s="10" t="n">
        <v>1350</v>
      </c>
      <c r="N4199" s="10">
        <f>L4199-M4199</f>
        <v/>
      </c>
    </row>
    <row r="4200">
      <c r="A4200" s="7" t="inlineStr">
        <is>
          <t>ORD-04139</t>
        </is>
      </c>
      <c r="B4200" s="8" t="n">
        <v>45776</v>
      </c>
      <c r="C4200" s="9" t="n">
        <v>45748</v>
      </c>
      <c r="D4200" s="7" t="n">
        <v>2025</v>
      </c>
      <c r="E4200" s="7" t="inlineStr">
        <is>
          <t>East</t>
        </is>
      </c>
      <c r="F4200" s="7" t="inlineStr">
        <is>
          <t>Office Supplies</t>
        </is>
      </c>
      <c r="G4200" s="7" t="inlineStr">
        <is>
          <t>Pens</t>
        </is>
      </c>
      <c r="H4200" s="7" t="inlineStr">
        <is>
          <t>Consumer</t>
        </is>
      </c>
      <c r="I4200" s="7" t="n">
        <v>6</v>
      </c>
      <c r="J4200" s="10" t="n">
        <v>11.44</v>
      </c>
      <c r="K4200" s="11" t="n">
        <v>0</v>
      </c>
      <c r="L4200" s="10">
        <f>I4200*J4200*(1-K4200)</f>
        <v/>
      </c>
      <c r="M4200" s="10" t="n">
        <v>32.4</v>
      </c>
      <c r="N4200" s="10">
        <f>L4200-M4200</f>
        <v/>
      </c>
    </row>
    <row r="4201">
      <c r="A4201" s="7" t="inlineStr">
        <is>
          <t>ORD-02705</t>
        </is>
      </c>
      <c r="B4201" s="8" t="n">
        <v>45776</v>
      </c>
      <c r="C4201" s="9" t="n">
        <v>45748</v>
      </c>
      <c r="D4201" s="7" t="n">
        <v>2025</v>
      </c>
      <c r="E4201" s="7" t="inlineStr">
        <is>
          <t>East</t>
        </is>
      </c>
      <c r="F4201" s="7" t="inlineStr">
        <is>
          <t>Office Supplies</t>
        </is>
      </c>
      <c r="G4201" s="7" t="inlineStr">
        <is>
          <t>Binder</t>
        </is>
      </c>
      <c r="H4201" s="7" t="inlineStr">
        <is>
          <t>Consumer</t>
        </is>
      </c>
      <c r="I4201" s="7" t="n">
        <v>9</v>
      </c>
      <c r="J4201" s="10" t="n">
        <v>8.34</v>
      </c>
      <c r="K4201" s="11" t="n">
        <v>0.1</v>
      </c>
      <c r="L4201" s="10">
        <f>I4201*J4201*(1-K4201)</f>
        <v/>
      </c>
      <c r="M4201" s="10" t="n">
        <v>28.8</v>
      </c>
      <c r="N4201" s="10">
        <f>L4201-M4201</f>
        <v/>
      </c>
    </row>
    <row r="4202">
      <c r="A4202" s="7" t="inlineStr">
        <is>
          <t>ORD-02978</t>
        </is>
      </c>
      <c r="B4202" s="8" t="n">
        <v>45776</v>
      </c>
      <c r="C4202" s="9" t="n">
        <v>45748</v>
      </c>
      <c r="D4202" s="7" t="n">
        <v>2025</v>
      </c>
      <c r="E4202" s="7" t="inlineStr">
        <is>
          <t>North</t>
        </is>
      </c>
      <c r="F4202" s="7" t="inlineStr">
        <is>
          <t>Office Supplies</t>
        </is>
      </c>
      <c r="G4202" s="7" t="inlineStr">
        <is>
          <t>Binder</t>
        </is>
      </c>
      <c r="H4202" s="7" t="inlineStr">
        <is>
          <t>Corporate</t>
        </is>
      </c>
      <c r="I4202" s="7" t="n">
        <v>6</v>
      </c>
      <c r="J4202" s="10" t="n">
        <v>7.78</v>
      </c>
      <c r="K4202" s="11" t="n">
        <v>0.1</v>
      </c>
      <c r="L4202" s="10">
        <f>I4202*J4202*(1-K4202)</f>
        <v/>
      </c>
      <c r="M4202" s="10" t="n">
        <v>19.2</v>
      </c>
      <c r="N4202" s="10">
        <f>L4202-M4202</f>
        <v/>
      </c>
    </row>
    <row r="4203">
      <c r="A4203" s="7" t="inlineStr">
        <is>
          <t>ORD-00453</t>
        </is>
      </c>
      <c r="B4203" s="8" t="n">
        <v>45776</v>
      </c>
      <c r="C4203" s="9" t="n">
        <v>45748</v>
      </c>
      <c r="D4203" s="7" t="n">
        <v>2025</v>
      </c>
      <c r="E4203" s="7" t="inlineStr">
        <is>
          <t>East</t>
        </is>
      </c>
      <c r="F4203" s="7" t="inlineStr">
        <is>
          <t>Office Supplies</t>
        </is>
      </c>
      <c r="G4203" s="7" t="inlineStr">
        <is>
          <t>Binder</t>
        </is>
      </c>
      <c r="H4203" s="7" t="inlineStr">
        <is>
          <t>Corporate</t>
        </is>
      </c>
      <c r="I4203" s="7" t="n">
        <v>4</v>
      </c>
      <c r="J4203" s="10" t="n">
        <v>7.93</v>
      </c>
      <c r="K4203" s="11" t="n">
        <v>0</v>
      </c>
      <c r="L4203" s="10">
        <f>I4203*J4203*(1-K4203)</f>
        <v/>
      </c>
      <c r="M4203" s="10" t="n">
        <v>12.8</v>
      </c>
      <c r="N4203" s="10">
        <f>L4203-M4203</f>
        <v/>
      </c>
    </row>
    <row r="4204">
      <c r="A4204" s="7" t="inlineStr">
        <is>
          <t>ORD-01745</t>
        </is>
      </c>
      <c r="B4204" s="8" t="n">
        <v>45776</v>
      </c>
      <c r="C4204" s="9" t="n">
        <v>45748</v>
      </c>
      <c r="D4204" s="7" t="n">
        <v>2025</v>
      </c>
      <c r="E4204" s="7" t="inlineStr">
        <is>
          <t>South</t>
        </is>
      </c>
      <c r="F4204" s="7" t="inlineStr">
        <is>
          <t>Technology</t>
        </is>
      </c>
      <c r="G4204" s="7" t="inlineStr">
        <is>
          <t>Keyboard</t>
        </is>
      </c>
      <c r="H4204" s="7" t="inlineStr">
        <is>
          <t>Corporate</t>
        </is>
      </c>
      <c r="I4204" s="7" t="n">
        <v>3</v>
      </c>
      <c r="J4204" s="10" t="n">
        <v>46.47</v>
      </c>
      <c r="K4204" s="11" t="n">
        <v>0.2</v>
      </c>
      <c r="L4204" s="10">
        <f>I4204*J4204*(1-K4204)</f>
        <v/>
      </c>
      <c r="M4204" s="10" t="n">
        <v>74.25</v>
      </c>
      <c r="N4204" s="10">
        <f>L4204-M4204</f>
        <v/>
      </c>
    </row>
    <row r="4205">
      <c r="A4205" s="7" t="inlineStr">
        <is>
          <t>ORD-00947</t>
        </is>
      </c>
      <c r="B4205" s="8" t="n">
        <v>45777</v>
      </c>
      <c r="C4205" s="9" t="n">
        <v>45748</v>
      </c>
      <c r="D4205" s="7" t="n">
        <v>2025</v>
      </c>
      <c r="E4205" s="7" t="inlineStr">
        <is>
          <t>South</t>
        </is>
      </c>
      <c r="F4205" s="7" t="inlineStr">
        <is>
          <t>Office Supplies</t>
        </is>
      </c>
      <c r="G4205" s="7" t="inlineStr">
        <is>
          <t>Binder</t>
        </is>
      </c>
      <c r="H4205" s="7" t="inlineStr">
        <is>
          <t>Consumer</t>
        </is>
      </c>
      <c r="I4205" s="7" t="n">
        <v>9</v>
      </c>
      <c r="J4205" s="10" t="n">
        <v>8.16</v>
      </c>
      <c r="K4205" s="11" t="n">
        <v>0.2</v>
      </c>
      <c r="L4205" s="10">
        <f>I4205*J4205*(1-K4205)</f>
        <v/>
      </c>
      <c r="M4205" s="10" t="n">
        <v>28.8</v>
      </c>
      <c r="N4205" s="10">
        <f>L4205-M4205</f>
        <v/>
      </c>
    </row>
    <row r="4206">
      <c r="A4206" s="7" t="inlineStr">
        <is>
          <t>ORD-04905</t>
        </is>
      </c>
      <c r="B4206" s="8" t="n">
        <v>45777</v>
      </c>
      <c r="C4206" s="9" t="n">
        <v>45748</v>
      </c>
      <c r="D4206" s="7" t="n">
        <v>2025</v>
      </c>
      <c r="E4206" s="7" t="inlineStr">
        <is>
          <t>West</t>
        </is>
      </c>
      <c r="F4206" s="7" t="inlineStr">
        <is>
          <t>Office Supplies</t>
        </is>
      </c>
      <c r="G4206" s="7" t="inlineStr">
        <is>
          <t>Paper</t>
        </is>
      </c>
      <c r="H4206" s="7" t="inlineStr">
        <is>
          <t>Consumer</t>
        </is>
      </c>
      <c r="I4206" s="7" t="n">
        <v>5</v>
      </c>
      <c r="J4206" s="10" t="n">
        <v>24.32</v>
      </c>
      <c r="K4206" s="11" t="n">
        <v>0.05</v>
      </c>
      <c r="L4206" s="10">
        <f>I4206*J4206*(1-K4206)</f>
        <v/>
      </c>
      <c r="M4206" s="10" t="n">
        <v>62.5</v>
      </c>
      <c r="N4206" s="10">
        <f>L4206-M4206</f>
        <v/>
      </c>
    </row>
    <row r="4207">
      <c r="A4207" s="7" t="inlineStr">
        <is>
          <t>ORD-02106</t>
        </is>
      </c>
      <c r="B4207" s="8" t="n">
        <v>45777</v>
      </c>
      <c r="C4207" s="9" t="n">
        <v>45748</v>
      </c>
      <c r="D4207" s="7" t="n">
        <v>2025</v>
      </c>
      <c r="E4207" s="7" t="inlineStr">
        <is>
          <t>West</t>
        </is>
      </c>
      <c r="F4207" s="7" t="inlineStr">
        <is>
          <t>Office Supplies</t>
        </is>
      </c>
      <c r="G4207" s="7" t="inlineStr">
        <is>
          <t>Paper</t>
        </is>
      </c>
      <c r="H4207" s="7" t="inlineStr">
        <is>
          <t>Consumer</t>
        </is>
      </c>
      <c r="I4207" s="7" t="n">
        <v>9</v>
      </c>
      <c r="J4207" s="10" t="n">
        <v>24.42</v>
      </c>
      <c r="K4207" s="11" t="n">
        <v>0.1</v>
      </c>
      <c r="L4207" s="10">
        <f>I4207*J4207*(1-K4207)</f>
        <v/>
      </c>
      <c r="M4207" s="10" t="n">
        <v>112.5</v>
      </c>
      <c r="N4207" s="10">
        <f>L4207-M4207</f>
        <v/>
      </c>
    </row>
    <row r="4208">
      <c r="A4208" s="7" t="inlineStr">
        <is>
          <t>ORD-05612</t>
        </is>
      </c>
      <c r="B4208" s="8" t="n">
        <v>45777</v>
      </c>
      <c r="C4208" s="9" t="n">
        <v>45748</v>
      </c>
      <c r="D4208" s="7" t="n">
        <v>2025</v>
      </c>
      <c r="E4208" s="7" t="inlineStr">
        <is>
          <t>East</t>
        </is>
      </c>
      <c r="F4208" s="7" t="inlineStr">
        <is>
          <t>Technology</t>
        </is>
      </c>
      <c r="G4208" s="7" t="inlineStr">
        <is>
          <t>Keyboard</t>
        </is>
      </c>
      <c r="H4208" s="7" t="inlineStr">
        <is>
          <t>Corporate</t>
        </is>
      </c>
      <c r="I4208" s="7" t="n">
        <v>1</v>
      </c>
      <c r="J4208" s="10" t="n">
        <v>45.5</v>
      </c>
      <c r="K4208" s="11" t="n">
        <v>0.1</v>
      </c>
      <c r="L4208" s="10">
        <f>I4208*J4208*(1-K4208)</f>
        <v/>
      </c>
      <c r="M4208" s="10" t="n">
        <v>24.75</v>
      </c>
      <c r="N4208" s="10">
        <f>L4208-M4208</f>
        <v/>
      </c>
    </row>
    <row r="4209">
      <c r="A4209" s="7" t="inlineStr">
        <is>
          <t>ORD-01204</t>
        </is>
      </c>
      <c r="B4209" s="8" t="n">
        <v>45777</v>
      </c>
      <c r="C4209" s="9" t="n">
        <v>45748</v>
      </c>
      <c r="D4209" s="7" t="n">
        <v>2025</v>
      </c>
      <c r="E4209" s="7" t="inlineStr">
        <is>
          <t>North</t>
        </is>
      </c>
      <c r="F4209" s="7" t="inlineStr">
        <is>
          <t>Office Supplies</t>
        </is>
      </c>
      <c r="G4209" s="7" t="inlineStr">
        <is>
          <t>Binder</t>
        </is>
      </c>
      <c r="H4209" s="7" t="inlineStr">
        <is>
          <t>Consumer</t>
        </is>
      </c>
      <c r="I4209" s="7" t="n">
        <v>3</v>
      </c>
      <c r="J4209" s="10" t="n">
        <v>8.24</v>
      </c>
      <c r="K4209" s="11" t="n">
        <v>0</v>
      </c>
      <c r="L4209" s="10">
        <f>I4209*J4209*(1-K4209)</f>
        <v/>
      </c>
      <c r="M4209" s="10" t="n">
        <v>9.6</v>
      </c>
      <c r="N4209" s="10">
        <f>L4209-M4209</f>
        <v/>
      </c>
    </row>
    <row r="4210">
      <c r="A4210" s="7" t="inlineStr">
        <is>
          <t>ORD-03173</t>
        </is>
      </c>
      <c r="B4210" s="8" t="n">
        <v>45777</v>
      </c>
      <c r="C4210" s="9" t="n">
        <v>45748</v>
      </c>
      <c r="D4210" s="7" t="n">
        <v>2025</v>
      </c>
      <c r="E4210" s="7" t="inlineStr">
        <is>
          <t>West</t>
        </is>
      </c>
      <c r="F4210" s="7" t="inlineStr">
        <is>
          <t>Technology</t>
        </is>
      </c>
      <c r="G4210" s="7" t="inlineStr">
        <is>
          <t>Headphones</t>
        </is>
      </c>
      <c r="H4210" s="7" t="inlineStr">
        <is>
          <t>Consumer</t>
        </is>
      </c>
      <c r="I4210" s="7" t="n">
        <v>2</v>
      </c>
      <c r="J4210" s="10" t="n">
        <v>124.76</v>
      </c>
      <c r="K4210" s="11" t="n">
        <v>0.1</v>
      </c>
      <c r="L4210" s="10">
        <f>I4210*J4210*(1-K4210)</f>
        <v/>
      </c>
      <c r="M4210" s="10" t="n">
        <v>144</v>
      </c>
      <c r="N4210" s="10">
        <f>L4210-M4210</f>
        <v/>
      </c>
    </row>
    <row r="4211">
      <c r="A4211" s="7" t="inlineStr">
        <is>
          <t>ORD-05638</t>
        </is>
      </c>
      <c r="B4211" s="8" t="n">
        <v>45778</v>
      </c>
      <c r="C4211" s="9" t="n">
        <v>45778</v>
      </c>
      <c r="D4211" s="7" t="n">
        <v>2025</v>
      </c>
      <c r="E4211" s="7" t="inlineStr">
        <is>
          <t>South</t>
        </is>
      </c>
      <c r="F4211" s="7" t="inlineStr">
        <is>
          <t>Office Supplies</t>
        </is>
      </c>
      <c r="G4211" s="7" t="inlineStr">
        <is>
          <t>Binder</t>
        </is>
      </c>
      <c r="H4211" s="7" t="inlineStr">
        <is>
          <t>Consumer</t>
        </is>
      </c>
      <c r="I4211" s="7" t="n">
        <v>5</v>
      </c>
      <c r="J4211" s="10" t="n">
        <v>8.289999999999999</v>
      </c>
      <c r="K4211" s="11" t="n">
        <v>0.1</v>
      </c>
      <c r="L4211" s="10">
        <f>I4211*J4211*(1-K4211)</f>
        <v/>
      </c>
      <c r="M4211" s="10" t="n">
        <v>16</v>
      </c>
      <c r="N4211" s="10">
        <f>L4211-M4211</f>
        <v/>
      </c>
    </row>
    <row r="4212">
      <c r="A4212" s="7" t="inlineStr">
        <is>
          <t>ORD-01928</t>
        </is>
      </c>
      <c r="B4212" s="8" t="n">
        <v>45778</v>
      </c>
      <c r="C4212" s="9" t="n">
        <v>45778</v>
      </c>
      <c r="D4212" s="7" t="n">
        <v>2025</v>
      </c>
      <c r="E4212" s="7" t="inlineStr">
        <is>
          <t>East</t>
        </is>
      </c>
      <c r="F4212" s="7" t="inlineStr">
        <is>
          <t>Office Supplies</t>
        </is>
      </c>
      <c r="G4212" s="7" t="inlineStr">
        <is>
          <t>Paper</t>
        </is>
      </c>
      <c r="H4212" s="7" t="inlineStr">
        <is>
          <t>Consumer</t>
        </is>
      </c>
      <c r="I4212" s="7" t="n">
        <v>9</v>
      </c>
      <c r="J4212" s="10" t="n">
        <v>25.69</v>
      </c>
      <c r="K4212" s="11" t="n">
        <v>0.1</v>
      </c>
      <c r="L4212" s="10">
        <f>I4212*J4212*(1-K4212)</f>
        <v/>
      </c>
      <c r="M4212" s="10" t="n">
        <v>112.5</v>
      </c>
      <c r="N4212" s="10">
        <f>L4212-M4212</f>
        <v/>
      </c>
    </row>
    <row r="4213">
      <c r="A4213" s="7" t="inlineStr">
        <is>
          <t>ORD-03148</t>
        </is>
      </c>
      <c r="B4213" s="8" t="n">
        <v>45778</v>
      </c>
      <c r="C4213" s="9" t="n">
        <v>45778</v>
      </c>
      <c r="D4213" s="7" t="n">
        <v>2025</v>
      </c>
      <c r="E4213" s="7" t="inlineStr">
        <is>
          <t>East</t>
        </is>
      </c>
      <c r="F4213" s="7" t="inlineStr">
        <is>
          <t>Furniture</t>
        </is>
      </c>
      <c r="G4213" s="7" t="inlineStr">
        <is>
          <t>Desk</t>
        </is>
      </c>
      <c r="H4213" s="7" t="inlineStr">
        <is>
          <t>Home Office</t>
        </is>
      </c>
      <c r="I4213" s="7" t="n">
        <v>4</v>
      </c>
      <c r="J4213" s="10" t="n">
        <v>467.47</v>
      </c>
      <c r="K4213" s="11" t="n">
        <v>0.2</v>
      </c>
      <c r="L4213" s="10">
        <f>I4213*J4213*(1-K4213)</f>
        <v/>
      </c>
      <c r="M4213" s="10" t="n">
        <v>1530</v>
      </c>
      <c r="N4213" s="10">
        <f>L4213-M4213</f>
        <v/>
      </c>
    </row>
    <row r="4214">
      <c r="A4214" s="7" t="inlineStr">
        <is>
          <t>ORD-01935</t>
        </is>
      </c>
      <c r="B4214" s="8" t="n">
        <v>45778</v>
      </c>
      <c r="C4214" s="9" t="n">
        <v>45778</v>
      </c>
      <c r="D4214" s="7" t="n">
        <v>2025</v>
      </c>
      <c r="E4214" s="7" t="inlineStr">
        <is>
          <t>South</t>
        </is>
      </c>
      <c r="F4214" s="7" t="inlineStr">
        <is>
          <t>Office Supplies</t>
        </is>
      </c>
      <c r="G4214" s="7" t="inlineStr">
        <is>
          <t>Binder</t>
        </is>
      </c>
      <c r="H4214" s="7" t="inlineStr">
        <is>
          <t>Corporate</t>
        </is>
      </c>
      <c r="I4214" s="7" t="n">
        <v>7</v>
      </c>
      <c r="J4214" s="10" t="n">
        <v>7.84</v>
      </c>
      <c r="K4214" s="11" t="n">
        <v>0.3</v>
      </c>
      <c r="L4214" s="10">
        <f>I4214*J4214*(1-K4214)</f>
        <v/>
      </c>
      <c r="M4214" s="10" t="n">
        <v>22.4</v>
      </c>
      <c r="N4214" s="10">
        <f>L4214-M4214</f>
        <v/>
      </c>
    </row>
    <row r="4215">
      <c r="A4215" s="7" t="inlineStr">
        <is>
          <t>ORD-00761</t>
        </is>
      </c>
      <c r="B4215" s="8" t="n">
        <v>45778</v>
      </c>
      <c r="C4215" s="9" t="n">
        <v>45778</v>
      </c>
      <c r="D4215" s="7" t="n">
        <v>2025</v>
      </c>
      <c r="E4215" s="7" t="inlineStr">
        <is>
          <t>West</t>
        </is>
      </c>
      <c r="F4215" s="7" t="inlineStr">
        <is>
          <t>Office Supplies</t>
        </is>
      </c>
      <c r="G4215" s="7" t="inlineStr">
        <is>
          <t>Paper</t>
        </is>
      </c>
      <c r="H4215" s="7" t="inlineStr">
        <is>
          <t>Home Office</t>
        </is>
      </c>
      <c r="I4215" s="7" t="n">
        <v>12</v>
      </c>
      <c r="J4215" s="10" t="n">
        <v>24.07</v>
      </c>
      <c r="K4215" s="11" t="n">
        <v>0</v>
      </c>
      <c r="L4215" s="10">
        <f>I4215*J4215*(1-K4215)</f>
        <v/>
      </c>
      <c r="M4215" s="10" t="n">
        <v>150</v>
      </c>
      <c r="N4215" s="10">
        <f>L4215-M4215</f>
        <v/>
      </c>
    </row>
    <row r="4216">
      <c r="A4216" s="7" t="inlineStr">
        <is>
          <t>ORD-01723</t>
        </is>
      </c>
      <c r="B4216" s="8" t="n">
        <v>45778</v>
      </c>
      <c r="C4216" s="9" t="n">
        <v>45778</v>
      </c>
      <c r="D4216" s="7" t="n">
        <v>2025</v>
      </c>
      <c r="E4216" s="7" t="inlineStr">
        <is>
          <t>West</t>
        </is>
      </c>
      <c r="F4216" s="7" t="inlineStr">
        <is>
          <t>Furniture</t>
        </is>
      </c>
      <c r="G4216" s="7" t="inlineStr">
        <is>
          <t>Office Chair</t>
        </is>
      </c>
      <c r="H4216" s="7" t="inlineStr">
        <is>
          <t>Corporate</t>
        </is>
      </c>
      <c r="I4216" s="7" t="n">
        <v>3</v>
      </c>
      <c r="J4216" s="10" t="n">
        <v>216.16</v>
      </c>
      <c r="K4216" s="11" t="n">
        <v>0.1</v>
      </c>
      <c r="L4216" s="10">
        <f>I4216*J4216*(1-K4216)</f>
        <v/>
      </c>
      <c r="M4216" s="10" t="n">
        <v>541.2</v>
      </c>
      <c r="N4216" s="10">
        <f>L4216-M4216</f>
        <v/>
      </c>
    </row>
    <row r="4217">
      <c r="A4217" s="7" t="inlineStr">
        <is>
          <t>ORD-03561</t>
        </is>
      </c>
      <c r="B4217" s="8" t="n">
        <v>45778</v>
      </c>
      <c r="C4217" s="9" t="n">
        <v>45778</v>
      </c>
      <c r="D4217" s="7" t="n">
        <v>2025</v>
      </c>
      <c r="E4217" s="7" t="inlineStr">
        <is>
          <t>South</t>
        </is>
      </c>
      <c r="F4217" s="7" t="inlineStr">
        <is>
          <t>Technology</t>
        </is>
      </c>
      <c r="G4217" s="7" t="inlineStr">
        <is>
          <t>Keyboard</t>
        </is>
      </c>
      <c r="H4217" s="7" t="inlineStr">
        <is>
          <t>Consumer</t>
        </is>
      </c>
      <c r="I4217" s="7" t="n">
        <v>2</v>
      </c>
      <c r="J4217" s="10" t="n">
        <v>44.15</v>
      </c>
      <c r="K4217" s="11" t="n">
        <v>0</v>
      </c>
      <c r="L4217" s="10">
        <f>I4217*J4217*(1-K4217)</f>
        <v/>
      </c>
      <c r="M4217" s="10" t="n">
        <v>49.5</v>
      </c>
      <c r="N4217" s="10">
        <f>L4217-M4217</f>
        <v/>
      </c>
    </row>
    <row r="4218">
      <c r="A4218" s="7" t="inlineStr">
        <is>
          <t>ORD-03113</t>
        </is>
      </c>
      <c r="B4218" s="8" t="n">
        <v>45778</v>
      </c>
      <c r="C4218" s="9" t="n">
        <v>45778</v>
      </c>
      <c r="D4218" s="7" t="n">
        <v>2025</v>
      </c>
      <c r="E4218" s="7" t="inlineStr">
        <is>
          <t>East</t>
        </is>
      </c>
      <c r="F4218" s="7" t="inlineStr">
        <is>
          <t>Furniture</t>
        </is>
      </c>
      <c r="G4218" s="7" t="inlineStr">
        <is>
          <t>Desk</t>
        </is>
      </c>
      <c r="H4218" s="7" t="inlineStr">
        <is>
          <t>Home Office</t>
        </is>
      </c>
      <c r="I4218" s="7" t="n">
        <v>1</v>
      </c>
      <c r="J4218" s="10" t="n">
        <v>451.59</v>
      </c>
      <c r="K4218" s="11" t="n">
        <v>0</v>
      </c>
      <c r="L4218" s="10">
        <f>I4218*J4218*(1-K4218)</f>
        <v/>
      </c>
      <c r="M4218" s="10" t="n">
        <v>382.5</v>
      </c>
      <c r="N4218" s="10">
        <f>L4218-M4218</f>
        <v/>
      </c>
    </row>
    <row r="4219">
      <c r="A4219" s="7" t="inlineStr">
        <is>
          <t>ORD-04107</t>
        </is>
      </c>
      <c r="B4219" s="8" t="n">
        <v>45778</v>
      </c>
      <c r="C4219" s="9" t="n">
        <v>45778</v>
      </c>
      <c r="D4219" s="7" t="n">
        <v>2025</v>
      </c>
      <c r="E4219" s="7" t="inlineStr">
        <is>
          <t>East</t>
        </is>
      </c>
      <c r="F4219" s="7" t="inlineStr">
        <is>
          <t>Office Supplies</t>
        </is>
      </c>
      <c r="G4219" s="7" t="inlineStr">
        <is>
          <t>Paper</t>
        </is>
      </c>
      <c r="H4219" s="7" t="inlineStr">
        <is>
          <t>Consumer</t>
        </is>
      </c>
      <c r="I4219" s="7" t="n">
        <v>6</v>
      </c>
      <c r="J4219" s="10" t="n">
        <v>24.4</v>
      </c>
      <c r="K4219" s="11" t="n">
        <v>0.1</v>
      </c>
      <c r="L4219" s="10">
        <f>I4219*J4219*(1-K4219)</f>
        <v/>
      </c>
      <c r="M4219" s="10" t="n">
        <v>75</v>
      </c>
      <c r="N4219" s="10">
        <f>L4219-M4219</f>
        <v/>
      </c>
    </row>
    <row r="4220">
      <c r="A4220" s="7" t="inlineStr">
        <is>
          <t>ORD-01777</t>
        </is>
      </c>
      <c r="B4220" s="8" t="n">
        <v>45779</v>
      </c>
      <c r="C4220" s="9" t="n">
        <v>45778</v>
      </c>
      <c r="D4220" s="7" t="n">
        <v>2025</v>
      </c>
      <c r="E4220" s="7" t="inlineStr">
        <is>
          <t>West</t>
        </is>
      </c>
      <c r="F4220" s="7" t="inlineStr">
        <is>
          <t>Furniture</t>
        </is>
      </c>
      <c r="G4220" s="7" t="inlineStr">
        <is>
          <t>Office Chair</t>
        </is>
      </c>
      <c r="H4220" s="7" t="inlineStr">
        <is>
          <t>Consumer</t>
        </is>
      </c>
      <c r="I4220" s="7" t="n">
        <v>3</v>
      </c>
      <c r="J4220" s="10" t="n">
        <v>222.17</v>
      </c>
      <c r="K4220" s="11" t="n">
        <v>0.1</v>
      </c>
      <c r="L4220" s="10">
        <f>I4220*J4220*(1-K4220)</f>
        <v/>
      </c>
      <c r="M4220" s="10" t="n">
        <v>541.2</v>
      </c>
      <c r="N4220" s="10">
        <f>L4220-M4220</f>
        <v/>
      </c>
    </row>
    <row r="4221">
      <c r="A4221" s="7" t="inlineStr">
        <is>
          <t>ORD-05879</t>
        </is>
      </c>
      <c r="B4221" s="8" t="n">
        <v>45779</v>
      </c>
      <c r="C4221" s="9" t="n">
        <v>45778</v>
      </c>
      <c r="D4221" s="7" t="n">
        <v>2025</v>
      </c>
      <c r="E4221" s="7" t="inlineStr">
        <is>
          <t>West</t>
        </is>
      </c>
      <c r="F4221" s="7" t="inlineStr">
        <is>
          <t>Office Supplies</t>
        </is>
      </c>
      <c r="G4221" s="7" t="inlineStr">
        <is>
          <t>Binder</t>
        </is>
      </c>
      <c r="H4221" s="7" t="inlineStr">
        <is>
          <t>Consumer</t>
        </is>
      </c>
      <c r="I4221" s="7" t="n">
        <v>13</v>
      </c>
      <c r="J4221" s="10" t="n">
        <v>7.95</v>
      </c>
      <c r="K4221" s="11" t="n">
        <v>0.1</v>
      </c>
      <c r="L4221" s="10">
        <f>I4221*J4221*(1-K4221)</f>
        <v/>
      </c>
      <c r="M4221" s="10" t="n">
        <v>41.6</v>
      </c>
      <c r="N4221" s="10">
        <f>L4221-M4221</f>
        <v/>
      </c>
    </row>
    <row r="4222">
      <c r="A4222" s="7" t="inlineStr">
        <is>
          <t>ORD-05235</t>
        </is>
      </c>
      <c r="B4222" s="8" t="n">
        <v>45779</v>
      </c>
      <c r="C4222" s="9" t="n">
        <v>45778</v>
      </c>
      <c r="D4222" s="7" t="n">
        <v>2025</v>
      </c>
      <c r="E4222" s="7" t="inlineStr">
        <is>
          <t>South</t>
        </is>
      </c>
      <c r="F4222" s="7" t="inlineStr">
        <is>
          <t>Office Supplies</t>
        </is>
      </c>
      <c r="G4222" s="7" t="inlineStr">
        <is>
          <t>Pens</t>
        </is>
      </c>
      <c r="H4222" s="7" t="inlineStr">
        <is>
          <t>Corporate</t>
        </is>
      </c>
      <c r="I4222" s="7" t="n">
        <v>13</v>
      </c>
      <c r="J4222" s="10" t="n">
        <v>11.7</v>
      </c>
      <c r="K4222" s="11" t="n">
        <v>0.1</v>
      </c>
      <c r="L4222" s="10">
        <f>I4222*J4222*(1-K4222)</f>
        <v/>
      </c>
      <c r="M4222" s="10" t="n">
        <v>70.2</v>
      </c>
      <c r="N4222" s="10">
        <f>L4222-M4222</f>
        <v/>
      </c>
    </row>
    <row r="4223">
      <c r="A4223" s="7" t="inlineStr">
        <is>
          <t>ORD-03883</t>
        </is>
      </c>
      <c r="B4223" s="8" t="n">
        <v>45779</v>
      </c>
      <c r="C4223" s="9" t="n">
        <v>45778</v>
      </c>
      <c r="D4223" s="7" t="n">
        <v>2025</v>
      </c>
      <c r="E4223" s="7" t="inlineStr">
        <is>
          <t>South</t>
        </is>
      </c>
      <c r="F4223" s="7" t="inlineStr">
        <is>
          <t>Office Supplies</t>
        </is>
      </c>
      <c r="G4223" s="7" t="inlineStr">
        <is>
          <t>Pens</t>
        </is>
      </c>
      <c r="H4223" s="7" t="inlineStr">
        <is>
          <t>Consumer</t>
        </is>
      </c>
      <c r="I4223" s="7" t="n">
        <v>11</v>
      </c>
      <c r="J4223" s="10" t="n">
        <v>11.47</v>
      </c>
      <c r="K4223" s="11" t="n">
        <v>0</v>
      </c>
      <c r="L4223" s="10">
        <f>I4223*J4223*(1-K4223)</f>
        <v/>
      </c>
      <c r="M4223" s="10" t="n">
        <v>59.4</v>
      </c>
      <c r="N4223" s="10">
        <f>L4223-M4223</f>
        <v/>
      </c>
    </row>
    <row r="4224">
      <c r="A4224" s="7" t="inlineStr">
        <is>
          <t>ORD-02107</t>
        </is>
      </c>
      <c r="B4224" s="8" t="n">
        <v>45780</v>
      </c>
      <c r="C4224" s="9" t="n">
        <v>45778</v>
      </c>
      <c r="D4224" s="7" t="n">
        <v>2025</v>
      </c>
      <c r="E4224" s="7" t="inlineStr">
        <is>
          <t>West</t>
        </is>
      </c>
      <c r="F4224" s="7" t="inlineStr">
        <is>
          <t>Office Supplies</t>
        </is>
      </c>
      <c r="G4224" s="7" t="inlineStr">
        <is>
          <t>Paper</t>
        </is>
      </c>
      <c r="H4224" s="7" t="inlineStr">
        <is>
          <t>Corporate</t>
        </is>
      </c>
      <c r="I4224" s="7" t="n">
        <v>9</v>
      </c>
      <c r="J4224" s="10" t="n">
        <v>25.31</v>
      </c>
      <c r="K4224" s="11" t="n">
        <v>0</v>
      </c>
      <c r="L4224" s="10">
        <f>I4224*J4224*(1-K4224)</f>
        <v/>
      </c>
      <c r="M4224" s="10" t="n">
        <v>112.5</v>
      </c>
      <c r="N4224" s="10">
        <f>L4224-M4224</f>
        <v/>
      </c>
    </row>
    <row r="4225">
      <c r="A4225" s="7" t="inlineStr">
        <is>
          <t>ORD-04302</t>
        </is>
      </c>
      <c r="B4225" s="8" t="n">
        <v>45780</v>
      </c>
      <c r="C4225" s="9" t="n">
        <v>45778</v>
      </c>
      <c r="D4225" s="7" t="n">
        <v>2025</v>
      </c>
      <c r="E4225" s="7" t="inlineStr">
        <is>
          <t>East</t>
        </is>
      </c>
      <c r="F4225" s="7" t="inlineStr">
        <is>
          <t>Technology</t>
        </is>
      </c>
      <c r="G4225" s="7" t="inlineStr">
        <is>
          <t>Smartphone</t>
        </is>
      </c>
      <c r="H4225" s="7" t="inlineStr">
        <is>
          <t>Corporate</t>
        </is>
      </c>
      <c r="I4225" s="7" t="n">
        <v>1</v>
      </c>
      <c r="J4225" s="10" t="n">
        <v>603.9400000000001</v>
      </c>
      <c r="K4225" s="11" t="n">
        <v>0</v>
      </c>
      <c r="L4225" s="10">
        <f>I4225*J4225*(1-K4225)</f>
        <v/>
      </c>
      <c r="M4225" s="10" t="n">
        <v>450</v>
      </c>
      <c r="N4225" s="10">
        <f>L4225-M4225</f>
        <v/>
      </c>
    </row>
    <row r="4226">
      <c r="A4226" s="7" t="inlineStr">
        <is>
          <t>ORD-00638</t>
        </is>
      </c>
      <c r="B4226" s="8" t="n">
        <v>45780</v>
      </c>
      <c r="C4226" s="9" t="n">
        <v>45778</v>
      </c>
      <c r="D4226" s="7" t="n">
        <v>2025</v>
      </c>
      <c r="E4226" s="7" t="inlineStr">
        <is>
          <t>South</t>
        </is>
      </c>
      <c r="F4226" s="7" t="inlineStr">
        <is>
          <t>Office Supplies</t>
        </is>
      </c>
      <c r="G4226" s="7" t="inlineStr">
        <is>
          <t>Pens</t>
        </is>
      </c>
      <c r="H4226" s="7" t="inlineStr">
        <is>
          <t>Corporate</t>
        </is>
      </c>
      <c r="I4226" s="7" t="n">
        <v>11</v>
      </c>
      <c r="J4226" s="10" t="n">
        <v>11.85</v>
      </c>
      <c r="K4226" s="11" t="n">
        <v>0</v>
      </c>
      <c r="L4226" s="10">
        <f>I4226*J4226*(1-K4226)</f>
        <v/>
      </c>
      <c r="M4226" s="10" t="n">
        <v>59.4</v>
      </c>
      <c r="N4226" s="10">
        <f>L4226-M4226</f>
        <v/>
      </c>
    </row>
    <row r="4227">
      <c r="A4227" s="7" t="inlineStr">
        <is>
          <t>ORD-03954</t>
        </is>
      </c>
      <c r="B4227" s="8" t="n">
        <v>45781</v>
      </c>
      <c r="C4227" s="9" t="n">
        <v>45778</v>
      </c>
      <c r="D4227" s="7" t="n">
        <v>2025</v>
      </c>
      <c r="E4227" s="7" t="inlineStr">
        <is>
          <t>East</t>
        </is>
      </c>
      <c r="F4227" s="7" t="inlineStr">
        <is>
          <t>Technology</t>
        </is>
      </c>
      <c r="G4227" s="7" t="inlineStr">
        <is>
          <t>Headphones</t>
        </is>
      </c>
      <c r="H4227" s="7" t="inlineStr">
        <is>
          <t>Consumer</t>
        </is>
      </c>
      <c r="I4227" s="7" t="n">
        <v>3</v>
      </c>
      <c r="J4227" s="10" t="n">
        <v>118.22</v>
      </c>
      <c r="K4227" s="11" t="n">
        <v>0.2</v>
      </c>
      <c r="L4227" s="10">
        <f>I4227*J4227*(1-K4227)</f>
        <v/>
      </c>
      <c r="M4227" s="10" t="n">
        <v>216</v>
      </c>
      <c r="N4227" s="10">
        <f>L4227-M4227</f>
        <v/>
      </c>
    </row>
    <row r="4228">
      <c r="A4228" s="7" t="inlineStr">
        <is>
          <t>ORD-04821</t>
        </is>
      </c>
      <c r="B4228" s="8" t="n">
        <v>45781</v>
      </c>
      <c r="C4228" s="9" t="n">
        <v>45778</v>
      </c>
      <c r="D4228" s="7" t="n">
        <v>2025</v>
      </c>
      <c r="E4228" s="7" t="inlineStr">
        <is>
          <t>North</t>
        </is>
      </c>
      <c r="F4228" s="7" t="inlineStr">
        <is>
          <t>Furniture</t>
        </is>
      </c>
      <c r="G4228" s="7" t="inlineStr">
        <is>
          <t>Office Chair</t>
        </is>
      </c>
      <c r="H4228" s="7" t="inlineStr">
        <is>
          <t>Consumer</t>
        </is>
      </c>
      <c r="I4228" s="7" t="n">
        <v>4</v>
      </c>
      <c r="J4228" s="10" t="n">
        <v>229.09</v>
      </c>
      <c r="K4228" s="11" t="n">
        <v>0.1</v>
      </c>
      <c r="L4228" s="10">
        <f>I4228*J4228*(1-K4228)</f>
        <v/>
      </c>
      <c r="M4228" s="10" t="n">
        <v>721.6</v>
      </c>
      <c r="N4228" s="10">
        <f>L4228-M4228</f>
        <v/>
      </c>
    </row>
    <row r="4229">
      <c r="A4229" s="7" t="inlineStr">
        <is>
          <t>ORD-03164</t>
        </is>
      </c>
      <c r="B4229" s="8" t="n">
        <v>45781</v>
      </c>
      <c r="C4229" s="9" t="n">
        <v>45778</v>
      </c>
      <c r="D4229" s="7" t="n">
        <v>2025</v>
      </c>
      <c r="E4229" s="7" t="inlineStr">
        <is>
          <t>East</t>
        </is>
      </c>
      <c r="F4229" s="7" t="inlineStr">
        <is>
          <t>Technology</t>
        </is>
      </c>
      <c r="G4229" s="7" t="inlineStr">
        <is>
          <t>Smartphone</t>
        </is>
      </c>
      <c r="H4229" s="7" t="inlineStr">
        <is>
          <t>Consumer</t>
        </is>
      </c>
      <c r="I4229" s="7" t="n">
        <v>1</v>
      </c>
      <c r="J4229" s="10" t="n">
        <v>614.86</v>
      </c>
      <c r="K4229" s="11" t="n">
        <v>0.05</v>
      </c>
      <c r="L4229" s="10">
        <f>I4229*J4229*(1-K4229)</f>
        <v/>
      </c>
      <c r="M4229" s="10" t="n">
        <v>450</v>
      </c>
      <c r="N4229" s="10">
        <f>L4229-M4229</f>
        <v/>
      </c>
    </row>
    <row r="4230">
      <c r="A4230" s="7" t="inlineStr">
        <is>
          <t>ORD-04960</t>
        </is>
      </c>
      <c r="B4230" s="8" t="n">
        <v>45781</v>
      </c>
      <c r="C4230" s="9" t="n">
        <v>45778</v>
      </c>
      <c r="D4230" s="7" t="n">
        <v>2025</v>
      </c>
      <c r="E4230" s="7" t="inlineStr">
        <is>
          <t>North</t>
        </is>
      </c>
      <c r="F4230" s="7" t="inlineStr">
        <is>
          <t>Office Supplies</t>
        </is>
      </c>
      <c r="G4230" s="7" t="inlineStr">
        <is>
          <t>Printer Ink</t>
        </is>
      </c>
      <c r="H4230" s="7" t="inlineStr">
        <is>
          <t>Consumer</t>
        </is>
      </c>
      <c r="I4230" s="7" t="n">
        <v>14</v>
      </c>
      <c r="J4230" s="10" t="n">
        <v>58.07</v>
      </c>
      <c r="K4230" s="11" t="n">
        <v>0.05</v>
      </c>
      <c r="L4230" s="10">
        <f>I4230*J4230*(1-K4230)</f>
        <v/>
      </c>
      <c r="M4230" s="10" t="n">
        <v>504</v>
      </c>
      <c r="N4230" s="10">
        <f>L4230-M4230</f>
        <v/>
      </c>
    </row>
    <row r="4231">
      <c r="A4231" s="7" t="inlineStr">
        <is>
          <t>ORD-05868</t>
        </is>
      </c>
      <c r="B4231" s="8" t="n">
        <v>45782</v>
      </c>
      <c r="C4231" s="9" t="n">
        <v>45778</v>
      </c>
      <c r="D4231" s="7" t="n">
        <v>2025</v>
      </c>
      <c r="E4231" s="7" t="inlineStr">
        <is>
          <t>South</t>
        </is>
      </c>
      <c r="F4231" s="7" t="inlineStr">
        <is>
          <t>Technology</t>
        </is>
      </c>
      <c r="G4231" s="7" t="inlineStr">
        <is>
          <t>Smartphone</t>
        </is>
      </c>
      <c r="H4231" s="7" t="inlineStr">
        <is>
          <t>Consumer</t>
        </is>
      </c>
      <c r="I4231" s="7" t="n">
        <v>1</v>
      </c>
      <c r="J4231" s="10" t="n">
        <v>575.83</v>
      </c>
      <c r="K4231" s="11" t="n">
        <v>0</v>
      </c>
      <c r="L4231" s="10">
        <f>I4231*J4231*(1-K4231)</f>
        <v/>
      </c>
      <c r="M4231" s="10" t="n">
        <v>450</v>
      </c>
      <c r="N4231" s="10">
        <f>L4231-M4231</f>
        <v/>
      </c>
    </row>
    <row r="4232">
      <c r="A4232" s="7" t="inlineStr">
        <is>
          <t>ORD-02979</t>
        </is>
      </c>
      <c r="B4232" s="8" t="n">
        <v>45782</v>
      </c>
      <c r="C4232" s="9" t="n">
        <v>45778</v>
      </c>
      <c r="D4232" s="7" t="n">
        <v>2025</v>
      </c>
      <c r="E4232" s="7" t="inlineStr">
        <is>
          <t>South</t>
        </is>
      </c>
      <c r="F4232" s="7" t="inlineStr">
        <is>
          <t>Office Supplies</t>
        </is>
      </c>
      <c r="G4232" s="7" t="inlineStr">
        <is>
          <t>Paper</t>
        </is>
      </c>
      <c r="H4232" s="7" t="inlineStr">
        <is>
          <t>Home Office</t>
        </is>
      </c>
      <c r="I4232" s="7" t="n">
        <v>5</v>
      </c>
      <c r="J4232" s="10" t="n">
        <v>24.27</v>
      </c>
      <c r="K4232" s="11" t="n">
        <v>0</v>
      </c>
      <c r="L4232" s="10">
        <f>I4232*J4232*(1-K4232)</f>
        <v/>
      </c>
      <c r="M4232" s="10" t="n">
        <v>62.5</v>
      </c>
      <c r="N4232" s="10">
        <f>L4232-M4232</f>
        <v/>
      </c>
    </row>
    <row r="4233">
      <c r="A4233" s="7" t="inlineStr">
        <is>
          <t>ORD-00215</t>
        </is>
      </c>
      <c r="B4233" s="8" t="n">
        <v>45782</v>
      </c>
      <c r="C4233" s="9" t="n">
        <v>45778</v>
      </c>
      <c r="D4233" s="7" t="n">
        <v>2025</v>
      </c>
      <c r="E4233" s="7" t="inlineStr">
        <is>
          <t>West</t>
        </is>
      </c>
      <c r="F4233" s="7" t="inlineStr">
        <is>
          <t>Office Supplies</t>
        </is>
      </c>
      <c r="G4233" s="7" t="inlineStr">
        <is>
          <t>Printer Ink</t>
        </is>
      </c>
      <c r="H4233" s="7" t="inlineStr">
        <is>
          <t>Consumer</t>
        </is>
      </c>
      <c r="I4233" s="7" t="n">
        <v>5</v>
      </c>
      <c r="J4233" s="10" t="n">
        <v>59.88</v>
      </c>
      <c r="K4233" s="11" t="n">
        <v>0.2</v>
      </c>
      <c r="L4233" s="10">
        <f>I4233*J4233*(1-K4233)</f>
        <v/>
      </c>
      <c r="M4233" s="10" t="n">
        <v>180</v>
      </c>
      <c r="N4233" s="10">
        <f>L4233-M4233</f>
        <v/>
      </c>
    </row>
    <row r="4234">
      <c r="A4234" s="7" t="inlineStr">
        <is>
          <t>ORD-04001</t>
        </is>
      </c>
      <c r="B4234" s="8" t="n">
        <v>45782</v>
      </c>
      <c r="C4234" s="9" t="n">
        <v>45778</v>
      </c>
      <c r="D4234" s="7" t="n">
        <v>2025</v>
      </c>
      <c r="E4234" s="7" t="inlineStr">
        <is>
          <t>South</t>
        </is>
      </c>
      <c r="F4234" s="7" t="inlineStr">
        <is>
          <t>Office Supplies</t>
        </is>
      </c>
      <c r="G4234" s="7" t="inlineStr">
        <is>
          <t>Paper</t>
        </is>
      </c>
      <c r="H4234" s="7" t="inlineStr">
        <is>
          <t>Corporate</t>
        </is>
      </c>
      <c r="I4234" s="7" t="n">
        <v>5</v>
      </c>
      <c r="J4234" s="10" t="n">
        <v>24.9</v>
      </c>
      <c r="K4234" s="11" t="n">
        <v>0.3</v>
      </c>
      <c r="L4234" s="10">
        <f>I4234*J4234*(1-K4234)</f>
        <v/>
      </c>
      <c r="M4234" s="10" t="n">
        <v>62.5</v>
      </c>
      <c r="N4234" s="10">
        <f>L4234-M4234</f>
        <v/>
      </c>
    </row>
    <row r="4235">
      <c r="A4235" s="7" t="inlineStr">
        <is>
          <t>ORD-05814</t>
        </is>
      </c>
      <c r="B4235" s="8" t="n">
        <v>45783</v>
      </c>
      <c r="C4235" s="9" t="n">
        <v>45778</v>
      </c>
      <c r="D4235" s="7" t="n">
        <v>2025</v>
      </c>
      <c r="E4235" s="7" t="inlineStr">
        <is>
          <t>North</t>
        </is>
      </c>
      <c r="F4235" s="7" t="inlineStr">
        <is>
          <t>Furniture</t>
        </is>
      </c>
      <c r="G4235" s="7" t="inlineStr">
        <is>
          <t>Bookcase</t>
        </is>
      </c>
      <c r="H4235" s="7" t="inlineStr">
        <is>
          <t>Consumer</t>
        </is>
      </c>
      <c r="I4235" s="7" t="n">
        <v>4</v>
      </c>
      <c r="J4235" s="10" t="n">
        <v>184.23</v>
      </c>
      <c r="K4235" s="11" t="n">
        <v>0</v>
      </c>
      <c r="L4235" s="10">
        <f>I4235*J4235*(1-K4235)</f>
        <v/>
      </c>
      <c r="M4235" s="10" t="n">
        <v>576</v>
      </c>
      <c r="N4235" s="10">
        <f>L4235-M4235</f>
        <v/>
      </c>
    </row>
    <row r="4236">
      <c r="A4236" s="7" t="inlineStr">
        <is>
          <t>ORD-03497</t>
        </is>
      </c>
      <c r="B4236" s="8" t="n">
        <v>45783</v>
      </c>
      <c r="C4236" s="9" t="n">
        <v>45778</v>
      </c>
      <c r="D4236" s="7" t="n">
        <v>2025</v>
      </c>
      <c r="E4236" s="7" t="inlineStr">
        <is>
          <t>West</t>
        </is>
      </c>
      <c r="F4236" s="7" t="inlineStr">
        <is>
          <t>Office Supplies</t>
        </is>
      </c>
      <c r="G4236" s="7" t="inlineStr">
        <is>
          <t>Binder</t>
        </is>
      </c>
      <c r="H4236" s="7" t="inlineStr">
        <is>
          <t>Corporate</t>
        </is>
      </c>
      <c r="I4236" s="7" t="n">
        <v>9</v>
      </c>
      <c r="J4236" s="10" t="n">
        <v>8.25</v>
      </c>
      <c r="K4236" s="11" t="n">
        <v>0</v>
      </c>
      <c r="L4236" s="10">
        <f>I4236*J4236*(1-K4236)</f>
        <v/>
      </c>
      <c r="M4236" s="10" t="n">
        <v>28.8</v>
      </c>
      <c r="N4236" s="10">
        <f>L4236-M4236</f>
        <v/>
      </c>
    </row>
    <row r="4237">
      <c r="A4237" s="7" t="inlineStr">
        <is>
          <t>ORD-03746</t>
        </is>
      </c>
      <c r="B4237" s="8" t="n">
        <v>45783</v>
      </c>
      <c r="C4237" s="9" t="n">
        <v>45778</v>
      </c>
      <c r="D4237" s="7" t="n">
        <v>2025</v>
      </c>
      <c r="E4237" s="7" t="inlineStr">
        <is>
          <t>South</t>
        </is>
      </c>
      <c r="F4237" s="7" t="inlineStr">
        <is>
          <t>Office Supplies</t>
        </is>
      </c>
      <c r="G4237" s="7" t="inlineStr">
        <is>
          <t>Printer Ink</t>
        </is>
      </c>
      <c r="H4237" s="7" t="inlineStr">
        <is>
          <t>Consumer</t>
        </is>
      </c>
      <c r="I4237" s="7" t="n">
        <v>5</v>
      </c>
      <c r="J4237" s="10" t="n">
        <v>58.37</v>
      </c>
      <c r="K4237" s="11" t="n">
        <v>0.05</v>
      </c>
      <c r="L4237" s="10">
        <f>I4237*J4237*(1-K4237)</f>
        <v/>
      </c>
      <c r="M4237" s="10" t="n">
        <v>180</v>
      </c>
      <c r="N4237" s="10">
        <f>L4237-M4237</f>
        <v/>
      </c>
    </row>
    <row r="4238">
      <c r="A4238" s="7" t="inlineStr">
        <is>
          <t>ORD-05171</t>
        </is>
      </c>
      <c r="B4238" s="8" t="n">
        <v>45783</v>
      </c>
      <c r="C4238" s="9" t="n">
        <v>45778</v>
      </c>
      <c r="D4238" s="7" t="n">
        <v>2025</v>
      </c>
      <c r="E4238" s="7" t="inlineStr">
        <is>
          <t>West</t>
        </is>
      </c>
      <c r="F4238" s="7" t="inlineStr">
        <is>
          <t>Furniture</t>
        </is>
      </c>
      <c r="G4238" s="7" t="inlineStr">
        <is>
          <t>Desk</t>
        </is>
      </c>
      <c r="H4238" s="7" t="inlineStr">
        <is>
          <t>Corporate</t>
        </is>
      </c>
      <c r="I4238" s="7" t="n">
        <v>3</v>
      </c>
      <c r="J4238" s="10" t="n">
        <v>459.56</v>
      </c>
      <c r="K4238" s="11" t="n">
        <v>0.1</v>
      </c>
      <c r="L4238" s="10">
        <f>I4238*J4238*(1-K4238)</f>
        <v/>
      </c>
      <c r="M4238" s="10" t="n">
        <v>1147.5</v>
      </c>
      <c r="N4238" s="10">
        <f>L4238-M4238</f>
        <v/>
      </c>
    </row>
    <row r="4239">
      <c r="A4239" s="7" t="inlineStr">
        <is>
          <t>ORD-02641</t>
        </is>
      </c>
      <c r="B4239" s="8" t="n">
        <v>45783</v>
      </c>
      <c r="C4239" s="9" t="n">
        <v>45778</v>
      </c>
      <c r="D4239" s="7" t="n">
        <v>2025</v>
      </c>
      <c r="E4239" s="7" t="inlineStr">
        <is>
          <t>West</t>
        </is>
      </c>
      <c r="F4239" s="7" t="inlineStr">
        <is>
          <t>Office Supplies</t>
        </is>
      </c>
      <c r="G4239" s="7" t="inlineStr">
        <is>
          <t>Pens</t>
        </is>
      </c>
      <c r="H4239" s="7" t="inlineStr">
        <is>
          <t>Corporate</t>
        </is>
      </c>
      <c r="I4239" s="7" t="n">
        <v>13</v>
      </c>
      <c r="J4239" s="10" t="n">
        <v>12.5</v>
      </c>
      <c r="K4239" s="11" t="n">
        <v>0</v>
      </c>
      <c r="L4239" s="10">
        <f>I4239*J4239*(1-K4239)</f>
        <v/>
      </c>
      <c r="M4239" s="10" t="n">
        <v>70.2</v>
      </c>
      <c r="N4239" s="10">
        <f>L4239-M4239</f>
        <v/>
      </c>
    </row>
    <row r="4240">
      <c r="A4240" s="7" t="inlineStr">
        <is>
          <t>ORD-05585</t>
        </is>
      </c>
      <c r="B4240" s="8" t="n">
        <v>45783</v>
      </c>
      <c r="C4240" s="9" t="n">
        <v>45778</v>
      </c>
      <c r="D4240" s="7" t="n">
        <v>2025</v>
      </c>
      <c r="E4240" s="7" t="inlineStr">
        <is>
          <t>North</t>
        </is>
      </c>
      <c r="F4240" s="7" t="inlineStr">
        <is>
          <t>Technology</t>
        </is>
      </c>
      <c r="G4240" s="7" t="inlineStr">
        <is>
          <t>Laptop</t>
        </is>
      </c>
      <c r="H4240" s="7" t="inlineStr">
        <is>
          <t>Consumer</t>
        </is>
      </c>
      <c r="I4240" s="7" t="n">
        <v>1</v>
      </c>
      <c r="J4240" s="10" t="n">
        <v>935.24</v>
      </c>
      <c r="K4240" s="11" t="n">
        <v>0</v>
      </c>
      <c r="L4240" s="10">
        <f>I4240*J4240*(1-K4240)</f>
        <v/>
      </c>
      <c r="M4240" s="10" t="n">
        <v>702</v>
      </c>
      <c r="N4240" s="10">
        <f>L4240-M4240</f>
        <v/>
      </c>
    </row>
    <row r="4241">
      <c r="A4241" s="7" t="inlineStr">
        <is>
          <t>ORD-00106</t>
        </is>
      </c>
      <c r="B4241" s="8" t="n">
        <v>45783</v>
      </c>
      <c r="C4241" s="9" t="n">
        <v>45778</v>
      </c>
      <c r="D4241" s="7" t="n">
        <v>2025</v>
      </c>
      <c r="E4241" s="7" t="inlineStr">
        <is>
          <t>North</t>
        </is>
      </c>
      <c r="F4241" s="7" t="inlineStr">
        <is>
          <t>Office Supplies</t>
        </is>
      </c>
      <c r="G4241" s="7" t="inlineStr">
        <is>
          <t>Binder</t>
        </is>
      </c>
      <c r="H4241" s="7" t="inlineStr">
        <is>
          <t>Corporate</t>
        </is>
      </c>
      <c r="I4241" s="7" t="n">
        <v>8</v>
      </c>
      <c r="J4241" s="10" t="n">
        <v>8.199999999999999</v>
      </c>
      <c r="K4241" s="11" t="n">
        <v>0.05</v>
      </c>
      <c r="L4241" s="10">
        <f>I4241*J4241*(1-K4241)</f>
        <v/>
      </c>
      <c r="M4241" s="10" t="n">
        <v>25.6</v>
      </c>
      <c r="N4241" s="10">
        <f>L4241-M4241</f>
        <v/>
      </c>
    </row>
    <row r="4242">
      <c r="A4242" s="7" t="inlineStr">
        <is>
          <t>ORD-05584</t>
        </is>
      </c>
      <c r="B4242" s="8" t="n">
        <v>45783</v>
      </c>
      <c r="C4242" s="9" t="n">
        <v>45778</v>
      </c>
      <c r="D4242" s="7" t="n">
        <v>2025</v>
      </c>
      <c r="E4242" s="7" t="inlineStr">
        <is>
          <t>East</t>
        </is>
      </c>
      <c r="F4242" s="7" t="inlineStr">
        <is>
          <t>Office Supplies</t>
        </is>
      </c>
      <c r="G4242" s="7" t="inlineStr">
        <is>
          <t>Paper</t>
        </is>
      </c>
      <c r="H4242" s="7" t="inlineStr">
        <is>
          <t>Consumer</t>
        </is>
      </c>
      <c r="I4242" s="7" t="n">
        <v>13</v>
      </c>
      <c r="J4242" s="10" t="n">
        <v>25.83</v>
      </c>
      <c r="K4242" s="11" t="n">
        <v>0.1</v>
      </c>
      <c r="L4242" s="10">
        <f>I4242*J4242*(1-K4242)</f>
        <v/>
      </c>
      <c r="M4242" s="10" t="n">
        <v>162.5</v>
      </c>
      <c r="N4242" s="10">
        <f>L4242-M4242</f>
        <v/>
      </c>
    </row>
    <row r="4243">
      <c r="A4243" s="7" t="inlineStr">
        <is>
          <t>ORD-02089</t>
        </is>
      </c>
      <c r="B4243" s="8" t="n">
        <v>45783</v>
      </c>
      <c r="C4243" s="9" t="n">
        <v>45778</v>
      </c>
      <c r="D4243" s="7" t="n">
        <v>2025</v>
      </c>
      <c r="E4243" s="7" t="inlineStr">
        <is>
          <t>East</t>
        </is>
      </c>
      <c r="F4243" s="7" t="inlineStr">
        <is>
          <t>Furniture</t>
        </is>
      </c>
      <c r="G4243" s="7" t="inlineStr">
        <is>
          <t>Bookcase</t>
        </is>
      </c>
      <c r="H4243" s="7" t="inlineStr">
        <is>
          <t>Consumer</t>
        </is>
      </c>
      <c r="I4243" s="7" t="n">
        <v>2</v>
      </c>
      <c r="J4243" s="10" t="n">
        <v>183.22</v>
      </c>
      <c r="K4243" s="11" t="n">
        <v>0.1</v>
      </c>
      <c r="L4243" s="10">
        <f>I4243*J4243*(1-K4243)</f>
        <v/>
      </c>
      <c r="M4243" s="10" t="n">
        <v>288</v>
      </c>
      <c r="N4243" s="10">
        <f>L4243-M4243</f>
        <v/>
      </c>
    </row>
    <row r="4244">
      <c r="A4244" s="7" t="inlineStr">
        <is>
          <t>ORD-04929</t>
        </is>
      </c>
      <c r="B4244" s="8" t="n">
        <v>45783</v>
      </c>
      <c r="C4244" s="9" t="n">
        <v>45778</v>
      </c>
      <c r="D4244" s="7" t="n">
        <v>2025</v>
      </c>
      <c r="E4244" s="7" t="inlineStr">
        <is>
          <t>North</t>
        </is>
      </c>
      <c r="F4244" s="7" t="inlineStr">
        <is>
          <t>Furniture</t>
        </is>
      </c>
      <c r="G4244" s="7" t="inlineStr">
        <is>
          <t>Bookcase</t>
        </is>
      </c>
      <c r="H4244" s="7" t="inlineStr">
        <is>
          <t>Consumer</t>
        </is>
      </c>
      <c r="I4244" s="7" t="n">
        <v>4</v>
      </c>
      <c r="J4244" s="10" t="n">
        <v>174.08</v>
      </c>
      <c r="K4244" s="11" t="n">
        <v>0.05</v>
      </c>
      <c r="L4244" s="10">
        <f>I4244*J4244*(1-K4244)</f>
        <v/>
      </c>
      <c r="M4244" s="10" t="n">
        <v>576</v>
      </c>
      <c r="N4244" s="10">
        <f>L4244-M4244</f>
        <v/>
      </c>
    </row>
    <row r="4245">
      <c r="A4245" s="7" t="inlineStr">
        <is>
          <t>ORD-04050</t>
        </is>
      </c>
      <c r="B4245" s="8" t="n">
        <v>45784</v>
      </c>
      <c r="C4245" s="9" t="n">
        <v>45778</v>
      </c>
      <c r="D4245" s="7" t="n">
        <v>2025</v>
      </c>
      <c r="E4245" s="7" t="inlineStr">
        <is>
          <t>South</t>
        </is>
      </c>
      <c r="F4245" s="7" t="inlineStr">
        <is>
          <t>Office Supplies</t>
        </is>
      </c>
      <c r="G4245" s="7" t="inlineStr">
        <is>
          <t>Printer Ink</t>
        </is>
      </c>
      <c r="H4245" s="7" t="inlineStr">
        <is>
          <t>Corporate</t>
        </is>
      </c>
      <c r="I4245" s="7" t="n">
        <v>3</v>
      </c>
      <c r="J4245" s="10" t="n">
        <v>57.02</v>
      </c>
      <c r="K4245" s="11" t="n">
        <v>0.2</v>
      </c>
      <c r="L4245" s="10">
        <f>I4245*J4245*(1-K4245)</f>
        <v/>
      </c>
      <c r="M4245" s="10" t="n">
        <v>108</v>
      </c>
      <c r="N4245" s="10">
        <f>L4245-M4245</f>
        <v/>
      </c>
    </row>
    <row r="4246">
      <c r="A4246" s="7" t="inlineStr">
        <is>
          <t>ORD-02207</t>
        </is>
      </c>
      <c r="B4246" s="8" t="n">
        <v>45784</v>
      </c>
      <c r="C4246" s="9" t="n">
        <v>45778</v>
      </c>
      <c r="D4246" s="7" t="n">
        <v>2025</v>
      </c>
      <c r="E4246" s="7" t="inlineStr">
        <is>
          <t>East</t>
        </is>
      </c>
      <c r="F4246" s="7" t="inlineStr">
        <is>
          <t>Office Supplies</t>
        </is>
      </c>
      <c r="G4246" s="7" t="inlineStr">
        <is>
          <t>Stapler</t>
        </is>
      </c>
      <c r="H4246" s="7" t="inlineStr">
        <is>
          <t>Corporate</t>
        </is>
      </c>
      <c r="I4246" s="7" t="n">
        <v>9</v>
      </c>
      <c r="J4246" s="10" t="n">
        <v>14.41</v>
      </c>
      <c r="K4246" s="11" t="n">
        <v>0.3</v>
      </c>
      <c r="L4246" s="10">
        <f>I4246*J4246*(1-K4246)</f>
        <v/>
      </c>
      <c r="M4246" s="10" t="n">
        <v>67.5</v>
      </c>
      <c r="N4246" s="10">
        <f>L4246-M4246</f>
        <v/>
      </c>
    </row>
    <row r="4247">
      <c r="A4247" s="7" t="inlineStr">
        <is>
          <t>ORD-03881</t>
        </is>
      </c>
      <c r="B4247" s="8" t="n">
        <v>45784</v>
      </c>
      <c r="C4247" s="9" t="n">
        <v>45778</v>
      </c>
      <c r="D4247" s="7" t="n">
        <v>2025</v>
      </c>
      <c r="E4247" s="7" t="inlineStr">
        <is>
          <t>West</t>
        </is>
      </c>
      <c r="F4247" s="7" t="inlineStr">
        <is>
          <t>Office Supplies</t>
        </is>
      </c>
      <c r="G4247" s="7" t="inlineStr">
        <is>
          <t>Pens</t>
        </is>
      </c>
      <c r="H4247" s="7" t="inlineStr">
        <is>
          <t>Consumer</t>
        </is>
      </c>
      <c r="I4247" s="7" t="n">
        <v>5</v>
      </c>
      <c r="J4247" s="10" t="n">
        <v>11.41</v>
      </c>
      <c r="K4247" s="11" t="n">
        <v>0</v>
      </c>
      <c r="L4247" s="10">
        <f>I4247*J4247*(1-K4247)</f>
        <v/>
      </c>
      <c r="M4247" s="10" t="n">
        <v>27</v>
      </c>
      <c r="N4247" s="10">
        <f>L4247-M4247</f>
        <v/>
      </c>
    </row>
    <row r="4248">
      <c r="A4248" s="7" t="inlineStr">
        <is>
          <t>ORD-00666</t>
        </is>
      </c>
      <c r="B4248" s="8" t="n">
        <v>45784</v>
      </c>
      <c r="C4248" s="9" t="n">
        <v>45778</v>
      </c>
      <c r="D4248" s="7" t="n">
        <v>2025</v>
      </c>
      <c r="E4248" s="7" t="inlineStr">
        <is>
          <t>South</t>
        </is>
      </c>
      <c r="F4248" s="7" t="inlineStr">
        <is>
          <t>Office Supplies</t>
        </is>
      </c>
      <c r="G4248" s="7" t="inlineStr">
        <is>
          <t>Paper</t>
        </is>
      </c>
      <c r="H4248" s="7" t="inlineStr">
        <is>
          <t>Consumer</t>
        </is>
      </c>
      <c r="I4248" s="7" t="n">
        <v>14</v>
      </c>
      <c r="J4248" s="10" t="n">
        <v>25.47</v>
      </c>
      <c r="K4248" s="11" t="n">
        <v>0.3</v>
      </c>
      <c r="L4248" s="10">
        <f>I4248*J4248*(1-K4248)</f>
        <v/>
      </c>
      <c r="M4248" s="10" t="n">
        <v>175</v>
      </c>
      <c r="N4248" s="10">
        <f>L4248-M4248</f>
        <v/>
      </c>
    </row>
    <row r="4249">
      <c r="A4249" s="7" t="inlineStr">
        <is>
          <t>ORD-04245</t>
        </is>
      </c>
      <c r="B4249" s="8" t="n">
        <v>45784</v>
      </c>
      <c r="C4249" s="9" t="n">
        <v>45778</v>
      </c>
      <c r="D4249" s="7" t="n">
        <v>2025</v>
      </c>
      <c r="E4249" s="7" t="inlineStr">
        <is>
          <t>West</t>
        </is>
      </c>
      <c r="F4249" s="7" t="inlineStr">
        <is>
          <t>Office Supplies</t>
        </is>
      </c>
      <c r="G4249" s="7" t="inlineStr">
        <is>
          <t>Pens</t>
        </is>
      </c>
      <c r="H4249" s="7" t="inlineStr">
        <is>
          <t>Consumer</t>
        </is>
      </c>
      <c r="I4249" s="7" t="n">
        <v>4</v>
      </c>
      <c r="J4249" s="10" t="n">
        <v>11.68</v>
      </c>
      <c r="K4249" s="11" t="n">
        <v>0</v>
      </c>
      <c r="L4249" s="10">
        <f>I4249*J4249*(1-K4249)</f>
        <v/>
      </c>
      <c r="M4249" s="10" t="n">
        <v>21.6</v>
      </c>
      <c r="N4249" s="10">
        <f>L4249-M4249</f>
        <v/>
      </c>
    </row>
    <row r="4250">
      <c r="A4250" s="7" t="inlineStr">
        <is>
          <t>ORD-05080</t>
        </is>
      </c>
      <c r="B4250" s="8" t="n">
        <v>45784</v>
      </c>
      <c r="C4250" s="9" t="n">
        <v>45778</v>
      </c>
      <c r="D4250" s="7" t="n">
        <v>2025</v>
      </c>
      <c r="E4250" s="7" t="inlineStr">
        <is>
          <t>South</t>
        </is>
      </c>
      <c r="F4250" s="7" t="inlineStr">
        <is>
          <t>Technology</t>
        </is>
      </c>
      <c r="G4250" s="7" t="inlineStr">
        <is>
          <t>Keyboard</t>
        </is>
      </c>
      <c r="H4250" s="7" t="inlineStr">
        <is>
          <t>Consumer</t>
        </is>
      </c>
      <c r="I4250" s="7" t="n">
        <v>1</v>
      </c>
      <c r="J4250" s="10" t="n">
        <v>46.27</v>
      </c>
      <c r="K4250" s="11" t="n">
        <v>0.3</v>
      </c>
      <c r="L4250" s="10">
        <f>I4250*J4250*(1-K4250)</f>
        <v/>
      </c>
      <c r="M4250" s="10" t="n">
        <v>24.75</v>
      </c>
      <c r="N4250" s="10">
        <f>L4250-M4250</f>
        <v/>
      </c>
    </row>
    <row r="4251">
      <c r="A4251" s="7" t="inlineStr">
        <is>
          <t>ORD-00387</t>
        </is>
      </c>
      <c r="B4251" s="8" t="n">
        <v>45784</v>
      </c>
      <c r="C4251" s="9" t="n">
        <v>45778</v>
      </c>
      <c r="D4251" s="7" t="n">
        <v>2025</v>
      </c>
      <c r="E4251" s="7" t="inlineStr">
        <is>
          <t>West</t>
        </is>
      </c>
      <c r="F4251" s="7" t="inlineStr">
        <is>
          <t>Office Supplies</t>
        </is>
      </c>
      <c r="G4251" s="7" t="inlineStr">
        <is>
          <t>Stapler</t>
        </is>
      </c>
      <c r="H4251" s="7" t="inlineStr">
        <is>
          <t>Consumer</t>
        </is>
      </c>
      <c r="I4251" s="7" t="n">
        <v>4</v>
      </c>
      <c r="J4251" s="10" t="n">
        <v>14.72</v>
      </c>
      <c r="K4251" s="11" t="n">
        <v>0.3</v>
      </c>
      <c r="L4251" s="10">
        <f>I4251*J4251*(1-K4251)</f>
        <v/>
      </c>
      <c r="M4251" s="10" t="n">
        <v>30</v>
      </c>
      <c r="N4251" s="10">
        <f>L4251-M4251</f>
        <v/>
      </c>
    </row>
    <row r="4252">
      <c r="A4252" s="7" t="inlineStr">
        <is>
          <t>ORD-03505</t>
        </is>
      </c>
      <c r="B4252" s="8" t="n">
        <v>45785</v>
      </c>
      <c r="C4252" s="9" t="n">
        <v>45778</v>
      </c>
      <c r="D4252" s="7" t="n">
        <v>2025</v>
      </c>
      <c r="E4252" s="7" t="inlineStr">
        <is>
          <t>East</t>
        </is>
      </c>
      <c r="F4252" s="7" t="inlineStr">
        <is>
          <t>Furniture</t>
        </is>
      </c>
      <c r="G4252" s="7" t="inlineStr">
        <is>
          <t>Bookcase</t>
        </is>
      </c>
      <c r="H4252" s="7" t="inlineStr">
        <is>
          <t>Consumer</t>
        </is>
      </c>
      <c r="I4252" s="7" t="n">
        <v>4</v>
      </c>
      <c r="J4252" s="10" t="n">
        <v>179.06</v>
      </c>
      <c r="K4252" s="11" t="n">
        <v>0.05</v>
      </c>
      <c r="L4252" s="10">
        <f>I4252*J4252*(1-K4252)</f>
        <v/>
      </c>
      <c r="M4252" s="10" t="n">
        <v>576</v>
      </c>
      <c r="N4252" s="10">
        <f>L4252-M4252</f>
        <v/>
      </c>
    </row>
    <row r="4253">
      <c r="A4253" s="7" t="inlineStr">
        <is>
          <t>ORD-03305</t>
        </is>
      </c>
      <c r="B4253" s="8" t="n">
        <v>45785</v>
      </c>
      <c r="C4253" s="9" t="n">
        <v>45778</v>
      </c>
      <c r="D4253" s="7" t="n">
        <v>2025</v>
      </c>
      <c r="E4253" s="7" t="inlineStr">
        <is>
          <t>West</t>
        </is>
      </c>
      <c r="F4253" s="7" t="inlineStr">
        <is>
          <t>Office Supplies</t>
        </is>
      </c>
      <c r="G4253" s="7" t="inlineStr">
        <is>
          <t>Paper</t>
        </is>
      </c>
      <c r="H4253" s="7" t="inlineStr">
        <is>
          <t>Consumer</t>
        </is>
      </c>
      <c r="I4253" s="7" t="n">
        <v>4</v>
      </c>
      <c r="J4253" s="10" t="n">
        <v>23.98</v>
      </c>
      <c r="K4253" s="11" t="n">
        <v>0</v>
      </c>
      <c r="L4253" s="10">
        <f>I4253*J4253*(1-K4253)</f>
        <v/>
      </c>
      <c r="M4253" s="10" t="n">
        <v>50</v>
      </c>
      <c r="N4253" s="10">
        <f>L4253-M4253</f>
        <v/>
      </c>
    </row>
    <row r="4254">
      <c r="A4254" s="7" t="inlineStr">
        <is>
          <t>ORD-02432</t>
        </is>
      </c>
      <c r="B4254" s="8" t="n">
        <v>45785</v>
      </c>
      <c r="C4254" s="9" t="n">
        <v>45778</v>
      </c>
      <c r="D4254" s="7" t="n">
        <v>2025</v>
      </c>
      <c r="E4254" s="7" t="inlineStr">
        <is>
          <t>West</t>
        </is>
      </c>
      <c r="F4254" s="7" t="inlineStr">
        <is>
          <t>Office Supplies</t>
        </is>
      </c>
      <c r="G4254" s="7" t="inlineStr">
        <is>
          <t>Printer Ink</t>
        </is>
      </c>
      <c r="H4254" s="7" t="inlineStr">
        <is>
          <t>Corporate</t>
        </is>
      </c>
      <c r="I4254" s="7" t="n">
        <v>2</v>
      </c>
      <c r="J4254" s="10" t="n">
        <v>59.3</v>
      </c>
      <c r="K4254" s="11" t="n">
        <v>0.05</v>
      </c>
      <c r="L4254" s="10">
        <f>I4254*J4254*(1-K4254)</f>
        <v/>
      </c>
      <c r="M4254" s="10" t="n">
        <v>72</v>
      </c>
      <c r="N4254" s="10">
        <f>L4254-M4254</f>
        <v/>
      </c>
    </row>
    <row r="4255">
      <c r="A4255" s="7" t="inlineStr">
        <is>
          <t>ORD-01032</t>
        </is>
      </c>
      <c r="B4255" s="8" t="n">
        <v>45786</v>
      </c>
      <c r="C4255" s="9" t="n">
        <v>45778</v>
      </c>
      <c r="D4255" s="7" t="n">
        <v>2025</v>
      </c>
      <c r="E4255" s="7" t="inlineStr">
        <is>
          <t>West</t>
        </is>
      </c>
      <c r="F4255" s="7" t="inlineStr">
        <is>
          <t>Office Supplies</t>
        </is>
      </c>
      <c r="G4255" s="7" t="inlineStr">
        <is>
          <t>Pens</t>
        </is>
      </c>
      <c r="H4255" s="7" t="inlineStr">
        <is>
          <t>Consumer</t>
        </is>
      </c>
      <c r="I4255" s="7" t="n">
        <v>6</v>
      </c>
      <c r="J4255" s="10" t="n">
        <v>11.49</v>
      </c>
      <c r="K4255" s="11" t="n">
        <v>0</v>
      </c>
      <c r="L4255" s="10">
        <f>I4255*J4255*(1-K4255)</f>
        <v/>
      </c>
      <c r="M4255" s="10" t="n">
        <v>32.4</v>
      </c>
      <c r="N4255" s="10">
        <f>L4255-M4255</f>
        <v/>
      </c>
    </row>
    <row r="4256">
      <c r="A4256" s="7" t="inlineStr">
        <is>
          <t>ORD-04389</t>
        </is>
      </c>
      <c r="B4256" s="8" t="n">
        <v>45786</v>
      </c>
      <c r="C4256" s="9" t="n">
        <v>45778</v>
      </c>
      <c r="D4256" s="7" t="n">
        <v>2025</v>
      </c>
      <c r="E4256" s="7" t="inlineStr">
        <is>
          <t>West</t>
        </is>
      </c>
      <c r="F4256" s="7" t="inlineStr">
        <is>
          <t>Technology</t>
        </is>
      </c>
      <c r="G4256" s="7" t="inlineStr">
        <is>
          <t>Smartphone</t>
        </is>
      </c>
      <c r="H4256" s="7" t="inlineStr">
        <is>
          <t>Corporate</t>
        </is>
      </c>
      <c r="I4256" s="7" t="n">
        <v>1</v>
      </c>
      <c r="J4256" s="10" t="n">
        <v>573.3099999999999</v>
      </c>
      <c r="K4256" s="11" t="n">
        <v>0</v>
      </c>
      <c r="L4256" s="10">
        <f>I4256*J4256*(1-K4256)</f>
        <v/>
      </c>
      <c r="M4256" s="10" t="n">
        <v>450</v>
      </c>
      <c r="N4256" s="10">
        <f>L4256-M4256</f>
        <v/>
      </c>
    </row>
    <row r="4257">
      <c r="A4257" s="7" t="inlineStr">
        <is>
          <t>ORD-05278</t>
        </is>
      </c>
      <c r="B4257" s="8" t="n">
        <v>45786</v>
      </c>
      <c r="C4257" s="9" t="n">
        <v>45778</v>
      </c>
      <c r="D4257" s="7" t="n">
        <v>2025</v>
      </c>
      <c r="E4257" s="7" t="inlineStr">
        <is>
          <t>West</t>
        </is>
      </c>
      <c r="F4257" s="7" t="inlineStr">
        <is>
          <t>Office Supplies</t>
        </is>
      </c>
      <c r="G4257" s="7" t="inlineStr">
        <is>
          <t>Pens</t>
        </is>
      </c>
      <c r="H4257" s="7" t="inlineStr">
        <is>
          <t>Consumer</t>
        </is>
      </c>
      <c r="I4257" s="7" t="n">
        <v>11</v>
      </c>
      <c r="J4257" s="10" t="n">
        <v>11.44</v>
      </c>
      <c r="K4257" s="11" t="n">
        <v>0.1</v>
      </c>
      <c r="L4257" s="10">
        <f>I4257*J4257*(1-K4257)</f>
        <v/>
      </c>
      <c r="M4257" s="10" t="n">
        <v>59.4</v>
      </c>
      <c r="N4257" s="10">
        <f>L4257-M4257</f>
        <v/>
      </c>
    </row>
    <row r="4258">
      <c r="A4258" s="7" t="inlineStr">
        <is>
          <t>ORD-05741</t>
        </is>
      </c>
      <c r="B4258" s="8" t="n">
        <v>45786</v>
      </c>
      <c r="C4258" s="9" t="n">
        <v>45778</v>
      </c>
      <c r="D4258" s="7" t="n">
        <v>2025</v>
      </c>
      <c r="E4258" s="7" t="inlineStr">
        <is>
          <t>East</t>
        </is>
      </c>
      <c r="F4258" s="7" t="inlineStr">
        <is>
          <t>Office Supplies</t>
        </is>
      </c>
      <c r="G4258" s="7" t="inlineStr">
        <is>
          <t>Printer Ink</t>
        </is>
      </c>
      <c r="H4258" s="7" t="inlineStr">
        <is>
          <t>Consumer</t>
        </is>
      </c>
      <c r="I4258" s="7" t="n">
        <v>6</v>
      </c>
      <c r="J4258" s="10" t="n">
        <v>57.06</v>
      </c>
      <c r="K4258" s="11" t="n">
        <v>0</v>
      </c>
      <c r="L4258" s="10">
        <f>I4258*J4258*(1-K4258)</f>
        <v/>
      </c>
      <c r="M4258" s="10" t="n">
        <v>216</v>
      </c>
      <c r="N4258" s="10">
        <f>L4258-M4258</f>
        <v/>
      </c>
    </row>
    <row r="4259">
      <c r="A4259" s="7" t="inlineStr">
        <is>
          <t>ORD-00875</t>
        </is>
      </c>
      <c r="B4259" s="8" t="n">
        <v>45786</v>
      </c>
      <c r="C4259" s="9" t="n">
        <v>45778</v>
      </c>
      <c r="D4259" s="7" t="n">
        <v>2025</v>
      </c>
      <c r="E4259" s="7" t="inlineStr">
        <is>
          <t>West</t>
        </is>
      </c>
      <c r="F4259" s="7" t="inlineStr">
        <is>
          <t>Technology</t>
        </is>
      </c>
      <c r="G4259" s="7" t="inlineStr">
        <is>
          <t>Smartphone</t>
        </is>
      </c>
      <c r="H4259" s="7" t="inlineStr">
        <is>
          <t>Consumer</t>
        </is>
      </c>
      <c r="I4259" s="7" t="n">
        <v>1</v>
      </c>
      <c r="J4259" s="10" t="n">
        <v>590.76</v>
      </c>
      <c r="K4259" s="11" t="n">
        <v>0</v>
      </c>
      <c r="L4259" s="10">
        <f>I4259*J4259*(1-K4259)</f>
        <v/>
      </c>
      <c r="M4259" s="10" t="n">
        <v>450</v>
      </c>
      <c r="N4259" s="10">
        <f>L4259-M4259</f>
        <v/>
      </c>
    </row>
    <row r="4260">
      <c r="A4260" s="7" t="inlineStr">
        <is>
          <t>ORD-00118</t>
        </is>
      </c>
      <c r="B4260" s="8" t="n">
        <v>45786</v>
      </c>
      <c r="C4260" s="9" t="n">
        <v>45778</v>
      </c>
      <c r="D4260" s="7" t="n">
        <v>2025</v>
      </c>
      <c r="E4260" s="7" t="inlineStr">
        <is>
          <t>West</t>
        </is>
      </c>
      <c r="F4260" s="7" t="inlineStr">
        <is>
          <t>Technology</t>
        </is>
      </c>
      <c r="G4260" s="7" t="inlineStr">
        <is>
          <t>Monitor</t>
        </is>
      </c>
      <c r="H4260" s="7" t="inlineStr">
        <is>
          <t>Corporate</t>
        </is>
      </c>
      <c r="I4260" s="7" t="n">
        <v>2</v>
      </c>
      <c r="J4260" s="10" t="n">
        <v>253.45</v>
      </c>
      <c r="K4260" s="11" t="n">
        <v>0.2</v>
      </c>
      <c r="L4260" s="10">
        <f>I4260*J4260*(1-K4260)</f>
        <v/>
      </c>
      <c r="M4260" s="10" t="n">
        <v>360</v>
      </c>
      <c r="N4260" s="10">
        <f>L4260-M4260</f>
        <v/>
      </c>
    </row>
    <row r="4261">
      <c r="A4261" s="7" t="inlineStr">
        <is>
          <t>ORD-02452</t>
        </is>
      </c>
      <c r="B4261" s="8" t="n">
        <v>45787</v>
      </c>
      <c r="C4261" s="9" t="n">
        <v>45778</v>
      </c>
      <c r="D4261" s="7" t="n">
        <v>2025</v>
      </c>
      <c r="E4261" s="7" t="inlineStr">
        <is>
          <t>West</t>
        </is>
      </c>
      <c r="F4261" s="7" t="inlineStr">
        <is>
          <t>Office Supplies</t>
        </is>
      </c>
      <c r="G4261" s="7" t="inlineStr">
        <is>
          <t>Paper</t>
        </is>
      </c>
      <c r="H4261" s="7" t="inlineStr">
        <is>
          <t>Home Office</t>
        </is>
      </c>
      <c r="I4261" s="7" t="n">
        <v>15</v>
      </c>
      <c r="J4261" s="10" t="n">
        <v>25.69</v>
      </c>
      <c r="K4261" s="11" t="n">
        <v>0.1</v>
      </c>
      <c r="L4261" s="10">
        <f>I4261*J4261*(1-K4261)</f>
        <v/>
      </c>
      <c r="M4261" s="10" t="n">
        <v>187.5</v>
      </c>
      <c r="N4261" s="10">
        <f>L4261-M4261</f>
        <v/>
      </c>
    </row>
    <row r="4262">
      <c r="A4262" s="7" t="inlineStr">
        <is>
          <t>ORD-03292</t>
        </is>
      </c>
      <c r="B4262" s="8" t="n">
        <v>45787</v>
      </c>
      <c r="C4262" s="9" t="n">
        <v>45778</v>
      </c>
      <c r="D4262" s="7" t="n">
        <v>2025</v>
      </c>
      <c r="E4262" s="7" t="inlineStr">
        <is>
          <t>North</t>
        </is>
      </c>
      <c r="F4262" s="7" t="inlineStr">
        <is>
          <t>Office Supplies</t>
        </is>
      </c>
      <c r="G4262" s="7" t="inlineStr">
        <is>
          <t>Paper</t>
        </is>
      </c>
      <c r="H4262" s="7" t="inlineStr">
        <is>
          <t>Consumer</t>
        </is>
      </c>
      <c r="I4262" s="7" t="n">
        <v>10</v>
      </c>
      <c r="J4262" s="10" t="n">
        <v>24.54</v>
      </c>
      <c r="K4262" s="11" t="n">
        <v>0.05</v>
      </c>
      <c r="L4262" s="10">
        <f>I4262*J4262*(1-K4262)</f>
        <v/>
      </c>
      <c r="M4262" s="10" t="n">
        <v>125</v>
      </c>
      <c r="N4262" s="10">
        <f>L4262-M4262</f>
        <v/>
      </c>
    </row>
    <row r="4263">
      <c r="A4263" s="7" t="inlineStr">
        <is>
          <t>ORD-02193</t>
        </is>
      </c>
      <c r="B4263" s="8" t="n">
        <v>45787</v>
      </c>
      <c r="C4263" s="9" t="n">
        <v>45778</v>
      </c>
      <c r="D4263" s="7" t="n">
        <v>2025</v>
      </c>
      <c r="E4263" s="7" t="inlineStr">
        <is>
          <t>West</t>
        </is>
      </c>
      <c r="F4263" s="7" t="inlineStr">
        <is>
          <t>Office Supplies</t>
        </is>
      </c>
      <c r="G4263" s="7" t="inlineStr">
        <is>
          <t>Binder</t>
        </is>
      </c>
      <c r="H4263" s="7" t="inlineStr">
        <is>
          <t>Corporate</t>
        </is>
      </c>
      <c r="I4263" s="7" t="n">
        <v>12</v>
      </c>
      <c r="J4263" s="10" t="n">
        <v>7.82</v>
      </c>
      <c r="K4263" s="11" t="n">
        <v>0.1</v>
      </c>
      <c r="L4263" s="10">
        <f>I4263*J4263*(1-K4263)</f>
        <v/>
      </c>
      <c r="M4263" s="10" t="n">
        <v>38.4</v>
      </c>
      <c r="N4263" s="10">
        <f>L4263-M4263</f>
        <v/>
      </c>
    </row>
    <row r="4264">
      <c r="A4264" s="7" t="inlineStr">
        <is>
          <t>ORD-00604</t>
        </is>
      </c>
      <c r="B4264" s="8" t="n">
        <v>45787</v>
      </c>
      <c r="C4264" s="9" t="n">
        <v>45778</v>
      </c>
      <c r="D4264" s="7" t="n">
        <v>2025</v>
      </c>
      <c r="E4264" s="7" t="inlineStr">
        <is>
          <t>West</t>
        </is>
      </c>
      <c r="F4264" s="7" t="inlineStr">
        <is>
          <t>Office Supplies</t>
        </is>
      </c>
      <c r="G4264" s="7" t="inlineStr">
        <is>
          <t>Binder</t>
        </is>
      </c>
      <c r="H4264" s="7" t="inlineStr">
        <is>
          <t>Consumer</t>
        </is>
      </c>
      <c r="I4264" s="7" t="n">
        <v>3</v>
      </c>
      <c r="J4264" s="10" t="n">
        <v>7.83</v>
      </c>
      <c r="K4264" s="11" t="n">
        <v>0</v>
      </c>
      <c r="L4264" s="10">
        <f>I4264*J4264*(1-K4264)</f>
        <v/>
      </c>
      <c r="M4264" s="10" t="n">
        <v>9.6</v>
      </c>
      <c r="N4264" s="10">
        <f>L4264-M4264</f>
        <v/>
      </c>
    </row>
    <row r="4265">
      <c r="A4265" s="7" t="inlineStr">
        <is>
          <t>ORD-05823</t>
        </is>
      </c>
      <c r="B4265" s="8" t="n">
        <v>45787</v>
      </c>
      <c r="C4265" s="9" t="n">
        <v>45778</v>
      </c>
      <c r="D4265" s="7" t="n">
        <v>2025</v>
      </c>
      <c r="E4265" s="7" t="inlineStr">
        <is>
          <t>South</t>
        </is>
      </c>
      <c r="F4265" s="7" t="inlineStr">
        <is>
          <t>Furniture</t>
        </is>
      </c>
      <c r="G4265" s="7" t="inlineStr">
        <is>
          <t>Desk</t>
        </is>
      </c>
      <c r="H4265" s="7" t="inlineStr">
        <is>
          <t>Consumer</t>
        </is>
      </c>
      <c r="I4265" s="7" t="n">
        <v>2</v>
      </c>
      <c r="J4265" s="10" t="n">
        <v>464.73</v>
      </c>
      <c r="K4265" s="11" t="n">
        <v>0.2</v>
      </c>
      <c r="L4265" s="10">
        <f>I4265*J4265*(1-K4265)</f>
        <v/>
      </c>
      <c r="M4265" s="10" t="n">
        <v>765</v>
      </c>
      <c r="N4265" s="10">
        <f>L4265-M4265</f>
        <v/>
      </c>
    </row>
    <row r="4266">
      <c r="A4266" s="7" t="inlineStr">
        <is>
          <t>ORD-05378</t>
        </is>
      </c>
      <c r="B4266" s="8" t="n">
        <v>45788</v>
      </c>
      <c r="C4266" s="9" t="n">
        <v>45778</v>
      </c>
      <c r="D4266" s="7" t="n">
        <v>2025</v>
      </c>
      <c r="E4266" s="7" t="inlineStr">
        <is>
          <t>West</t>
        </is>
      </c>
      <c r="F4266" s="7" t="inlineStr">
        <is>
          <t>Furniture</t>
        </is>
      </c>
      <c r="G4266" s="7" t="inlineStr">
        <is>
          <t>Desk</t>
        </is>
      </c>
      <c r="H4266" s="7" t="inlineStr">
        <is>
          <t>Corporate</t>
        </is>
      </c>
      <c r="I4266" s="7" t="n">
        <v>2</v>
      </c>
      <c r="J4266" s="10" t="n">
        <v>449.6</v>
      </c>
      <c r="K4266" s="11" t="n">
        <v>0.1</v>
      </c>
      <c r="L4266" s="10">
        <f>I4266*J4266*(1-K4266)</f>
        <v/>
      </c>
      <c r="M4266" s="10" t="n">
        <v>765</v>
      </c>
      <c r="N4266" s="10">
        <f>L4266-M4266</f>
        <v/>
      </c>
    </row>
    <row r="4267">
      <c r="A4267" s="7" t="inlineStr">
        <is>
          <t>ORD-01469</t>
        </is>
      </c>
      <c r="B4267" s="8" t="n">
        <v>45788</v>
      </c>
      <c r="C4267" s="9" t="n">
        <v>45778</v>
      </c>
      <c r="D4267" s="7" t="n">
        <v>2025</v>
      </c>
      <c r="E4267" s="7" t="inlineStr">
        <is>
          <t>South</t>
        </is>
      </c>
      <c r="F4267" s="7" t="inlineStr">
        <is>
          <t>Office Supplies</t>
        </is>
      </c>
      <c r="G4267" s="7" t="inlineStr">
        <is>
          <t>Binder</t>
        </is>
      </c>
      <c r="H4267" s="7" t="inlineStr">
        <is>
          <t>Consumer</t>
        </is>
      </c>
      <c r="I4267" s="7" t="n">
        <v>10</v>
      </c>
      <c r="J4267" s="10" t="n">
        <v>8.369999999999999</v>
      </c>
      <c r="K4267" s="11" t="n">
        <v>0.05</v>
      </c>
      <c r="L4267" s="10">
        <f>I4267*J4267*(1-K4267)</f>
        <v/>
      </c>
      <c r="M4267" s="10" t="n">
        <v>32</v>
      </c>
      <c r="N4267" s="10">
        <f>L4267-M4267</f>
        <v/>
      </c>
    </row>
    <row r="4268">
      <c r="A4268" s="7" t="inlineStr">
        <is>
          <t>ORD-03135</t>
        </is>
      </c>
      <c r="B4268" s="8" t="n">
        <v>45788</v>
      </c>
      <c r="C4268" s="9" t="n">
        <v>45778</v>
      </c>
      <c r="D4268" s="7" t="n">
        <v>2025</v>
      </c>
      <c r="E4268" s="7" t="inlineStr">
        <is>
          <t>West</t>
        </is>
      </c>
      <c r="F4268" s="7" t="inlineStr">
        <is>
          <t>Office Supplies</t>
        </is>
      </c>
      <c r="G4268" s="7" t="inlineStr">
        <is>
          <t>Pens</t>
        </is>
      </c>
      <c r="H4268" s="7" t="inlineStr">
        <is>
          <t>Corporate</t>
        </is>
      </c>
      <c r="I4268" s="7" t="n">
        <v>8</v>
      </c>
      <c r="J4268" s="10" t="n">
        <v>11.83</v>
      </c>
      <c r="K4268" s="11" t="n">
        <v>0.05</v>
      </c>
      <c r="L4268" s="10">
        <f>I4268*J4268*(1-K4268)</f>
        <v/>
      </c>
      <c r="M4268" s="10" t="n">
        <v>43.2</v>
      </c>
      <c r="N4268" s="10">
        <f>L4268-M4268</f>
        <v/>
      </c>
    </row>
    <row r="4269">
      <c r="A4269" s="7" t="inlineStr">
        <is>
          <t>ORD-04020</t>
        </is>
      </c>
      <c r="B4269" s="8" t="n">
        <v>45788</v>
      </c>
      <c r="C4269" s="9" t="n">
        <v>45778</v>
      </c>
      <c r="D4269" s="7" t="n">
        <v>2025</v>
      </c>
      <c r="E4269" s="7" t="inlineStr">
        <is>
          <t>South</t>
        </is>
      </c>
      <c r="F4269" s="7" t="inlineStr">
        <is>
          <t>Office Supplies</t>
        </is>
      </c>
      <c r="G4269" s="7" t="inlineStr">
        <is>
          <t>Paper</t>
        </is>
      </c>
      <c r="H4269" s="7" t="inlineStr">
        <is>
          <t>Home Office</t>
        </is>
      </c>
      <c r="I4269" s="7" t="n">
        <v>13</v>
      </c>
      <c r="J4269" s="10" t="n">
        <v>24.61</v>
      </c>
      <c r="K4269" s="11" t="n">
        <v>0</v>
      </c>
      <c r="L4269" s="10">
        <f>I4269*J4269*(1-K4269)</f>
        <v/>
      </c>
      <c r="M4269" s="10" t="n">
        <v>162.5</v>
      </c>
      <c r="N4269" s="10">
        <f>L4269-M4269</f>
        <v/>
      </c>
    </row>
    <row r="4270">
      <c r="A4270" s="7" t="inlineStr">
        <is>
          <t>ORD-01700</t>
        </is>
      </c>
      <c r="B4270" s="8" t="n">
        <v>45788</v>
      </c>
      <c r="C4270" s="9" t="n">
        <v>45778</v>
      </c>
      <c r="D4270" s="7" t="n">
        <v>2025</v>
      </c>
      <c r="E4270" s="7" t="inlineStr">
        <is>
          <t>East</t>
        </is>
      </c>
      <c r="F4270" s="7" t="inlineStr">
        <is>
          <t>Office Supplies</t>
        </is>
      </c>
      <c r="G4270" s="7" t="inlineStr">
        <is>
          <t>Binder</t>
        </is>
      </c>
      <c r="H4270" s="7" t="inlineStr">
        <is>
          <t>Consumer</t>
        </is>
      </c>
      <c r="I4270" s="7" t="n">
        <v>4</v>
      </c>
      <c r="J4270" s="10" t="n">
        <v>7.62</v>
      </c>
      <c r="K4270" s="11" t="n">
        <v>0</v>
      </c>
      <c r="L4270" s="10">
        <f>I4270*J4270*(1-K4270)</f>
        <v/>
      </c>
      <c r="M4270" s="10" t="n">
        <v>12.8</v>
      </c>
      <c r="N4270" s="10">
        <f>L4270-M4270</f>
        <v/>
      </c>
    </row>
    <row r="4271">
      <c r="A4271" s="7" t="inlineStr">
        <is>
          <t>ORD-03584</t>
        </is>
      </c>
      <c r="B4271" s="8" t="n">
        <v>45789</v>
      </c>
      <c r="C4271" s="9" t="n">
        <v>45778</v>
      </c>
      <c r="D4271" s="7" t="n">
        <v>2025</v>
      </c>
      <c r="E4271" s="7" t="inlineStr">
        <is>
          <t>North</t>
        </is>
      </c>
      <c r="F4271" s="7" t="inlineStr">
        <is>
          <t>Office Supplies</t>
        </is>
      </c>
      <c r="G4271" s="7" t="inlineStr">
        <is>
          <t>Paper</t>
        </is>
      </c>
      <c r="H4271" s="7" t="inlineStr">
        <is>
          <t>Consumer</t>
        </is>
      </c>
      <c r="I4271" s="7" t="n">
        <v>12</v>
      </c>
      <c r="J4271" s="10" t="n">
        <v>24.3</v>
      </c>
      <c r="K4271" s="11" t="n">
        <v>0.05</v>
      </c>
      <c r="L4271" s="10">
        <f>I4271*J4271*(1-K4271)</f>
        <v/>
      </c>
      <c r="M4271" s="10" t="n">
        <v>150</v>
      </c>
      <c r="N4271" s="10">
        <f>L4271-M4271</f>
        <v/>
      </c>
    </row>
    <row r="4272">
      <c r="A4272" s="7" t="inlineStr">
        <is>
          <t>ORD-01299</t>
        </is>
      </c>
      <c r="B4272" s="8" t="n">
        <v>45789</v>
      </c>
      <c r="C4272" s="9" t="n">
        <v>45778</v>
      </c>
      <c r="D4272" s="7" t="n">
        <v>2025</v>
      </c>
      <c r="E4272" s="7" t="inlineStr">
        <is>
          <t>North</t>
        </is>
      </c>
      <c r="F4272" s="7" t="inlineStr">
        <is>
          <t>Furniture</t>
        </is>
      </c>
      <c r="G4272" s="7" t="inlineStr">
        <is>
          <t>Bookcase</t>
        </is>
      </c>
      <c r="H4272" s="7" t="inlineStr">
        <is>
          <t>Corporate</t>
        </is>
      </c>
      <c r="I4272" s="7" t="n">
        <v>1</v>
      </c>
      <c r="J4272" s="10" t="n">
        <v>172.44</v>
      </c>
      <c r="K4272" s="11" t="n">
        <v>0.3</v>
      </c>
      <c r="L4272" s="10">
        <f>I4272*J4272*(1-K4272)</f>
        <v/>
      </c>
      <c r="M4272" s="10" t="n">
        <v>144</v>
      </c>
      <c r="N4272" s="10">
        <f>L4272-M4272</f>
        <v/>
      </c>
    </row>
    <row r="4273">
      <c r="A4273" s="7" t="inlineStr">
        <is>
          <t>ORD-03825</t>
        </is>
      </c>
      <c r="B4273" s="8" t="n">
        <v>45789</v>
      </c>
      <c r="C4273" s="9" t="n">
        <v>45778</v>
      </c>
      <c r="D4273" s="7" t="n">
        <v>2025</v>
      </c>
      <c r="E4273" s="7" t="inlineStr">
        <is>
          <t>East</t>
        </is>
      </c>
      <c r="F4273" s="7" t="inlineStr">
        <is>
          <t>Technology</t>
        </is>
      </c>
      <c r="G4273" s="7" t="inlineStr">
        <is>
          <t>Monitor</t>
        </is>
      </c>
      <c r="H4273" s="7" t="inlineStr">
        <is>
          <t>Consumer</t>
        </is>
      </c>
      <c r="I4273" s="7" t="n">
        <v>2</v>
      </c>
      <c r="J4273" s="10" t="n">
        <v>240.76</v>
      </c>
      <c r="K4273" s="11" t="n">
        <v>0</v>
      </c>
      <c r="L4273" s="10">
        <f>I4273*J4273*(1-K4273)</f>
        <v/>
      </c>
      <c r="M4273" s="10" t="n">
        <v>360</v>
      </c>
      <c r="N4273" s="10">
        <f>L4273-M4273</f>
        <v/>
      </c>
    </row>
    <row r="4274">
      <c r="A4274" s="7" t="inlineStr">
        <is>
          <t>ORD-02269</t>
        </is>
      </c>
      <c r="B4274" s="8" t="n">
        <v>45790</v>
      </c>
      <c r="C4274" s="9" t="n">
        <v>45778</v>
      </c>
      <c r="D4274" s="7" t="n">
        <v>2025</v>
      </c>
      <c r="E4274" s="7" t="inlineStr">
        <is>
          <t>South</t>
        </is>
      </c>
      <c r="F4274" s="7" t="inlineStr">
        <is>
          <t>Technology</t>
        </is>
      </c>
      <c r="G4274" s="7" t="inlineStr">
        <is>
          <t>Smartphone</t>
        </is>
      </c>
      <c r="H4274" s="7" t="inlineStr">
        <is>
          <t>Corporate</t>
        </is>
      </c>
      <c r="I4274" s="7" t="n">
        <v>2</v>
      </c>
      <c r="J4274" s="10" t="n">
        <v>607.64</v>
      </c>
      <c r="K4274" s="11" t="n">
        <v>0.3</v>
      </c>
      <c r="L4274" s="10">
        <f>I4274*J4274*(1-K4274)</f>
        <v/>
      </c>
      <c r="M4274" s="10" t="n">
        <v>900</v>
      </c>
      <c r="N4274" s="10">
        <f>L4274-M4274</f>
        <v/>
      </c>
    </row>
    <row r="4275">
      <c r="A4275" s="7" t="inlineStr">
        <is>
          <t>ORD-04377</t>
        </is>
      </c>
      <c r="B4275" s="8" t="n">
        <v>45790</v>
      </c>
      <c r="C4275" s="9" t="n">
        <v>45778</v>
      </c>
      <c r="D4275" s="7" t="n">
        <v>2025</v>
      </c>
      <c r="E4275" s="7" t="inlineStr">
        <is>
          <t>East</t>
        </is>
      </c>
      <c r="F4275" s="7" t="inlineStr">
        <is>
          <t>Furniture</t>
        </is>
      </c>
      <c r="G4275" s="7" t="inlineStr">
        <is>
          <t>Sofa</t>
        </is>
      </c>
      <c r="H4275" s="7" t="inlineStr">
        <is>
          <t>Consumer</t>
        </is>
      </c>
      <c r="I4275" s="7" t="n">
        <v>3</v>
      </c>
      <c r="J4275" s="10" t="n">
        <v>688.97</v>
      </c>
      <c r="K4275" s="11" t="n">
        <v>0.3</v>
      </c>
      <c r="L4275" s="10">
        <f>I4275*J4275*(1-K4275)</f>
        <v/>
      </c>
      <c r="M4275" s="10" t="n">
        <v>1848</v>
      </c>
      <c r="N4275" s="10">
        <f>L4275-M4275</f>
        <v/>
      </c>
    </row>
    <row r="4276">
      <c r="A4276" s="7" t="inlineStr">
        <is>
          <t>ORD-05779</t>
        </is>
      </c>
      <c r="B4276" s="8" t="n">
        <v>45790</v>
      </c>
      <c r="C4276" s="9" t="n">
        <v>45778</v>
      </c>
      <c r="D4276" s="7" t="n">
        <v>2025</v>
      </c>
      <c r="E4276" s="7" t="inlineStr">
        <is>
          <t>East</t>
        </is>
      </c>
      <c r="F4276" s="7" t="inlineStr">
        <is>
          <t>Technology</t>
        </is>
      </c>
      <c r="G4276" s="7" t="inlineStr">
        <is>
          <t>Headphones</t>
        </is>
      </c>
      <c r="H4276" s="7" t="inlineStr">
        <is>
          <t>Consumer</t>
        </is>
      </c>
      <c r="I4276" s="7" t="n">
        <v>1</v>
      </c>
      <c r="J4276" s="10" t="n">
        <v>125.67</v>
      </c>
      <c r="K4276" s="11" t="n">
        <v>0.2</v>
      </c>
      <c r="L4276" s="10">
        <f>I4276*J4276*(1-K4276)</f>
        <v/>
      </c>
      <c r="M4276" s="10" t="n">
        <v>72</v>
      </c>
      <c r="N4276" s="10">
        <f>L4276-M4276</f>
        <v/>
      </c>
    </row>
    <row r="4277">
      <c r="A4277" s="7" t="inlineStr">
        <is>
          <t>ORD-02345</t>
        </is>
      </c>
      <c r="B4277" s="8" t="n">
        <v>45790</v>
      </c>
      <c r="C4277" s="9" t="n">
        <v>45778</v>
      </c>
      <c r="D4277" s="7" t="n">
        <v>2025</v>
      </c>
      <c r="E4277" s="7" t="inlineStr">
        <is>
          <t>North</t>
        </is>
      </c>
      <c r="F4277" s="7" t="inlineStr">
        <is>
          <t>Office Supplies</t>
        </is>
      </c>
      <c r="G4277" s="7" t="inlineStr">
        <is>
          <t>Printer Ink</t>
        </is>
      </c>
      <c r="H4277" s="7" t="inlineStr">
        <is>
          <t>Consumer</t>
        </is>
      </c>
      <c r="I4277" s="7" t="n">
        <v>10</v>
      </c>
      <c r="J4277" s="10" t="n">
        <v>59.47</v>
      </c>
      <c r="K4277" s="11" t="n">
        <v>0.1</v>
      </c>
      <c r="L4277" s="10">
        <f>I4277*J4277*(1-K4277)</f>
        <v/>
      </c>
      <c r="M4277" s="10" t="n">
        <v>360</v>
      </c>
      <c r="N4277" s="10">
        <f>L4277-M4277</f>
        <v/>
      </c>
    </row>
    <row r="4278">
      <c r="A4278" s="7" t="inlineStr">
        <is>
          <t>ORD-02473</t>
        </is>
      </c>
      <c r="B4278" s="8" t="n">
        <v>45790</v>
      </c>
      <c r="C4278" s="9" t="n">
        <v>45778</v>
      </c>
      <c r="D4278" s="7" t="n">
        <v>2025</v>
      </c>
      <c r="E4278" s="7" t="inlineStr">
        <is>
          <t>East</t>
        </is>
      </c>
      <c r="F4278" s="7" t="inlineStr">
        <is>
          <t>Furniture</t>
        </is>
      </c>
      <c r="G4278" s="7" t="inlineStr">
        <is>
          <t>Office Chair</t>
        </is>
      </c>
      <c r="H4278" s="7" t="inlineStr">
        <is>
          <t>Consumer</t>
        </is>
      </c>
      <c r="I4278" s="7" t="n">
        <v>3</v>
      </c>
      <c r="J4278" s="10" t="n">
        <v>210.29</v>
      </c>
      <c r="K4278" s="11" t="n">
        <v>0</v>
      </c>
      <c r="L4278" s="10">
        <f>I4278*J4278*(1-K4278)</f>
        <v/>
      </c>
      <c r="M4278" s="10" t="n">
        <v>541.2</v>
      </c>
      <c r="N4278" s="10">
        <f>L4278-M4278</f>
        <v/>
      </c>
    </row>
    <row r="4279">
      <c r="A4279" s="7" t="inlineStr">
        <is>
          <t>ORD-04558</t>
        </is>
      </c>
      <c r="B4279" s="8" t="n">
        <v>45790</v>
      </c>
      <c r="C4279" s="9" t="n">
        <v>45778</v>
      </c>
      <c r="D4279" s="7" t="n">
        <v>2025</v>
      </c>
      <c r="E4279" s="7" t="inlineStr">
        <is>
          <t>West</t>
        </is>
      </c>
      <c r="F4279" s="7" t="inlineStr">
        <is>
          <t>Office Supplies</t>
        </is>
      </c>
      <c r="G4279" s="7" t="inlineStr">
        <is>
          <t>Stapler</t>
        </is>
      </c>
      <c r="H4279" s="7" t="inlineStr">
        <is>
          <t>Corporate</t>
        </is>
      </c>
      <c r="I4279" s="7" t="n">
        <v>12</v>
      </c>
      <c r="J4279" s="10" t="n">
        <v>15.23</v>
      </c>
      <c r="K4279" s="11" t="n">
        <v>0</v>
      </c>
      <c r="L4279" s="10">
        <f>I4279*J4279*(1-K4279)</f>
        <v/>
      </c>
      <c r="M4279" s="10" t="n">
        <v>90</v>
      </c>
      <c r="N4279" s="10">
        <f>L4279-M4279</f>
        <v/>
      </c>
    </row>
    <row r="4280">
      <c r="A4280" s="7" t="inlineStr">
        <is>
          <t>ORD-03074</t>
        </is>
      </c>
      <c r="B4280" s="8" t="n">
        <v>45790</v>
      </c>
      <c r="C4280" s="9" t="n">
        <v>45778</v>
      </c>
      <c r="D4280" s="7" t="n">
        <v>2025</v>
      </c>
      <c r="E4280" s="7" t="inlineStr">
        <is>
          <t>South</t>
        </is>
      </c>
      <c r="F4280" s="7" t="inlineStr">
        <is>
          <t>Office Supplies</t>
        </is>
      </c>
      <c r="G4280" s="7" t="inlineStr">
        <is>
          <t>Pens</t>
        </is>
      </c>
      <c r="H4280" s="7" t="inlineStr">
        <is>
          <t>Corporate</t>
        </is>
      </c>
      <c r="I4280" s="7" t="n">
        <v>9</v>
      </c>
      <c r="J4280" s="10" t="n">
        <v>12.36</v>
      </c>
      <c r="K4280" s="11" t="n">
        <v>0</v>
      </c>
      <c r="L4280" s="10">
        <f>I4280*J4280*(1-K4280)</f>
        <v/>
      </c>
      <c r="M4280" s="10" t="n">
        <v>48.6</v>
      </c>
      <c r="N4280" s="10">
        <f>L4280-M4280</f>
        <v/>
      </c>
    </row>
    <row r="4281">
      <c r="A4281" s="7" t="inlineStr">
        <is>
          <t>ORD-04192</t>
        </is>
      </c>
      <c r="B4281" s="8" t="n">
        <v>45790</v>
      </c>
      <c r="C4281" s="9" t="n">
        <v>45778</v>
      </c>
      <c r="D4281" s="7" t="n">
        <v>2025</v>
      </c>
      <c r="E4281" s="7" t="inlineStr">
        <is>
          <t>West</t>
        </is>
      </c>
      <c r="F4281" s="7" t="inlineStr">
        <is>
          <t>Technology</t>
        </is>
      </c>
      <c r="G4281" s="7" t="inlineStr">
        <is>
          <t>Keyboard</t>
        </is>
      </c>
      <c r="H4281" s="7" t="inlineStr">
        <is>
          <t>Consumer</t>
        </is>
      </c>
      <c r="I4281" s="7" t="n">
        <v>2</v>
      </c>
      <c r="J4281" s="10" t="n">
        <v>47.05</v>
      </c>
      <c r="K4281" s="11" t="n">
        <v>0</v>
      </c>
      <c r="L4281" s="10">
        <f>I4281*J4281*(1-K4281)</f>
        <v/>
      </c>
      <c r="M4281" s="10" t="n">
        <v>49.5</v>
      </c>
      <c r="N4281" s="10">
        <f>L4281-M4281</f>
        <v/>
      </c>
    </row>
    <row r="4282">
      <c r="A4282" s="7" t="inlineStr">
        <is>
          <t>ORD-04527</t>
        </is>
      </c>
      <c r="B4282" s="8" t="n">
        <v>45790</v>
      </c>
      <c r="C4282" s="9" t="n">
        <v>45778</v>
      </c>
      <c r="D4282" s="7" t="n">
        <v>2025</v>
      </c>
      <c r="E4282" s="7" t="inlineStr">
        <is>
          <t>North</t>
        </is>
      </c>
      <c r="F4282" s="7" t="inlineStr">
        <is>
          <t>Office Supplies</t>
        </is>
      </c>
      <c r="G4282" s="7" t="inlineStr">
        <is>
          <t>Binder</t>
        </is>
      </c>
      <c r="H4282" s="7" t="inlineStr">
        <is>
          <t>Consumer</t>
        </is>
      </c>
      <c r="I4282" s="7" t="n">
        <v>8</v>
      </c>
      <c r="J4282" s="10" t="n">
        <v>8.119999999999999</v>
      </c>
      <c r="K4282" s="11" t="n">
        <v>0</v>
      </c>
      <c r="L4282" s="10">
        <f>I4282*J4282*(1-K4282)</f>
        <v/>
      </c>
      <c r="M4282" s="10" t="n">
        <v>25.6</v>
      </c>
      <c r="N4282" s="10">
        <f>L4282-M4282</f>
        <v/>
      </c>
    </row>
    <row r="4283">
      <c r="A4283" s="7" t="inlineStr">
        <is>
          <t>ORD-02752</t>
        </is>
      </c>
      <c r="B4283" s="8" t="n">
        <v>45790</v>
      </c>
      <c r="C4283" s="9" t="n">
        <v>45778</v>
      </c>
      <c r="D4283" s="7" t="n">
        <v>2025</v>
      </c>
      <c r="E4283" s="7" t="inlineStr">
        <is>
          <t>East</t>
        </is>
      </c>
      <c r="F4283" s="7" t="inlineStr">
        <is>
          <t>Office Supplies</t>
        </is>
      </c>
      <c r="G4283" s="7" t="inlineStr">
        <is>
          <t>Stapler</t>
        </is>
      </c>
      <c r="H4283" s="7" t="inlineStr">
        <is>
          <t>Consumer</t>
        </is>
      </c>
      <c r="I4283" s="7" t="n">
        <v>8</v>
      </c>
      <c r="J4283" s="10" t="n">
        <v>14.8</v>
      </c>
      <c r="K4283" s="11" t="n">
        <v>0</v>
      </c>
      <c r="L4283" s="10">
        <f>I4283*J4283*(1-K4283)</f>
        <v/>
      </c>
      <c r="M4283" s="10" t="n">
        <v>60</v>
      </c>
      <c r="N4283" s="10">
        <f>L4283-M4283</f>
        <v/>
      </c>
    </row>
    <row r="4284">
      <c r="A4284" s="7" t="inlineStr">
        <is>
          <t>ORD-05347</t>
        </is>
      </c>
      <c r="B4284" s="8" t="n">
        <v>45790</v>
      </c>
      <c r="C4284" s="9" t="n">
        <v>45778</v>
      </c>
      <c r="D4284" s="7" t="n">
        <v>2025</v>
      </c>
      <c r="E4284" s="7" t="inlineStr">
        <is>
          <t>South</t>
        </is>
      </c>
      <c r="F4284" s="7" t="inlineStr">
        <is>
          <t>Technology</t>
        </is>
      </c>
      <c r="G4284" s="7" t="inlineStr">
        <is>
          <t>Monitor</t>
        </is>
      </c>
      <c r="H4284" s="7" t="inlineStr">
        <is>
          <t>Corporate</t>
        </is>
      </c>
      <c r="I4284" s="7" t="n">
        <v>3</v>
      </c>
      <c r="J4284" s="10" t="n">
        <v>245.89</v>
      </c>
      <c r="K4284" s="11" t="n">
        <v>0</v>
      </c>
      <c r="L4284" s="10">
        <f>I4284*J4284*(1-K4284)</f>
        <v/>
      </c>
      <c r="M4284" s="10" t="n">
        <v>540</v>
      </c>
      <c r="N4284" s="10">
        <f>L4284-M4284</f>
        <v/>
      </c>
    </row>
    <row r="4285">
      <c r="A4285" s="7" t="inlineStr">
        <is>
          <t>ORD-03738</t>
        </is>
      </c>
      <c r="B4285" s="8" t="n">
        <v>45791</v>
      </c>
      <c r="C4285" s="9" t="n">
        <v>45778</v>
      </c>
      <c r="D4285" s="7" t="n">
        <v>2025</v>
      </c>
      <c r="E4285" s="7" t="inlineStr">
        <is>
          <t>West</t>
        </is>
      </c>
      <c r="F4285" s="7" t="inlineStr">
        <is>
          <t>Technology</t>
        </is>
      </c>
      <c r="G4285" s="7" t="inlineStr">
        <is>
          <t>Smartphone</t>
        </is>
      </c>
      <c r="H4285" s="7" t="inlineStr">
        <is>
          <t>Home Office</t>
        </is>
      </c>
      <c r="I4285" s="7" t="n">
        <v>2</v>
      </c>
      <c r="J4285" s="10" t="n">
        <v>583.52</v>
      </c>
      <c r="K4285" s="11" t="n">
        <v>0.1</v>
      </c>
      <c r="L4285" s="10">
        <f>I4285*J4285*(1-K4285)</f>
        <v/>
      </c>
      <c r="M4285" s="10" t="n">
        <v>900</v>
      </c>
      <c r="N4285" s="10">
        <f>L4285-M4285</f>
        <v/>
      </c>
    </row>
    <row r="4286">
      <c r="A4286" s="7" t="inlineStr">
        <is>
          <t>ORD-00799</t>
        </is>
      </c>
      <c r="B4286" s="8" t="n">
        <v>45791</v>
      </c>
      <c r="C4286" s="9" t="n">
        <v>45778</v>
      </c>
      <c r="D4286" s="7" t="n">
        <v>2025</v>
      </c>
      <c r="E4286" s="7" t="inlineStr">
        <is>
          <t>East</t>
        </is>
      </c>
      <c r="F4286" s="7" t="inlineStr">
        <is>
          <t>Office Supplies</t>
        </is>
      </c>
      <c r="G4286" s="7" t="inlineStr">
        <is>
          <t>Stapler</t>
        </is>
      </c>
      <c r="H4286" s="7" t="inlineStr">
        <is>
          <t>Corporate</t>
        </is>
      </c>
      <c r="I4286" s="7" t="n">
        <v>2</v>
      </c>
      <c r="J4286" s="10" t="n">
        <v>14.3</v>
      </c>
      <c r="K4286" s="11" t="n">
        <v>0.05</v>
      </c>
      <c r="L4286" s="10">
        <f>I4286*J4286*(1-K4286)</f>
        <v/>
      </c>
      <c r="M4286" s="10" t="n">
        <v>15</v>
      </c>
      <c r="N4286" s="10">
        <f>L4286-M4286</f>
        <v/>
      </c>
    </row>
    <row r="4287">
      <c r="A4287" s="7" t="inlineStr">
        <is>
          <t>ORD-04938</t>
        </is>
      </c>
      <c r="B4287" s="8" t="n">
        <v>45791</v>
      </c>
      <c r="C4287" s="9" t="n">
        <v>45778</v>
      </c>
      <c r="D4287" s="7" t="n">
        <v>2025</v>
      </c>
      <c r="E4287" s="7" t="inlineStr">
        <is>
          <t>South</t>
        </is>
      </c>
      <c r="F4287" s="7" t="inlineStr">
        <is>
          <t>Technology</t>
        </is>
      </c>
      <c r="G4287" s="7" t="inlineStr">
        <is>
          <t>Smartphone</t>
        </is>
      </c>
      <c r="H4287" s="7" t="inlineStr">
        <is>
          <t>Corporate</t>
        </is>
      </c>
      <c r="I4287" s="7" t="n">
        <v>1</v>
      </c>
      <c r="J4287" s="10" t="n">
        <v>575.6</v>
      </c>
      <c r="K4287" s="11" t="n">
        <v>0.2</v>
      </c>
      <c r="L4287" s="10">
        <f>I4287*J4287*(1-K4287)</f>
        <v/>
      </c>
      <c r="M4287" s="10" t="n">
        <v>450</v>
      </c>
      <c r="N4287" s="10">
        <f>L4287-M4287</f>
        <v/>
      </c>
    </row>
    <row r="4288">
      <c r="A4288" s="7" t="inlineStr">
        <is>
          <t>ORD-01918</t>
        </is>
      </c>
      <c r="B4288" s="8" t="n">
        <v>45791</v>
      </c>
      <c r="C4288" s="9" t="n">
        <v>45778</v>
      </c>
      <c r="D4288" s="7" t="n">
        <v>2025</v>
      </c>
      <c r="E4288" s="7" t="inlineStr">
        <is>
          <t>West</t>
        </is>
      </c>
      <c r="F4288" s="7" t="inlineStr">
        <is>
          <t>Office Supplies</t>
        </is>
      </c>
      <c r="G4288" s="7" t="inlineStr">
        <is>
          <t>Printer Ink</t>
        </is>
      </c>
      <c r="H4288" s="7" t="inlineStr">
        <is>
          <t>Corporate</t>
        </is>
      </c>
      <c r="I4288" s="7" t="n">
        <v>10</v>
      </c>
      <c r="J4288" s="10" t="n">
        <v>59.35</v>
      </c>
      <c r="K4288" s="11" t="n">
        <v>0</v>
      </c>
      <c r="L4288" s="10">
        <f>I4288*J4288*(1-K4288)</f>
        <v/>
      </c>
      <c r="M4288" s="10" t="n">
        <v>360</v>
      </c>
      <c r="N4288" s="10">
        <f>L4288-M4288</f>
        <v/>
      </c>
    </row>
    <row r="4289">
      <c r="A4289" s="7" t="inlineStr">
        <is>
          <t>ORD-05303</t>
        </is>
      </c>
      <c r="B4289" s="8" t="n">
        <v>45792</v>
      </c>
      <c r="C4289" s="9" t="n">
        <v>45778</v>
      </c>
      <c r="D4289" s="7" t="n">
        <v>2025</v>
      </c>
      <c r="E4289" s="7" t="inlineStr">
        <is>
          <t>North</t>
        </is>
      </c>
      <c r="F4289" s="7" t="inlineStr">
        <is>
          <t>Technology</t>
        </is>
      </c>
      <c r="G4289" s="7" t="inlineStr">
        <is>
          <t>Keyboard</t>
        </is>
      </c>
      <c r="H4289" s="7" t="inlineStr">
        <is>
          <t>Corporate</t>
        </is>
      </c>
      <c r="I4289" s="7" t="n">
        <v>2</v>
      </c>
      <c r="J4289" s="10" t="n">
        <v>43.76</v>
      </c>
      <c r="K4289" s="11" t="n">
        <v>0</v>
      </c>
      <c r="L4289" s="10">
        <f>I4289*J4289*(1-K4289)</f>
        <v/>
      </c>
      <c r="M4289" s="10" t="n">
        <v>49.5</v>
      </c>
      <c r="N4289" s="10">
        <f>L4289-M4289</f>
        <v/>
      </c>
    </row>
    <row r="4290">
      <c r="A4290" s="7" t="inlineStr">
        <is>
          <t>ORD-04549</t>
        </is>
      </c>
      <c r="B4290" s="8" t="n">
        <v>45792</v>
      </c>
      <c r="C4290" s="9" t="n">
        <v>45778</v>
      </c>
      <c r="D4290" s="7" t="n">
        <v>2025</v>
      </c>
      <c r="E4290" s="7" t="inlineStr">
        <is>
          <t>East</t>
        </is>
      </c>
      <c r="F4290" s="7" t="inlineStr">
        <is>
          <t>Office Supplies</t>
        </is>
      </c>
      <c r="G4290" s="7" t="inlineStr">
        <is>
          <t>Printer Ink</t>
        </is>
      </c>
      <c r="H4290" s="7" t="inlineStr">
        <is>
          <t>Consumer</t>
        </is>
      </c>
      <c r="I4290" s="7" t="n">
        <v>4</v>
      </c>
      <c r="J4290" s="10" t="n">
        <v>59.41</v>
      </c>
      <c r="K4290" s="11" t="n">
        <v>0</v>
      </c>
      <c r="L4290" s="10">
        <f>I4290*J4290*(1-K4290)</f>
        <v/>
      </c>
      <c r="M4290" s="10" t="n">
        <v>144</v>
      </c>
      <c r="N4290" s="10">
        <f>L4290-M4290</f>
        <v/>
      </c>
    </row>
    <row r="4291">
      <c r="A4291" s="7" t="inlineStr">
        <is>
          <t>ORD-04181</t>
        </is>
      </c>
      <c r="B4291" s="8" t="n">
        <v>45792</v>
      </c>
      <c r="C4291" s="9" t="n">
        <v>45778</v>
      </c>
      <c r="D4291" s="7" t="n">
        <v>2025</v>
      </c>
      <c r="E4291" s="7" t="inlineStr">
        <is>
          <t>North</t>
        </is>
      </c>
      <c r="F4291" s="7" t="inlineStr">
        <is>
          <t>Office Supplies</t>
        </is>
      </c>
      <c r="G4291" s="7" t="inlineStr">
        <is>
          <t>Stapler</t>
        </is>
      </c>
      <c r="H4291" s="7" t="inlineStr">
        <is>
          <t>Home Office</t>
        </is>
      </c>
      <c r="I4291" s="7" t="n">
        <v>8</v>
      </c>
      <c r="J4291" s="10" t="n">
        <v>14.85</v>
      </c>
      <c r="K4291" s="11" t="n">
        <v>0.05</v>
      </c>
      <c r="L4291" s="10">
        <f>I4291*J4291*(1-K4291)</f>
        <v/>
      </c>
      <c r="M4291" s="10" t="n">
        <v>60</v>
      </c>
      <c r="N4291" s="10">
        <f>L4291-M4291</f>
        <v/>
      </c>
    </row>
    <row r="4292">
      <c r="A4292" s="7" t="inlineStr">
        <is>
          <t>ORD-02426</t>
        </is>
      </c>
      <c r="B4292" s="8" t="n">
        <v>45792</v>
      </c>
      <c r="C4292" s="9" t="n">
        <v>45778</v>
      </c>
      <c r="D4292" s="7" t="n">
        <v>2025</v>
      </c>
      <c r="E4292" s="7" t="inlineStr">
        <is>
          <t>East</t>
        </is>
      </c>
      <c r="F4292" s="7" t="inlineStr">
        <is>
          <t>Office Supplies</t>
        </is>
      </c>
      <c r="G4292" s="7" t="inlineStr">
        <is>
          <t>Binder</t>
        </is>
      </c>
      <c r="H4292" s="7" t="inlineStr">
        <is>
          <t>Consumer</t>
        </is>
      </c>
      <c r="I4292" s="7" t="n">
        <v>7</v>
      </c>
      <c r="J4292" s="10" t="n">
        <v>8.23</v>
      </c>
      <c r="K4292" s="11" t="n">
        <v>0</v>
      </c>
      <c r="L4292" s="10">
        <f>I4292*J4292*(1-K4292)</f>
        <v/>
      </c>
      <c r="M4292" s="10" t="n">
        <v>22.4</v>
      </c>
      <c r="N4292" s="10">
        <f>L4292-M4292</f>
        <v/>
      </c>
    </row>
    <row r="4293">
      <c r="A4293" s="7" t="inlineStr">
        <is>
          <t>ORD-00835</t>
        </is>
      </c>
      <c r="B4293" s="8" t="n">
        <v>45792</v>
      </c>
      <c r="C4293" s="9" t="n">
        <v>45778</v>
      </c>
      <c r="D4293" s="7" t="n">
        <v>2025</v>
      </c>
      <c r="E4293" s="7" t="inlineStr">
        <is>
          <t>East</t>
        </is>
      </c>
      <c r="F4293" s="7" t="inlineStr">
        <is>
          <t>Technology</t>
        </is>
      </c>
      <c r="G4293" s="7" t="inlineStr">
        <is>
          <t>Headphones</t>
        </is>
      </c>
      <c r="H4293" s="7" t="inlineStr">
        <is>
          <t>Consumer</t>
        </is>
      </c>
      <c r="I4293" s="7" t="n">
        <v>2</v>
      </c>
      <c r="J4293" s="10" t="n">
        <v>114.83</v>
      </c>
      <c r="K4293" s="11" t="n">
        <v>0</v>
      </c>
      <c r="L4293" s="10">
        <f>I4293*J4293*(1-K4293)</f>
        <v/>
      </c>
      <c r="M4293" s="10" t="n">
        <v>144</v>
      </c>
      <c r="N4293" s="10">
        <f>L4293-M4293</f>
        <v/>
      </c>
    </row>
    <row r="4294">
      <c r="A4294" s="7" t="inlineStr">
        <is>
          <t>ORD-01009</t>
        </is>
      </c>
      <c r="B4294" s="8" t="n">
        <v>45792</v>
      </c>
      <c r="C4294" s="9" t="n">
        <v>45778</v>
      </c>
      <c r="D4294" s="7" t="n">
        <v>2025</v>
      </c>
      <c r="E4294" s="7" t="inlineStr">
        <is>
          <t>West</t>
        </is>
      </c>
      <c r="F4294" s="7" t="inlineStr">
        <is>
          <t>Technology</t>
        </is>
      </c>
      <c r="G4294" s="7" t="inlineStr">
        <is>
          <t>Laptop</t>
        </is>
      </c>
      <c r="H4294" s="7" t="inlineStr">
        <is>
          <t>Corporate</t>
        </is>
      </c>
      <c r="I4294" s="7" t="n">
        <v>2</v>
      </c>
      <c r="J4294" s="10" t="n">
        <v>882.66</v>
      </c>
      <c r="K4294" s="11" t="n">
        <v>0.1</v>
      </c>
      <c r="L4294" s="10">
        <f>I4294*J4294*(1-K4294)</f>
        <v/>
      </c>
      <c r="M4294" s="10" t="n">
        <v>1404</v>
      </c>
      <c r="N4294" s="10">
        <f>L4294-M4294</f>
        <v/>
      </c>
    </row>
    <row r="4295">
      <c r="A4295" s="7" t="inlineStr">
        <is>
          <t>ORD-05014</t>
        </is>
      </c>
      <c r="B4295" s="8" t="n">
        <v>45792</v>
      </c>
      <c r="C4295" s="9" t="n">
        <v>45778</v>
      </c>
      <c r="D4295" s="7" t="n">
        <v>2025</v>
      </c>
      <c r="E4295" s="7" t="inlineStr">
        <is>
          <t>West</t>
        </is>
      </c>
      <c r="F4295" s="7" t="inlineStr">
        <is>
          <t>Office Supplies</t>
        </is>
      </c>
      <c r="G4295" s="7" t="inlineStr">
        <is>
          <t>Binder</t>
        </is>
      </c>
      <c r="H4295" s="7" t="inlineStr">
        <is>
          <t>Corporate</t>
        </is>
      </c>
      <c r="I4295" s="7" t="n">
        <v>11</v>
      </c>
      <c r="J4295" s="10" t="n">
        <v>8.02</v>
      </c>
      <c r="K4295" s="11" t="n">
        <v>0</v>
      </c>
      <c r="L4295" s="10">
        <f>I4295*J4295*(1-K4295)</f>
        <v/>
      </c>
      <c r="M4295" s="10" t="n">
        <v>35.2</v>
      </c>
      <c r="N4295" s="10">
        <f>L4295-M4295</f>
        <v/>
      </c>
    </row>
    <row r="4296">
      <c r="A4296" s="7" t="inlineStr">
        <is>
          <t>ORD-00338</t>
        </is>
      </c>
      <c r="B4296" s="8" t="n">
        <v>45792</v>
      </c>
      <c r="C4296" s="9" t="n">
        <v>45778</v>
      </c>
      <c r="D4296" s="7" t="n">
        <v>2025</v>
      </c>
      <c r="E4296" s="7" t="inlineStr">
        <is>
          <t>East</t>
        </is>
      </c>
      <c r="F4296" s="7" t="inlineStr">
        <is>
          <t>Office Supplies</t>
        </is>
      </c>
      <c r="G4296" s="7" t="inlineStr">
        <is>
          <t>Binder</t>
        </is>
      </c>
      <c r="H4296" s="7" t="inlineStr">
        <is>
          <t>Corporate</t>
        </is>
      </c>
      <c r="I4296" s="7" t="n">
        <v>4</v>
      </c>
      <c r="J4296" s="10" t="n">
        <v>8.33</v>
      </c>
      <c r="K4296" s="11" t="n">
        <v>0.05</v>
      </c>
      <c r="L4296" s="10">
        <f>I4296*J4296*(1-K4296)</f>
        <v/>
      </c>
      <c r="M4296" s="10" t="n">
        <v>12.8</v>
      </c>
      <c r="N4296" s="10">
        <f>L4296-M4296</f>
        <v/>
      </c>
    </row>
    <row r="4297">
      <c r="A4297" s="7" t="inlineStr">
        <is>
          <t>ORD-05806</t>
        </is>
      </c>
      <c r="B4297" s="8" t="n">
        <v>45793</v>
      </c>
      <c r="C4297" s="9" t="n">
        <v>45778</v>
      </c>
      <c r="D4297" s="7" t="n">
        <v>2025</v>
      </c>
      <c r="E4297" s="7" t="inlineStr">
        <is>
          <t>South</t>
        </is>
      </c>
      <c r="F4297" s="7" t="inlineStr">
        <is>
          <t>Furniture</t>
        </is>
      </c>
      <c r="G4297" s="7" t="inlineStr">
        <is>
          <t>Desk</t>
        </is>
      </c>
      <c r="H4297" s="7" t="inlineStr">
        <is>
          <t>Home Office</t>
        </is>
      </c>
      <c r="I4297" s="7" t="n">
        <v>1</v>
      </c>
      <c r="J4297" s="10" t="n">
        <v>467.04</v>
      </c>
      <c r="K4297" s="11" t="n">
        <v>0.1</v>
      </c>
      <c r="L4297" s="10">
        <f>I4297*J4297*(1-K4297)</f>
        <v/>
      </c>
      <c r="M4297" s="10" t="n">
        <v>382.5</v>
      </c>
      <c r="N4297" s="10">
        <f>L4297-M4297</f>
        <v/>
      </c>
    </row>
    <row r="4298">
      <c r="A4298" s="7" t="inlineStr">
        <is>
          <t>ORD-03187</t>
        </is>
      </c>
      <c r="B4298" s="8" t="n">
        <v>45793</v>
      </c>
      <c r="C4298" s="9" t="n">
        <v>45778</v>
      </c>
      <c r="D4298" s="7" t="n">
        <v>2025</v>
      </c>
      <c r="E4298" s="7" t="inlineStr">
        <is>
          <t>South</t>
        </is>
      </c>
      <c r="F4298" s="7" t="inlineStr">
        <is>
          <t>Office Supplies</t>
        </is>
      </c>
      <c r="G4298" s="7" t="inlineStr">
        <is>
          <t>Pens</t>
        </is>
      </c>
      <c r="H4298" s="7" t="inlineStr">
        <is>
          <t>Consumer</t>
        </is>
      </c>
      <c r="I4298" s="7" t="n">
        <v>14</v>
      </c>
      <c r="J4298" s="10" t="n">
        <v>12.5</v>
      </c>
      <c r="K4298" s="11" t="n">
        <v>0</v>
      </c>
      <c r="L4298" s="10">
        <f>I4298*J4298*(1-K4298)</f>
        <v/>
      </c>
      <c r="M4298" s="10" t="n">
        <v>75.59999999999999</v>
      </c>
      <c r="N4298" s="10">
        <f>L4298-M4298</f>
        <v/>
      </c>
    </row>
    <row r="4299">
      <c r="A4299" s="7" t="inlineStr">
        <is>
          <t>ORD-04693</t>
        </is>
      </c>
      <c r="B4299" s="8" t="n">
        <v>45793</v>
      </c>
      <c r="C4299" s="9" t="n">
        <v>45778</v>
      </c>
      <c r="D4299" s="7" t="n">
        <v>2025</v>
      </c>
      <c r="E4299" s="7" t="inlineStr">
        <is>
          <t>West</t>
        </is>
      </c>
      <c r="F4299" s="7" t="inlineStr">
        <is>
          <t>Office Supplies</t>
        </is>
      </c>
      <c r="G4299" s="7" t="inlineStr">
        <is>
          <t>Binder</t>
        </is>
      </c>
      <c r="H4299" s="7" t="inlineStr">
        <is>
          <t>Corporate</t>
        </is>
      </c>
      <c r="I4299" s="7" t="n">
        <v>9</v>
      </c>
      <c r="J4299" s="10" t="n">
        <v>7.84</v>
      </c>
      <c r="K4299" s="11" t="n">
        <v>0.05</v>
      </c>
      <c r="L4299" s="10">
        <f>I4299*J4299*(1-K4299)</f>
        <v/>
      </c>
      <c r="M4299" s="10" t="n">
        <v>28.8</v>
      </c>
      <c r="N4299" s="10">
        <f>L4299-M4299</f>
        <v/>
      </c>
    </row>
    <row r="4300">
      <c r="A4300" s="7" t="inlineStr">
        <is>
          <t>ORD-00159</t>
        </is>
      </c>
      <c r="B4300" s="8" t="n">
        <v>45793</v>
      </c>
      <c r="C4300" s="9" t="n">
        <v>45778</v>
      </c>
      <c r="D4300" s="7" t="n">
        <v>2025</v>
      </c>
      <c r="E4300" s="7" t="inlineStr">
        <is>
          <t>West</t>
        </is>
      </c>
      <c r="F4300" s="7" t="inlineStr">
        <is>
          <t>Office Supplies</t>
        </is>
      </c>
      <c r="G4300" s="7" t="inlineStr">
        <is>
          <t>Stapler</t>
        </is>
      </c>
      <c r="H4300" s="7" t="inlineStr">
        <is>
          <t>Consumer</t>
        </is>
      </c>
      <c r="I4300" s="7" t="n">
        <v>15</v>
      </c>
      <c r="J4300" s="10" t="n">
        <v>14.52</v>
      </c>
      <c r="K4300" s="11" t="n">
        <v>0.2</v>
      </c>
      <c r="L4300" s="10">
        <f>I4300*J4300*(1-K4300)</f>
        <v/>
      </c>
      <c r="M4300" s="10" t="n">
        <v>112.5</v>
      </c>
      <c r="N4300" s="10">
        <f>L4300-M4300</f>
        <v/>
      </c>
    </row>
    <row r="4301">
      <c r="A4301" s="7" t="inlineStr">
        <is>
          <t>ORD-02343</t>
        </is>
      </c>
      <c r="B4301" s="8" t="n">
        <v>45794</v>
      </c>
      <c r="C4301" s="9" t="n">
        <v>45778</v>
      </c>
      <c r="D4301" s="7" t="n">
        <v>2025</v>
      </c>
      <c r="E4301" s="7" t="inlineStr">
        <is>
          <t>South</t>
        </is>
      </c>
      <c r="F4301" s="7" t="inlineStr">
        <is>
          <t>Office Supplies</t>
        </is>
      </c>
      <c r="G4301" s="7" t="inlineStr">
        <is>
          <t>Printer Ink</t>
        </is>
      </c>
      <c r="H4301" s="7" t="inlineStr">
        <is>
          <t>Consumer</t>
        </is>
      </c>
      <c r="I4301" s="7" t="n">
        <v>9</v>
      </c>
      <c r="J4301" s="10" t="n">
        <v>61.29</v>
      </c>
      <c r="K4301" s="11" t="n">
        <v>0.05</v>
      </c>
      <c r="L4301" s="10">
        <f>I4301*J4301*(1-K4301)</f>
        <v/>
      </c>
      <c r="M4301" s="10" t="n">
        <v>324</v>
      </c>
      <c r="N4301" s="10">
        <f>L4301-M4301</f>
        <v/>
      </c>
    </row>
    <row r="4302">
      <c r="A4302" s="7" t="inlineStr">
        <is>
          <t>ORD-05415</t>
        </is>
      </c>
      <c r="B4302" s="8" t="n">
        <v>45794</v>
      </c>
      <c r="C4302" s="9" t="n">
        <v>45778</v>
      </c>
      <c r="D4302" s="7" t="n">
        <v>2025</v>
      </c>
      <c r="E4302" s="7" t="inlineStr">
        <is>
          <t>North</t>
        </is>
      </c>
      <c r="F4302" s="7" t="inlineStr">
        <is>
          <t>Office Supplies</t>
        </is>
      </c>
      <c r="G4302" s="7" t="inlineStr">
        <is>
          <t>Pens</t>
        </is>
      </c>
      <c r="H4302" s="7" t="inlineStr">
        <is>
          <t>Corporate</t>
        </is>
      </c>
      <c r="I4302" s="7" t="n">
        <v>11</v>
      </c>
      <c r="J4302" s="10" t="n">
        <v>11.51</v>
      </c>
      <c r="K4302" s="11" t="n">
        <v>0.3</v>
      </c>
      <c r="L4302" s="10">
        <f>I4302*J4302*(1-K4302)</f>
        <v/>
      </c>
      <c r="M4302" s="10" t="n">
        <v>59.4</v>
      </c>
      <c r="N4302" s="10">
        <f>L4302-M4302</f>
        <v/>
      </c>
    </row>
    <row r="4303">
      <c r="A4303" s="7" t="inlineStr">
        <is>
          <t>ORD-04108</t>
        </is>
      </c>
      <c r="B4303" s="8" t="n">
        <v>45794</v>
      </c>
      <c r="C4303" s="9" t="n">
        <v>45778</v>
      </c>
      <c r="D4303" s="7" t="n">
        <v>2025</v>
      </c>
      <c r="E4303" s="7" t="inlineStr">
        <is>
          <t>North</t>
        </is>
      </c>
      <c r="F4303" s="7" t="inlineStr">
        <is>
          <t>Technology</t>
        </is>
      </c>
      <c r="G4303" s="7" t="inlineStr">
        <is>
          <t>Smartphone</t>
        </is>
      </c>
      <c r="H4303" s="7" t="inlineStr">
        <is>
          <t>Corporate</t>
        </is>
      </c>
      <c r="I4303" s="7" t="n">
        <v>1</v>
      </c>
      <c r="J4303" s="10" t="n">
        <v>587.89</v>
      </c>
      <c r="K4303" s="11" t="n">
        <v>0</v>
      </c>
      <c r="L4303" s="10">
        <f>I4303*J4303*(1-K4303)</f>
        <v/>
      </c>
      <c r="M4303" s="10" t="n">
        <v>450</v>
      </c>
      <c r="N4303" s="10">
        <f>L4303-M4303</f>
        <v/>
      </c>
    </row>
    <row r="4304">
      <c r="A4304" s="7" t="inlineStr">
        <is>
          <t>ORD-01134</t>
        </is>
      </c>
      <c r="B4304" s="8" t="n">
        <v>45794</v>
      </c>
      <c r="C4304" s="9" t="n">
        <v>45778</v>
      </c>
      <c r="D4304" s="7" t="n">
        <v>2025</v>
      </c>
      <c r="E4304" s="7" t="inlineStr">
        <is>
          <t>East</t>
        </is>
      </c>
      <c r="F4304" s="7" t="inlineStr">
        <is>
          <t>Office Supplies</t>
        </is>
      </c>
      <c r="G4304" s="7" t="inlineStr">
        <is>
          <t>Paper</t>
        </is>
      </c>
      <c r="H4304" s="7" t="inlineStr">
        <is>
          <t>Corporate</t>
        </is>
      </c>
      <c r="I4304" s="7" t="n">
        <v>10</v>
      </c>
      <c r="J4304" s="10" t="n">
        <v>25.03</v>
      </c>
      <c r="K4304" s="11" t="n">
        <v>0</v>
      </c>
      <c r="L4304" s="10">
        <f>I4304*J4304*(1-K4304)</f>
        <v/>
      </c>
      <c r="M4304" s="10" t="n">
        <v>125</v>
      </c>
      <c r="N4304" s="10">
        <f>L4304-M4304</f>
        <v/>
      </c>
    </row>
    <row r="4305">
      <c r="A4305" s="7" t="inlineStr">
        <is>
          <t>ORD-04690</t>
        </is>
      </c>
      <c r="B4305" s="8" t="n">
        <v>45795</v>
      </c>
      <c r="C4305" s="9" t="n">
        <v>45778</v>
      </c>
      <c r="D4305" s="7" t="n">
        <v>2025</v>
      </c>
      <c r="E4305" s="7" t="inlineStr">
        <is>
          <t>North</t>
        </is>
      </c>
      <c r="F4305" s="7" t="inlineStr">
        <is>
          <t>Office Supplies</t>
        </is>
      </c>
      <c r="G4305" s="7" t="inlineStr">
        <is>
          <t>Pens</t>
        </is>
      </c>
      <c r="H4305" s="7" t="inlineStr">
        <is>
          <t>Corporate</t>
        </is>
      </c>
      <c r="I4305" s="7" t="n">
        <v>10</v>
      </c>
      <c r="J4305" s="10" t="n">
        <v>12.51</v>
      </c>
      <c r="K4305" s="11" t="n">
        <v>0.1</v>
      </c>
      <c r="L4305" s="10">
        <f>I4305*J4305*(1-K4305)</f>
        <v/>
      </c>
      <c r="M4305" s="10" t="n">
        <v>54</v>
      </c>
      <c r="N4305" s="10">
        <f>L4305-M4305</f>
        <v/>
      </c>
    </row>
    <row r="4306">
      <c r="A4306" s="7" t="inlineStr">
        <is>
          <t>ORD-04083</t>
        </is>
      </c>
      <c r="B4306" s="8" t="n">
        <v>45795</v>
      </c>
      <c r="C4306" s="9" t="n">
        <v>45778</v>
      </c>
      <c r="D4306" s="7" t="n">
        <v>2025</v>
      </c>
      <c r="E4306" s="7" t="inlineStr">
        <is>
          <t>West</t>
        </is>
      </c>
      <c r="F4306" s="7" t="inlineStr">
        <is>
          <t>Office Supplies</t>
        </is>
      </c>
      <c r="G4306" s="7" t="inlineStr">
        <is>
          <t>Pens</t>
        </is>
      </c>
      <c r="H4306" s="7" t="inlineStr">
        <is>
          <t>Corporate</t>
        </is>
      </c>
      <c r="I4306" s="7" t="n">
        <v>9</v>
      </c>
      <c r="J4306" s="10" t="n">
        <v>12.55</v>
      </c>
      <c r="K4306" s="11" t="n">
        <v>0.1</v>
      </c>
      <c r="L4306" s="10">
        <f>I4306*J4306*(1-K4306)</f>
        <v/>
      </c>
      <c r="M4306" s="10" t="n">
        <v>48.6</v>
      </c>
      <c r="N4306" s="10">
        <f>L4306-M4306</f>
        <v/>
      </c>
    </row>
    <row r="4307">
      <c r="A4307" s="7" t="inlineStr">
        <is>
          <t>ORD-02297</t>
        </is>
      </c>
      <c r="B4307" s="8" t="n">
        <v>45795</v>
      </c>
      <c r="C4307" s="9" t="n">
        <v>45778</v>
      </c>
      <c r="D4307" s="7" t="n">
        <v>2025</v>
      </c>
      <c r="E4307" s="7" t="inlineStr">
        <is>
          <t>South</t>
        </is>
      </c>
      <c r="F4307" s="7" t="inlineStr">
        <is>
          <t>Furniture</t>
        </is>
      </c>
      <c r="G4307" s="7" t="inlineStr">
        <is>
          <t>Office Chair</t>
        </is>
      </c>
      <c r="H4307" s="7" t="inlineStr">
        <is>
          <t>Consumer</t>
        </is>
      </c>
      <c r="I4307" s="7" t="n">
        <v>1</v>
      </c>
      <c r="J4307" s="10" t="n">
        <v>227.18</v>
      </c>
      <c r="K4307" s="11" t="n">
        <v>0.3</v>
      </c>
      <c r="L4307" s="10">
        <f>I4307*J4307*(1-K4307)</f>
        <v/>
      </c>
      <c r="M4307" s="10" t="n">
        <v>180.4</v>
      </c>
      <c r="N4307" s="10">
        <f>L4307-M4307</f>
        <v/>
      </c>
    </row>
    <row r="4308">
      <c r="A4308" s="7" t="inlineStr">
        <is>
          <t>ORD-01677</t>
        </is>
      </c>
      <c r="B4308" s="8" t="n">
        <v>45795</v>
      </c>
      <c r="C4308" s="9" t="n">
        <v>45778</v>
      </c>
      <c r="D4308" s="7" t="n">
        <v>2025</v>
      </c>
      <c r="E4308" s="7" t="inlineStr">
        <is>
          <t>West</t>
        </is>
      </c>
      <c r="F4308" s="7" t="inlineStr">
        <is>
          <t>Office Supplies</t>
        </is>
      </c>
      <c r="G4308" s="7" t="inlineStr">
        <is>
          <t>Binder</t>
        </is>
      </c>
      <c r="H4308" s="7" t="inlineStr">
        <is>
          <t>Consumer</t>
        </is>
      </c>
      <c r="I4308" s="7" t="n">
        <v>14</v>
      </c>
      <c r="J4308" s="10" t="n">
        <v>8.369999999999999</v>
      </c>
      <c r="K4308" s="11" t="n">
        <v>0.3</v>
      </c>
      <c r="L4308" s="10">
        <f>I4308*J4308*(1-K4308)</f>
        <v/>
      </c>
      <c r="M4308" s="10" t="n">
        <v>44.8</v>
      </c>
      <c r="N4308" s="10">
        <f>L4308-M4308</f>
        <v/>
      </c>
    </row>
    <row r="4309">
      <c r="A4309" s="7" t="inlineStr">
        <is>
          <t>ORD-02647</t>
        </is>
      </c>
      <c r="B4309" s="8" t="n">
        <v>45796</v>
      </c>
      <c r="C4309" s="9" t="n">
        <v>45778</v>
      </c>
      <c r="D4309" s="7" t="n">
        <v>2025</v>
      </c>
      <c r="E4309" s="7" t="inlineStr">
        <is>
          <t>South</t>
        </is>
      </c>
      <c r="F4309" s="7" t="inlineStr">
        <is>
          <t>Office Supplies</t>
        </is>
      </c>
      <c r="G4309" s="7" t="inlineStr">
        <is>
          <t>Pens</t>
        </is>
      </c>
      <c r="H4309" s="7" t="inlineStr">
        <is>
          <t>Consumer</t>
        </is>
      </c>
      <c r="I4309" s="7" t="n">
        <v>6</v>
      </c>
      <c r="J4309" s="10" t="n">
        <v>12</v>
      </c>
      <c r="K4309" s="11" t="n">
        <v>0.1</v>
      </c>
      <c r="L4309" s="10">
        <f>I4309*J4309*(1-K4309)</f>
        <v/>
      </c>
      <c r="M4309" s="10" t="n">
        <v>32.4</v>
      </c>
      <c r="N4309" s="10">
        <f>L4309-M4309</f>
        <v/>
      </c>
    </row>
    <row r="4310">
      <c r="A4310" s="7" t="inlineStr">
        <is>
          <t>ORD-04345</t>
        </is>
      </c>
      <c r="B4310" s="8" t="n">
        <v>45796</v>
      </c>
      <c r="C4310" s="9" t="n">
        <v>45778</v>
      </c>
      <c r="D4310" s="7" t="n">
        <v>2025</v>
      </c>
      <c r="E4310" s="7" t="inlineStr">
        <is>
          <t>East</t>
        </is>
      </c>
      <c r="F4310" s="7" t="inlineStr">
        <is>
          <t>Technology</t>
        </is>
      </c>
      <c r="G4310" s="7" t="inlineStr">
        <is>
          <t>Keyboard</t>
        </is>
      </c>
      <c r="H4310" s="7" t="inlineStr">
        <is>
          <t>Corporate</t>
        </is>
      </c>
      <c r="I4310" s="7" t="n">
        <v>3</v>
      </c>
      <c r="J4310" s="10" t="n">
        <v>44.4</v>
      </c>
      <c r="K4310" s="11" t="n">
        <v>0</v>
      </c>
      <c r="L4310" s="10">
        <f>I4310*J4310*(1-K4310)</f>
        <v/>
      </c>
      <c r="M4310" s="10" t="n">
        <v>74.25</v>
      </c>
      <c r="N4310" s="10">
        <f>L4310-M4310</f>
        <v/>
      </c>
    </row>
    <row r="4311">
      <c r="A4311" s="7" t="inlineStr">
        <is>
          <t>ORD-00380</t>
        </is>
      </c>
      <c r="B4311" s="8" t="n">
        <v>45796</v>
      </c>
      <c r="C4311" s="9" t="n">
        <v>45778</v>
      </c>
      <c r="D4311" s="7" t="n">
        <v>2025</v>
      </c>
      <c r="E4311" s="7" t="inlineStr">
        <is>
          <t>East</t>
        </is>
      </c>
      <c r="F4311" s="7" t="inlineStr">
        <is>
          <t>Office Supplies</t>
        </is>
      </c>
      <c r="G4311" s="7" t="inlineStr">
        <is>
          <t>Printer Ink</t>
        </is>
      </c>
      <c r="H4311" s="7" t="inlineStr">
        <is>
          <t>Consumer</t>
        </is>
      </c>
      <c r="I4311" s="7" t="n">
        <v>3</v>
      </c>
      <c r="J4311" s="10" t="n">
        <v>59.25</v>
      </c>
      <c r="K4311" s="11" t="n">
        <v>0.1</v>
      </c>
      <c r="L4311" s="10">
        <f>I4311*J4311*(1-K4311)</f>
        <v/>
      </c>
      <c r="M4311" s="10" t="n">
        <v>108</v>
      </c>
      <c r="N4311" s="10">
        <f>L4311-M4311</f>
        <v/>
      </c>
    </row>
    <row r="4312">
      <c r="A4312" s="7" t="inlineStr">
        <is>
          <t>ORD-05406</t>
        </is>
      </c>
      <c r="B4312" s="8" t="n">
        <v>45796</v>
      </c>
      <c r="C4312" s="9" t="n">
        <v>45778</v>
      </c>
      <c r="D4312" s="7" t="n">
        <v>2025</v>
      </c>
      <c r="E4312" s="7" t="inlineStr">
        <is>
          <t>East</t>
        </is>
      </c>
      <c r="F4312" s="7" t="inlineStr">
        <is>
          <t>Furniture</t>
        </is>
      </c>
      <c r="G4312" s="7" t="inlineStr">
        <is>
          <t>Bookcase</t>
        </is>
      </c>
      <c r="H4312" s="7" t="inlineStr">
        <is>
          <t>Corporate</t>
        </is>
      </c>
      <c r="I4312" s="7" t="n">
        <v>4</v>
      </c>
      <c r="J4312" s="10" t="n">
        <v>186.01</v>
      </c>
      <c r="K4312" s="11" t="n">
        <v>0.3</v>
      </c>
      <c r="L4312" s="10">
        <f>I4312*J4312*(1-K4312)</f>
        <v/>
      </c>
      <c r="M4312" s="10" t="n">
        <v>576</v>
      </c>
      <c r="N4312" s="10">
        <f>L4312-M4312</f>
        <v/>
      </c>
    </row>
    <row r="4313">
      <c r="A4313" s="7" t="inlineStr">
        <is>
          <t>ORD-01640</t>
        </is>
      </c>
      <c r="B4313" s="8" t="n">
        <v>45796</v>
      </c>
      <c r="C4313" s="9" t="n">
        <v>45778</v>
      </c>
      <c r="D4313" s="7" t="n">
        <v>2025</v>
      </c>
      <c r="E4313" s="7" t="inlineStr">
        <is>
          <t>East</t>
        </is>
      </c>
      <c r="F4313" s="7" t="inlineStr">
        <is>
          <t>Office Supplies</t>
        </is>
      </c>
      <c r="G4313" s="7" t="inlineStr">
        <is>
          <t>Binder</t>
        </is>
      </c>
      <c r="H4313" s="7" t="inlineStr">
        <is>
          <t>Consumer</t>
        </is>
      </c>
      <c r="I4313" s="7" t="n">
        <v>15</v>
      </c>
      <c r="J4313" s="10" t="n">
        <v>8.210000000000001</v>
      </c>
      <c r="K4313" s="11" t="n">
        <v>0</v>
      </c>
      <c r="L4313" s="10">
        <f>I4313*J4313*(1-K4313)</f>
        <v/>
      </c>
      <c r="M4313" s="10" t="n">
        <v>48</v>
      </c>
      <c r="N4313" s="10">
        <f>L4313-M4313</f>
        <v/>
      </c>
    </row>
    <row r="4314">
      <c r="A4314" s="7" t="inlineStr">
        <is>
          <t>ORD-02300</t>
        </is>
      </c>
      <c r="B4314" s="8" t="n">
        <v>45796</v>
      </c>
      <c r="C4314" s="9" t="n">
        <v>45778</v>
      </c>
      <c r="D4314" s="7" t="n">
        <v>2025</v>
      </c>
      <c r="E4314" s="7" t="inlineStr">
        <is>
          <t>East</t>
        </is>
      </c>
      <c r="F4314" s="7" t="inlineStr">
        <is>
          <t>Technology</t>
        </is>
      </c>
      <c r="G4314" s="7" t="inlineStr">
        <is>
          <t>Monitor</t>
        </is>
      </c>
      <c r="H4314" s="7" t="inlineStr">
        <is>
          <t>Corporate</t>
        </is>
      </c>
      <c r="I4314" s="7" t="n">
        <v>1</v>
      </c>
      <c r="J4314" s="10" t="n">
        <v>259.23</v>
      </c>
      <c r="K4314" s="11" t="n">
        <v>0.2</v>
      </c>
      <c r="L4314" s="10">
        <f>I4314*J4314*(1-K4314)</f>
        <v/>
      </c>
      <c r="M4314" s="10" t="n">
        <v>180</v>
      </c>
      <c r="N4314" s="10">
        <f>L4314-M4314</f>
        <v/>
      </c>
    </row>
    <row r="4315">
      <c r="A4315" s="7" t="inlineStr">
        <is>
          <t>ORD-04806</t>
        </is>
      </c>
      <c r="B4315" s="8" t="n">
        <v>45796</v>
      </c>
      <c r="C4315" s="9" t="n">
        <v>45778</v>
      </c>
      <c r="D4315" s="7" t="n">
        <v>2025</v>
      </c>
      <c r="E4315" s="7" t="inlineStr">
        <is>
          <t>East</t>
        </is>
      </c>
      <c r="F4315" s="7" t="inlineStr">
        <is>
          <t>Furniture</t>
        </is>
      </c>
      <c r="G4315" s="7" t="inlineStr">
        <is>
          <t>Desk</t>
        </is>
      </c>
      <c r="H4315" s="7" t="inlineStr">
        <is>
          <t>Home Office</t>
        </is>
      </c>
      <c r="I4315" s="7" t="n">
        <v>3</v>
      </c>
      <c r="J4315" s="10" t="n">
        <v>455.29</v>
      </c>
      <c r="K4315" s="11" t="n">
        <v>0</v>
      </c>
      <c r="L4315" s="10">
        <f>I4315*J4315*(1-K4315)</f>
        <v/>
      </c>
      <c r="M4315" s="10" t="n">
        <v>1147.5</v>
      </c>
      <c r="N4315" s="10">
        <f>L4315-M4315</f>
        <v/>
      </c>
    </row>
    <row r="4316">
      <c r="A4316" s="7" t="inlineStr">
        <is>
          <t>ORD-01967</t>
        </is>
      </c>
      <c r="B4316" s="8" t="n">
        <v>45796</v>
      </c>
      <c r="C4316" s="9" t="n">
        <v>45778</v>
      </c>
      <c r="D4316" s="7" t="n">
        <v>2025</v>
      </c>
      <c r="E4316" s="7" t="inlineStr">
        <is>
          <t>East</t>
        </is>
      </c>
      <c r="F4316" s="7" t="inlineStr">
        <is>
          <t>Office Supplies</t>
        </is>
      </c>
      <c r="G4316" s="7" t="inlineStr">
        <is>
          <t>Binder</t>
        </is>
      </c>
      <c r="H4316" s="7" t="inlineStr">
        <is>
          <t>Consumer</t>
        </is>
      </c>
      <c r="I4316" s="7" t="n">
        <v>9</v>
      </c>
      <c r="J4316" s="10" t="n">
        <v>8.34</v>
      </c>
      <c r="K4316" s="11" t="n">
        <v>0</v>
      </c>
      <c r="L4316" s="10">
        <f>I4316*J4316*(1-K4316)</f>
        <v/>
      </c>
      <c r="M4316" s="10" t="n">
        <v>28.8</v>
      </c>
      <c r="N4316" s="10">
        <f>L4316-M4316</f>
        <v/>
      </c>
    </row>
    <row r="4317">
      <c r="A4317" s="7" t="inlineStr">
        <is>
          <t>ORD-04593</t>
        </is>
      </c>
      <c r="B4317" s="8" t="n">
        <v>45796</v>
      </c>
      <c r="C4317" s="9" t="n">
        <v>45778</v>
      </c>
      <c r="D4317" s="7" t="n">
        <v>2025</v>
      </c>
      <c r="E4317" s="7" t="inlineStr">
        <is>
          <t>South</t>
        </is>
      </c>
      <c r="F4317" s="7" t="inlineStr">
        <is>
          <t>Technology</t>
        </is>
      </c>
      <c r="G4317" s="7" t="inlineStr">
        <is>
          <t>Laptop</t>
        </is>
      </c>
      <c r="H4317" s="7" t="inlineStr">
        <is>
          <t>Consumer</t>
        </is>
      </c>
      <c r="I4317" s="7" t="n">
        <v>1</v>
      </c>
      <c r="J4317" s="10" t="n">
        <v>894.6900000000001</v>
      </c>
      <c r="K4317" s="11" t="n">
        <v>0</v>
      </c>
      <c r="L4317" s="10">
        <f>I4317*J4317*(1-K4317)</f>
        <v/>
      </c>
      <c r="M4317" s="10" t="n">
        <v>702</v>
      </c>
      <c r="N4317" s="10">
        <f>L4317-M4317</f>
        <v/>
      </c>
    </row>
    <row r="4318">
      <c r="A4318" s="7" t="inlineStr">
        <is>
          <t>ORD-03717</t>
        </is>
      </c>
      <c r="B4318" s="8" t="n">
        <v>45796</v>
      </c>
      <c r="C4318" s="9" t="n">
        <v>45778</v>
      </c>
      <c r="D4318" s="7" t="n">
        <v>2025</v>
      </c>
      <c r="E4318" s="7" t="inlineStr">
        <is>
          <t>West</t>
        </is>
      </c>
      <c r="F4318" s="7" t="inlineStr">
        <is>
          <t>Technology</t>
        </is>
      </c>
      <c r="G4318" s="7" t="inlineStr">
        <is>
          <t>Keyboard</t>
        </is>
      </c>
      <c r="H4318" s="7" t="inlineStr">
        <is>
          <t>Consumer</t>
        </is>
      </c>
      <c r="I4318" s="7" t="n">
        <v>2</v>
      </c>
      <c r="J4318" s="10" t="n">
        <v>45.44</v>
      </c>
      <c r="K4318" s="11" t="n">
        <v>0.1</v>
      </c>
      <c r="L4318" s="10">
        <f>I4318*J4318*(1-K4318)</f>
        <v/>
      </c>
      <c r="M4318" s="10" t="n">
        <v>49.5</v>
      </c>
      <c r="N4318" s="10">
        <f>L4318-M4318</f>
        <v/>
      </c>
    </row>
    <row r="4319">
      <c r="A4319" s="7" t="inlineStr">
        <is>
          <t>ORD-04131</t>
        </is>
      </c>
      <c r="B4319" s="8" t="n">
        <v>45797</v>
      </c>
      <c r="C4319" s="9" t="n">
        <v>45778</v>
      </c>
      <c r="D4319" s="7" t="n">
        <v>2025</v>
      </c>
      <c r="E4319" s="7" t="inlineStr">
        <is>
          <t>North</t>
        </is>
      </c>
      <c r="F4319" s="7" t="inlineStr">
        <is>
          <t>Office Supplies</t>
        </is>
      </c>
      <c r="G4319" s="7" t="inlineStr">
        <is>
          <t>Printer Ink</t>
        </is>
      </c>
      <c r="H4319" s="7" t="inlineStr">
        <is>
          <t>Consumer</t>
        </is>
      </c>
      <c r="I4319" s="7" t="n">
        <v>5</v>
      </c>
      <c r="J4319" s="10" t="n">
        <v>61.3</v>
      </c>
      <c r="K4319" s="11" t="n">
        <v>0</v>
      </c>
      <c r="L4319" s="10">
        <f>I4319*J4319*(1-K4319)</f>
        <v/>
      </c>
      <c r="M4319" s="10" t="n">
        <v>180</v>
      </c>
      <c r="N4319" s="10">
        <f>L4319-M4319</f>
        <v/>
      </c>
    </row>
    <row r="4320">
      <c r="A4320" s="7" t="inlineStr">
        <is>
          <t>ORD-02808</t>
        </is>
      </c>
      <c r="B4320" s="8" t="n">
        <v>45797</v>
      </c>
      <c r="C4320" s="9" t="n">
        <v>45778</v>
      </c>
      <c r="D4320" s="7" t="n">
        <v>2025</v>
      </c>
      <c r="E4320" s="7" t="inlineStr">
        <is>
          <t>South</t>
        </is>
      </c>
      <c r="F4320" s="7" t="inlineStr">
        <is>
          <t>Office Supplies</t>
        </is>
      </c>
      <c r="G4320" s="7" t="inlineStr">
        <is>
          <t>Stapler</t>
        </is>
      </c>
      <c r="H4320" s="7" t="inlineStr">
        <is>
          <t>Consumer</t>
        </is>
      </c>
      <c r="I4320" s="7" t="n">
        <v>12</v>
      </c>
      <c r="J4320" s="10" t="n">
        <v>14.76</v>
      </c>
      <c r="K4320" s="11" t="n">
        <v>0.05</v>
      </c>
      <c r="L4320" s="10">
        <f>I4320*J4320*(1-K4320)</f>
        <v/>
      </c>
      <c r="M4320" s="10" t="n">
        <v>90</v>
      </c>
      <c r="N4320" s="10">
        <f>L4320-M4320</f>
        <v/>
      </c>
    </row>
    <row r="4321">
      <c r="A4321" s="7" t="inlineStr">
        <is>
          <t>ORD-00862</t>
        </is>
      </c>
      <c r="B4321" s="8" t="n">
        <v>45797</v>
      </c>
      <c r="C4321" s="9" t="n">
        <v>45778</v>
      </c>
      <c r="D4321" s="7" t="n">
        <v>2025</v>
      </c>
      <c r="E4321" s="7" t="inlineStr">
        <is>
          <t>North</t>
        </is>
      </c>
      <c r="F4321" s="7" t="inlineStr">
        <is>
          <t>Technology</t>
        </is>
      </c>
      <c r="G4321" s="7" t="inlineStr">
        <is>
          <t>Monitor</t>
        </is>
      </c>
      <c r="H4321" s="7" t="inlineStr">
        <is>
          <t>Home Office</t>
        </is>
      </c>
      <c r="I4321" s="7" t="n">
        <v>2</v>
      </c>
      <c r="J4321" s="10" t="n">
        <v>248.91</v>
      </c>
      <c r="K4321" s="11" t="n">
        <v>0</v>
      </c>
      <c r="L4321" s="10">
        <f>I4321*J4321*(1-K4321)</f>
        <v/>
      </c>
      <c r="M4321" s="10" t="n">
        <v>360</v>
      </c>
      <c r="N4321" s="10">
        <f>L4321-M4321</f>
        <v/>
      </c>
    </row>
    <row r="4322">
      <c r="A4322" s="7" t="inlineStr">
        <is>
          <t>ORD-03847</t>
        </is>
      </c>
      <c r="B4322" s="8" t="n">
        <v>45798</v>
      </c>
      <c r="C4322" s="9" t="n">
        <v>45778</v>
      </c>
      <c r="D4322" s="7" t="n">
        <v>2025</v>
      </c>
      <c r="E4322" s="7" t="inlineStr">
        <is>
          <t>North</t>
        </is>
      </c>
      <c r="F4322" s="7" t="inlineStr">
        <is>
          <t>Technology</t>
        </is>
      </c>
      <c r="G4322" s="7" t="inlineStr">
        <is>
          <t>Laptop</t>
        </is>
      </c>
      <c r="H4322" s="7" t="inlineStr">
        <is>
          <t>Consumer</t>
        </is>
      </c>
      <c r="I4322" s="7" t="n">
        <v>3</v>
      </c>
      <c r="J4322" s="10" t="n">
        <v>888.9400000000001</v>
      </c>
      <c r="K4322" s="11" t="n">
        <v>0</v>
      </c>
      <c r="L4322" s="10">
        <f>I4322*J4322*(1-K4322)</f>
        <v/>
      </c>
      <c r="M4322" s="10" t="n">
        <v>2106</v>
      </c>
      <c r="N4322" s="10">
        <f>L4322-M4322</f>
        <v/>
      </c>
    </row>
    <row r="4323">
      <c r="A4323" s="7" t="inlineStr">
        <is>
          <t>ORD-04852</t>
        </is>
      </c>
      <c r="B4323" s="8" t="n">
        <v>45798</v>
      </c>
      <c r="C4323" s="9" t="n">
        <v>45778</v>
      </c>
      <c r="D4323" s="7" t="n">
        <v>2025</v>
      </c>
      <c r="E4323" s="7" t="inlineStr">
        <is>
          <t>East</t>
        </is>
      </c>
      <c r="F4323" s="7" t="inlineStr">
        <is>
          <t>Office Supplies</t>
        </is>
      </c>
      <c r="G4323" s="7" t="inlineStr">
        <is>
          <t>Paper</t>
        </is>
      </c>
      <c r="H4323" s="7" t="inlineStr">
        <is>
          <t>Corporate</t>
        </is>
      </c>
      <c r="I4323" s="7" t="n">
        <v>10</v>
      </c>
      <c r="J4323" s="10" t="n">
        <v>25.13</v>
      </c>
      <c r="K4323" s="11" t="n">
        <v>0</v>
      </c>
      <c r="L4323" s="10">
        <f>I4323*J4323*(1-K4323)</f>
        <v/>
      </c>
      <c r="M4323" s="10" t="n">
        <v>125</v>
      </c>
      <c r="N4323" s="10">
        <f>L4323-M4323</f>
        <v/>
      </c>
    </row>
    <row r="4324">
      <c r="A4324" s="7" t="inlineStr">
        <is>
          <t>ORD-03069</t>
        </is>
      </c>
      <c r="B4324" s="8" t="n">
        <v>45798</v>
      </c>
      <c r="C4324" s="9" t="n">
        <v>45778</v>
      </c>
      <c r="D4324" s="7" t="n">
        <v>2025</v>
      </c>
      <c r="E4324" s="7" t="inlineStr">
        <is>
          <t>South</t>
        </is>
      </c>
      <c r="F4324" s="7" t="inlineStr">
        <is>
          <t>Technology</t>
        </is>
      </c>
      <c r="G4324" s="7" t="inlineStr">
        <is>
          <t>Headphones</t>
        </is>
      </c>
      <c r="H4324" s="7" t="inlineStr">
        <is>
          <t>Consumer</t>
        </is>
      </c>
      <c r="I4324" s="7" t="n">
        <v>1</v>
      </c>
      <c r="J4324" s="10" t="n">
        <v>125.87</v>
      </c>
      <c r="K4324" s="11" t="n">
        <v>0</v>
      </c>
      <c r="L4324" s="10">
        <f>I4324*J4324*(1-K4324)</f>
        <v/>
      </c>
      <c r="M4324" s="10" t="n">
        <v>72</v>
      </c>
      <c r="N4324" s="10">
        <f>L4324-M4324</f>
        <v/>
      </c>
    </row>
    <row r="4325">
      <c r="A4325" s="7" t="inlineStr">
        <is>
          <t>ORD-04233</t>
        </is>
      </c>
      <c r="B4325" s="8" t="n">
        <v>45798</v>
      </c>
      <c r="C4325" s="9" t="n">
        <v>45778</v>
      </c>
      <c r="D4325" s="7" t="n">
        <v>2025</v>
      </c>
      <c r="E4325" s="7" t="inlineStr">
        <is>
          <t>East</t>
        </is>
      </c>
      <c r="F4325" s="7" t="inlineStr">
        <is>
          <t>Office Supplies</t>
        </is>
      </c>
      <c r="G4325" s="7" t="inlineStr">
        <is>
          <t>Printer Ink</t>
        </is>
      </c>
      <c r="H4325" s="7" t="inlineStr">
        <is>
          <t>Consumer</t>
        </is>
      </c>
      <c r="I4325" s="7" t="n">
        <v>7</v>
      </c>
      <c r="J4325" s="10" t="n">
        <v>58.45</v>
      </c>
      <c r="K4325" s="11" t="n">
        <v>0.05</v>
      </c>
      <c r="L4325" s="10">
        <f>I4325*J4325*(1-K4325)</f>
        <v/>
      </c>
      <c r="M4325" s="10" t="n">
        <v>252</v>
      </c>
      <c r="N4325" s="10">
        <f>L4325-M4325</f>
        <v/>
      </c>
    </row>
    <row r="4326">
      <c r="A4326" s="7" t="inlineStr">
        <is>
          <t>ORD-05280</t>
        </is>
      </c>
      <c r="B4326" s="8" t="n">
        <v>45798</v>
      </c>
      <c r="C4326" s="9" t="n">
        <v>45778</v>
      </c>
      <c r="D4326" s="7" t="n">
        <v>2025</v>
      </c>
      <c r="E4326" s="7" t="inlineStr">
        <is>
          <t>West</t>
        </is>
      </c>
      <c r="F4326" s="7" t="inlineStr">
        <is>
          <t>Technology</t>
        </is>
      </c>
      <c r="G4326" s="7" t="inlineStr">
        <is>
          <t>Keyboard</t>
        </is>
      </c>
      <c r="H4326" s="7" t="inlineStr">
        <is>
          <t>Consumer</t>
        </is>
      </c>
      <c r="I4326" s="7" t="n">
        <v>2</v>
      </c>
      <c r="J4326" s="10" t="n">
        <v>43.88</v>
      </c>
      <c r="K4326" s="11" t="n">
        <v>0.2</v>
      </c>
      <c r="L4326" s="10">
        <f>I4326*J4326*(1-K4326)</f>
        <v/>
      </c>
      <c r="M4326" s="10" t="n">
        <v>49.5</v>
      </c>
      <c r="N4326" s="10">
        <f>L4326-M4326</f>
        <v/>
      </c>
    </row>
    <row r="4327">
      <c r="A4327" s="7" t="inlineStr">
        <is>
          <t>ORD-01973</t>
        </is>
      </c>
      <c r="B4327" s="8" t="n">
        <v>45799</v>
      </c>
      <c r="C4327" s="9" t="n">
        <v>45778</v>
      </c>
      <c r="D4327" s="7" t="n">
        <v>2025</v>
      </c>
      <c r="E4327" s="7" t="inlineStr">
        <is>
          <t>East</t>
        </is>
      </c>
      <c r="F4327" s="7" t="inlineStr">
        <is>
          <t>Office Supplies</t>
        </is>
      </c>
      <c r="G4327" s="7" t="inlineStr">
        <is>
          <t>Printer Ink</t>
        </is>
      </c>
      <c r="H4327" s="7" t="inlineStr">
        <is>
          <t>Consumer</t>
        </is>
      </c>
      <c r="I4327" s="7" t="n">
        <v>12</v>
      </c>
      <c r="J4327" s="10" t="n">
        <v>59.9</v>
      </c>
      <c r="K4327" s="11" t="n">
        <v>0.05</v>
      </c>
      <c r="L4327" s="10">
        <f>I4327*J4327*(1-K4327)</f>
        <v/>
      </c>
      <c r="M4327" s="10" t="n">
        <v>432</v>
      </c>
      <c r="N4327" s="10">
        <f>L4327-M4327</f>
        <v/>
      </c>
    </row>
    <row r="4328">
      <c r="A4328" s="7" t="inlineStr">
        <is>
          <t>ORD-00609</t>
        </is>
      </c>
      <c r="B4328" s="8" t="n">
        <v>45799</v>
      </c>
      <c r="C4328" s="9" t="n">
        <v>45778</v>
      </c>
      <c r="D4328" s="7" t="n">
        <v>2025</v>
      </c>
      <c r="E4328" s="7" t="inlineStr">
        <is>
          <t>West</t>
        </is>
      </c>
      <c r="F4328" s="7" t="inlineStr">
        <is>
          <t>Office Supplies</t>
        </is>
      </c>
      <c r="G4328" s="7" t="inlineStr">
        <is>
          <t>Stapler</t>
        </is>
      </c>
      <c r="H4328" s="7" t="inlineStr">
        <is>
          <t>Consumer</t>
        </is>
      </c>
      <c r="I4328" s="7" t="n">
        <v>4</v>
      </c>
      <c r="J4328" s="10" t="n">
        <v>15.66</v>
      </c>
      <c r="K4328" s="11" t="n">
        <v>0</v>
      </c>
      <c r="L4328" s="10">
        <f>I4328*J4328*(1-K4328)</f>
        <v/>
      </c>
      <c r="M4328" s="10" t="n">
        <v>30</v>
      </c>
      <c r="N4328" s="10">
        <f>L4328-M4328</f>
        <v/>
      </c>
    </row>
    <row r="4329">
      <c r="A4329" s="7" t="inlineStr">
        <is>
          <t>ORD-04525</t>
        </is>
      </c>
      <c r="B4329" s="8" t="n">
        <v>45799</v>
      </c>
      <c r="C4329" s="9" t="n">
        <v>45778</v>
      </c>
      <c r="D4329" s="7" t="n">
        <v>2025</v>
      </c>
      <c r="E4329" s="7" t="inlineStr">
        <is>
          <t>North</t>
        </is>
      </c>
      <c r="F4329" s="7" t="inlineStr">
        <is>
          <t>Office Supplies</t>
        </is>
      </c>
      <c r="G4329" s="7" t="inlineStr">
        <is>
          <t>Pens</t>
        </is>
      </c>
      <c r="H4329" s="7" t="inlineStr">
        <is>
          <t>Consumer</t>
        </is>
      </c>
      <c r="I4329" s="7" t="n">
        <v>8</v>
      </c>
      <c r="J4329" s="10" t="n">
        <v>11.77</v>
      </c>
      <c r="K4329" s="11" t="n">
        <v>0.2</v>
      </c>
      <c r="L4329" s="10">
        <f>I4329*J4329*(1-K4329)</f>
        <v/>
      </c>
      <c r="M4329" s="10" t="n">
        <v>43.2</v>
      </c>
      <c r="N4329" s="10">
        <f>L4329-M4329</f>
        <v/>
      </c>
    </row>
    <row r="4330">
      <c r="A4330" s="7" t="inlineStr">
        <is>
          <t>ORD-01979</t>
        </is>
      </c>
      <c r="B4330" s="8" t="n">
        <v>45800</v>
      </c>
      <c r="C4330" s="9" t="n">
        <v>45778</v>
      </c>
      <c r="D4330" s="7" t="n">
        <v>2025</v>
      </c>
      <c r="E4330" s="7" t="inlineStr">
        <is>
          <t>North</t>
        </is>
      </c>
      <c r="F4330" s="7" t="inlineStr">
        <is>
          <t>Office Supplies</t>
        </is>
      </c>
      <c r="G4330" s="7" t="inlineStr">
        <is>
          <t>Binder</t>
        </is>
      </c>
      <c r="H4330" s="7" t="inlineStr">
        <is>
          <t>Home Office</t>
        </is>
      </c>
      <c r="I4330" s="7" t="n">
        <v>5</v>
      </c>
      <c r="J4330" s="10" t="n">
        <v>7.86</v>
      </c>
      <c r="K4330" s="11" t="n">
        <v>0</v>
      </c>
      <c r="L4330" s="10">
        <f>I4330*J4330*(1-K4330)</f>
        <v/>
      </c>
      <c r="M4330" s="10" t="n">
        <v>16</v>
      </c>
      <c r="N4330" s="10">
        <f>L4330-M4330</f>
        <v/>
      </c>
    </row>
    <row r="4331">
      <c r="A4331" s="7" t="inlineStr">
        <is>
          <t>ORD-03710</t>
        </is>
      </c>
      <c r="B4331" s="8" t="n">
        <v>45800</v>
      </c>
      <c r="C4331" s="9" t="n">
        <v>45778</v>
      </c>
      <c r="D4331" s="7" t="n">
        <v>2025</v>
      </c>
      <c r="E4331" s="7" t="inlineStr">
        <is>
          <t>South</t>
        </is>
      </c>
      <c r="F4331" s="7" t="inlineStr">
        <is>
          <t>Office Supplies</t>
        </is>
      </c>
      <c r="G4331" s="7" t="inlineStr">
        <is>
          <t>Pens</t>
        </is>
      </c>
      <c r="H4331" s="7" t="inlineStr">
        <is>
          <t>Consumer</t>
        </is>
      </c>
      <c r="I4331" s="7" t="n">
        <v>9</v>
      </c>
      <c r="J4331" s="10" t="n">
        <v>12.55</v>
      </c>
      <c r="K4331" s="11" t="n">
        <v>0.05</v>
      </c>
      <c r="L4331" s="10">
        <f>I4331*J4331*(1-K4331)</f>
        <v/>
      </c>
      <c r="M4331" s="10" t="n">
        <v>48.6</v>
      </c>
      <c r="N4331" s="10">
        <f>L4331-M4331</f>
        <v/>
      </c>
    </row>
    <row r="4332">
      <c r="A4332" s="7" t="inlineStr">
        <is>
          <t>ORD-01840</t>
        </is>
      </c>
      <c r="B4332" s="8" t="n">
        <v>45800</v>
      </c>
      <c r="C4332" s="9" t="n">
        <v>45778</v>
      </c>
      <c r="D4332" s="7" t="n">
        <v>2025</v>
      </c>
      <c r="E4332" s="7" t="inlineStr">
        <is>
          <t>East</t>
        </is>
      </c>
      <c r="F4332" s="7" t="inlineStr">
        <is>
          <t>Furniture</t>
        </is>
      </c>
      <c r="G4332" s="7" t="inlineStr">
        <is>
          <t>Office Chair</t>
        </is>
      </c>
      <c r="H4332" s="7" t="inlineStr">
        <is>
          <t>Corporate</t>
        </is>
      </c>
      <c r="I4332" s="7" t="n">
        <v>1</v>
      </c>
      <c r="J4332" s="10" t="n">
        <v>230.3</v>
      </c>
      <c r="K4332" s="11" t="n">
        <v>0.2</v>
      </c>
      <c r="L4332" s="10">
        <f>I4332*J4332*(1-K4332)</f>
        <v/>
      </c>
      <c r="M4332" s="10" t="n">
        <v>180.4</v>
      </c>
      <c r="N4332" s="10">
        <f>L4332-M4332</f>
        <v/>
      </c>
    </row>
    <row r="4333">
      <c r="A4333" s="7" t="inlineStr">
        <is>
          <t>ORD-00616</t>
        </is>
      </c>
      <c r="B4333" s="8" t="n">
        <v>45800</v>
      </c>
      <c r="C4333" s="9" t="n">
        <v>45778</v>
      </c>
      <c r="D4333" s="7" t="n">
        <v>2025</v>
      </c>
      <c r="E4333" s="7" t="inlineStr">
        <is>
          <t>West</t>
        </is>
      </c>
      <c r="F4333" s="7" t="inlineStr">
        <is>
          <t>Furniture</t>
        </is>
      </c>
      <c r="G4333" s="7" t="inlineStr">
        <is>
          <t>Office Chair</t>
        </is>
      </c>
      <c r="H4333" s="7" t="inlineStr">
        <is>
          <t>Corporate</t>
        </is>
      </c>
      <c r="I4333" s="7" t="n">
        <v>4</v>
      </c>
      <c r="J4333" s="10" t="n">
        <v>225.39</v>
      </c>
      <c r="K4333" s="11" t="n">
        <v>0</v>
      </c>
      <c r="L4333" s="10">
        <f>I4333*J4333*(1-K4333)</f>
        <v/>
      </c>
      <c r="M4333" s="10" t="n">
        <v>721.6</v>
      </c>
      <c r="N4333" s="10">
        <f>L4333-M4333</f>
        <v/>
      </c>
    </row>
    <row r="4334">
      <c r="A4334" s="7" t="inlineStr">
        <is>
          <t>ORD-05166</t>
        </is>
      </c>
      <c r="B4334" s="8" t="n">
        <v>45800</v>
      </c>
      <c r="C4334" s="9" t="n">
        <v>45778</v>
      </c>
      <c r="D4334" s="7" t="n">
        <v>2025</v>
      </c>
      <c r="E4334" s="7" t="inlineStr">
        <is>
          <t>East</t>
        </is>
      </c>
      <c r="F4334" s="7" t="inlineStr">
        <is>
          <t>Technology</t>
        </is>
      </c>
      <c r="G4334" s="7" t="inlineStr">
        <is>
          <t>Keyboard</t>
        </is>
      </c>
      <c r="H4334" s="7" t="inlineStr">
        <is>
          <t>Corporate</t>
        </is>
      </c>
      <c r="I4334" s="7" t="n">
        <v>1</v>
      </c>
      <c r="J4334" s="10" t="n">
        <v>45.3</v>
      </c>
      <c r="K4334" s="11" t="n">
        <v>0.05</v>
      </c>
      <c r="L4334" s="10">
        <f>I4334*J4334*(1-K4334)</f>
        <v/>
      </c>
      <c r="M4334" s="10" t="n">
        <v>24.75</v>
      </c>
      <c r="N4334" s="10">
        <f>L4334-M4334</f>
        <v/>
      </c>
    </row>
    <row r="4335">
      <c r="A4335" s="7" t="inlineStr">
        <is>
          <t>ORD-00857</t>
        </is>
      </c>
      <c r="B4335" s="8" t="n">
        <v>45800</v>
      </c>
      <c r="C4335" s="9" t="n">
        <v>45778</v>
      </c>
      <c r="D4335" s="7" t="n">
        <v>2025</v>
      </c>
      <c r="E4335" s="7" t="inlineStr">
        <is>
          <t>West</t>
        </is>
      </c>
      <c r="F4335" s="7" t="inlineStr">
        <is>
          <t>Office Supplies</t>
        </is>
      </c>
      <c r="G4335" s="7" t="inlineStr">
        <is>
          <t>Paper</t>
        </is>
      </c>
      <c r="H4335" s="7" t="inlineStr">
        <is>
          <t>Consumer</t>
        </is>
      </c>
      <c r="I4335" s="7" t="n">
        <v>10</v>
      </c>
      <c r="J4335" s="10" t="n">
        <v>24.63</v>
      </c>
      <c r="K4335" s="11" t="n">
        <v>0.05</v>
      </c>
      <c r="L4335" s="10">
        <f>I4335*J4335*(1-K4335)</f>
        <v/>
      </c>
      <c r="M4335" s="10" t="n">
        <v>125</v>
      </c>
      <c r="N4335" s="10">
        <f>L4335-M4335</f>
        <v/>
      </c>
    </row>
    <row r="4336">
      <c r="A4336" s="7" t="inlineStr">
        <is>
          <t>ORD-02466</t>
        </is>
      </c>
      <c r="B4336" s="8" t="n">
        <v>45800</v>
      </c>
      <c r="C4336" s="9" t="n">
        <v>45778</v>
      </c>
      <c r="D4336" s="7" t="n">
        <v>2025</v>
      </c>
      <c r="E4336" s="7" t="inlineStr">
        <is>
          <t>East</t>
        </is>
      </c>
      <c r="F4336" s="7" t="inlineStr">
        <is>
          <t>Office Supplies</t>
        </is>
      </c>
      <c r="G4336" s="7" t="inlineStr">
        <is>
          <t>Binder</t>
        </is>
      </c>
      <c r="H4336" s="7" t="inlineStr">
        <is>
          <t>Corporate</t>
        </is>
      </c>
      <c r="I4336" s="7" t="n">
        <v>9</v>
      </c>
      <c r="J4336" s="10" t="n">
        <v>7.77</v>
      </c>
      <c r="K4336" s="11" t="n">
        <v>0</v>
      </c>
      <c r="L4336" s="10">
        <f>I4336*J4336*(1-K4336)</f>
        <v/>
      </c>
      <c r="M4336" s="10" t="n">
        <v>28.8</v>
      </c>
      <c r="N4336" s="10">
        <f>L4336-M4336</f>
        <v/>
      </c>
    </row>
    <row r="4337">
      <c r="A4337" s="7" t="inlineStr">
        <is>
          <t>ORD-05864</t>
        </is>
      </c>
      <c r="B4337" s="8" t="n">
        <v>45801</v>
      </c>
      <c r="C4337" s="9" t="n">
        <v>45778</v>
      </c>
      <c r="D4337" s="7" t="n">
        <v>2025</v>
      </c>
      <c r="E4337" s="7" t="inlineStr">
        <is>
          <t>South</t>
        </is>
      </c>
      <c r="F4337" s="7" t="inlineStr">
        <is>
          <t>Office Supplies</t>
        </is>
      </c>
      <c r="G4337" s="7" t="inlineStr">
        <is>
          <t>Binder</t>
        </is>
      </c>
      <c r="H4337" s="7" t="inlineStr">
        <is>
          <t>Corporate</t>
        </is>
      </c>
      <c r="I4337" s="7" t="n">
        <v>12</v>
      </c>
      <c r="J4337" s="10" t="n">
        <v>7.74</v>
      </c>
      <c r="K4337" s="11" t="n">
        <v>0</v>
      </c>
      <c r="L4337" s="10">
        <f>I4337*J4337*(1-K4337)</f>
        <v/>
      </c>
      <c r="M4337" s="10" t="n">
        <v>38.4</v>
      </c>
      <c r="N4337" s="10">
        <f>L4337-M4337</f>
        <v/>
      </c>
    </row>
    <row r="4338">
      <c r="A4338" s="7" t="inlineStr">
        <is>
          <t>ORD-01200</t>
        </is>
      </c>
      <c r="B4338" s="8" t="n">
        <v>45801</v>
      </c>
      <c r="C4338" s="9" t="n">
        <v>45778</v>
      </c>
      <c r="D4338" s="7" t="n">
        <v>2025</v>
      </c>
      <c r="E4338" s="7" t="inlineStr">
        <is>
          <t>South</t>
        </is>
      </c>
      <c r="F4338" s="7" t="inlineStr">
        <is>
          <t>Furniture</t>
        </is>
      </c>
      <c r="G4338" s="7" t="inlineStr">
        <is>
          <t>Bookcase</t>
        </is>
      </c>
      <c r="H4338" s="7" t="inlineStr">
        <is>
          <t>Consumer</t>
        </is>
      </c>
      <c r="I4338" s="7" t="n">
        <v>2</v>
      </c>
      <c r="J4338" s="10" t="n">
        <v>172.68</v>
      </c>
      <c r="K4338" s="11" t="n">
        <v>0.2</v>
      </c>
      <c r="L4338" s="10">
        <f>I4338*J4338*(1-K4338)</f>
        <v/>
      </c>
      <c r="M4338" s="10" t="n">
        <v>288</v>
      </c>
      <c r="N4338" s="10">
        <f>L4338-M4338</f>
        <v/>
      </c>
    </row>
    <row r="4339">
      <c r="A4339" s="7" t="inlineStr">
        <is>
          <t>ORD-05627</t>
        </is>
      </c>
      <c r="B4339" s="8" t="n">
        <v>45801</v>
      </c>
      <c r="C4339" s="9" t="n">
        <v>45778</v>
      </c>
      <c r="D4339" s="7" t="n">
        <v>2025</v>
      </c>
      <c r="E4339" s="7" t="inlineStr">
        <is>
          <t>West</t>
        </is>
      </c>
      <c r="F4339" s="7" t="inlineStr">
        <is>
          <t>Technology</t>
        </is>
      </c>
      <c r="G4339" s="7" t="inlineStr">
        <is>
          <t>Laptop</t>
        </is>
      </c>
      <c r="H4339" s="7" t="inlineStr">
        <is>
          <t>Consumer</t>
        </is>
      </c>
      <c r="I4339" s="7" t="n">
        <v>1</v>
      </c>
      <c r="J4339" s="10" t="n">
        <v>869.25</v>
      </c>
      <c r="K4339" s="11" t="n">
        <v>0.2</v>
      </c>
      <c r="L4339" s="10">
        <f>I4339*J4339*(1-K4339)</f>
        <v/>
      </c>
      <c r="M4339" s="10" t="n">
        <v>702</v>
      </c>
      <c r="N4339" s="10">
        <f>L4339-M4339</f>
        <v/>
      </c>
    </row>
    <row r="4340">
      <c r="A4340" s="7" t="inlineStr">
        <is>
          <t>ORD-00443</t>
        </is>
      </c>
      <c r="B4340" s="8" t="n">
        <v>45801</v>
      </c>
      <c r="C4340" s="9" t="n">
        <v>45778</v>
      </c>
      <c r="D4340" s="7" t="n">
        <v>2025</v>
      </c>
      <c r="E4340" s="7" t="inlineStr">
        <is>
          <t>North</t>
        </is>
      </c>
      <c r="F4340" s="7" t="inlineStr">
        <is>
          <t>Technology</t>
        </is>
      </c>
      <c r="G4340" s="7" t="inlineStr">
        <is>
          <t>Smartphone</t>
        </is>
      </c>
      <c r="H4340" s="7" t="inlineStr">
        <is>
          <t>Consumer</t>
        </is>
      </c>
      <c r="I4340" s="7" t="n">
        <v>3</v>
      </c>
      <c r="J4340" s="10" t="n">
        <v>605.87</v>
      </c>
      <c r="K4340" s="11" t="n">
        <v>0</v>
      </c>
      <c r="L4340" s="10">
        <f>I4340*J4340*(1-K4340)</f>
        <v/>
      </c>
      <c r="M4340" s="10" t="n">
        <v>1350</v>
      </c>
      <c r="N4340" s="10">
        <f>L4340-M4340</f>
        <v/>
      </c>
    </row>
    <row r="4341">
      <c r="A4341" s="7" t="inlineStr">
        <is>
          <t>ORD-00930</t>
        </is>
      </c>
      <c r="B4341" s="8" t="n">
        <v>45801</v>
      </c>
      <c r="C4341" s="9" t="n">
        <v>45778</v>
      </c>
      <c r="D4341" s="7" t="n">
        <v>2025</v>
      </c>
      <c r="E4341" s="7" t="inlineStr">
        <is>
          <t>North</t>
        </is>
      </c>
      <c r="F4341" s="7" t="inlineStr">
        <is>
          <t>Furniture</t>
        </is>
      </c>
      <c r="G4341" s="7" t="inlineStr">
        <is>
          <t>Bookcase</t>
        </is>
      </c>
      <c r="H4341" s="7" t="inlineStr">
        <is>
          <t>Corporate</t>
        </is>
      </c>
      <c r="I4341" s="7" t="n">
        <v>1</v>
      </c>
      <c r="J4341" s="10" t="n">
        <v>173.68</v>
      </c>
      <c r="K4341" s="11" t="n">
        <v>0.1</v>
      </c>
      <c r="L4341" s="10">
        <f>I4341*J4341*(1-K4341)</f>
        <v/>
      </c>
      <c r="M4341" s="10" t="n">
        <v>144</v>
      </c>
      <c r="N4341" s="10">
        <f>L4341-M4341</f>
        <v/>
      </c>
    </row>
    <row r="4342">
      <c r="A4342" s="7" t="inlineStr">
        <is>
          <t>ORD-03147</t>
        </is>
      </c>
      <c r="B4342" s="8" t="n">
        <v>45801</v>
      </c>
      <c r="C4342" s="9" t="n">
        <v>45778</v>
      </c>
      <c r="D4342" s="7" t="n">
        <v>2025</v>
      </c>
      <c r="E4342" s="7" t="inlineStr">
        <is>
          <t>West</t>
        </is>
      </c>
      <c r="F4342" s="7" t="inlineStr">
        <is>
          <t>Technology</t>
        </is>
      </c>
      <c r="G4342" s="7" t="inlineStr">
        <is>
          <t>Smartphone</t>
        </is>
      </c>
      <c r="H4342" s="7" t="inlineStr">
        <is>
          <t>Home Office</t>
        </is>
      </c>
      <c r="I4342" s="7" t="n">
        <v>1</v>
      </c>
      <c r="J4342" s="10" t="n">
        <v>612.78</v>
      </c>
      <c r="K4342" s="11" t="n">
        <v>0.1</v>
      </c>
      <c r="L4342" s="10">
        <f>I4342*J4342*(1-K4342)</f>
        <v/>
      </c>
      <c r="M4342" s="10" t="n">
        <v>450</v>
      </c>
      <c r="N4342" s="10">
        <f>L4342-M4342</f>
        <v/>
      </c>
    </row>
    <row r="4343">
      <c r="A4343" s="7" t="inlineStr">
        <is>
          <t>ORD-00331</t>
        </is>
      </c>
      <c r="B4343" s="8" t="n">
        <v>45801</v>
      </c>
      <c r="C4343" s="9" t="n">
        <v>45778</v>
      </c>
      <c r="D4343" s="7" t="n">
        <v>2025</v>
      </c>
      <c r="E4343" s="7" t="inlineStr">
        <is>
          <t>East</t>
        </is>
      </c>
      <c r="F4343" s="7" t="inlineStr">
        <is>
          <t>Technology</t>
        </is>
      </c>
      <c r="G4343" s="7" t="inlineStr">
        <is>
          <t>Smartphone</t>
        </is>
      </c>
      <c r="H4343" s="7" t="inlineStr">
        <is>
          <t>Consumer</t>
        </is>
      </c>
      <c r="I4343" s="7" t="n">
        <v>3</v>
      </c>
      <c r="J4343" s="10" t="n">
        <v>600.5700000000001</v>
      </c>
      <c r="K4343" s="11" t="n">
        <v>0</v>
      </c>
      <c r="L4343" s="10">
        <f>I4343*J4343*(1-K4343)</f>
        <v/>
      </c>
      <c r="M4343" s="10" t="n">
        <v>1350</v>
      </c>
      <c r="N4343" s="10">
        <f>L4343-M4343</f>
        <v/>
      </c>
    </row>
    <row r="4344">
      <c r="A4344" s="7" t="inlineStr">
        <is>
          <t>ORD-02830</t>
        </is>
      </c>
      <c r="B4344" s="8" t="n">
        <v>45802</v>
      </c>
      <c r="C4344" s="9" t="n">
        <v>45778</v>
      </c>
      <c r="D4344" s="7" t="n">
        <v>2025</v>
      </c>
      <c r="E4344" s="7" t="inlineStr">
        <is>
          <t>North</t>
        </is>
      </c>
      <c r="F4344" s="7" t="inlineStr">
        <is>
          <t>Office Supplies</t>
        </is>
      </c>
      <c r="G4344" s="7" t="inlineStr">
        <is>
          <t>Printer Ink</t>
        </is>
      </c>
      <c r="H4344" s="7" t="inlineStr">
        <is>
          <t>Home Office</t>
        </is>
      </c>
      <c r="I4344" s="7" t="n">
        <v>13</v>
      </c>
      <c r="J4344" s="10" t="n">
        <v>59.16</v>
      </c>
      <c r="K4344" s="11" t="n">
        <v>0.2</v>
      </c>
      <c r="L4344" s="10">
        <f>I4344*J4344*(1-K4344)</f>
        <v/>
      </c>
      <c r="M4344" s="10" t="n">
        <v>468</v>
      </c>
      <c r="N4344" s="10">
        <f>L4344-M4344</f>
        <v/>
      </c>
    </row>
    <row r="4345">
      <c r="A4345" s="7" t="inlineStr">
        <is>
          <t>ORD-01507</t>
        </is>
      </c>
      <c r="B4345" s="8" t="n">
        <v>45803</v>
      </c>
      <c r="C4345" s="9" t="n">
        <v>45778</v>
      </c>
      <c r="D4345" s="7" t="n">
        <v>2025</v>
      </c>
      <c r="E4345" s="7" t="inlineStr">
        <is>
          <t>North</t>
        </is>
      </c>
      <c r="F4345" s="7" t="inlineStr">
        <is>
          <t>Office Supplies</t>
        </is>
      </c>
      <c r="G4345" s="7" t="inlineStr">
        <is>
          <t>Binder</t>
        </is>
      </c>
      <c r="H4345" s="7" t="inlineStr">
        <is>
          <t>Consumer</t>
        </is>
      </c>
      <c r="I4345" s="7" t="n">
        <v>7</v>
      </c>
      <c r="J4345" s="10" t="n">
        <v>7.94</v>
      </c>
      <c r="K4345" s="11" t="n">
        <v>0</v>
      </c>
      <c r="L4345" s="10">
        <f>I4345*J4345*(1-K4345)</f>
        <v/>
      </c>
      <c r="M4345" s="10" t="n">
        <v>22.4</v>
      </c>
      <c r="N4345" s="10">
        <f>L4345-M4345</f>
        <v/>
      </c>
    </row>
    <row r="4346">
      <c r="A4346" s="7" t="inlineStr">
        <is>
          <t>ORD-00501</t>
        </is>
      </c>
      <c r="B4346" s="8" t="n">
        <v>45803</v>
      </c>
      <c r="C4346" s="9" t="n">
        <v>45778</v>
      </c>
      <c r="D4346" s="7" t="n">
        <v>2025</v>
      </c>
      <c r="E4346" s="7" t="inlineStr">
        <is>
          <t>North</t>
        </is>
      </c>
      <c r="F4346" s="7" t="inlineStr">
        <is>
          <t>Furniture</t>
        </is>
      </c>
      <c r="G4346" s="7" t="inlineStr">
        <is>
          <t>Desk</t>
        </is>
      </c>
      <c r="H4346" s="7" t="inlineStr">
        <is>
          <t>Corporate</t>
        </is>
      </c>
      <c r="I4346" s="7" t="n">
        <v>3</v>
      </c>
      <c r="J4346" s="10" t="n">
        <v>451.25</v>
      </c>
      <c r="K4346" s="11" t="n">
        <v>0.1</v>
      </c>
      <c r="L4346" s="10">
        <f>I4346*J4346*(1-K4346)</f>
        <v/>
      </c>
      <c r="M4346" s="10" t="n">
        <v>1147.5</v>
      </c>
      <c r="N4346" s="10">
        <f>L4346-M4346</f>
        <v/>
      </c>
    </row>
    <row r="4347">
      <c r="A4347" s="7" t="inlineStr">
        <is>
          <t>ORD-01694</t>
        </is>
      </c>
      <c r="B4347" s="8" t="n">
        <v>45803</v>
      </c>
      <c r="C4347" s="9" t="n">
        <v>45778</v>
      </c>
      <c r="D4347" s="7" t="n">
        <v>2025</v>
      </c>
      <c r="E4347" s="7" t="inlineStr">
        <is>
          <t>West</t>
        </is>
      </c>
      <c r="F4347" s="7" t="inlineStr">
        <is>
          <t>Office Supplies</t>
        </is>
      </c>
      <c r="G4347" s="7" t="inlineStr">
        <is>
          <t>Paper</t>
        </is>
      </c>
      <c r="H4347" s="7" t="inlineStr">
        <is>
          <t>Consumer</t>
        </is>
      </c>
      <c r="I4347" s="7" t="n">
        <v>13</v>
      </c>
      <c r="J4347" s="10" t="n">
        <v>23.93</v>
      </c>
      <c r="K4347" s="11" t="n">
        <v>0</v>
      </c>
      <c r="L4347" s="10">
        <f>I4347*J4347*(1-K4347)</f>
        <v/>
      </c>
      <c r="M4347" s="10" t="n">
        <v>162.5</v>
      </c>
      <c r="N4347" s="10">
        <f>L4347-M4347</f>
        <v/>
      </c>
    </row>
    <row r="4348">
      <c r="A4348" s="7" t="inlineStr">
        <is>
          <t>ORD-04684</t>
        </is>
      </c>
      <c r="B4348" s="8" t="n">
        <v>45803</v>
      </c>
      <c r="C4348" s="9" t="n">
        <v>45778</v>
      </c>
      <c r="D4348" s="7" t="n">
        <v>2025</v>
      </c>
      <c r="E4348" s="7" t="inlineStr">
        <is>
          <t>North</t>
        </is>
      </c>
      <c r="F4348" s="7" t="inlineStr">
        <is>
          <t>Technology</t>
        </is>
      </c>
      <c r="G4348" s="7" t="inlineStr">
        <is>
          <t>Monitor</t>
        </is>
      </c>
      <c r="H4348" s="7" t="inlineStr">
        <is>
          <t>Corporate</t>
        </is>
      </c>
      <c r="I4348" s="7" t="n">
        <v>3</v>
      </c>
      <c r="J4348" s="10" t="n">
        <v>251.95</v>
      </c>
      <c r="K4348" s="11" t="n">
        <v>0</v>
      </c>
      <c r="L4348" s="10">
        <f>I4348*J4348*(1-K4348)</f>
        <v/>
      </c>
      <c r="M4348" s="10" t="n">
        <v>540</v>
      </c>
      <c r="N4348" s="10">
        <f>L4348-M4348</f>
        <v/>
      </c>
    </row>
    <row r="4349">
      <c r="A4349" s="7" t="inlineStr">
        <is>
          <t>ORD-05786</t>
        </is>
      </c>
      <c r="B4349" s="8" t="n">
        <v>45804</v>
      </c>
      <c r="C4349" s="9" t="n">
        <v>45778</v>
      </c>
      <c r="D4349" s="7" t="n">
        <v>2025</v>
      </c>
      <c r="E4349" s="7" t="inlineStr">
        <is>
          <t>West</t>
        </is>
      </c>
      <c r="F4349" s="7" t="inlineStr">
        <is>
          <t>Office Supplies</t>
        </is>
      </c>
      <c r="G4349" s="7" t="inlineStr">
        <is>
          <t>Binder</t>
        </is>
      </c>
      <c r="H4349" s="7" t="inlineStr">
        <is>
          <t>Consumer</t>
        </is>
      </c>
      <c r="I4349" s="7" t="n">
        <v>5</v>
      </c>
      <c r="J4349" s="10" t="n">
        <v>7.69</v>
      </c>
      <c r="K4349" s="11" t="n">
        <v>0.1</v>
      </c>
      <c r="L4349" s="10">
        <f>I4349*J4349*(1-K4349)</f>
        <v/>
      </c>
      <c r="M4349" s="10" t="n">
        <v>16</v>
      </c>
      <c r="N4349" s="10">
        <f>L4349-M4349</f>
        <v/>
      </c>
    </row>
    <row r="4350">
      <c r="A4350" s="7" t="inlineStr">
        <is>
          <t>ORD-01172</t>
        </is>
      </c>
      <c r="B4350" s="8" t="n">
        <v>45804</v>
      </c>
      <c r="C4350" s="9" t="n">
        <v>45778</v>
      </c>
      <c r="D4350" s="7" t="n">
        <v>2025</v>
      </c>
      <c r="E4350" s="7" t="inlineStr">
        <is>
          <t>East</t>
        </is>
      </c>
      <c r="F4350" s="7" t="inlineStr">
        <is>
          <t>Office Supplies</t>
        </is>
      </c>
      <c r="G4350" s="7" t="inlineStr">
        <is>
          <t>Binder</t>
        </is>
      </c>
      <c r="H4350" s="7" t="inlineStr">
        <is>
          <t>Consumer</t>
        </is>
      </c>
      <c r="I4350" s="7" t="n">
        <v>15</v>
      </c>
      <c r="J4350" s="10" t="n">
        <v>8.23</v>
      </c>
      <c r="K4350" s="11" t="n">
        <v>0</v>
      </c>
      <c r="L4350" s="10">
        <f>I4350*J4350*(1-K4350)</f>
        <v/>
      </c>
      <c r="M4350" s="10" t="n">
        <v>48</v>
      </c>
      <c r="N4350" s="10">
        <f>L4350-M4350</f>
        <v/>
      </c>
    </row>
    <row r="4351">
      <c r="A4351" s="7" t="inlineStr">
        <is>
          <t>ORD-01825</t>
        </is>
      </c>
      <c r="B4351" s="8" t="n">
        <v>45804</v>
      </c>
      <c r="C4351" s="9" t="n">
        <v>45778</v>
      </c>
      <c r="D4351" s="7" t="n">
        <v>2025</v>
      </c>
      <c r="E4351" s="7" t="inlineStr">
        <is>
          <t>North</t>
        </is>
      </c>
      <c r="F4351" s="7" t="inlineStr">
        <is>
          <t>Furniture</t>
        </is>
      </c>
      <c r="G4351" s="7" t="inlineStr">
        <is>
          <t>Office Chair</t>
        </is>
      </c>
      <c r="H4351" s="7" t="inlineStr">
        <is>
          <t>Consumer</t>
        </is>
      </c>
      <c r="I4351" s="7" t="n">
        <v>2</v>
      </c>
      <c r="J4351" s="10" t="n">
        <v>213.87</v>
      </c>
      <c r="K4351" s="11" t="n">
        <v>0.3</v>
      </c>
      <c r="L4351" s="10">
        <f>I4351*J4351*(1-K4351)</f>
        <v/>
      </c>
      <c r="M4351" s="10" t="n">
        <v>360.8</v>
      </c>
      <c r="N4351" s="10">
        <f>L4351-M4351</f>
        <v/>
      </c>
    </row>
    <row r="4352">
      <c r="A4352" s="7" t="inlineStr">
        <is>
          <t>ORD-03317</t>
        </is>
      </c>
      <c r="B4352" s="8" t="n">
        <v>45804</v>
      </c>
      <c r="C4352" s="9" t="n">
        <v>45778</v>
      </c>
      <c r="D4352" s="7" t="n">
        <v>2025</v>
      </c>
      <c r="E4352" s="7" t="inlineStr">
        <is>
          <t>North</t>
        </is>
      </c>
      <c r="F4352" s="7" t="inlineStr">
        <is>
          <t>Furniture</t>
        </is>
      </c>
      <c r="G4352" s="7" t="inlineStr">
        <is>
          <t>Desk</t>
        </is>
      </c>
      <c r="H4352" s="7" t="inlineStr">
        <is>
          <t>Corporate</t>
        </is>
      </c>
      <c r="I4352" s="7" t="n">
        <v>4</v>
      </c>
      <c r="J4352" s="10" t="n">
        <v>466.16</v>
      </c>
      <c r="K4352" s="11" t="n">
        <v>0</v>
      </c>
      <c r="L4352" s="10">
        <f>I4352*J4352*(1-K4352)</f>
        <v/>
      </c>
      <c r="M4352" s="10" t="n">
        <v>1530</v>
      </c>
      <c r="N4352" s="10">
        <f>L4352-M4352</f>
        <v/>
      </c>
    </row>
    <row r="4353">
      <c r="A4353" s="7" t="inlineStr">
        <is>
          <t>ORD-03681</t>
        </is>
      </c>
      <c r="B4353" s="8" t="n">
        <v>45804</v>
      </c>
      <c r="C4353" s="9" t="n">
        <v>45778</v>
      </c>
      <c r="D4353" s="7" t="n">
        <v>2025</v>
      </c>
      <c r="E4353" s="7" t="inlineStr">
        <is>
          <t>East</t>
        </is>
      </c>
      <c r="F4353" s="7" t="inlineStr">
        <is>
          <t>Furniture</t>
        </is>
      </c>
      <c r="G4353" s="7" t="inlineStr">
        <is>
          <t>Office Chair</t>
        </is>
      </c>
      <c r="H4353" s="7" t="inlineStr">
        <is>
          <t>Corporate</t>
        </is>
      </c>
      <c r="I4353" s="7" t="n">
        <v>3</v>
      </c>
      <c r="J4353" s="10" t="n">
        <v>228.27</v>
      </c>
      <c r="K4353" s="11" t="n">
        <v>0</v>
      </c>
      <c r="L4353" s="10">
        <f>I4353*J4353*(1-K4353)</f>
        <v/>
      </c>
      <c r="M4353" s="10" t="n">
        <v>541.2</v>
      </c>
      <c r="N4353" s="10">
        <f>L4353-M4353</f>
        <v/>
      </c>
    </row>
    <row r="4354">
      <c r="A4354" s="7" t="inlineStr">
        <is>
          <t>ORD-00641</t>
        </is>
      </c>
      <c r="B4354" s="8" t="n">
        <v>45805</v>
      </c>
      <c r="C4354" s="9" t="n">
        <v>45778</v>
      </c>
      <c r="D4354" s="7" t="n">
        <v>2025</v>
      </c>
      <c r="E4354" s="7" t="inlineStr">
        <is>
          <t>West</t>
        </is>
      </c>
      <c r="F4354" s="7" t="inlineStr">
        <is>
          <t>Technology</t>
        </is>
      </c>
      <c r="G4354" s="7" t="inlineStr">
        <is>
          <t>Headphones</t>
        </is>
      </c>
      <c r="H4354" s="7" t="inlineStr">
        <is>
          <t>Corporate</t>
        </is>
      </c>
      <c r="I4354" s="7" t="n">
        <v>2</v>
      </c>
      <c r="J4354" s="10" t="n">
        <v>118.79</v>
      </c>
      <c r="K4354" s="11" t="n">
        <v>0.05</v>
      </c>
      <c r="L4354" s="10">
        <f>I4354*J4354*(1-K4354)</f>
        <v/>
      </c>
      <c r="M4354" s="10" t="n">
        <v>144</v>
      </c>
      <c r="N4354" s="10">
        <f>L4354-M4354</f>
        <v/>
      </c>
    </row>
    <row r="4355">
      <c r="A4355" s="7" t="inlineStr">
        <is>
          <t>ORD-00216</t>
        </is>
      </c>
      <c r="B4355" s="8" t="n">
        <v>45805</v>
      </c>
      <c r="C4355" s="9" t="n">
        <v>45778</v>
      </c>
      <c r="D4355" s="7" t="n">
        <v>2025</v>
      </c>
      <c r="E4355" s="7" t="inlineStr">
        <is>
          <t>West</t>
        </is>
      </c>
      <c r="F4355" s="7" t="inlineStr">
        <is>
          <t>Office Supplies</t>
        </is>
      </c>
      <c r="G4355" s="7" t="inlineStr">
        <is>
          <t>Printer Ink</t>
        </is>
      </c>
      <c r="H4355" s="7" t="inlineStr">
        <is>
          <t>Consumer</t>
        </is>
      </c>
      <c r="I4355" s="7" t="n">
        <v>6</v>
      </c>
      <c r="J4355" s="10" t="n">
        <v>61.2</v>
      </c>
      <c r="K4355" s="11" t="n">
        <v>0</v>
      </c>
      <c r="L4355" s="10">
        <f>I4355*J4355*(1-K4355)</f>
        <v/>
      </c>
      <c r="M4355" s="10" t="n">
        <v>216</v>
      </c>
      <c r="N4355" s="10">
        <f>L4355-M4355</f>
        <v/>
      </c>
    </row>
    <row r="4356">
      <c r="A4356" s="7" t="inlineStr">
        <is>
          <t>ORD-02826</t>
        </is>
      </c>
      <c r="B4356" s="8" t="n">
        <v>45805</v>
      </c>
      <c r="C4356" s="9" t="n">
        <v>45778</v>
      </c>
      <c r="D4356" s="7" t="n">
        <v>2025</v>
      </c>
      <c r="E4356" s="7" t="inlineStr">
        <is>
          <t>North</t>
        </is>
      </c>
      <c r="F4356" s="7" t="inlineStr">
        <is>
          <t>Furniture</t>
        </is>
      </c>
      <c r="G4356" s="7" t="inlineStr">
        <is>
          <t>Office Chair</t>
        </is>
      </c>
      <c r="H4356" s="7" t="inlineStr">
        <is>
          <t>Corporate</t>
        </is>
      </c>
      <c r="I4356" s="7" t="n">
        <v>4</v>
      </c>
      <c r="J4356" s="10" t="n">
        <v>213.03</v>
      </c>
      <c r="K4356" s="11" t="n">
        <v>0</v>
      </c>
      <c r="L4356" s="10">
        <f>I4356*J4356*(1-K4356)</f>
        <v/>
      </c>
      <c r="M4356" s="10" t="n">
        <v>721.6</v>
      </c>
      <c r="N4356" s="10">
        <f>L4356-M4356</f>
        <v/>
      </c>
    </row>
    <row r="4357">
      <c r="A4357" s="7" t="inlineStr">
        <is>
          <t>ORD-01029</t>
        </is>
      </c>
      <c r="B4357" s="8" t="n">
        <v>45805</v>
      </c>
      <c r="C4357" s="9" t="n">
        <v>45778</v>
      </c>
      <c r="D4357" s="7" t="n">
        <v>2025</v>
      </c>
      <c r="E4357" s="7" t="inlineStr">
        <is>
          <t>South</t>
        </is>
      </c>
      <c r="F4357" s="7" t="inlineStr">
        <is>
          <t>Technology</t>
        </is>
      </c>
      <c r="G4357" s="7" t="inlineStr">
        <is>
          <t>Laptop</t>
        </is>
      </c>
      <c r="H4357" s="7" t="inlineStr">
        <is>
          <t>Consumer</t>
        </is>
      </c>
      <c r="I4357" s="7" t="n">
        <v>3</v>
      </c>
      <c r="J4357" s="10" t="n">
        <v>937.9299999999999</v>
      </c>
      <c r="K4357" s="11" t="n">
        <v>0.05</v>
      </c>
      <c r="L4357" s="10">
        <f>I4357*J4357*(1-K4357)</f>
        <v/>
      </c>
      <c r="M4357" s="10" t="n">
        <v>2106</v>
      </c>
      <c r="N4357" s="10">
        <f>L4357-M4357</f>
        <v/>
      </c>
    </row>
    <row r="4358">
      <c r="A4358" s="7" t="inlineStr">
        <is>
          <t>ORD-05444</t>
        </is>
      </c>
      <c r="B4358" s="8" t="n">
        <v>45805</v>
      </c>
      <c r="C4358" s="9" t="n">
        <v>45778</v>
      </c>
      <c r="D4358" s="7" t="n">
        <v>2025</v>
      </c>
      <c r="E4358" s="7" t="inlineStr">
        <is>
          <t>West</t>
        </is>
      </c>
      <c r="F4358" s="7" t="inlineStr">
        <is>
          <t>Technology</t>
        </is>
      </c>
      <c r="G4358" s="7" t="inlineStr">
        <is>
          <t>Keyboard</t>
        </is>
      </c>
      <c r="H4358" s="7" t="inlineStr">
        <is>
          <t>Corporate</t>
        </is>
      </c>
      <c r="I4358" s="7" t="n">
        <v>1</v>
      </c>
      <c r="J4358" s="10" t="n">
        <v>43.2</v>
      </c>
      <c r="K4358" s="11" t="n">
        <v>0</v>
      </c>
      <c r="L4358" s="10">
        <f>I4358*J4358*(1-K4358)</f>
        <v/>
      </c>
      <c r="M4358" s="10" t="n">
        <v>24.75</v>
      </c>
      <c r="N4358" s="10">
        <f>L4358-M4358</f>
        <v/>
      </c>
    </row>
    <row r="4359">
      <c r="A4359" s="7" t="inlineStr">
        <is>
          <t>ORD-02686</t>
        </is>
      </c>
      <c r="B4359" s="8" t="n">
        <v>45805</v>
      </c>
      <c r="C4359" s="9" t="n">
        <v>45778</v>
      </c>
      <c r="D4359" s="7" t="n">
        <v>2025</v>
      </c>
      <c r="E4359" s="7" t="inlineStr">
        <is>
          <t>West</t>
        </is>
      </c>
      <c r="F4359" s="7" t="inlineStr">
        <is>
          <t>Furniture</t>
        </is>
      </c>
      <c r="G4359" s="7" t="inlineStr">
        <is>
          <t>Desk</t>
        </is>
      </c>
      <c r="H4359" s="7" t="inlineStr">
        <is>
          <t>Home Office</t>
        </is>
      </c>
      <c r="I4359" s="7" t="n">
        <v>1</v>
      </c>
      <c r="J4359" s="10" t="n">
        <v>451.61</v>
      </c>
      <c r="K4359" s="11" t="n">
        <v>0</v>
      </c>
      <c r="L4359" s="10">
        <f>I4359*J4359*(1-K4359)</f>
        <v/>
      </c>
      <c r="M4359" s="10" t="n">
        <v>382.5</v>
      </c>
      <c r="N4359" s="10">
        <f>L4359-M4359</f>
        <v/>
      </c>
    </row>
    <row r="4360">
      <c r="A4360" s="7" t="inlineStr">
        <is>
          <t>ORD-00801</t>
        </is>
      </c>
      <c r="B4360" s="8" t="n">
        <v>45805</v>
      </c>
      <c r="C4360" s="9" t="n">
        <v>45778</v>
      </c>
      <c r="D4360" s="7" t="n">
        <v>2025</v>
      </c>
      <c r="E4360" s="7" t="inlineStr">
        <is>
          <t>East</t>
        </is>
      </c>
      <c r="F4360" s="7" t="inlineStr">
        <is>
          <t>Technology</t>
        </is>
      </c>
      <c r="G4360" s="7" t="inlineStr">
        <is>
          <t>Keyboard</t>
        </is>
      </c>
      <c r="H4360" s="7" t="inlineStr">
        <is>
          <t>Home Office</t>
        </is>
      </c>
      <c r="I4360" s="7" t="n">
        <v>3</v>
      </c>
      <c r="J4360" s="10" t="n">
        <v>44.95</v>
      </c>
      <c r="K4360" s="11" t="n">
        <v>0</v>
      </c>
      <c r="L4360" s="10">
        <f>I4360*J4360*(1-K4360)</f>
        <v/>
      </c>
      <c r="M4360" s="10" t="n">
        <v>74.25</v>
      </c>
      <c r="N4360" s="10">
        <f>L4360-M4360</f>
        <v/>
      </c>
    </row>
    <row r="4361">
      <c r="A4361" s="7" t="inlineStr">
        <is>
          <t>ORD-02793</t>
        </is>
      </c>
      <c r="B4361" s="8" t="n">
        <v>45806</v>
      </c>
      <c r="C4361" s="9" t="n">
        <v>45778</v>
      </c>
      <c r="D4361" s="7" t="n">
        <v>2025</v>
      </c>
      <c r="E4361" s="7" t="inlineStr">
        <is>
          <t>East</t>
        </is>
      </c>
      <c r="F4361" s="7" t="inlineStr">
        <is>
          <t>Office Supplies</t>
        </is>
      </c>
      <c r="G4361" s="7" t="inlineStr">
        <is>
          <t>Printer Ink</t>
        </is>
      </c>
      <c r="H4361" s="7" t="inlineStr">
        <is>
          <t>Home Office</t>
        </is>
      </c>
      <c r="I4361" s="7" t="n">
        <v>8</v>
      </c>
      <c r="J4361" s="10" t="n">
        <v>59.95</v>
      </c>
      <c r="K4361" s="11" t="n">
        <v>0.05</v>
      </c>
      <c r="L4361" s="10">
        <f>I4361*J4361*(1-K4361)</f>
        <v/>
      </c>
      <c r="M4361" s="10" t="n">
        <v>288</v>
      </c>
      <c r="N4361" s="10">
        <f>L4361-M4361</f>
        <v/>
      </c>
    </row>
    <row r="4362">
      <c r="A4362" s="7" t="inlineStr">
        <is>
          <t>ORD-03395</t>
        </is>
      </c>
      <c r="B4362" s="8" t="n">
        <v>45806</v>
      </c>
      <c r="C4362" s="9" t="n">
        <v>45778</v>
      </c>
      <c r="D4362" s="7" t="n">
        <v>2025</v>
      </c>
      <c r="E4362" s="7" t="inlineStr">
        <is>
          <t>South</t>
        </is>
      </c>
      <c r="F4362" s="7" t="inlineStr">
        <is>
          <t>Furniture</t>
        </is>
      </c>
      <c r="G4362" s="7" t="inlineStr">
        <is>
          <t>Bookcase</t>
        </is>
      </c>
      <c r="H4362" s="7" t="inlineStr">
        <is>
          <t>Consumer</t>
        </is>
      </c>
      <c r="I4362" s="7" t="n">
        <v>2</v>
      </c>
      <c r="J4362" s="10" t="n">
        <v>171.58</v>
      </c>
      <c r="K4362" s="11" t="n">
        <v>0.05</v>
      </c>
      <c r="L4362" s="10">
        <f>I4362*J4362*(1-K4362)</f>
        <v/>
      </c>
      <c r="M4362" s="10" t="n">
        <v>288</v>
      </c>
      <c r="N4362" s="10">
        <f>L4362-M4362</f>
        <v/>
      </c>
    </row>
    <row r="4363">
      <c r="A4363" s="7" t="inlineStr">
        <is>
          <t>ORD-05464</t>
        </is>
      </c>
      <c r="B4363" s="8" t="n">
        <v>45806</v>
      </c>
      <c r="C4363" s="9" t="n">
        <v>45778</v>
      </c>
      <c r="D4363" s="7" t="n">
        <v>2025</v>
      </c>
      <c r="E4363" s="7" t="inlineStr">
        <is>
          <t>West</t>
        </is>
      </c>
      <c r="F4363" s="7" t="inlineStr">
        <is>
          <t>Office Supplies</t>
        </is>
      </c>
      <c r="G4363" s="7" t="inlineStr">
        <is>
          <t>Pens</t>
        </is>
      </c>
      <c r="H4363" s="7" t="inlineStr">
        <is>
          <t>Consumer</t>
        </is>
      </c>
      <c r="I4363" s="7" t="n">
        <v>11</v>
      </c>
      <c r="J4363" s="10" t="n">
        <v>12.59</v>
      </c>
      <c r="K4363" s="11" t="n">
        <v>0</v>
      </c>
      <c r="L4363" s="10">
        <f>I4363*J4363*(1-K4363)</f>
        <v/>
      </c>
      <c r="M4363" s="10" t="n">
        <v>59.4</v>
      </c>
      <c r="N4363" s="10">
        <f>L4363-M4363</f>
        <v/>
      </c>
    </row>
    <row r="4364">
      <c r="A4364" s="7" t="inlineStr">
        <is>
          <t>ORD-04834</t>
        </is>
      </c>
      <c r="B4364" s="8" t="n">
        <v>45806</v>
      </c>
      <c r="C4364" s="9" t="n">
        <v>45778</v>
      </c>
      <c r="D4364" s="7" t="n">
        <v>2025</v>
      </c>
      <c r="E4364" s="7" t="inlineStr">
        <is>
          <t>South</t>
        </is>
      </c>
      <c r="F4364" s="7" t="inlineStr">
        <is>
          <t>Office Supplies</t>
        </is>
      </c>
      <c r="G4364" s="7" t="inlineStr">
        <is>
          <t>Paper</t>
        </is>
      </c>
      <c r="H4364" s="7" t="inlineStr">
        <is>
          <t>Home Office</t>
        </is>
      </c>
      <c r="I4364" s="7" t="n">
        <v>8</v>
      </c>
      <c r="J4364" s="10" t="n">
        <v>23.92</v>
      </c>
      <c r="K4364" s="11" t="n">
        <v>0.1</v>
      </c>
      <c r="L4364" s="10">
        <f>I4364*J4364*(1-K4364)</f>
        <v/>
      </c>
      <c r="M4364" s="10" t="n">
        <v>100</v>
      </c>
      <c r="N4364" s="10">
        <f>L4364-M4364</f>
        <v/>
      </c>
    </row>
    <row r="4365">
      <c r="A4365" s="7" t="inlineStr">
        <is>
          <t>ORD-01965</t>
        </is>
      </c>
      <c r="B4365" s="8" t="n">
        <v>45806</v>
      </c>
      <c r="C4365" s="9" t="n">
        <v>45778</v>
      </c>
      <c r="D4365" s="7" t="n">
        <v>2025</v>
      </c>
      <c r="E4365" s="7" t="inlineStr">
        <is>
          <t>West</t>
        </is>
      </c>
      <c r="F4365" s="7" t="inlineStr">
        <is>
          <t>Technology</t>
        </is>
      </c>
      <c r="G4365" s="7" t="inlineStr">
        <is>
          <t>Keyboard</t>
        </is>
      </c>
      <c r="H4365" s="7" t="inlineStr">
        <is>
          <t>Home Office</t>
        </is>
      </c>
      <c r="I4365" s="7" t="n">
        <v>3</v>
      </c>
      <c r="J4365" s="10" t="n">
        <v>46.14</v>
      </c>
      <c r="K4365" s="11" t="n">
        <v>0.1</v>
      </c>
      <c r="L4365" s="10">
        <f>I4365*J4365*(1-K4365)</f>
        <v/>
      </c>
      <c r="M4365" s="10" t="n">
        <v>74.25</v>
      </c>
      <c r="N4365" s="10">
        <f>L4365-M4365</f>
        <v/>
      </c>
    </row>
    <row r="4366">
      <c r="A4366" s="7" t="inlineStr">
        <is>
          <t>ORD-04328</t>
        </is>
      </c>
      <c r="B4366" s="8" t="n">
        <v>45807</v>
      </c>
      <c r="C4366" s="9" t="n">
        <v>45778</v>
      </c>
      <c r="D4366" s="7" t="n">
        <v>2025</v>
      </c>
      <c r="E4366" s="7" t="inlineStr">
        <is>
          <t>West</t>
        </is>
      </c>
      <c r="F4366" s="7" t="inlineStr">
        <is>
          <t>Office Supplies</t>
        </is>
      </c>
      <c r="G4366" s="7" t="inlineStr">
        <is>
          <t>Printer Ink</t>
        </is>
      </c>
      <c r="H4366" s="7" t="inlineStr">
        <is>
          <t>Corporate</t>
        </is>
      </c>
      <c r="I4366" s="7" t="n">
        <v>14</v>
      </c>
      <c r="J4366" s="10" t="n">
        <v>60.58</v>
      </c>
      <c r="K4366" s="11" t="n">
        <v>0.3</v>
      </c>
      <c r="L4366" s="10">
        <f>I4366*J4366*(1-K4366)</f>
        <v/>
      </c>
      <c r="M4366" s="10" t="n">
        <v>504</v>
      </c>
      <c r="N4366" s="10">
        <f>L4366-M4366</f>
        <v/>
      </c>
    </row>
    <row r="4367">
      <c r="A4367" s="7" t="inlineStr">
        <is>
          <t>ORD-02726</t>
        </is>
      </c>
      <c r="B4367" s="8" t="n">
        <v>45807</v>
      </c>
      <c r="C4367" s="9" t="n">
        <v>45778</v>
      </c>
      <c r="D4367" s="7" t="n">
        <v>2025</v>
      </c>
      <c r="E4367" s="7" t="inlineStr">
        <is>
          <t>North</t>
        </is>
      </c>
      <c r="F4367" s="7" t="inlineStr">
        <is>
          <t>Office Supplies</t>
        </is>
      </c>
      <c r="G4367" s="7" t="inlineStr">
        <is>
          <t>Binder</t>
        </is>
      </c>
      <c r="H4367" s="7" t="inlineStr">
        <is>
          <t>Corporate</t>
        </is>
      </c>
      <c r="I4367" s="7" t="n">
        <v>4</v>
      </c>
      <c r="J4367" s="10" t="n">
        <v>7.92</v>
      </c>
      <c r="K4367" s="11" t="n">
        <v>0.05</v>
      </c>
      <c r="L4367" s="10">
        <f>I4367*J4367*(1-K4367)</f>
        <v/>
      </c>
      <c r="M4367" s="10" t="n">
        <v>12.8</v>
      </c>
      <c r="N4367" s="10">
        <f>L4367-M4367</f>
        <v/>
      </c>
    </row>
    <row r="4368">
      <c r="A4368" s="7" t="inlineStr">
        <is>
          <t>ORD-04413</t>
        </is>
      </c>
      <c r="B4368" s="8" t="n">
        <v>45808</v>
      </c>
      <c r="C4368" s="9" t="n">
        <v>45778</v>
      </c>
      <c r="D4368" s="7" t="n">
        <v>2025</v>
      </c>
      <c r="E4368" s="7" t="inlineStr">
        <is>
          <t>West</t>
        </is>
      </c>
      <c r="F4368" s="7" t="inlineStr">
        <is>
          <t>Office Supplies</t>
        </is>
      </c>
      <c r="G4368" s="7" t="inlineStr">
        <is>
          <t>Pens</t>
        </is>
      </c>
      <c r="H4368" s="7" t="inlineStr">
        <is>
          <t>Corporate</t>
        </is>
      </c>
      <c r="I4368" s="7" t="n">
        <v>4</v>
      </c>
      <c r="J4368" s="10" t="n">
        <v>12.31</v>
      </c>
      <c r="K4368" s="11" t="n">
        <v>0</v>
      </c>
      <c r="L4368" s="10">
        <f>I4368*J4368*(1-K4368)</f>
        <v/>
      </c>
      <c r="M4368" s="10" t="n">
        <v>21.6</v>
      </c>
      <c r="N4368" s="10">
        <f>L4368-M4368</f>
        <v/>
      </c>
    </row>
    <row r="4369">
      <c r="A4369" s="7" t="inlineStr">
        <is>
          <t>ORD-00861</t>
        </is>
      </c>
      <c r="B4369" s="8" t="n">
        <v>45808</v>
      </c>
      <c r="C4369" s="9" t="n">
        <v>45778</v>
      </c>
      <c r="D4369" s="7" t="n">
        <v>2025</v>
      </c>
      <c r="E4369" s="7" t="inlineStr">
        <is>
          <t>West</t>
        </is>
      </c>
      <c r="F4369" s="7" t="inlineStr">
        <is>
          <t>Office Supplies</t>
        </is>
      </c>
      <c r="G4369" s="7" t="inlineStr">
        <is>
          <t>Binder</t>
        </is>
      </c>
      <c r="H4369" s="7" t="inlineStr">
        <is>
          <t>Corporate</t>
        </is>
      </c>
      <c r="I4369" s="7" t="n">
        <v>10</v>
      </c>
      <c r="J4369" s="10" t="n">
        <v>7.69</v>
      </c>
      <c r="K4369" s="11" t="n">
        <v>0.1</v>
      </c>
      <c r="L4369" s="10">
        <f>I4369*J4369*(1-K4369)</f>
        <v/>
      </c>
      <c r="M4369" s="10" t="n">
        <v>32</v>
      </c>
      <c r="N4369" s="10">
        <f>L4369-M4369</f>
        <v/>
      </c>
    </row>
    <row r="4370">
      <c r="A4370" s="7" t="inlineStr">
        <is>
          <t>ORD-00983</t>
        </is>
      </c>
      <c r="B4370" s="8" t="n">
        <v>45808</v>
      </c>
      <c r="C4370" s="9" t="n">
        <v>45778</v>
      </c>
      <c r="D4370" s="7" t="n">
        <v>2025</v>
      </c>
      <c r="E4370" s="7" t="inlineStr">
        <is>
          <t>West</t>
        </is>
      </c>
      <c r="F4370" s="7" t="inlineStr">
        <is>
          <t>Technology</t>
        </is>
      </c>
      <c r="G4370" s="7" t="inlineStr">
        <is>
          <t>Laptop</t>
        </is>
      </c>
      <c r="H4370" s="7" t="inlineStr">
        <is>
          <t>Corporate</t>
        </is>
      </c>
      <c r="I4370" s="7" t="n">
        <v>2</v>
      </c>
      <c r="J4370" s="10" t="n">
        <v>933.12</v>
      </c>
      <c r="K4370" s="11" t="n">
        <v>0.1</v>
      </c>
      <c r="L4370" s="10">
        <f>I4370*J4370*(1-K4370)</f>
        <v/>
      </c>
      <c r="M4370" s="10" t="n">
        <v>1404</v>
      </c>
      <c r="N4370" s="10">
        <f>L4370-M4370</f>
        <v/>
      </c>
    </row>
    <row r="4371">
      <c r="A4371" s="7" t="inlineStr">
        <is>
          <t>ORD-04952</t>
        </is>
      </c>
      <c r="B4371" s="8" t="n">
        <v>45808</v>
      </c>
      <c r="C4371" s="9" t="n">
        <v>45778</v>
      </c>
      <c r="D4371" s="7" t="n">
        <v>2025</v>
      </c>
      <c r="E4371" s="7" t="inlineStr">
        <is>
          <t>North</t>
        </is>
      </c>
      <c r="F4371" s="7" t="inlineStr">
        <is>
          <t>Office Supplies</t>
        </is>
      </c>
      <c r="G4371" s="7" t="inlineStr">
        <is>
          <t>Pens</t>
        </is>
      </c>
      <c r="H4371" s="7" t="inlineStr">
        <is>
          <t>Home Office</t>
        </is>
      </c>
      <c r="I4371" s="7" t="n">
        <v>9</v>
      </c>
      <c r="J4371" s="10" t="n">
        <v>12.06</v>
      </c>
      <c r="K4371" s="11" t="n">
        <v>0</v>
      </c>
      <c r="L4371" s="10">
        <f>I4371*J4371*(1-K4371)</f>
        <v/>
      </c>
      <c r="M4371" s="10" t="n">
        <v>48.6</v>
      </c>
      <c r="N4371" s="10">
        <f>L4371-M4371</f>
        <v/>
      </c>
    </row>
    <row r="4372">
      <c r="A4372" s="7" t="inlineStr">
        <is>
          <t>ORD-04360</t>
        </is>
      </c>
      <c r="B4372" s="8" t="n">
        <v>45808</v>
      </c>
      <c r="C4372" s="9" t="n">
        <v>45778</v>
      </c>
      <c r="D4372" s="7" t="n">
        <v>2025</v>
      </c>
      <c r="E4372" s="7" t="inlineStr">
        <is>
          <t>South</t>
        </is>
      </c>
      <c r="F4372" s="7" t="inlineStr">
        <is>
          <t>Office Supplies</t>
        </is>
      </c>
      <c r="G4372" s="7" t="inlineStr">
        <is>
          <t>Binder</t>
        </is>
      </c>
      <c r="H4372" s="7" t="inlineStr">
        <is>
          <t>Home Office</t>
        </is>
      </c>
      <c r="I4372" s="7" t="n">
        <v>11</v>
      </c>
      <c r="J4372" s="10" t="n">
        <v>8.08</v>
      </c>
      <c r="K4372" s="11" t="n">
        <v>0</v>
      </c>
      <c r="L4372" s="10">
        <f>I4372*J4372*(1-K4372)</f>
        <v/>
      </c>
      <c r="M4372" s="10" t="n">
        <v>35.2</v>
      </c>
      <c r="N4372" s="10">
        <f>L4372-M4372</f>
        <v/>
      </c>
    </row>
    <row r="4373">
      <c r="A4373" s="7" t="inlineStr">
        <is>
          <t>ORD-03022</t>
        </is>
      </c>
      <c r="B4373" s="8" t="n">
        <v>45808</v>
      </c>
      <c r="C4373" s="9" t="n">
        <v>45778</v>
      </c>
      <c r="D4373" s="7" t="n">
        <v>2025</v>
      </c>
      <c r="E4373" s="7" t="inlineStr">
        <is>
          <t>North</t>
        </is>
      </c>
      <c r="F4373" s="7" t="inlineStr">
        <is>
          <t>Office Supplies</t>
        </is>
      </c>
      <c r="G4373" s="7" t="inlineStr">
        <is>
          <t>Stapler</t>
        </is>
      </c>
      <c r="H4373" s="7" t="inlineStr">
        <is>
          <t>Home Office</t>
        </is>
      </c>
      <c r="I4373" s="7" t="n">
        <v>13</v>
      </c>
      <c r="J4373" s="10" t="n">
        <v>15.18</v>
      </c>
      <c r="K4373" s="11" t="n">
        <v>0</v>
      </c>
      <c r="L4373" s="10">
        <f>I4373*J4373*(1-K4373)</f>
        <v/>
      </c>
      <c r="M4373" s="10" t="n">
        <v>97.5</v>
      </c>
      <c r="N4373" s="10">
        <f>L4373-M4373</f>
        <v/>
      </c>
    </row>
    <row r="4374">
      <c r="A4374" s="7" t="inlineStr">
        <is>
          <t>ORD-00697</t>
        </is>
      </c>
      <c r="B4374" s="8" t="n">
        <v>45808</v>
      </c>
      <c r="C4374" s="9" t="n">
        <v>45778</v>
      </c>
      <c r="D4374" s="7" t="n">
        <v>2025</v>
      </c>
      <c r="E4374" s="7" t="inlineStr">
        <is>
          <t>East</t>
        </is>
      </c>
      <c r="F4374" s="7" t="inlineStr">
        <is>
          <t>Furniture</t>
        </is>
      </c>
      <c r="G4374" s="7" t="inlineStr">
        <is>
          <t>Office Chair</t>
        </is>
      </c>
      <c r="H4374" s="7" t="inlineStr">
        <is>
          <t>Corporate</t>
        </is>
      </c>
      <c r="I4374" s="7" t="n">
        <v>2</v>
      </c>
      <c r="J4374" s="10" t="n">
        <v>213.01</v>
      </c>
      <c r="K4374" s="11" t="n">
        <v>0</v>
      </c>
      <c r="L4374" s="10">
        <f>I4374*J4374*(1-K4374)</f>
        <v/>
      </c>
      <c r="M4374" s="10" t="n">
        <v>360.8</v>
      </c>
      <c r="N4374" s="10">
        <f>L4374-M4374</f>
        <v/>
      </c>
    </row>
    <row r="4375">
      <c r="A4375" s="7" t="inlineStr">
        <is>
          <t>ORD-05332</t>
        </is>
      </c>
      <c r="B4375" s="8" t="n">
        <v>45809</v>
      </c>
      <c r="C4375" s="9" t="n">
        <v>45809</v>
      </c>
      <c r="D4375" s="7" t="n">
        <v>2025</v>
      </c>
      <c r="E4375" s="7" t="inlineStr">
        <is>
          <t>North</t>
        </is>
      </c>
      <c r="F4375" s="7" t="inlineStr">
        <is>
          <t>Office Supplies</t>
        </is>
      </c>
      <c r="G4375" s="7" t="inlineStr">
        <is>
          <t>Printer Ink</t>
        </is>
      </c>
      <c r="H4375" s="7" t="inlineStr">
        <is>
          <t>Consumer</t>
        </is>
      </c>
      <c r="I4375" s="7" t="n">
        <v>8</v>
      </c>
      <c r="J4375" s="10" t="n">
        <v>61.12</v>
      </c>
      <c r="K4375" s="11" t="n">
        <v>0.05</v>
      </c>
      <c r="L4375" s="10">
        <f>I4375*J4375*(1-K4375)</f>
        <v/>
      </c>
      <c r="M4375" s="10" t="n">
        <v>288</v>
      </c>
      <c r="N4375" s="10">
        <f>L4375-M4375</f>
        <v/>
      </c>
    </row>
    <row r="4376">
      <c r="A4376" s="7" t="inlineStr">
        <is>
          <t>ORD-00518</t>
        </is>
      </c>
      <c r="B4376" s="8" t="n">
        <v>45809</v>
      </c>
      <c r="C4376" s="9" t="n">
        <v>45809</v>
      </c>
      <c r="D4376" s="7" t="n">
        <v>2025</v>
      </c>
      <c r="E4376" s="7" t="inlineStr">
        <is>
          <t>South</t>
        </is>
      </c>
      <c r="F4376" s="7" t="inlineStr">
        <is>
          <t>Office Supplies</t>
        </is>
      </c>
      <c r="G4376" s="7" t="inlineStr">
        <is>
          <t>Stapler</t>
        </is>
      </c>
      <c r="H4376" s="7" t="inlineStr">
        <is>
          <t>Consumer</t>
        </is>
      </c>
      <c r="I4376" s="7" t="n">
        <v>4</v>
      </c>
      <c r="J4376" s="10" t="n">
        <v>15.1</v>
      </c>
      <c r="K4376" s="11" t="n">
        <v>0.1</v>
      </c>
      <c r="L4376" s="10">
        <f>I4376*J4376*(1-K4376)</f>
        <v/>
      </c>
      <c r="M4376" s="10" t="n">
        <v>30</v>
      </c>
      <c r="N4376" s="10">
        <f>L4376-M4376</f>
        <v/>
      </c>
    </row>
    <row r="4377">
      <c r="A4377" s="7" t="inlineStr">
        <is>
          <t>ORD-01319</t>
        </is>
      </c>
      <c r="B4377" s="8" t="n">
        <v>45809</v>
      </c>
      <c r="C4377" s="9" t="n">
        <v>45809</v>
      </c>
      <c r="D4377" s="7" t="n">
        <v>2025</v>
      </c>
      <c r="E4377" s="7" t="inlineStr">
        <is>
          <t>East</t>
        </is>
      </c>
      <c r="F4377" s="7" t="inlineStr">
        <is>
          <t>Office Supplies</t>
        </is>
      </c>
      <c r="G4377" s="7" t="inlineStr">
        <is>
          <t>Binder</t>
        </is>
      </c>
      <c r="H4377" s="7" t="inlineStr">
        <is>
          <t>Corporate</t>
        </is>
      </c>
      <c r="I4377" s="7" t="n">
        <v>15</v>
      </c>
      <c r="J4377" s="10" t="n">
        <v>7.93</v>
      </c>
      <c r="K4377" s="11" t="n">
        <v>0</v>
      </c>
      <c r="L4377" s="10">
        <f>I4377*J4377*(1-K4377)</f>
        <v/>
      </c>
      <c r="M4377" s="10" t="n">
        <v>48</v>
      </c>
      <c r="N4377" s="10">
        <f>L4377-M4377</f>
        <v/>
      </c>
    </row>
    <row r="4378">
      <c r="A4378" s="7" t="inlineStr">
        <is>
          <t>ORD-01813</t>
        </is>
      </c>
      <c r="B4378" s="8" t="n">
        <v>45809</v>
      </c>
      <c r="C4378" s="9" t="n">
        <v>45809</v>
      </c>
      <c r="D4378" s="7" t="n">
        <v>2025</v>
      </c>
      <c r="E4378" s="7" t="inlineStr">
        <is>
          <t>South</t>
        </is>
      </c>
      <c r="F4378" s="7" t="inlineStr">
        <is>
          <t>Office Supplies</t>
        </is>
      </c>
      <c r="G4378" s="7" t="inlineStr">
        <is>
          <t>Binder</t>
        </is>
      </c>
      <c r="H4378" s="7" t="inlineStr">
        <is>
          <t>Corporate</t>
        </is>
      </c>
      <c r="I4378" s="7" t="n">
        <v>3</v>
      </c>
      <c r="J4378" s="10" t="n">
        <v>7.82</v>
      </c>
      <c r="K4378" s="11" t="n">
        <v>0</v>
      </c>
      <c r="L4378" s="10">
        <f>I4378*J4378*(1-K4378)</f>
        <v/>
      </c>
      <c r="M4378" s="10" t="n">
        <v>9.6</v>
      </c>
      <c r="N4378" s="10">
        <f>L4378-M4378</f>
        <v/>
      </c>
    </row>
    <row r="4379">
      <c r="A4379" s="7" t="inlineStr">
        <is>
          <t>ORD-01747</t>
        </is>
      </c>
      <c r="B4379" s="8" t="n">
        <v>45810</v>
      </c>
      <c r="C4379" s="9" t="n">
        <v>45809</v>
      </c>
      <c r="D4379" s="7" t="n">
        <v>2025</v>
      </c>
      <c r="E4379" s="7" t="inlineStr">
        <is>
          <t>East</t>
        </is>
      </c>
      <c r="F4379" s="7" t="inlineStr">
        <is>
          <t>Office Supplies</t>
        </is>
      </c>
      <c r="G4379" s="7" t="inlineStr">
        <is>
          <t>Binder</t>
        </is>
      </c>
      <c r="H4379" s="7" t="inlineStr">
        <is>
          <t>Home Office</t>
        </is>
      </c>
      <c r="I4379" s="7" t="n">
        <v>9</v>
      </c>
      <c r="J4379" s="10" t="n">
        <v>7.97</v>
      </c>
      <c r="K4379" s="11" t="n">
        <v>0.3</v>
      </c>
      <c r="L4379" s="10">
        <f>I4379*J4379*(1-K4379)</f>
        <v/>
      </c>
      <c r="M4379" s="10" t="n">
        <v>28.8</v>
      </c>
      <c r="N4379" s="10">
        <f>L4379-M4379</f>
        <v/>
      </c>
    </row>
    <row r="4380">
      <c r="A4380" s="7" t="inlineStr">
        <is>
          <t>ORD-00871</t>
        </is>
      </c>
      <c r="B4380" s="8" t="n">
        <v>45810</v>
      </c>
      <c r="C4380" s="9" t="n">
        <v>45809</v>
      </c>
      <c r="D4380" s="7" t="n">
        <v>2025</v>
      </c>
      <c r="E4380" s="7" t="inlineStr">
        <is>
          <t>South</t>
        </is>
      </c>
      <c r="F4380" s="7" t="inlineStr">
        <is>
          <t>Furniture</t>
        </is>
      </c>
      <c r="G4380" s="7" t="inlineStr">
        <is>
          <t>Bookcase</t>
        </is>
      </c>
      <c r="H4380" s="7" t="inlineStr">
        <is>
          <t>Home Office</t>
        </is>
      </c>
      <c r="I4380" s="7" t="n">
        <v>2</v>
      </c>
      <c r="J4380" s="10" t="n">
        <v>173.67</v>
      </c>
      <c r="K4380" s="11" t="n">
        <v>0</v>
      </c>
      <c r="L4380" s="10">
        <f>I4380*J4380*(1-K4380)</f>
        <v/>
      </c>
      <c r="M4380" s="10" t="n">
        <v>288</v>
      </c>
      <c r="N4380" s="10">
        <f>L4380-M4380</f>
        <v/>
      </c>
    </row>
    <row r="4381">
      <c r="A4381" s="7" t="inlineStr">
        <is>
          <t>ORD-03579</t>
        </is>
      </c>
      <c r="B4381" s="8" t="n">
        <v>45811</v>
      </c>
      <c r="C4381" s="9" t="n">
        <v>45809</v>
      </c>
      <c r="D4381" s="7" t="n">
        <v>2025</v>
      </c>
      <c r="E4381" s="7" t="inlineStr">
        <is>
          <t>West</t>
        </is>
      </c>
      <c r="F4381" s="7" t="inlineStr">
        <is>
          <t>Office Supplies</t>
        </is>
      </c>
      <c r="G4381" s="7" t="inlineStr">
        <is>
          <t>Binder</t>
        </is>
      </c>
      <c r="H4381" s="7" t="inlineStr">
        <is>
          <t>Corporate</t>
        </is>
      </c>
      <c r="I4381" s="7" t="n">
        <v>5</v>
      </c>
      <c r="J4381" s="10" t="n">
        <v>7.71</v>
      </c>
      <c r="K4381" s="11" t="n">
        <v>0</v>
      </c>
      <c r="L4381" s="10">
        <f>I4381*J4381*(1-K4381)</f>
        <v/>
      </c>
      <c r="M4381" s="10" t="n">
        <v>16</v>
      </c>
      <c r="N4381" s="10">
        <f>L4381-M4381</f>
        <v/>
      </c>
    </row>
    <row r="4382">
      <c r="A4382" s="7" t="inlineStr">
        <is>
          <t>ORD-01510</t>
        </is>
      </c>
      <c r="B4382" s="8" t="n">
        <v>45811</v>
      </c>
      <c r="C4382" s="9" t="n">
        <v>45809</v>
      </c>
      <c r="D4382" s="7" t="n">
        <v>2025</v>
      </c>
      <c r="E4382" s="7" t="inlineStr">
        <is>
          <t>East</t>
        </is>
      </c>
      <c r="F4382" s="7" t="inlineStr">
        <is>
          <t>Office Supplies</t>
        </is>
      </c>
      <c r="G4382" s="7" t="inlineStr">
        <is>
          <t>Binder</t>
        </is>
      </c>
      <c r="H4382" s="7" t="inlineStr">
        <is>
          <t>Home Office</t>
        </is>
      </c>
      <c r="I4382" s="7" t="n">
        <v>3</v>
      </c>
      <c r="J4382" s="10" t="n">
        <v>7.78</v>
      </c>
      <c r="K4382" s="11" t="n">
        <v>0</v>
      </c>
      <c r="L4382" s="10">
        <f>I4382*J4382*(1-K4382)</f>
        <v/>
      </c>
      <c r="M4382" s="10" t="n">
        <v>9.6</v>
      </c>
      <c r="N4382" s="10">
        <f>L4382-M4382</f>
        <v/>
      </c>
    </row>
    <row r="4383">
      <c r="A4383" s="7" t="inlineStr">
        <is>
          <t>ORD-01086</t>
        </is>
      </c>
      <c r="B4383" s="8" t="n">
        <v>45811</v>
      </c>
      <c r="C4383" s="9" t="n">
        <v>45809</v>
      </c>
      <c r="D4383" s="7" t="n">
        <v>2025</v>
      </c>
      <c r="E4383" s="7" t="inlineStr">
        <is>
          <t>South</t>
        </is>
      </c>
      <c r="F4383" s="7" t="inlineStr">
        <is>
          <t>Furniture</t>
        </is>
      </c>
      <c r="G4383" s="7" t="inlineStr">
        <is>
          <t>Desk</t>
        </is>
      </c>
      <c r="H4383" s="7" t="inlineStr">
        <is>
          <t>Corporate</t>
        </is>
      </c>
      <c r="I4383" s="7" t="n">
        <v>2</v>
      </c>
      <c r="J4383" s="10" t="n">
        <v>444.66</v>
      </c>
      <c r="K4383" s="11" t="n">
        <v>0.2</v>
      </c>
      <c r="L4383" s="10">
        <f>I4383*J4383*(1-K4383)</f>
        <v/>
      </c>
      <c r="M4383" s="10" t="n">
        <v>765</v>
      </c>
      <c r="N4383" s="10">
        <f>L4383-M4383</f>
        <v/>
      </c>
    </row>
    <row r="4384">
      <c r="A4384" s="7" t="inlineStr">
        <is>
          <t>ORD-00439</t>
        </is>
      </c>
      <c r="B4384" s="8" t="n">
        <v>45811</v>
      </c>
      <c r="C4384" s="9" t="n">
        <v>45809</v>
      </c>
      <c r="D4384" s="7" t="n">
        <v>2025</v>
      </c>
      <c r="E4384" s="7" t="inlineStr">
        <is>
          <t>North</t>
        </is>
      </c>
      <c r="F4384" s="7" t="inlineStr">
        <is>
          <t>Technology</t>
        </is>
      </c>
      <c r="G4384" s="7" t="inlineStr">
        <is>
          <t>Keyboard</t>
        </is>
      </c>
      <c r="H4384" s="7" t="inlineStr">
        <is>
          <t>Corporate</t>
        </is>
      </c>
      <c r="I4384" s="7" t="n">
        <v>3</v>
      </c>
      <c r="J4384" s="10" t="n">
        <v>45.65</v>
      </c>
      <c r="K4384" s="11" t="n">
        <v>0.05</v>
      </c>
      <c r="L4384" s="10">
        <f>I4384*J4384*(1-K4384)</f>
        <v/>
      </c>
      <c r="M4384" s="10" t="n">
        <v>74.25</v>
      </c>
      <c r="N4384" s="10">
        <f>L4384-M4384</f>
        <v/>
      </c>
    </row>
    <row r="4385">
      <c r="A4385" s="7" t="inlineStr">
        <is>
          <t>ORD-02654</t>
        </is>
      </c>
      <c r="B4385" s="8" t="n">
        <v>45811</v>
      </c>
      <c r="C4385" s="9" t="n">
        <v>45809</v>
      </c>
      <c r="D4385" s="7" t="n">
        <v>2025</v>
      </c>
      <c r="E4385" s="7" t="inlineStr">
        <is>
          <t>West</t>
        </is>
      </c>
      <c r="F4385" s="7" t="inlineStr">
        <is>
          <t>Office Supplies</t>
        </is>
      </c>
      <c r="G4385" s="7" t="inlineStr">
        <is>
          <t>Binder</t>
        </is>
      </c>
      <c r="H4385" s="7" t="inlineStr">
        <is>
          <t>Corporate</t>
        </is>
      </c>
      <c r="I4385" s="7" t="n">
        <v>5</v>
      </c>
      <c r="J4385" s="10" t="n">
        <v>8.08</v>
      </c>
      <c r="K4385" s="11" t="n">
        <v>0</v>
      </c>
      <c r="L4385" s="10">
        <f>I4385*J4385*(1-K4385)</f>
        <v/>
      </c>
      <c r="M4385" s="10" t="n">
        <v>16</v>
      </c>
      <c r="N4385" s="10">
        <f>L4385-M4385</f>
        <v/>
      </c>
    </row>
    <row r="4386">
      <c r="A4386" s="7" t="inlineStr">
        <is>
          <t>ORD-01681</t>
        </is>
      </c>
      <c r="B4386" s="8" t="n">
        <v>45811</v>
      </c>
      <c r="C4386" s="9" t="n">
        <v>45809</v>
      </c>
      <c r="D4386" s="7" t="n">
        <v>2025</v>
      </c>
      <c r="E4386" s="7" t="inlineStr">
        <is>
          <t>North</t>
        </is>
      </c>
      <c r="F4386" s="7" t="inlineStr">
        <is>
          <t>Technology</t>
        </is>
      </c>
      <c r="G4386" s="7" t="inlineStr">
        <is>
          <t>Headphones</t>
        </is>
      </c>
      <c r="H4386" s="7" t="inlineStr">
        <is>
          <t>Consumer</t>
        </is>
      </c>
      <c r="I4386" s="7" t="n">
        <v>3</v>
      </c>
      <c r="J4386" s="10" t="n">
        <v>115.74</v>
      </c>
      <c r="K4386" s="11" t="n">
        <v>0.2</v>
      </c>
      <c r="L4386" s="10">
        <f>I4386*J4386*(1-K4386)</f>
        <v/>
      </c>
      <c r="M4386" s="10" t="n">
        <v>216</v>
      </c>
      <c r="N4386" s="10">
        <f>L4386-M4386</f>
        <v/>
      </c>
    </row>
    <row r="4387">
      <c r="A4387" s="7" t="inlineStr">
        <is>
          <t>ORD-05763</t>
        </is>
      </c>
      <c r="B4387" s="8" t="n">
        <v>45811</v>
      </c>
      <c r="C4387" s="9" t="n">
        <v>45809</v>
      </c>
      <c r="D4387" s="7" t="n">
        <v>2025</v>
      </c>
      <c r="E4387" s="7" t="inlineStr">
        <is>
          <t>West</t>
        </is>
      </c>
      <c r="F4387" s="7" t="inlineStr">
        <is>
          <t>Office Supplies</t>
        </is>
      </c>
      <c r="G4387" s="7" t="inlineStr">
        <is>
          <t>Paper</t>
        </is>
      </c>
      <c r="H4387" s="7" t="inlineStr">
        <is>
          <t>Home Office</t>
        </is>
      </c>
      <c r="I4387" s="7" t="n">
        <v>7</v>
      </c>
      <c r="J4387" s="10" t="n">
        <v>24.31</v>
      </c>
      <c r="K4387" s="11" t="n">
        <v>0</v>
      </c>
      <c r="L4387" s="10">
        <f>I4387*J4387*(1-K4387)</f>
        <v/>
      </c>
      <c r="M4387" s="10" t="n">
        <v>87.5</v>
      </c>
      <c r="N4387" s="10">
        <f>L4387-M4387</f>
        <v/>
      </c>
    </row>
    <row r="4388">
      <c r="A4388" s="7" t="inlineStr">
        <is>
          <t>ORD-04365</t>
        </is>
      </c>
      <c r="B4388" s="8" t="n">
        <v>45811</v>
      </c>
      <c r="C4388" s="9" t="n">
        <v>45809</v>
      </c>
      <c r="D4388" s="7" t="n">
        <v>2025</v>
      </c>
      <c r="E4388" s="7" t="inlineStr">
        <is>
          <t>West</t>
        </is>
      </c>
      <c r="F4388" s="7" t="inlineStr">
        <is>
          <t>Office Supplies</t>
        </is>
      </c>
      <c r="G4388" s="7" t="inlineStr">
        <is>
          <t>Binder</t>
        </is>
      </c>
      <c r="H4388" s="7" t="inlineStr">
        <is>
          <t>Consumer</t>
        </is>
      </c>
      <c r="I4388" s="7" t="n">
        <v>4</v>
      </c>
      <c r="J4388" s="10" t="n">
        <v>8.23</v>
      </c>
      <c r="K4388" s="11" t="n">
        <v>0.2</v>
      </c>
      <c r="L4388" s="10">
        <f>I4388*J4388*(1-K4388)</f>
        <v/>
      </c>
      <c r="M4388" s="10" t="n">
        <v>12.8</v>
      </c>
      <c r="N4388" s="10">
        <f>L4388-M4388</f>
        <v/>
      </c>
    </row>
    <row r="4389">
      <c r="A4389" s="7" t="inlineStr">
        <is>
          <t>ORD-00031</t>
        </is>
      </c>
      <c r="B4389" s="8" t="n">
        <v>45811</v>
      </c>
      <c r="C4389" s="9" t="n">
        <v>45809</v>
      </c>
      <c r="D4389" s="7" t="n">
        <v>2025</v>
      </c>
      <c r="E4389" s="7" t="inlineStr">
        <is>
          <t>East</t>
        </is>
      </c>
      <c r="F4389" s="7" t="inlineStr">
        <is>
          <t>Technology</t>
        </is>
      </c>
      <c r="G4389" s="7" t="inlineStr">
        <is>
          <t>Keyboard</t>
        </is>
      </c>
      <c r="H4389" s="7" t="inlineStr">
        <is>
          <t>Consumer</t>
        </is>
      </c>
      <c r="I4389" s="7" t="n">
        <v>1</v>
      </c>
      <c r="J4389" s="10" t="n">
        <v>42.94</v>
      </c>
      <c r="K4389" s="11" t="n">
        <v>0.1</v>
      </c>
      <c r="L4389" s="10">
        <f>I4389*J4389*(1-K4389)</f>
        <v/>
      </c>
      <c r="M4389" s="10" t="n">
        <v>24.75</v>
      </c>
      <c r="N4389" s="10">
        <f>L4389-M4389</f>
        <v/>
      </c>
    </row>
    <row r="4390">
      <c r="A4390" s="7" t="inlineStr">
        <is>
          <t>ORD-03004</t>
        </is>
      </c>
      <c r="B4390" s="8" t="n">
        <v>45812</v>
      </c>
      <c r="C4390" s="9" t="n">
        <v>45809</v>
      </c>
      <c r="D4390" s="7" t="n">
        <v>2025</v>
      </c>
      <c r="E4390" s="7" t="inlineStr">
        <is>
          <t>West</t>
        </is>
      </c>
      <c r="F4390" s="7" t="inlineStr">
        <is>
          <t>Office Supplies</t>
        </is>
      </c>
      <c r="G4390" s="7" t="inlineStr">
        <is>
          <t>Pens</t>
        </is>
      </c>
      <c r="H4390" s="7" t="inlineStr">
        <is>
          <t>Home Office</t>
        </is>
      </c>
      <c r="I4390" s="7" t="n">
        <v>13</v>
      </c>
      <c r="J4390" s="10" t="n">
        <v>11.51</v>
      </c>
      <c r="K4390" s="11" t="n">
        <v>0</v>
      </c>
      <c r="L4390" s="10">
        <f>I4390*J4390*(1-K4390)</f>
        <v/>
      </c>
      <c r="M4390" s="10" t="n">
        <v>70.2</v>
      </c>
      <c r="N4390" s="10">
        <f>L4390-M4390</f>
        <v/>
      </c>
    </row>
    <row r="4391">
      <c r="A4391" s="7" t="inlineStr">
        <is>
          <t>ORD-05490</t>
        </is>
      </c>
      <c r="B4391" s="8" t="n">
        <v>45812</v>
      </c>
      <c r="C4391" s="9" t="n">
        <v>45809</v>
      </c>
      <c r="D4391" s="7" t="n">
        <v>2025</v>
      </c>
      <c r="E4391" s="7" t="inlineStr">
        <is>
          <t>South</t>
        </is>
      </c>
      <c r="F4391" s="7" t="inlineStr">
        <is>
          <t>Technology</t>
        </is>
      </c>
      <c r="G4391" s="7" t="inlineStr">
        <is>
          <t>Monitor</t>
        </is>
      </c>
      <c r="H4391" s="7" t="inlineStr">
        <is>
          <t>Corporate</t>
        </is>
      </c>
      <c r="I4391" s="7" t="n">
        <v>2</v>
      </c>
      <c r="J4391" s="10" t="n">
        <v>253.85</v>
      </c>
      <c r="K4391" s="11" t="n">
        <v>0</v>
      </c>
      <c r="L4391" s="10">
        <f>I4391*J4391*(1-K4391)</f>
        <v/>
      </c>
      <c r="M4391" s="10" t="n">
        <v>360</v>
      </c>
      <c r="N4391" s="10">
        <f>L4391-M4391</f>
        <v/>
      </c>
    </row>
    <row r="4392">
      <c r="A4392" s="7" t="inlineStr">
        <is>
          <t>ORD-00256</t>
        </is>
      </c>
      <c r="B4392" s="8" t="n">
        <v>45812</v>
      </c>
      <c r="C4392" s="9" t="n">
        <v>45809</v>
      </c>
      <c r="D4392" s="7" t="n">
        <v>2025</v>
      </c>
      <c r="E4392" s="7" t="inlineStr">
        <is>
          <t>North</t>
        </is>
      </c>
      <c r="F4392" s="7" t="inlineStr">
        <is>
          <t>Furniture</t>
        </is>
      </c>
      <c r="G4392" s="7" t="inlineStr">
        <is>
          <t>Office Chair</t>
        </is>
      </c>
      <c r="H4392" s="7" t="inlineStr">
        <is>
          <t>Home Office</t>
        </is>
      </c>
      <c r="I4392" s="7" t="n">
        <v>1</v>
      </c>
      <c r="J4392" s="10" t="n">
        <v>229.62</v>
      </c>
      <c r="K4392" s="11" t="n">
        <v>0.2</v>
      </c>
      <c r="L4392" s="10">
        <f>I4392*J4392*(1-K4392)</f>
        <v/>
      </c>
      <c r="M4392" s="10" t="n">
        <v>180.4</v>
      </c>
      <c r="N4392" s="10">
        <f>L4392-M4392</f>
        <v/>
      </c>
    </row>
    <row r="4393">
      <c r="A4393" s="7" t="inlineStr">
        <is>
          <t>ORD-04736</t>
        </is>
      </c>
      <c r="B4393" s="8" t="n">
        <v>45812</v>
      </c>
      <c r="C4393" s="9" t="n">
        <v>45809</v>
      </c>
      <c r="D4393" s="7" t="n">
        <v>2025</v>
      </c>
      <c r="E4393" s="7" t="inlineStr">
        <is>
          <t>East</t>
        </is>
      </c>
      <c r="F4393" s="7" t="inlineStr">
        <is>
          <t>Office Supplies</t>
        </is>
      </c>
      <c r="G4393" s="7" t="inlineStr">
        <is>
          <t>Paper</t>
        </is>
      </c>
      <c r="H4393" s="7" t="inlineStr">
        <is>
          <t>Home Office</t>
        </is>
      </c>
      <c r="I4393" s="7" t="n">
        <v>8</v>
      </c>
      <c r="J4393" s="10" t="n">
        <v>25.84</v>
      </c>
      <c r="K4393" s="11" t="n">
        <v>0.05</v>
      </c>
      <c r="L4393" s="10">
        <f>I4393*J4393*(1-K4393)</f>
        <v/>
      </c>
      <c r="M4393" s="10" t="n">
        <v>100</v>
      </c>
      <c r="N4393" s="10">
        <f>L4393-M4393</f>
        <v/>
      </c>
    </row>
    <row r="4394">
      <c r="A4394" s="7" t="inlineStr">
        <is>
          <t>ORD-01736</t>
        </is>
      </c>
      <c r="B4394" s="8" t="n">
        <v>45812</v>
      </c>
      <c r="C4394" s="9" t="n">
        <v>45809</v>
      </c>
      <c r="D4394" s="7" t="n">
        <v>2025</v>
      </c>
      <c r="E4394" s="7" t="inlineStr">
        <is>
          <t>East</t>
        </is>
      </c>
      <c r="F4394" s="7" t="inlineStr">
        <is>
          <t>Office Supplies</t>
        </is>
      </c>
      <c r="G4394" s="7" t="inlineStr">
        <is>
          <t>Binder</t>
        </is>
      </c>
      <c r="H4394" s="7" t="inlineStr">
        <is>
          <t>Home Office</t>
        </is>
      </c>
      <c r="I4394" s="7" t="n">
        <v>4</v>
      </c>
      <c r="J4394" s="10" t="n">
        <v>8</v>
      </c>
      <c r="K4394" s="11" t="n">
        <v>0</v>
      </c>
      <c r="L4394" s="10">
        <f>I4394*J4394*(1-K4394)</f>
        <v/>
      </c>
      <c r="M4394" s="10" t="n">
        <v>12.8</v>
      </c>
      <c r="N4394" s="10">
        <f>L4394-M4394</f>
        <v/>
      </c>
    </row>
    <row r="4395">
      <c r="A4395" s="7" t="inlineStr">
        <is>
          <t>ORD-02679</t>
        </is>
      </c>
      <c r="B4395" s="8" t="n">
        <v>45812</v>
      </c>
      <c r="C4395" s="9" t="n">
        <v>45809</v>
      </c>
      <c r="D4395" s="7" t="n">
        <v>2025</v>
      </c>
      <c r="E4395" s="7" t="inlineStr">
        <is>
          <t>South</t>
        </is>
      </c>
      <c r="F4395" s="7" t="inlineStr">
        <is>
          <t>Office Supplies</t>
        </is>
      </c>
      <c r="G4395" s="7" t="inlineStr">
        <is>
          <t>Binder</t>
        </is>
      </c>
      <c r="H4395" s="7" t="inlineStr">
        <is>
          <t>Consumer</t>
        </is>
      </c>
      <c r="I4395" s="7" t="n">
        <v>6</v>
      </c>
      <c r="J4395" s="10" t="n">
        <v>8.18</v>
      </c>
      <c r="K4395" s="11" t="n">
        <v>0.2</v>
      </c>
      <c r="L4395" s="10">
        <f>I4395*J4395*(1-K4395)</f>
        <v/>
      </c>
      <c r="M4395" s="10" t="n">
        <v>19.2</v>
      </c>
      <c r="N4395" s="10">
        <f>L4395-M4395</f>
        <v/>
      </c>
    </row>
    <row r="4396">
      <c r="A4396" s="7" t="inlineStr">
        <is>
          <t>ORD-04556</t>
        </is>
      </c>
      <c r="B4396" s="8" t="n">
        <v>45812</v>
      </c>
      <c r="C4396" s="9" t="n">
        <v>45809</v>
      </c>
      <c r="D4396" s="7" t="n">
        <v>2025</v>
      </c>
      <c r="E4396" s="7" t="inlineStr">
        <is>
          <t>North</t>
        </is>
      </c>
      <c r="F4396" s="7" t="inlineStr">
        <is>
          <t>Furniture</t>
        </is>
      </c>
      <c r="G4396" s="7" t="inlineStr">
        <is>
          <t>Office Chair</t>
        </is>
      </c>
      <c r="H4396" s="7" t="inlineStr">
        <is>
          <t>Consumer</t>
        </is>
      </c>
      <c r="I4396" s="7" t="n">
        <v>2</v>
      </c>
      <c r="J4396" s="10" t="n">
        <v>218.07</v>
      </c>
      <c r="K4396" s="11" t="n">
        <v>0.3</v>
      </c>
      <c r="L4396" s="10">
        <f>I4396*J4396*(1-K4396)</f>
        <v/>
      </c>
      <c r="M4396" s="10" t="n">
        <v>360.8</v>
      </c>
      <c r="N4396" s="10">
        <f>L4396-M4396</f>
        <v/>
      </c>
    </row>
    <row r="4397">
      <c r="A4397" s="7" t="inlineStr">
        <is>
          <t>ORD-05770</t>
        </is>
      </c>
      <c r="B4397" s="8" t="n">
        <v>45812</v>
      </c>
      <c r="C4397" s="9" t="n">
        <v>45809</v>
      </c>
      <c r="D4397" s="7" t="n">
        <v>2025</v>
      </c>
      <c r="E4397" s="7" t="inlineStr">
        <is>
          <t>West</t>
        </is>
      </c>
      <c r="F4397" s="7" t="inlineStr">
        <is>
          <t>Office Supplies</t>
        </is>
      </c>
      <c r="G4397" s="7" t="inlineStr">
        <is>
          <t>Printer Ink</t>
        </is>
      </c>
      <c r="H4397" s="7" t="inlineStr">
        <is>
          <t>Corporate</t>
        </is>
      </c>
      <c r="I4397" s="7" t="n">
        <v>5</v>
      </c>
      <c r="J4397" s="10" t="n">
        <v>59.93</v>
      </c>
      <c r="K4397" s="11" t="n">
        <v>0</v>
      </c>
      <c r="L4397" s="10">
        <f>I4397*J4397*(1-K4397)</f>
        <v/>
      </c>
      <c r="M4397" s="10" t="n">
        <v>180</v>
      </c>
      <c r="N4397" s="10">
        <f>L4397-M4397</f>
        <v/>
      </c>
    </row>
    <row r="4398">
      <c r="A4398" s="7" t="inlineStr">
        <is>
          <t>ORD-03488</t>
        </is>
      </c>
      <c r="B4398" s="8" t="n">
        <v>45812</v>
      </c>
      <c r="C4398" s="9" t="n">
        <v>45809</v>
      </c>
      <c r="D4398" s="7" t="n">
        <v>2025</v>
      </c>
      <c r="E4398" s="7" t="inlineStr">
        <is>
          <t>East</t>
        </is>
      </c>
      <c r="F4398" s="7" t="inlineStr">
        <is>
          <t>Office Supplies</t>
        </is>
      </c>
      <c r="G4398" s="7" t="inlineStr">
        <is>
          <t>Paper</t>
        </is>
      </c>
      <c r="H4398" s="7" t="inlineStr">
        <is>
          <t>Corporate</t>
        </is>
      </c>
      <c r="I4398" s="7" t="n">
        <v>8</v>
      </c>
      <c r="J4398" s="10" t="n">
        <v>25.39</v>
      </c>
      <c r="K4398" s="11" t="n">
        <v>0.3</v>
      </c>
      <c r="L4398" s="10">
        <f>I4398*J4398*(1-K4398)</f>
        <v/>
      </c>
      <c r="M4398" s="10" t="n">
        <v>100</v>
      </c>
      <c r="N4398" s="10">
        <f>L4398-M4398</f>
        <v/>
      </c>
    </row>
    <row r="4399">
      <c r="A4399" s="7" t="inlineStr">
        <is>
          <t>ORD-05168</t>
        </is>
      </c>
      <c r="B4399" s="8" t="n">
        <v>45812</v>
      </c>
      <c r="C4399" s="9" t="n">
        <v>45809</v>
      </c>
      <c r="D4399" s="7" t="n">
        <v>2025</v>
      </c>
      <c r="E4399" s="7" t="inlineStr">
        <is>
          <t>North</t>
        </is>
      </c>
      <c r="F4399" s="7" t="inlineStr">
        <is>
          <t>Office Supplies</t>
        </is>
      </c>
      <c r="G4399" s="7" t="inlineStr">
        <is>
          <t>Binder</t>
        </is>
      </c>
      <c r="H4399" s="7" t="inlineStr">
        <is>
          <t>Consumer</t>
        </is>
      </c>
      <c r="I4399" s="7" t="n">
        <v>2</v>
      </c>
      <c r="J4399" s="10" t="n">
        <v>7.86</v>
      </c>
      <c r="K4399" s="11" t="n">
        <v>0.05</v>
      </c>
      <c r="L4399" s="10">
        <f>I4399*J4399*(1-K4399)</f>
        <v/>
      </c>
      <c r="M4399" s="10" t="n">
        <v>6.4</v>
      </c>
      <c r="N4399" s="10">
        <f>L4399-M4399</f>
        <v/>
      </c>
    </row>
    <row r="4400">
      <c r="A4400" s="7" t="inlineStr">
        <is>
          <t>ORD-04205</t>
        </is>
      </c>
      <c r="B4400" s="8" t="n">
        <v>45812</v>
      </c>
      <c r="C4400" s="9" t="n">
        <v>45809</v>
      </c>
      <c r="D4400" s="7" t="n">
        <v>2025</v>
      </c>
      <c r="E4400" s="7" t="inlineStr">
        <is>
          <t>South</t>
        </is>
      </c>
      <c r="F4400" s="7" t="inlineStr">
        <is>
          <t>Technology</t>
        </is>
      </c>
      <c r="G4400" s="7" t="inlineStr">
        <is>
          <t>Monitor</t>
        </is>
      </c>
      <c r="H4400" s="7" t="inlineStr">
        <is>
          <t>Corporate</t>
        </is>
      </c>
      <c r="I4400" s="7" t="n">
        <v>3</v>
      </c>
      <c r="J4400" s="10" t="n">
        <v>243.18</v>
      </c>
      <c r="K4400" s="11" t="n">
        <v>0.05</v>
      </c>
      <c r="L4400" s="10">
        <f>I4400*J4400*(1-K4400)</f>
        <v/>
      </c>
      <c r="M4400" s="10" t="n">
        <v>540</v>
      </c>
      <c r="N4400" s="10">
        <f>L4400-M4400</f>
        <v/>
      </c>
    </row>
    <row r="4401">
      <c r="A4401" s="7" t="inlineStr">
        <is>
          <t>ORD-02101</t>
        </is>
      </c>
      <c r="B4401" s="8" t="n">
        <v>45813</v>
      </c>
      <c r="C4401" s="9" t="n">
        <v>45809</v>
      </c>
      <c r="D4401" s="7" t="n">
        <v>2025</v>
      </c>
      <c r="E4401" s="7" t="inlineStr">
        <is>
          <t>West</t>
        </is>
      </c>
      <c r="F4401" s="7" t="inlineStr">
        <is>
          <t>Technology</t>
        </is>
      </c>
      <c r="G4401" s="7" t="inlineStr">
        <is>
          <t>Smartphone</t>
        </is>
      </c>
      <c r="H4401" s="7" t="inlineStr">
        <is>
          <t>Consumer</t>
        </is>
      </c>
      <c r="I4401" s="7" t="n">
        <v>3</v>
      </c>
      <c r="J4401" s="10" t="n">
        <v>620.46</v>
      </c>
      <c r="K4401" s="11" t="n">
        <v>0.1</v>
      </c>
      <c r="L4401" s="10">
        <f>I4401*J4401*(1-K4401)</f>
        <v/>
      </c>
      <c r="M4401" s="10" t="n">
        <v>1350</v>
      </c>
      <c r="N4401" s="10">
        <f>L4401-M4401</f>
        <v/>
      </c>
    </row>
    <row r="4402">
      <c r="A4402" s="7" t="inlineStr">
        <is>
          <t>ORD-05453</t>
        </is>
      </c>
      <c r="B4402" s="8" t="n">
        <v>45813</v>
      </c>
      <c r="C4402" s="9" t="n">
        <v>45809</v>
      </c>
      <c r="D4402" s="7" t="n">
        <v>2025</v>
      </c>
      <c r="E4402" s="7" t="inlineStr">
        <is>
          <t>East</t>
        </is>
      </c>
      <c r="F4402" s="7" t="inlineStr">
        <is>
          <t>Technology</t>
        </is>
      </c>
      <c r="G4402" s="7" t="inlineStr">
        <is>
          <t>Laptop</t>
        </is>
      </c>
      <c r="H4402" s="7" t="inlineStr">
        <is>
          <t>Home Office</t>
        </is>
      </c>
      <c r="I4402" s="7" t="n">
        <v>1</v>
      </c>
      <c r="J4402" s="10" t="n">
        <v>868.7</v>
      </c>
      <c r="K4402" s="11" t="n">
        <v>0</v>
      </c>
      <c r="L4402" s="10">
        <f>I4402*J4402*(1-K4402)</f>
        <v/>
      </c>
      <c r="M4402" s="10" t="n">
        <v>702</v>
      </c>
      <c r="N4402" s="10">
        <f>L4402-M4402</f>
        <v/>
      </c>
    </row>
    <row r="4403">
      <c r="A4403" s="7" t="inlineStr">
        <is>
          <t>ORD-01626</t>
        </is>
      </c>
      <c r="B4403" s="8" t="n">
        <v>45813</v>
      </c>
      <c r="C4403" s="9" t="n">
        <v>45809</v>
      </c>
      <c r="D4403" s="7" t="n">
        <v>2025</v>
      </c>
      <c r="E4403" s="7" t="inlineStr">
        <is>
          <t>West</t>
        </is>
      </c>
      <c r="F4403" s="7" t="inlineStr">
        <is>
          <t>Technology</t>
        </is>
      </c>
      <c r="G4403" s="7" t="inlineStr">
        <is>
          <t>Laptop</t>
        </is>
      </c>
      <c r="H4403" s="7" t="inlineStr">
        <is>
          <t>Corporate</t>
        </is>
      </c>
      <c r="I4403" s="7" t="n">
        <v>3</v>
      </c>
      <c r="J4403" s="10" t="n">
        <v>896.78</v>
      </c>
      <c r="K4403" s="11" t="n">
        <v>0</v>
      </c>
      <c r="L4403" s="10">
        <f>I4403*J4403*(1-K4403)</f>
        <v/>
      </c>
      <c r="M4403" s="10" t="n">
        <v>2106</v>
      </c>
      <c r="N4403" s="10">
        <f>L4403-M4403</f>
        <v/>
      </c>
    </row>
    <row r="4404">
      <c r="A4404" s="7" t="inlineStr">
        <is>
          <t>ORD-05923</t>
        </is>
      </c>
      <c r="B4404" s="8" t="n">
        <v>45813</v>
      </c>
      <c r="C4404" s="9" t="n">
        <v>45809</v>
      </c>
      <c r="D4404" s="7" t="n">
        <v>2025</v>
      </c>
      <c r="E4404" s="7" t="inlineStr">
        <is>
          <t>South</t>
        </is>
      </c>
      <c r="F4404" s="7" t="inlineStr">
        <is>
          <t>Office Supplies</t>
        </is>
      </c>
      <c r="G4404" s="7" t="inlineStr">
        <is>
          <t>Paper</t>
        </is>
      </c>
      <c r="H4404" s="7" t="inlineStr">
        <is>
          <t>Home Office</t>
        </is>
      </c>
      <c r="I4404" s="7" t="n">
        <v>9</v>
      </c>
      <c r="J4404" s="10" t="n">
        <v>26.08</v>
      </c>
      <c r="K4404" s="11" t="n">
        <v>0.2</v>
      </c>
      <c r="L4404" s="10">
        <f>I4404*J4404*(1-K4404)</f>
        <v/>
      </c>
      <c r="M4404" s="10" t="n">
        <v>112.5</v>
      </c>
      <c r="N4404" s="10">
        <f>L4404-M4404</f>
        <v/>
      </c>
    </row>
    <row r="4405">
      <c r="A4405" s="7" t="inlineStr">
        <is>
          <t>ORD-00189</t>
        </is>
      </c>
      <c r="B4405" s="8" t="n">
        <v>45813</v>
      </c>
      <c r="C4405" s="9" t="n">
        <v>45809</v>
      </c>
      <c r="D4405" s="7" t="n">
        <v>2025</v>
      </c>
      <c r="E4405" s="7" t="inlineStr">
        <is>
          <t>South</t>
        </is>
      </c>
      <c r="F4405" s="7" t="inlineStr">
        <is>
          <t>Office Supplies</t>
        </is>
      </c>
      <c r="G4405" s="7" t="inlineStr">
        <is>
          <t>Paper</t>
        </is>
      </c>
      <c r="H4405" s="7" t="inlineStr">
        <is>
          <t>Consumer</t>
        </is>
      </c>
      <c r="I4405" s="7" t="n">
        <v>4</v>
      </c>
      <c r="J4405" s="10" t="n">
        <v>24.14</v>
      </c>
      <c r="K4405" s="11" t="n">
        <v>0</v>
      </c>
      <c r="L4405" s="10">
        <f>I4405*J4405*(1-K4405)</f>
        <v/>
      </c>
      <c r="M4405" s="10" t="n">
        <v>50</v>
      </c>
      <c r="N4405" s="10">
        <f>L4405-M4405</f>
        <v/>
      </c>
    </row>
    <row r="4406">
      <c r="A4406" s="7" t="inlineStr">
        <is>
          <t>ORD-05660</t>
        </is>
      </c>
      <c r="B4406" s="8" t="n">
        <v>45813</v>
      </c>
      <c r="C4406" s="9" t="n">
        <v>45809</v>
      </c>
      <c r="D4406" s="7" t="n">
        <v>2025</v>
      </c>
      <c r="E4406" s="7" t="inlineStr">
        <is>
          <t>North</t>
        </is>
      </c>
      <c r="F4406" s="7" t="inlineStr">
        <is>
          <t>Office Supplies</t>
        </is>
      </c>
      <c r="G4406" s="7" t="inlineStr">
        <is>
          <t>Paper</t>
        </is>
      </c>
      <c r="H4406" s="7" t="inlineStr">
        <is>
          <t>Consumer</t>
        </is>
      </c>
      <c r="I4406" s="7" t="n">
        <v>11</v>
      </c>
      <c r="J4406" s="10" t="n">
        <v>25.5</v>
      </c>
      <c r="K4406" s="11" t="n">
        <v>0.05</v>
      </c>
      <c r="L4406" s="10">
        <f>I4406*J4406*(1-K4406)</f>
        <v/>
      </c>
      <c r="M4406" s="10" t="n">
        <v>137.5</v>
      </c>
      <c r="N4406" s="10">
        <f>L4406-M4406</f>
        <v/>
      </c>
    </row>
    <row r="4407">
      <c r="A4407" s="7" t="inlineStr">
        <is>
          <t>ORD-02563</t>
        </is>
      </c>
      <c r="B4407" s="8" t="n">
        <v>45813</v>
      </c>
      <c r="C4407" s="9" t="n">
        <v>45809</v>
      </c>
      <c r="D4407" s="7" t="n">
        <v>2025</v>
      </c>
      <c r="E4407" s="7" t="inlineStr">
        <is>
          <t>North</t>
        </is>
      </c>
      <c r="F4407" s="7" t="inlineStr">
        <is>
          <t>Office Supplies</t>
        </is>
      </c>
      <c r="G4407" s="7" t="inlineStr">
        <is>
          <t>Paper</t>
        </is>
      </c>
      <c r="H4407" s="7" t="inlineStr">
        <is>
          <t>Home Office</t>
        </is>
      </c>
      <c r="I4407" s="7" t="n">
        <v>6</v>
      </c>
      <c r="J4407" s="10" t="n">
        <v>25.78</v>
      </c>
      <c r="K4407" s="11" t="n">
        <v>0.3</v>
      </c>
      <c r="L4407" s="10">
        <f>I4407*J4407*(1-K4407)</f>
        <v/>
      </c>
      <c r="M4407" s="10" t="n">
        <v>75</v>
      </c>
      <c r="N4407" s="10">
        <f>L4407-M4407</f>
        <v/>
      </c>
    </row>
    <row r="4408">
      <c r="A4408" s="7" t="inlineStr">
        <is>
          <t>ORD-01514</t>
        </is>
      </c>
      <c r="B4408" s="8" t="n">
        <v>45813</v>
      </c>
      <c r="C4408" s="9" t="n">
        <v>45809</v>
      </c>
      <c r="D4408" s="7" t="n">
        <v>2025</v>
      </c>
      <c r="E4408" s="7" t="inlineStr">
        <is>
          <t>South</t>
        </is>
      </c>
      <c r="F4408" s="7" t="inlineStr">
        <is>
          <t>Office Supplies</t>
        </is>
      </c>
      <c r="G4408" s="7" t="inlineStr">
        <is>
          <t>Pens</t>
        </is>
      </c>
      <c r="H4408" s="7" t="inlineStr">
        <is>
          <t>Corporate</t>
        </is>
      </c>
      <c r="I4408" s="7" t="n">
        <v>14</v>
      </c>
      <c r="J4408" s="10" t="n">
        <v>12.54</v>
      </c>
      <c r="K4408" s="11" t="n">
        <v>0.1</v>
      </c>
      <c r="L4408" s="10">
        <f>I4408*J4408*(1-K4408)</f>
        <v/>
      </c>
      <c r="M4408" s="10" t="n">
        <v>75.59999999999999</v>
      </c>
      <c r="N4408" s="10">
        <f>L4408-M4408</f>
        <v/>
      </c>
    </row>
    <row r="4409">
      <c r="A4409" s="7" t="inlineStr">
        <is>
          <t>ORD-04402</t>
        </is>
      </c>
      <c r="B4409" s="8" t="n">
        <v>45813</v>
      </c>
      <c r="C4409" s="9" t="n">
        <v>45809</v>
      </c>
      <c r="D4409" s="7" t="n">
        <v>2025</v>
      </c>
      <c r="E4409" s="7" t="inlineStr">
        <is>
          <t>West</t>
        </is>
      </c>
      <c r="F4409" s="7" t="inlineStr">
        <is>
          <t>Office Supplies</t>
        </is>
      </c>
      <c r="G4409" s="7" t="inlineStr">
        <is>
          <t>Paper</t>
        </is>
      </c>
      <c r="H4409" s="7" t="inlineStr">
        <is>
          <t>Consumer</t>
        </is>
      </c>
      <c r="I4409" s="7" t="n">
        <v>13</v>
      </c>
      <c r="J4409" s="10" t="n">
        <v>25.65</v>
      </c>
      <c r="K4409" s="11" t="n">
        <v>0</v>
      </c>
      <c r="L4409" s="10">
        <f>I4409*J4409*(1-K4409)</f>
        <v/>
      </c>
      <c r="M4409" s="10" t="n">
        <v>162.5</v>
      </c>
      <c r="N4409" s="10">
        <f>L4409-M4409</f>
        <v/>
      </c>
    </row>
    <row r="4410">
      <c r="A4410" s="7" t="inlineStr">
        <is>
          <t>ORD-03216</t>
        </is>
      </c>
      <c r="B4410" s="8" t="n">
        <v>45814</v>
      </c>
      <c r="C4410" s="9" t="n">
        <v>45809</v>
      </c>
      <c r="D4410" s="7" t="n">
        <v>2025</v>
      </c>
      <c r="E4410" s="7" t="inlineStr">
        <is>
          <t>South</t>
        </is>
      </c>
      <c r="F4410" s="7" t="inlineStr">
        <is>
          <t>Office Supplies</t>
        </is>
      </c>
      <c r="G4410" s="7" t="inlineStr">
        <is>
          <t>Pens</t>
        </is>
      </c>
      <c r="H4410" s="7" t="inlineStr">
        <is>
          <t>Consumer</t>
        </is>
      </c>
      <c r="I4410" s="7" t="n">
        <v>15</v>
      </c>
      <c r="J4410" s="10" t="n">
        <v>11.55</v>
      </c>
      <c r="K4410" s="11" t="n">
        <v>0.1</v>
      </c>
      <c r="L4410" s="10">
        <f>I4410*J4410*(1-K4410)</f>
        <v/>
      </c>
      <c r="M4410" s="10" t="n">
        <v>81</v>
      </c>
      <c r="N4410" s="10">
        <f>L4410-M4410</f>
        <v/>
      </c>
    </row>
    <row r="4411">
      <c r="A4411" s="7" t="inlineStr">
        <is>
          <t>ORD-02235</t>
        </is>
      </c>
      <c r="B4411" s="8" t="n">
        <v>45814</v>
      </c>
      <c r="C4411" s="9" t="n">
        <v>45809</v>
      </c>
      <c r="D4411" s="7" t="n">
        <v>2025</v>
      </c>
      <c r="E4411" s="7" t="inlineStr">
        <is>
          <t>North</t>
        </is>
      </c>
      <c r="F4411" s="7" t="inlineStr">
        <is>
          <t>Technology</t>
        </is>
      </c>
      <c r="G4411" s="7" t="inlineStr">
        <is>
          <t>Keyboard</t>
        </is>
      </c>
      <c r="H4411" s="7" t="inlineStr">
        <is>
          <t>Consumer</t>
        </is>
      </c>
      <c r="I4411" s="7" t="n">
        <v>3</v>
      </c>
      <c r="J4411" s="10" t="n">
        <v>43.79</v>
      </c>
      <c r="K4411" s="11" t="n">
        <v>0</v>
      </c>
      <c r="L4411" s="10">
        <f>I4411*J4411*(1-K4411)</f>
        <v/>
      </c>
      <c r="M4411" s="10" t="n">
        <v>74.25</v>
      </c>
      <c r="N4411" s="10">
        <f>L4411-M4411</f>
        <v/>
      </c>
    </row>
    <row r="4412">
      <c r="A4412" s="7" t="inlineStr">
        <is>
          <t>ORD-00180</t>
        </is>
      </c>
      <c r="B4412" s="8" t="n">
        <v>45814</v>
      </c>
      <c r="C4412" s="9" t="n">
        <v>45809</v>
      </c>
      <c r="D4412" s="7" t="n">
        <v>2025</v>
      </c>
      <c r="E4412" s="7" t="inlineStr">
        <is>
          <t>East</t>
        </is>
      </c>
      <c r="F4412" s="7" t="inlineStr">
        <is>
          <t>Office Supplies</t>
        </is>
      </c>
      <c r="G4412" s="7" t="inlineStr">
        <is>
          <t>Pens</t>
        </is>
      </c>
      <c r="H4412" s="7" t="inlineStr">
        <is>
          <t>Consumer</t>
        </is>
      </c>
      <c r="I4412" s="7" t="n">
        <v>4</v>
      </c>
      <c r="J4412" s="10" t="n">
        <v>11.65</v>
      </c>
      <c r="K4412" s="11" t="n">
        <v>0</v>
      </c>
      <c r="L4412" s="10">
        <f>I4412*J4412*(1-K4412)</f>
        <v/>
      </c>
      <c r="M4412" s="10" t="n">
        <v>21.6</v>
      </c>
      <c r="N4412" s="10">
        <f>L4412-M4412</f>
        <v/>
      </c>
    </row>
    <row r="4413">
      <c r="A4413" s="7" t="inlineStr">
        <is>
          <t>ORD-02859</t>
        </is>
      </c>
      <c r="B4413" s="8" t="n">
        <v>45814</v>
      </c>
      <c r="C4413" s="9" t="n">
        <v>45809</v>
      </c>
      <c r="D4413" s="7" t="n">
        <v>2025</v>
      </c>
      <c r="E4413" s="7" t="inlineStr">
        <is>
          <t>West</t>
        </is>
      </c>
      <c r="F4413" s="7" t="inlineStr">
        <is>
          <t>Technology</t>
        </is>
      </c>
      <c r="G4413" s="7" t="inlineStr">
        <is>
          <t>Monitor</t>
        </is>
      </c>
      <c r="H4413" s="7" t="inlineStr">
        <is>
          <t>Consumer</t>
        </is>
      </c>
      <c r="I4413" s="7" t="n">
        <v>3</v>
      </c>
      <c r="J4413" s="10" t="n">
        <v>238.68</v>
      </c>
      <c r="K4413" s="11" t="n">
        <v>0.1</v>
      </c>
      <c r="L4413" s="10">
        <f>I4413*J4413*(1-K4413)</f>
        <v/>
      </c>
      <c r="M4413" s="10" t="n">
        <v>540</v>
      </c>
      <c r="N4413" s="10">
        <f>L4413-M4413</f>
        <v/>
      </c>
    </row>
    <row r="4414">
      <c r="A4414" s="7" t="inlineStr">
        <is>
          <t>ORD-01538</t>
        </is>
      </c>
      <c r="B4414" s="8" t="n">
        <v>45814</v>
      </c>
      <c r="C4414" s="9" t="n">
        <v>45809</v>
      </c>
      <c r="D4414" s="7" t="n">
        <v>2025</v>
      </c>
      <c r="E4414" s="7" t="inlineStr">
        <is>
          <t>North</t>
        </is>
      </c>
      <c r="F4414" s="7" t="inlineStr">
        <is>
          <t>Furniture</t>
        </is>
      </c>
      <c r="G4414" s="7" t="inlineStr">
        <is>
          <t>Office Chair</t>
        </is>
      </c>
      <c r="H4414" s="7" t="inlineStr">
        <is>
          <t>Home Office</t>
        </is>
      </c>
      <c r="I4414" s="7" t="n">
        <v>3</v>
      </c>
      <c r="J4414" s="10" t="n">
        <v>229.88</v>
      </c>
      <c r="K4414" s="11" t="n">
        <v>0.3</v>
      </c>
      <c r="L4414" s="10">
        <f>I4414*J4414*(1-K4414)</f>
        <v/>
      </c>
      <c r="M4414" s="10" t="n">
        <v>541.2</v>
      </c>
      <c r="N4414" s="10">
        <f>L4414-M4414</f>
        <v/>
      </c>
    </row>
    <row r="4415">
      <c r="A4415" s="7" t="inlineStr">
        <is>
          <t>ORD-04788</t>
        </is>
      </c>
      <c r="B4415" s="8" t="n">
        <v>45815</v>
      </c>
      <c r="C4415" s="9" t="n">
        <v>45809</v>
      </c>
      <c r="D4415" s="7" t="n">
        <v>2025</v>
      </c>
      <c r="E4415" s="7" t="inlineStr">
        <is>
          <t>West</t>
        </is>
      </c>
      <c r="F4415" s="7" t="inlineStr">
        <is>
          <t>Furniture</t>
        </is>
      </c>
      <c r="G4415" s="7" t="inlineStr">
        <is>
          <t>Bookcase</t>
        </is>
      </c>
      <c r="H4415" s="7" t="inlineStr">
        <is>
          <t>Consumer</t>
        </is>
      </c>
      <c r="I4415" s="7" t="n">
        <v>3</v>
      </c>
      <c r="J4415" s="10" t="n">
        <v>183.27</v>
      </c>
      <c r="K4415" s="11" t="n">
        <v>0</v>
      </c>
      <c r="L4415" s="10">
        <f>I4415*J4415*(1-K4415)</f>
        <v/>
      </c>
      <c r="M4415" s="10" t="n">
        <v>432</v>
      </c>
      <c r="N4415" s="10">
        <f>L4415-M4415</f>
        <v/>
      </c>
    </row>
    <row r="4416">
      <c r="A4416" s="7" t="inlineStr">
        <is>
          <t>ORD-04917</t>
        </is>
      </c>
      <c r="B4416" s="8" t="n">
        <v>45815</v>
      </c>
      <c r="C4416" s="9" t="n">
        <v>45809</v>
      </c>
      <c r="D4416" s="7" t="n">
        <v>2025</v>
      </c>
      <c r="E4416" s="7" t="inlineStr">
        <is>
          <t>East</t>
        </is>
      </c>
      <c r="F4416" s="7" t="inlineStr">
        <is>
          <t>Office Supplies</t>
        </is>
      </c>
      <c r="G4416" s="7" t="inlineStr">
        <is>
          <t>Printer Ink</t>
        </is>
      </c>
      <c r="H4416" s="7" t="inlineStr">
        <is>
          <t>Consumer</t>
        </is>
      </c>
      <c r="I4416" s="7" t="n">
        <v>4</v>
      </c>
      <c r="J4416" s="10" t="n">
        <v>62.7</v>
      </c>
      <c r="K4416" s="11" t="n">
        <v>0</v>
      </c>
      <c r="L4416" s="10">
        <f>I4416*J4416*(1-K4416)</f>
        <v/>
      </c>
      <c r="M4416" s="10" t="n">
        <v>144</v>
      </c>
      <c r="N4416" s="10">
        <f>L4416-M4416</f>
        <v/>
      </c>
    </row>
    <row r="4417">
      <c r="A4417" s="7" t="inlineStr">
        <is>
          <t>ORD-01884</t>
        </is>
      </c>
      <c r="B4417" s="8" t="n">
        <v>45815</v>
      </c>
      <c r="C4417" s="9" t="n">
        <v>45809</v>
      </c>
      <c r="D4417" s="7" t="n">
        <v>2025</v>
      </c>
      <c r="E4417" s="7" t="inlineStr">
        <is>
          <t>South</t>
        </is>
      </c>
      <c r="F4417" s="7" t="inlineStr">
        <is>
          <t>Office Supplies</t>
        </is>
      </c>
      <c r="G4417" s="7" t="inlineStr">
        <is>
          <t>Paper</t>
        </is>
      </c>
      <c r="H4417" s="7" t="inlineStr">
        <is>
          <t>Consumer</t>
        </is>
      </c>
      <c r="I4417" s="7" t="n">
        <v>9</v>
      </c>
      <c r="J4417" s="10" t="n">
        <v>24.21</v>
      </c>
      <c r="K4417" s="11" t="n">
        <v>0.2</v>
      </c>
      <c r="L4417" s="10">
        <f>I4417*J4417*(1-K4417)</f>
        <v/>
      </c>
      <c r="M4417" s="10" t="n">
        <v>112.5</v>
      </c>
      <c r="N4417" s="10">
        <f>L4417-M4417</f>
        <v/>
      </c>
    </row>
    <row r="4418">
      <c r="A4418" s="7" t="inlineStr">
        <is>
          <t>ORD-01022</t>
        </is>
      </c>
      <c r="B4418" s="8" t="n">
        <v>45815</v>
      </c>
      <c r="C4418" s="9" t="n">
        <v>45809</v>
      </c>
      <c r="D4418" s="7" t="n">
        <v>2025</v>
      </c>
      <c r="E4418" s="7" t="inlineStr">
        <is>
          <t>North</t>
        </is>
      </c>
      <c r="F4418" s="7" t="inlineStr">
        <is>
          <t>Office Supplies</t>
        </is>
      </c>
      <c r="G4418" s="7" t="inlineStr">
        <is>
          <t>Paper</t>
        </is>
      </c>
      <c r="H4418" s="7" t="inlineStr">
        <is>
          <t>Consumer</t>
        </is>
      </c>
      <c r="I4418" s="7" t="n">
        <v>11</v>
      </c>
      <c r="J4418" s="10" t="n">
        <v>25.89</v>
      </c>
      <c r="K4418" s="11" t="n">
        <v>0.05</v>
      </c>
      <c r="L4418" s="10">
        <f>I4418*J4418*(1-K4418)</f>
        <v/>
      </c>
      <c r="M4418" s="10" t="n">
        <v>137.5</v>
      </c>
      <c r="N4418" s="10">
        <f>L4418-M4418</f>
        <v/>
      </c>
    </row>
    <row r="4419">
      <c r="A4419" s="7" t="inlineStr">
        <is>
          <t>ORD-03045</t>
        </is>
      </c>
      <c r="B4419" s="8" t="n">
        <v>45815</v>
      </c>
      <c r="C4419" s="9" t="n">
        <v>45809</v>
      </c>
      <c r="D4419" s="7" t="n">
        <v>2025</v>
      </c>
      <c r="E4419" s="7" t="inlineStr">
        <is>
          <t>West</t>
        </is>
      </c>
      <c r="F4419" s="7" t="inlineStr">
        <is>
          <t>Office Supplies</t>
        </is>
      </c>
      <c r="G4419" s="7" t="inlineStr">
        <is>
          <t>Pens</t>
        </is>
      </c>
      <c r="H4419" s="7" t="inlineStr">
        <is>
          <t>Corporate</t>
        </is>
      </c>
      <c r="I4419" s="7" t="n">
        <v>8</v>
      </c>
      <c r="J4419" s="10" t="n">
        <v>12.4</v>
      </c>
      <c r="K4419" s="11" t="n">
        <v>0</v>
      </c>
      <c r="L4419" s="10">
        <f>I4419*J4419*(1-K4419)</f>
        <v/>
      </c>
      <c r="M4419" s="10" t="n">
        <v>43.2</v>
      </c>
      <c r="N4419" s="10">
        <f>L4419-M4419</f>
        <v/>
      </c>
    </row>
    <row r="4420">
      <c r="A4420" s="7" t="inlineStr">
        <is>
          <t>ORD-01147</t>
        </is>
      </c>
      <c r="B4420" s="8" t="n">
        <v>45815</v>
      </c>
      <c r="C4420" s="9" t="n">
        <v>45809</v>
      </c>
      <c r="D4420" s="7" t="n">
        <v>2025</v>
      </c>
      <c r="E4420" s="7" t="inlineStr">
        <is>
          <t>East</t>
        </is>
      </c>
      <c r="F4420" s="7" t="inlineStr">
        <is>
          <t>Office Supplies</t>
        </is>
      </c>
      <c r="G4420" s="7" t="inlineStr">
        <is>
          <t>Binder</t>
        </is>
      </c>
      <c r="H4420" s="7" t="inlineStr">
        <is>
          <t>Home Office</t>
        </is>
      </c>
      <c r="I4420" s="7" t="n">
        <v>7</v>
      </c>
      <c r="J4420" s="10" t="n">
        <v>8.199999999999999</v>
      </c>
      <c r="K4420" s="11" t="n">
        <v>0.05</v>
      </c>
      <c r="L4420" s="10">
        <f>I4420*J4420*(1-K4420)</f>
        <v/>
      </c>
      <c r="M4420" s="10" t="n">
        <v>22.4</v>
      </c>
      <c r="N4420" s="10">
        <f>L4420-M4420</f>
        <v/>
      </c>
    </row>
    <row r="4421">
      <c r="A4421" s="7" t="inlineStr">
        <is>
          <t>ORD-05348</t>
        </is>
      </c>
      <c r="B4421" s="8" t="n">
        <v>45815</v>
      </c>
      <c r="C4421" s="9" t="n">
        <v>45809</v>
      </c>
      <c r="D4421" s="7" t="n">
        <v>2025</v>
      </c>
      <c r="E4421" s="7" t="inlineStr">
        <is>
          <t>West</t>
        </is>
      </c>
      <c r="F4421" s="7" t="inlineStr">
        <is>
          <t>Office Supplies</t>
        </is>
      </c>
      <c r="G4421" s="7" t="inlineStr">
        <is>
          <t>Stapler</t>
        </is>
      </c>
      <c r="H4421" s="7" t="inlineStr">
        <is>
          <t>Consumer</t>
        </is>
      </c>
      <c r="I4421" s="7" t="n">
        <v>11</v>
      </c>
      <c r="J4421" s="10" t="n">
        <v>15.01</v>
      </c>
      <c r="K4421" s="11" t="n">
        <v>0.05</v>
      </c>
      <c r="L4421" s="10">
        <f>I4421*J4421*(1-K4421)</f>
        <v/>
      </c>
      <c r="M4421" s="10" t="n">
        <v>82.5</v>
      </c>
      <c r="N4421" s="10">
        <f>L4421-M4421</f>
        <v/>
      </c>
    </row>
    <row r="4422">
      <c r="A4422" s="7" t="inlineStr">
        <is>
          <t>ORD-01683</t>
        </is>
      </c>
      <c r="B4422" s="8" t="n">
        <v>45815</v>
      </c>
      <c r="C4422" s="9" t="n">
        <v>45809</v>
      </c>
      <c r="D4422" s="7" t="n">
        <v>2025</v>
      </c>
      <c r="E4422" s="7" t="inlineStr">
        <is>
          <t>East</t>
        </is>
      </c>
      <c r="F4422" s="7" t="inlineStr">
        <is>
          <t>Office Supplies</t>
        </is>
      </c>
      <c r="G4422" s="7" t="inlineStr">
        <is>
          <t>Paper</t>
        </is>
      </c>
      <c r="H4422" s="7" t="inlineStr">
        <is>
          <t>Consumer</t>
        </is>
      </c>
      <c r="I4422" s="7" t="n">
        <v>11</v>
      </c>
      <c r="J4422" s="10" t="n">
        <v>23.83</v>
      </c>
      <c r="K4422" s="11" t="n">
        <v>0</v>
      </c>
      <c r="L4422" s="10">
        <f>I4422*J4422*(1-K4422)</f>
        <v/>
      </c>
      <c r="M4422" s="10" t="n">
        <v>137.5</v>
      </c>
      <c r="N4422" s="10">
        <f>L4422-M4422</f>
        <v/>
      </c>
    </row>
    <row r="4423">
      <c r="A4423" s="7" t="inlineStr">
        <is>
          <t>ORD-05695</t>
        </is>
      </c>
      <c r="B4423" s="8" t="n">
        <v>45815</v>
      </c>
      <c r="C4423" s="9" t="n">
        <v>45809</v>
      </c>
      <c r="D4423" s="7" t="n">
        <v>2025</v>
      </c>
      <c r="E4423" s="7" t="inlineStr">
        <is>
          <t>West</t>
        </is>
      </c>
      <c r="F4423" s="7" t="inlineStr">
        <is>
          <t>Office Supplies</t>
        </is>
      </c>
      <c r="G4423" s="7" t="inlineStr">
        <is>
          <t>Binder</t>
        </is>
      </c>
      <c r="H4423" s="7" t="inlineStr">
        <is>
          <t>Consumer</t>
        </is>
      </c>
      <c r="I4423" s="7" t="n">
        <v>3</v>
      </c>
      <c r="J4423" s="10" t="n">
        <v>8.26</v>
      </c>
      <c r="K4423" s="11" t="n">
        <v>0.1</v>
      </c>
      <c r="L4423" s="10">
        <f>I4423*J4423*(1-K4423)</f>
        <v/>
      </c>
      <c r="M4423" s="10" t="n">
        <v>9.6</v>
      </c>
      <c r="N4423" s="10">
        <f>L4423-M4423</f>
        <v/>
      </c>
    </row>
    <row r="4424">
      <c r="A4424" s="7" t="inlineStr">
        <is>
          <t>ORD-03486</t>
        </is>
      </c>
      <c r="B4424" s="8" t="n">
        <v>45816</v>
      </c>
      <c r="C4424" s="9" t="n">
        <v>45809</v>
      </c>
      <c r="D4424" s="7" t="n">
        <v>2025</v>
      </c>
      <c r="E4424" s="7" t="inlineStr">
        <is>
          <t>West</t>
        </is>
      </c>
      <c r="F4424" s="7" t="inlineStr">
        <is>
          <t>Office Supplies</t>
        </is>
      </c>
      <c r="G4424" s="7" t="inlineStr">
        <is>
          <t>Binder</t>
        </is>
      </c>
      <c r="H4424" s="7" t="inlineStr">
        <is>
          <t>Home Office</t>
        </is>
      </c>
      <c r="I4424" s="7" t="n">
        <v>3</v>
      </c>
      <c r="J4424" s="10" t="n">
        <v>8.390000000000001</v>
      </c>
      <c r="K4424" s="11" t="n">
        <v>0</v>
      </c>
      <c r="L4424" s="10">
        <f>I4424*J4424*(1-K4424)</f>
        <v/>
      </c>
      <c r="M4424" s="10" t="n">
        <v>9.6</v>
      </c>
      <c r="N4424" s="10">
        <f>L4424-M4424</f>
        <v/>
      </c>
    </row>
    <row r="4425">
      <c r="A4425" s="7" t="inlineStr">
        <is>
          <t>ORD-01176</t>
        </is>
      </c>
      <c r="B4425" s="8" t="n">
        <v>45816</v>
      </c>
      <c r="C4425" s="9" t="n">
        <v>45809</v>
      </c>
      <c r="D4425" s="7" t="n">
        <v>2025</v>
      </c>
      <c r="E4425" s="7" t="inlineStr">
        <is>
          <t>West</t>
        </is>
      </c>
      <c r="F4425" s="7" t="inlineStr">
        <is>
          <t>Technology</t>
        </is>
      </c>
      <c r="G4425" s="7" t="inlineStr">
        <is>
          <t>Keyboard</t>
        </is>
      </c>
      <c r="H4425" s="7" t="inlineStr">
        <is>
          <t>Consumer</t>
        </is>
      </c>
      <c r="I4425" s="7" t="n">
        <v>1</v>
      </c>
      <c r="J4425" s="10" t="n">
        <v>44.91</v>
      </c>
      <c r="K4425" s="11" t="n">
        <v>0</v>
      </c>
      <c r="L4425" s="10">
        <f>I4425*J4425*(1-K4425)</f>
        <v/>
      </c>
      <c r="M4425" s="10" t="n">
        <v>24.75</v>
      </c>
      <c r="N4425" s="10">
        <f>L4425-M4425</f>
        <v/>
      </c>
    </row>
    <row r="4426">
      <c r="A4426" s="7" t="inlineStr">
        <is>
          <t>ORD-00617</t>
        </is>
      </c>
      <c r="B4426" s="8" t="n">
        <v>45816</v>
      </c>
      <c r="C4426" s="9" t="n">
        <v>45809</v>
      </c>
      <c r="D4426" s="7" t="n">
        <v>2025</v>
      </c>
      <c r="E4426" s="7" t="inlineStr">
        <is>
          <t>East</t>
        </is>
      </c>
      <c r="F4426" s="7" t="inlineStr">
        <is>
          <t>Technology</t>
        </is>
      </c>
      <c r="G4426" s="7" t="inlineStr">
        <is>
          <t>Laptop</t>
        </is>
      </c>
      <c r="H4426" s="7" t="inlineStr">
        <is>
          <t>Corporate</t>
        </is>
      </c>
      <c r="I4426" s="7" t="n">
        <v>1</v>
      </c>
      <c r="J4426" s="10" t="n">
        <v>869.22</v>
      </c>
      <c r="K4426" s="11" t="n">
        <v>0.1</v>
      </c>
      <c r="L4426" s="10">
        <f>I4426*J4426*(1-K4426)</f>
        <v/>
      </c>
      <c r="M4426" s="10" t="n">
        <v>702</v>
      </c>
      <c r="N4426" s="10">
        <f>L4426-M4426</f>
        <v/>
      </c>
    </row>
    <row r="4427">
      <c r="A4427" s="7" t="inlineStr">
        <is>
          <t>ORD-01733</t>
        </is>
      </c>
      <c r="B4427" s="8" t="n">
        <v>45816</v>
      </c>
      <c r="C4427" s="9" t="n">
        <v>45809</v>
      </c>
      <c r="D4427" s="7" t="n">
        <v>2025</v>
      </c>
      <c r="E4427" s="7" t="inlineStr">
        <is>
          <t>East</t>
        </is>
      </c>
      <c r="F4427" s="7" t="inlineStr">
        <is>
          <t>Furniture</t>
        </is>
      </c>
      <c r="G4427" s="7" t="inlineStr">
        <is>
          <t>Office Chair</t>
        </is>
      </c>
      <c r="H4427" s="7" t="inlineStr">
        <is>
          <t>Consumer</t>
        </is>
      </c>
      <c r="I4427" s="7" t="n">
        <v>4</v>
      </c>
      <c r="J4427" s="10" t="n">
        <v>218.57</v>
      </c>
      <c r="K4427" s="11" t="n">
        <v>0</v>
      </c>
      <c r="L4427" s="10">
        <f>I4427*J4427*(1-K4427)</f>
        <v/>
      </c>
      <c r="M4427" s="10" t="n">
        <v>721.6</v>
      </c>
      <c r="N4427" s="10">
        <f>L4427-M4427</f>
        <v/>
      </c>
    </row>
    <row r="4428">
      <c r="A4428" s="7" t="inlineStr">
        <is>
          <t>ORD-02267</t>
        </is>
      </c>
      <c r="B4428" s="8" t="n">
        <v>45817</v>
      </c>
      <c r="C4428" s="9" t="n">
        <v>45809</v>
      </c>
      <c r="D4428" s="7" t="n">
        <v>2025</v>
      </c>
      <c r="E4428" s="7" t="inlineStr">
        <is>
          <t>North</t>
        </is>
      </c>
      <c r="F4428" s="7" t="inlineStr">
        <is>
          <t>Technology</t>
        </is>
      </c>
      <c r="G4428" s="7" t="inlineStr">
        <is>
          <t>Smartphone</t>
        </is>
      </c>
      <c r="H4428" s="7" t="inlineStr">
        <is>
          <t>Home Office</t>
        </is>
      </c>
      <c r="I4428" s="7" t="n">
        <v>2</v>
      </c>
      <c r="J4428" s="10" t="n">
        <v>574.87</v>
      </c>
      <c r="K4428" s="11" t="n">
        <v>0</v>
      </c>
      <c r="L4428" s="10">
        <f>I4428*J4428*(1-K4428)</f>
        <v/>
      </c>
      <c r="M4428" s="10" t="n">
        <v>900</v>
      </c>
      <c r="N4428" s="10">
        <f>L4428-M4428</f>
        <v/>
      </c>
    </row>
    <row r="4429">
      <c r="A4429" s="7" t="inlineStr">
        <is>
          <t>ORD-00992</t>
        </is>
      </c>
      <c r="B4429" s="8" t="n">
        <v>45817</v>
      </c>
      <c r="C4429" s="9" t="n">
        <v>45809</v>
      </c>
      <c r="D4429" s="7" t="n">
        <v>2025</v>
      </c>
      <c r="E4429" s="7" t="inlineStr">
        <is>
          <t>West</t>
        </is>
      </c>
      <c r="F4429" s="7" t="inlineStr">
        <is>
          <t>Office Supplies</t>
        </is>
      </c>
      <c r="G4429" s="7" t="inlineStr">
        <is>
          <t>Paper</t>
        </is>
      </c>
      <c r="H4429" s="7" t="inlineStr">
        <is>
          <t>Consumer</t>
        </is>
      </c>
      <c r="I4429" s="7" t="n">
        <v>12</v>
      </c>
      <c r="J4429" s="10" t="n">
        <v>24.63</v>
      </c>
      <c r="K4429" s="11" t="n">
        <v>0.1</v>
      </c>
      <c r="L4429" s="10">
        <f>I4429*J4429*(1-K4429)</f>
        <v/>
      </c>
      <c r="M4429" s="10" t="n">
        <v>150</v>
      </c>
      <c r="N4429" s="10">
        <f>L4429-M4429</f>
        <v/>
      </c>
    </row>
    <row r="4430">
      <c r="A4430" s="7" t="inlineStr">
        <is>
          <t>ORD-01181</t>
        </is>
      </c>
      <c r="B4430" s="8" t="n">
        <v>45817</v>
      </c>
      <c r="C4430" s="9" t="n">
        <v>45809</v>
      </c>
      <c r="D4430" s="7" t="n">
        <v>2025</v>
      </c>
      <c r="E4430" s="7" t="inlineStr">
        <is>
          <t>West</t>
        </is>
      </c>
      <c r="F4430" s="7" t="inlineStr">
        <is>
          <t>Office Supplies</t>
        </is>
      </c>
      <c r="G4430" s="7" t="inlineStr">
        <is>
          <t>Binder</t>
        </is>
      </c>
      <c r="H4430" s="7" t="inlineStr">
        <is>
          <t>Consumer</t>
        </is>
      </c>
      <c r="I4430" s="7" t="n">
        <v>4</v>
      </c>
      <c r="J4430" s="10" t="n">
        <v>8.01</v>
      </c>
      <c r="K4430" s="11" t="n">
        <v>0.1</v>
      </c>
      <c r="L4430" s="10">
        <f>I4430*J4430*(1-K4430)</f>
        <v/>
      </c>
      <c r="M4430" s="10" t="n">
        <v>12.8</v>
      </c>
      <c r="N4430" s="10">
        <f>L4430-M4430</f>
        <v/>
      </c>
    </row>
    <row r="4431">
      <c r="A4431" s="7" t="inlineStr">
        <is>
          <t>ORD-03010</t>
        </is>
      </c>
      <c r="B4431" s="8" t="n">
        <v>45817</v>
      </c>
      <c r="C4431" s="9" t="n">
        <v>45809</v>
      </c>
      <c r="D4431" s="7" t="n">
        <v>2025</v>
      </c>
      <c r="E4431" s="7" t="inlineStr">
        <is>
          <t>West</t>
        </is>
      </c>
      <c r="F4431" s="7" t="inlineStr">
        <is>
          <t>Office Supplies</t>
        </is>
      </c>
      <c r="G4431" s="7" t="inlineStr">
        <is>
          <t>Pens</t>
        </is>
      </c>
      <c r="H4431" s="7" t="inlineStr">
        <is>
          <t>Consumer</t>
        </is>
      </c>
      <c r="I4431" s="7" t="n">
        <v>8</v>
      </c>
      <c r="J4431" s="10" t="n">
        <v>12.28</v>
      </c>
      <c r="K4431" s="11" t="n">
        <v>0.2</v>
      </c>
      <c r="L4431" s="10">
        <f>I4431*J4431*(1-K4431)</f>
        <v/>
      </c>
      <c r="M4431" s="10" t="n">
        <v>43.2</v>
      </c>
      <c r="N4431" s="10">
        <f>L4431-M4431</f>
        <v/>
      </c>
    </row>
    <row r="4432">
      <c r="A4432" s="7" t="inlineStr">
        <is>
          <t>ORD-02573</t>
        </is>
      </c>
      <c r="B4432" s="8" t="n">
        <v>45817</v>
      </c>
      <c r="C4432" s="9" t="n">
        <v>45809</v>
      </c>
      <c r="D4432" s="7" t="n">
        <v>2025</v>
      </c>
      <c r="E4432" s="7" t="inlineStr">
        <is>
          <t>South</t>
        </is>
      </c>
      <c r="F4432" s="7" t="inlineStr">
        <is>
          <t>Office Supplies</t>
        </is>
      </c>
      <c r="G4432" s="7" t="inlineStr">
        <is>
          <t>Paper</t>
        </is>
      </c>
      <c r="H4432" s="7" t="inlineStr">
        <is>
          <t>Consumer</t>
        </is>
      </c>
      <c r="I4432" s="7" t="n">
        <v>2</v>
      </c>
      <c r="J4432" s="10" t="n">
        <v>26.04</v>
      </c>
      <c r="K4432" s="11" t="n">
        <v>0</v>
      </c>
      <c r="L4432" s="10">
        <f>I4432*J4432*(1-K4432)</f>
        <v/>
      </c>
      <c r="M4432" s="10" t="n">
        <v>25</v>
      </c>
      <c r="N4432" s="10">
        <f>L4432-M4432</f>
        <v/>
      </c>
    </row>
    <row r="4433">
      <c r="A4433" s="7" t="inlineStr">
        <is>
          <t>ORD-04206</t>
        </is>
      </c>
      <c r="B4433" s="8" t="n">
        <v>45817</v>
      </c>
      <c r="C4433" s="9" t="n">
        <v>45809</v>
      </c>
      <c r="D4433" s="7" t="n">
        <v>2025</v>
      </c>
      <c r="E4433" s="7" t="inlineStr">
        <is>
          <t>East</t>
        </is>
      </c>
      <c r="F4433" s="7" t="inlineStr">
        <is>
          <t>Office Supplies</t>
        </is>
      </c>
      <c r="G4433" s="7" t="inlineStr">
        <is>
          <t>Pens</t>
        </is>
      </c>
      <c r="H4433" s="7" t="inlineStr">
        <is>
          <t>Corporate</t>
        </is>
      </c>
      <c r="I4433" s="7" t="n">
        <v>6</v>
      </c>
      <c r="J4433" s="10" t="n">
        <v>11.57</v>
      </c>
      <c r="K4433" s="11" t="n">
        <v>0</v>
      </c>
      <c r="L4433" s="10">
        <f>I4433*J4433*(1-K4433)</f>
        <v/>
      </c>
      <c r="M4433" s="10" t="n">
        <v>32.4</v>
      </c>
      <c r="N4433" s="10">
        <f>L4433-M4433</f>
        <v/>
      </c>
    </row>
    <row r="4434">
      <c r="A4434" s="7" t="inlineStr">
        <is>
          <t>ORD-03465</t>
        </is>
      </c>
      <c r="B4434" s="8" t="n">
        <v>45817</v>
      </c>
      <c r="C4434" s="9" t="n">
        <v>45809</v>
      </c>
      <c r="D4434" s="7" t="n">
        <v>2025</v>
      </c>
      <c r="E4434" s="7" t="inlineStr">
        <is>
          <t>North</t>
        </is>
      </c>
      <c r="F4434" s="7" t="inlineStr">
        <is>
          <t>Technology</t>
        </is>
      </c>
      <c r="G4434" s="7" t="inlineStr">
        <is>
          <t>Monitor</t>
        </is>
      </c>
      <c r="H4434" s="7" t="inlineStr">
        <is>
          <t>Home Office</t>
        </is>
      </c>
      <c r="I4434" s="7" t="n">
        <v>1</v>
      </c>
      <c r="J4434" s="10" t="n">
        <v>239.1</v>
      </c>
      <c r="K4434" s="11" t="n">
        <v>0.05</v>
      </c>
      <c r="L4434" s="10">
        <f>I4434*J4434*(1-K4434)</f>
        <v/>
      </c>
      <c r="M4434" s="10" t="n">
        <v>180</v>
      </c>
      <c r="N4434" s="10">
        <f>L4434-M4434</f>
        <v/>
      </c>
    </row>
    <row r="4435">
      <c r="A4435" s="7" t="inlineStr">
        <is>
          <t>ORD-03754</t>
        </is>
      </c>
      <c r="B4435" s="8" t="n">
        <v>45817</v>
      </c>
      <c r="C4435" s="9" t="n">
        <v>45809</v>
      </c>
      <c r="D4435" s="7" t="n">
        <v>2025</v>
      </c>
      <c r="E4435" s="7" t="inlineStr">
        <is>
          <t>West</t>
        </is>
      </c>
      <c r="F4435" s="7" t="inlineStr">
        <is>
          <t>Technology</t>
        </is>
      </c>
      <c r="G4435" s="7" t="inlineStr">
        <is>
          <t>Laptop</t>
        </is>
      </c>
      <c r="H4435" s="7" t="inlineStr">
        <is>
          <t>Corporate</t>
        </is>
      </c>
      <c r="I4435" s="7" t="n">
        <v>3</v>
      </c>
      <c r="J4435" s="10" t="n">
        <v>908.51</v>
      </c>
      <c r="K4435" s="11" t="n">
        <v>0.05</v>
      </c>
      <c r="L4435" s="10">
        <f>I4435*J4435*(1-K4435)</f>
        <v/>
      </c>
      <c r="M4435" s="10" t="n">
        <v>2106</v>
      </c>
      <c r="N4435" s="10">
        <f>L4435-M4435</f>
        <v/>
      </c>
    </row>
    <row r="4436">
      <c r="A4436" s="7" t="inlineStr">
        <is>
          <t>ORD-01174</t>
        </is>
      </c>
      <c r="B4436" s="8" t="n">
        <v>45818</v>
      </c>
      <c r="C4436" s="9" t="n">
        <v>45809</v>
      </c>
      <c r="D4436" s="7" t="n">
        <v>2025</v>
      </c>
      <c r="E4436" s="7" t="inlineStr">
        <is>
          <t>South</t>
        </is>
      </c>
      <c r="F4436" s="7" t="inlineStr">
        <is>
          <t>Furniture</t>
        </is>
      </c>
      <c r="G4436" s="7" t="inlineStr">
        <is>
          <t>Office Chair</t>
        </is>
      </c>
      <c r="H4436" s="7" t="inlineStr">
        <is>
          <t>Consumer</t>
        </is>
      </c>
      <c r="I4436" s="7" t="n">
        <v>2</v>
      </c>
      <c r="J4436" s="10" t="n">
        <v>210.55</v>
      </c>
      <c r="K4436" s="11" t="n">
        <v>0.1</v>
      </c>
      <c r="L4436" s="10">
        <f>I4436*J4436*(1-K4436)</f>
        <v/>
      </c>
      <c r="M4436" s="10" t="n">
        <v>360.8</v>
      </c>
      <c r="N4436" s="10">
        <f>L4436-M4436</f>
        <v/>
      </c>
    </row>
    <row r="4437">
      <c r="A4437" s="7" t="inlineStr">
        <is>
          <t>ORD-01548</t>
        </is>
      </c>
      <c r="B4437" s="8" t="n">
        <v>45818</v>
      </c>
      <c r="C4437" s="9" t="n">
        <v>45809</v>
      </c>
      <c r="D4437" s="7" t="n">
        <v>2025</v>
      </c>
      <c r="E4437" s="7" t="inlineStr">
        <is>
          <t>West</t>
        </is>
      </c>
      <c r="F4437" s="7" t="inlineStr">
        <is>
          <t>Office Supplies</t>
        </is>
      </c>
      <c r="G4437" s="7" t="inlineStr">
        <is>
          <t>Paper</t>
        </is>
      </c>
      <c r="H4437" s="7" t="inlineStr">
        <is>
          <t>Consumer</t>
        </is>
      </c>
      <c r="I4437" s="7" t="n">
        <v>2</v>
      </c>
      <c r="J4437" s="10" t="n">
        <v>26.11</v>
      </c>
      <c r="K4437" s="11" t="n">
        <v>0.05</v>
      </c>
      <c r="L4437" s="10">
        <f>I4437*J4437*(1-K4437)</f>
        <v/>
      </c>
      <c r="M4437" s="10" t="n">
        <v>25</v>
      </c>
      <c r="N4437" s="10">
        <f>L4437-M4437</f>
        <v/>
      </c>
    </row>
    <row r="4438">
      <c r="A4438" s="7" t="inlineStr">
        <is>
          <t>ORD-05536</t>
        </is>
      </c>
      <c r="B4438" s="8" t="n">
        <v>45818</v>
      </c>
      <c r="C4438" s="9" t="n">
        <v>45809</v>
      </c>
      <c r="D4438" s="7" t="n">
        <v>2025</v>
      </c>
      <c r="E4438" s="7" t="inlineStr">
        <is>
          <t>West</t>
        </is>
      </c>
      <c r="F4438" s="7" t="inlineStr">
        <is>
          <t>Office Supplies</t>
        </is>
      </c>
      <c r="G4438" s="7" t="inlineStr">
        <is>
          <t>Pens</t>
        </is>
      </c>
      <c r="H4438" s="7" t="inlineStr">
        <is>
          <t>Corporate</t>
        </is>
      </c>
      <c r="I4438" s="7" t="n">
        <v>10</v>
      </c>
      <c r="J4438" s="10" t="n">
        <v>12.1</v>
      </c>
      <c r="K4438" s="11" t="n">
        <v>0.1</v>
      </c>
      <c r="L4438" s="10">
        <f>I4438*J4438*(1-K4438)</f>
        <v/>
      </c>
      <c r="M4438" s="10" t="n">
        <v>54</v>
      </c>
      <c r="N4438" s="10">
        <f>L4438-M4438</f>
        <v/>
      </c>
    </row>
    <row r="4439">
      <c r="A4439" s="7" t="inlineStr">
        <is>
          <t>ORD-05255</t>
        </is>
      </c>
      <c r="B4439" s="8" t="n">
        <v>45818</v>
      </c>
      <c r="C4439" s="9" t="n">
        <v>45809</v>
      </c>
      <c r="D4439" s="7" t="n">
        <v>2025</v>
      </c>
      <c r="E4439" s="7" t="inlineStr">
        <is>
          <t>East</t>
        </is>
      </c>
      <c r="F4439" s="7" t="inlineStr">
        <is>
          <t>Technology</t>
        </is>
      </c>
      <c r="G4439" s="7" t="inlineStr">
        <is>
          <t>Monitor</t>
        </is>
      </c>
      <c r="H4439" s="7" t="inlineStr">
        <is>
          <t>Corporate</t>
        </is>
      </c>
      <c r="I4439" s="7" t="n">
        <v>2</v>
      </c>
      <c r="J4439" s="10" t="n">
        <v>260.18</v>
      </c>
      <c r="K4439" s="11" t="n">
        <v>0.1</v>
      </c>
      <c r="L4439" s="10">
        <f>I4439*J4439*(1-K4439)</f>
        <v/>
      </c>
      <c r="M4439" s="10" t="n">
        <v>360</v>
      </c>
      <c r="N4439" s="10">
        <f>L4439-M4439</f>
        <v/>
      </c>
    </row>
    <row r="4440">
      <c r="A4440" s="7" t="inlineStr">
        <is>
          <t>ORD-00689</t>
        </is>
      </c>
      <c r="B4440" s="8" t="n">
        <v>45818</v>
      </c>
      <c r="C4440" s="9" t="n">
        <v>45809</v>
      </c>
      <c r="D4440" s="7" t="n">
        <v>2025</v>
      </c>
      <c r="E4440" s="7" t="inlineStr">
        <is>
          <t>East</t>
        </is>
      </c>
      <c r="F4440" s="7" t="inlineStr">
        <is>
          <t>Office Supplies</t>
        </is>
      </c>
      <c r="G4440" s="7" t="inlineStr">
        <is>
          <t>Paper</t>
        </is>
      </c>
      <c r="H4440" s="7" t="inlineStr">
        <is>
          <t>Consumer</t>
        </is>
      </c>
      <c r="I4440" s="7" t="n">
        <v>12</v>
      </c>
      <c r="J4440" s="10" t="n">
        <v>25.57</v>
      </c>
      <c r="K4440" s="11" t="n">
        <v>0.2</v>
      </c>
      <c r="L4440" s="10">
        <f>I4440*J4440*(1-K4440)</f>
        <v/>
      </c>
      <c r="M4440" s="10" t="n">
        <v>150</v>
      </c>
      <c r="N4440" s="10">
        <f>L4440-M4440</f>
        <v/>
      </c>
    </row>
    <row r="4441">
      <c r="A4441" s="7" t="inlineStr">
        <is>
          <t>ORD-05580</t>
        </is>
      </c>
      <c r="B4441" s="8" t="n">
        <v>45818</v>
      </c>
      <c r="C4441" s="9" t="n">
        <v>45809</v>
      </c>
      <c r="D4441" s="7" t="n">
        <v>2025</v>
      </c>
      <c r="E4441" s="7" t="inlineStr">
        <is>
          <t>East</t>
        </is>
      </c>
      <c r="F4441" s="7" t="inlineStr">
        <is>
          <t>Office Supplies</t>
        </is>
      </c>
      <c r="G4441" s="7" t="inlineStr">
        <is>
          <t>Paper</t>
        </is>
      </c>
      <c r="H4441" s="7" t="inlineStr">
        <is>
          <t>Consumer</t>
        </is>
      </c>
      <c r="I4441" s="7" t="n">
        <v>8</v>
      </c>
      <c r="J4441" s="10" t="n">
        <v>25.55</v>
      </c>
      <c r="K4441" s="11" t="n">
        <v>0.05</v>
      </c>
      <c r="L4441" s="10">
        <f>I4441*J4441*(1-K4441)</f>
        <v/>
      </c>
      <c r="M4441" s="10" t="n">
        <v>100</v>
      </c>
      <c r="N4441" s="10">
        <f>L4441-M4441</f>
        <v/>
      </c>
    </row>
    <row r="4442">
      <c r="A4442" s="7" t="inlineStr">
        <is>
          <t>ORD-03695</t>
        </is>
      </c>
      <c r="B4442" s="8" t="n">
        <v>45818</v>
      </c>
      <c r="C4442" s="9" t="n">
        <v>45809</v>
      </c>
      <c r="D4442" s="7" t="n">
        <v>2025</v>
      </c>
      <c r="E4442" s="7" t="inlineStr">
        <is>
          <t>East</t>
        </is>
      </c>
      <c r="F4442" s="7" t="inlineStr">
        <is>
          <t>Office Supplies</t>
        </is>
      </c>
      <c r="G4442" s="7" t="inlineStr">
        <is>
          <t>Paper</t>
        </is>
      </c>
      <c r="H4442" s="7" t="inlineStr">
        <is>
          <t>Home Office</t>
        </is>
      </c>
      <c r="I4442" s="7" t="n">
        <v>4</v>
      </c>
      <c r="J4442" s="10" t="n">
        <v>24.7</v>
      </c>
      <c r="K4442" s="11" t="n">
        <v>0</v>
      </c>
      <c r="L4442" s="10">
        <f>I4442*J4442*(1-K4442)</f>
        <v/>
      </c>
      <c r="M4442" s="10" t="n">
        <v>50</v>
      </c>
      <c r="N4442" s="10">
        <f>L4442-M4442</f>
        <v/>
      </c>
    </row>
    <row r="4443">
      <c r="A4443" s="7" t="inlineStr">
        <is>
          <t>ORD-05352</t>
        </is>
      </c>
      <c r="B4443" s="8" t="n">
        <v>45819</v>
      </c>
      <c r="C4443" s="9" t="n">
        <v>45809</v>
      </c>
      <c r="D4443" s="7" t="n">
        <v>2025</v>
      </c>
      <c r="E4443" s="7" t="inlineStr">
        <is>
          <t>East</t>
        </is>
      </c>
      <c r="F4443" s="7" t="inlineStr">
        <is>
          <t>Technology</t>
        </is>
      </c>
      <c r="G4443" s="7" t="inlineStr">
        <is>
          <t>Monitor</t>
        </is>
      </c>
      <c r="H4443" s="7" t="inlineStr">
        <is>
          <t>Corporate</t>
        </is>
      </c>
      <c r="I4443" s="7" t="n">
        <v>1</v>
      </c>
      <c r="J4443" s="10" t="n">
        <v>237.56</v>
      </c>
      <c r="K4443" s="11" t="n">
        <v>0</v>
      </c>
      <c r="L4443" s="10">
        <f>I4443*J4443*(1-K4443)</f>
        <v/>
      </c>
      <c r="M4443" s="10" t="n">
        <v>180</v>
      </c>
      <c r="N4443" s="10">
        <f>L4443-M4443</f>
        <v/>
      </c>
    </row>
    <row r="4444">
      <c r="A4444" s="7" t="inlineStr">
        <is>
          <t>ORD-02604</t>
        </is>
      </c>
      <c r="B4444" s="8" t="n">
        <v>45819</v>
      </c>
      <c r="C4444" s="9" t="n">
        <v>45809</v>
      </c>
      <c r="D4444" s="7" t="n">
        <v>2025</v>
      </c>
      <c r="E4444" s="7" t="inlineStr">
        <is>
          <t>North</t>
        </is>
      </c>
      <c r="F4444" s="7" t="inlineStr">
        <is>
          <t>Office Supplies</t>
        </is>
      </c>
      <c r="G4444" s="7" t="inlineStr">
        <is>
          <t>Printer Ink</t>
        </is>
      </c>
      <c r="H4444" s="7" t="inlineStr">
        <is>
          <t>Home Office</t>
        </is>
      </c>
      <c r="I4444" s="7" t="n">
        <v>9</v>
      </c>
      <c r="J4444" s="10" t="n">
        <v>58.8</v>
      </c>
      <c r="K4444" s="11" t="n">
        <v>0.05</v>
      </c>
      <c r="L4444" s="10">
        <f>I4444*J4444*(1-K4444)</f>
        <v/>
      </c>
      <c r="M4444" s="10" t="n">
        <v>324</v>
      </c>
      <c r="N4444" s="10">
        <f>L4444-M4444</f>
        <v/>
      </c>
    </row>
    <row r="4445">
      <c r="A4445" s="7" t="inlineStr">
        <is>
          <t>ORD-04042</t>
        </is>
      </c>
      <c r="B4445" s="8" t="n">
        <v>45819</v>
      </c>
      <c r="C4445" s="9" t="n">
        <v>45809</v>
      </c>
      <c r="D4445" s="7" t="n">
        <v>2025</v>
      </c>
      <c r="E4445" s="7" t="inlineStr">
        <is>
          <t>East</t>
        </is>
      </c>
      <c r="F4445" s="7" t="inlineStr">
        <is>
          <t>Furniture</t>
        </is>
      </c>
      <c r="G4445" s="7" t="inlineStr">
        <is>
          <t>Office Chair</t>
        </is>
      </c>
      <c r="H4445" s="7" t="inlineStr">
        <is>
          <t>Consumer</t>
        </is>
      </c>
      <c r="I4445" s="7" t="n">
        <v>3</v>
      </c>
      <c r="J4445" s="10" t="n">
        <v>214.79</v>
      </c>
      <c r="K4445" s="11" t="n">
        <v>0.2</v>
      </c>
      <c r="L4445" s="10">
        <f>I4445*J4445*(1-K4445)</f>
        <v/>
      </c>
      <c r="M4445" s="10" t="n">
        <v>541.2</v>
      </c>
      <c r="N4445" s="10">
        <f>L4445-M4445</f>
        <v/>
      </c>
    </row>
    <row r="4446">
      <c r="A4446" s="7" t="inlineStr">
        <is>
          <t>ORD-00895</t>
        </is>
      </c>
      <c r="B4446" s="8" t="n">
        <v>45819</v>
      </c>
      <c r="C4446" s="9" t="n">
        <v>45809</v>
      </c>
      <c r="D4446" s="7" t="n">
        <v>2025</v>
      </c>
      <c r="E4446" s="7" t="inlineStr">
        <is>
          <t>West</t>
        </is>
      </c>
      <c r="F4446" s="7" t="inlineStr">
        <is>
          <t>Office Supplies</t>
        </is>
      </c>
      <c r="G4446" s="7" t="inlineStr">
        <is>
          <t>Printer Ink</t>
        </is>
      </c>
      <c r="H4446" s="7" t="inlineStr">
        <is>
          <t>Corporate</t>
        </is>
      </c>
      <c r="I4446" s="7" t="n">
        <v>15</v>
      </c>
      <c r="J4446" s="10" t="n">
        <v>61.1</v>
      </c>
      <c r="K4446" s="11" t="n">
        <v>0.05</v>
      </c>
      <c r="L4446" s="10">
        <f>I4446*J4446*(1-K4446)</f>
        <v/>
      </c>
      <c r="M4446" s="10" t="n">
        <v>540</v>
      </c>
      <c r="N4446" s="10">
        <f>L4446-M4446</f>
        <v/>
      </c>
    </row>
    <row r="4447">
      <c r="A4447" s="7" t="inlineStr">
        <is>
          <t>ORD-02403</t>
        </is>
      </c>
      <c r="B4447" s="8" t="n">
        <v>45819</v>
      </c>
      <c r="C4447" s="9" t="n">
        <v>45809</v>
      </c>
      <c r="D4447" s="7" t="n">
        <v>2025</v>
      </c>
      <c r="E4447" s="7" t="inlineStr">
        <is>
          <t>East</t>
        </is>
      </c>
      <c r="F4447" s="7" t="inlineStr">
        <is>
          <t>Technology</t>
        </is>
      </c>
      <c r="G4447" s="7" t="inlineStr">
        <is>
          <t>Laptop</t>
        </is>
      </c>
      <c r="H4447" s="7" t="inlineStr">
        <is>
          <t>Home Office</t>
        </is>
      </c>
      <c r="I4447" s="7" t="n">
        <v>2</v>
      </c>
      <c r="J4447" s="10" t="n">
        <v>925.6900000000001</v>
      </c>
      <c r="K4447" s="11" t="n">
        <v>0.1</v>
      </c>
      <c r="L4447" s="10">
        <f>I4447*J4447*(1-K4447)</f>
        <v/>
      </c>
      <c r="M4447" s="10" t="n">
        <v>1404</v>
      </c>
      <c r="N4447" s="10">
        <f>L4447-M4447</f>
        <v/>
      </c>
    </row>
    <row r="4448">
      <c r="A4448" s="7" t="inlineStr">
        <is>
          <t>ORD-05754</t>
        </is>
      </c>
      <c r="B4448" s="8" t="n">
        <v>45819</v>
      </c>
      <c r="C4448" s="9" t="n">
        <v>45809</v>
      </c>
      <c r="D4448" s="7" t="n">
        <v>2025</v>
      </c>
      <c r="E4448" s="7" t="inlineStr">
        <is>
          <t>East</t>
        </is>
      </c>
      <c r="F4448" s="7" t="inlineStr">
        <is>
          <t>Office Supplies</t>
        </is>
      </c>
      <c r="G4448" s="7" t="inlineStr">
        <is>
          <t>Paper</t>
        </is>
      </c>
      <c r="H4448" s="7" t="inlineStr">
        <is>
          <t>Consumer</t>
        </is>
      </c>
      <c r="I4448" s="7" t="n">
        <v>12</v>
      </c>
      <c r="J4448" s="10" t="n">
        <v>25.19</v>
      </c>
      <c r="K4448" s="11" t="n">
        <v>0</v>
      </c>
      <c r="L4448" s="10">
        <f>I4448*J4448*(1-K4448)</f>
        <v/>
      </c>
      <c r="M4448" s="10" t="n">
        <v>150</v>
      </c>
      <c r="N4448" s="10">
        <f>L4448-M4448</f>
        <v/>
      </c>
    </row>
    <row r="4449">
      <c r="A4449" s="7" t="inlineStr">
        <is>
          <t>ORD-05199</t>
        </is>
      </c>
      <c r="B4449" s="8" t="n">
        <v>45819</v>
      </c>
      <c r="C4449" s="9" t="n">
        <v>45809</v>
      </c>
      <c r="D4449" s="7" t="n">
        <v>2025</v>
      </c>
      <c r="E4449" s="7" t="inlineStr">
        <is>
          <t>West</t>
        </is>
      </c>
      <c r="F4449" s="7" t="inlineStr">
        <is>
          <t>Office Supplies</t>
        </is>
      </c>
      <c r="G4449" s="7" t="inlineStr">
        <is>
          <t>Pens</t>
        </is>
      </c>
      <c r="H4449" s="7" t="inlineStr">
        <is>
          <t>Consumer</t>
        </is>
      </c>
      <c r="I4449" s="7" t="n">
        <v>7</v>
      </c>
      <c r="J4449" s="10" t="n">
        <v>12.32</v>
      </c>
      <c r="K4449" s="11" t="n">
        <v>0</v>
      </c>
      <c r="L4449" s="10">
        <f>I4449*J4449*(1-K4449)</f>
        <v/>
      </c>
      <c r="M4449" s="10" t="n">
        <v>37.8</v>
      </c>
      <c r="N4449" s="10">
        <f>L4449-M4449</f>
        <v/>
      </c>
    </row>
    <row r="4450">
      <c r="A4450" s="7" t="inlineStr">
        <is>
          <t>ORD-05113</t>
        </is>
      </c>
      <c r="B4450" s="8" t="n">
        <v>45819</v>
      </c>
      <c r="C4450" s="9" t="n">
        <v>45809</v>
      </c>
      <c r="D4450" s="7" t="n">
        <v>2025</v>
      </c>
      <c r="E4450" s="7" t="inlineStr">
        <is>
          <t>West</t>
        </is>
      </c>
      <c r="F4450" s="7" t="inlineStr">
        <is>
          <t>Office Supplies</t>
        </is>
      </c>
      <c r="G4450" s="7" t="inlineStr">
        <is>
          <t>Binder</t>
        </is>
      </c>
      <c r="H4450" s="7" t="inlineStr">
        <is>
          <t>Consumer</t>
        </is>
      </c>
      <c r="I4450" s="7" t="n">
        <v>4</v>
      </c>
      <c r="J4450" s="10" t="n">
        <v>7.93</v>
      </c>
      <c r="K4450" s="11" t="n">
        <v>0</v>
      </c>
      <c r="L4450" s="10">
        <f>I4450*J4450*(1-K4450)</f>
        <v/>
      </c>
      <c r="M4450" s="10" t="n">
        <v>12.8</v>
      </c>
      <c r="N4450" s="10">
        <f>L4450-M4450</f>
        <v/>
      </c>
    </row>
    <row r="4451">
      <c r="A4451" s="7" t="inlineStr">
        <is>
          <t>ORD-01996</t>
        </is>
      </c>
      <c r="B4451" s="8" t="n">
        <v>45820</v>
      </c>
      <c r="C4451" s="9" t="n">
        <v>45809</v>
      </c>
      <c r="D4451" s="7" t="n">
        <v>2025</v>
      </c>
      <c r="E4451" s="7" t="inlineStr">
        <is>
          <t>East</t>
        </is>
      </c>
      <c r="F4451" s="7" t="inlineStr">
        <is>
          <t>Office Supplies</t>
        </is>
      </c>
      <c r="G4451" s="7" t="inlineStr">
        <is>
          <t>Pens</t>
        </is>
      </c>
      <c r="H4451" s="7" t="inlineStr">
        <is>
          <t>Consumer</t>
        </is>
      </c>
      <c r="I4451" s="7" t="n">
        <v>9</v>
      </c>
      <c r="J4451" s="10" t="n">
        <v>12.17</v>
      </c>
      <c r="K4451" s="11" t="n">
        <v>0.05</v>
      </c>
      <c r="L4451" s="10">
        <f>I4451*J4451*(1-K4451)</f>
        <v/>
      </c>
      <c r="M4451" s="10" t="n">
        <v>48.6</v>
      </c>
      <c r="N4451" s="10">
        <f>L4451-M4451</f>
        <v/>
      </c>
    </row>
    <row r="4452">
      <c r="A4452" s="7" t="inlineStr">
        <is>
          <t>ORD-02273</t>
        </is>
      </c>
      <c r="B4452" s="8" t="n">
        <v>45820</v>
      </c>
      <c r="C4452" s="9" t="n">
        <v>45809</v>
      </c>
      <c r="D4452" s="7" t="n">
        <v>2025</v>
      </c>
      <c r="E4452" s="7" t="inlineStr">
        <is>
          <t>North</t>
        </is>
      </c>
      <c r="F4452" s="7" t="inlineStr">
        <is>
          <t>Technology</t>
        </is>
      </c>
      <c r="G4452" s="7" t="inlineStr">
        <is>
          <t>Laptop</t>
        </is>
      </c>
      <c r="H4452" s="7" t="inlineStr">
        <is>
          <t>Home Office</t>
        </is>
      </c>
      <c r="I4452" s="7" t="n">
        <v>1</v>
      </c>
      <c r="J4452" s="10" t="n">
        <v>894.61</v>
      </c>
      <c r="K4452" s="11" t="n">
        <v>0</v>
      </c>
      <c r="L4452" s="10">
        <f>I4452*J4452*(1-K4452)</f>
        <v/>
      </c>
      <c r="M4452" s="10" t="n">
        <v>702</v>
      </c>
      <c r="N4452" s="10">
        <f>L4452-M4452</f>
        <v/>
      </c>
    </row>
    <row r="4453">
      <c r="A4453" s="7" t="inlineStr">
        <is>
          <t>ORD-01257</t>
        </is>
      </c>
      <c r="B4453" s="8" t="n">
        <v>45820</v>
      </c>
      <c r="C4453" s="9" t="n">
        <v>45809</v>
      </c>
      <c r="D4453" s="7" t="n">
        <v>2025</v>
      </c>
      <c r="E4453" s="7" t="inlineStr">
        <is>
          <t>East</t>
        </is>
      </c>
      <c r="F4453" s="7" t="inlineStr">
        <is>
          <t>Furniture</t>
        </is>
      </c>
      <c r="G4453" s="7" t="inlineStr">
        <is>
          <t>Office Chair</t>
        </is>
      </c>
      <c r="H4453" s="7" t="inlineStr">
        <is>
          <t>Consumer</t>
        </is>
      </c>
      <c r="I4453" s="7" t="n">
        <v>1</v>
      </c>
      <c r="J4453" s="10" t="n">
        <v>212.37</v>
      </c>
      <c r="K4453" s="11" t="n">
        <v>0.3</v>
      </c>
      <c r="L4453" s="10">
        <f>I4453*J4453*(1-K4453)</f>
        <v/>
      </c>
      <c r="M4453" s="10" t="n">
        <v>180.4</v>
      </c>
      <c r="N4453" s="10">
        <f>L4453-M4453</f>
        <v/>
      </c>
    </row>
    <row r="4454">
      <c r="A4454" s="7" t="inlineStr">
        <is>
          <t>ORD-05679</t>
        </is>
      </c>
      <c r="B4454" s="8" t="n">
        <v>45820</v>
      </c>
      <c r="C4454" s="9" t="n">
        <v>45809</v>
      </c>
      <c r="D4454" s="7" t="n">
        <v>2025</v>
      </c>
      <c r="E4454" s="7" t="inlineStr">
        <is>
          <t>East</t>
        </is>
      </c>
      <c r="F4454" s="7" t="inlineStr">
        <is>
          <t>Technology</t>
        </is>
      </c>
      <c r="G4454" s="7" t="inlineStr">
        <is>
          <t>Headphones</t>
        </is>
      </c>
      <c r="H4454" s="7" t="inlineStr">
        <is>
          <t>Corporate</t>
        </is>
      </c>
      <c r="I4454" s="7" t="n">
        <v>2</v>
      </c>
      <c r="J4454" s="10" t="n">
        <v>114.99</v>
      </c>
      <c r="K4454" s="11" t="n">
        <v>0</v>
      </c>
      <c r="L4454" s="10">
        <f>I4454*J4454*(1-K4454)</f>
        <v/>
      </c>
      <c r="M4454" s="10" t="n">
        <v>144</v>
      </c>
      <c r="N4454" s="10">
        <f>L4454-M4454</f>
        <v/>
      </c>
    </row>
    <row r="4455">
      <c r="A4455" s="7" t="inlineStr">
        <is>
          <t>ORD-01641</t>
        </is>
      </c>
      <c r="B4455" s="8" t="n">
        <v>45820</v>
      </c>
      <c r="C4455" s="9" t="n">
        <v>45809</v>
      </c>
      <c r="D4455" s="7" t="n">
        <v>2025</v>
      </c>
      <c r="E4455" s="7" t="inlineStr">
        <is>
          <t>West</t>
        </is>
      </c>
      <c r="F4455" s="7" t="inlineStr">
        <is>
          <t>Technology</t>
        </is>
      </c>
      <c r="G4455" s="7" t="inlineStr">
        <is>
          <t>Keyboard</t>
        </is>
      </c>
      <c r="H4455" s="7" t="inlineStr">
        <is>
          <t>Consumer</t>
        </is>
      </c>
      <c r="I4455" s="7" t="n">
        <v>1</v>
      </c>
      <c r="J4455" s="10" t="n">
        <v>44.95</v>
      </c>
      <c r="K4455" s="11" t="n">
        <v>0.1</v>
      </c>
      <c r="L4455" s="10">
        <f>I4455*J4455*(1-K4455)</f>
        <v/>
      </c>
      <c r="M4455" s="10" t="n">
        <v>24.75</v>
      </c>
      <c r="N4455" s="10">
        <f>L4455-M4455</f>
        <v/>
      </c>
    </row>
    <row r="4456">
      <c r="A4456" s="7" t="inlineStr">
        <is>
          <t>ORD-02775</t>
        </is>
      </c>
      <c r="B4456" s="8" t="n">
        <v>45820</v>
      </c>
      <c r="C4456" s="9" t="n">
        <v>45809</v>
      </c>
      <c r="D4456" s="7" t="n">
        <v>2025</v>
      </c>
      <c r="E4456" s="7" t="inlineStr">
        <is>
          <t>South</t>
        </is>
      </c>
      <c r="F4456" s="7" t="inlineStr">
        <is>
          <t>Office Supplies</t>
        </is>
      </c>
      <c r="G4456" s="7" t="inlineStr">
        <is>
          <t>Pens</t>
        </is>
      </c>
      <c r="H4456" s="7" t="inlineStr">
        <is>
          <t>Home Office</t>
        </is>
      </c>
      <c r="I4456" s="7" t="n">
        <v>14</v>
      </c>
      <c r="J4456" s="10" t="n">
        <v>11.55</v>
      </c>
      <c r="K4456" s="11" t="n">
        <v>0</v>
      </c>
      <c r="L4456" s="10">
        <f>I4456*J4456*(1-K4456)</f>
        <v/>
      </c>
      <c r="M4456" s="10" t="n">
        <v>75.59999999999999</v>
      </c>
      <c r="N4456" s="10">
        <f>L4456-M4456</f>
        <v/>
      </c>
    </row>
    <row r="4457">
      <c r="A4457" s="7" t="inlineStr">
        <is>
          <t>ORD-03714</t>
        </is>
      </c>
      <c r="B4457" s="8" t="n">
        <v>45820</v>
      </c>
      <c r="C4457" s="9" t="n">
        <v>45809</v>
      </c>
      <c r="D4457" s="7" t="n">
        <v>2025</v>
      </c>
      <c r="E4457" s="7" t="inlineStr">
        <is>
          <t>South</t>
        </is>
      </c>
      <c r="F4457" s="7" t="inlineStr">
        <is>
          <t>Furniture</t>
        </is>
      </c>
      <c r="G4457" s="7" t="inlineStr">
        <is>
          <t>Desk</t>
        </is>
      </c>
      <c r="H4457" s="7" t="inlineStr">
        <is>
          <t>Corporate</t>
        </is>
      </c>
      <c r="I4457" s="7" t="n">
        <v>3</v>
      </c>
      <c r="J4457" s="10" t="n">
        <v>465.65</v>
      </c>
      <c r="K4457" s="11" t="n">
        <v>0.2</v>
      </c>
      <c r="L4457" s="10">
        <f>I4457*J4457*(1-K4457)</f>
        <v/>
      </c>
      <c r="M4457" s="10" t="n">
        <v>1147.5</v>
      </c>
      <c r="N4457" s="10">
        <f>L4457-M4457</f>
        <v/>
      </c>
    </row>
    <row r="4458">
      <c r="A4458" s="7" t="inlineStr">
        <is>
          <t>ORD-03516</t>
        </is>
      </c>
      <c r="B4458" s="8" t="n">
        <v>45821</v>
      </c>
      <c r="C4458" s="9" t="n">
        <v>45809</v>
      </c>
      <c r="D4458" s="7" t="n">
        <v>2025</v>
      </c>
      <c r="E4458" s="7" t="inlineStr">
        <is>
          <t>North</t>
        </is>
      </c>
      <c r="F4458" s="7" t="inlineStr">
        <is>
          <t>Office Supplies</t>
        </is>
      </c>
      <c r="G4458" s="7" t="inlineStr">
        <is>
          <t>Paper</t>
        </is>
      </c>
      <c r="H4458" s="7" t="inlineStr">
        <is>
          <t>Consumer</t>
        </is>
      </c>
      <c r="I4458" s="7" t="n">
        <v>15</v>
      </c>
      <c r="J4458" s="10" t="n">
        <v>25.47</v>
      </c>
      <c r="K4458" s="11" t="n">
        <v>0.1</v>
      </c>
      <c r="L4458" s="10">
        <f>I4458*J4458*(1-K4458)</f>
        <v/>
      </c>
      <c r="M4458" s="10" t="n">
        <v>187.5</v>
      </c>
      <c r="N4458" s="10">
        <f>L4458-M4458</f>
        <v/>
      </c>
    </row>
    <row r="4459">
      <c r="A4459" s="7" t="inlineStr">
        <is>
          <t>ORD-05810</t>
        </is>
      </c>
      <c r="B4459" s="8" t="n">
        <v>45821</v>
      </c>
      <c r="C4459" s="9" t="n">
        <v>45809</v>
      </c>
      <c r="D4459" s="7" t="n">
        <v>2025</v>
      </c>
      <c r="E4459" s="7" t="inlineStr">
        <is>
          <t>North</t>
        </is>
      </c>
      <c r="F4459" s="7" t="inlineStr">
        <is>
          <t>Office Supplies</t>
        </is>
      </c>
      <c r="G4459" s="7" t="inlineStr">
        <is>
          <t>Stapler</t>
        </is>
      </c>
      <c r="H4459" s="7" t="inlineStr">
        <is>
          <t>Corporate</t>
        </is>
      </c>
      <c r="I4459" s="7" t="n">
        <v>2</v>
      </c>
      <c r="J4459" s="10" t="n">
        <v>15.53</v>
      </c>
      <c r="K4459" s="11" t="n">
        <v>0.1</v>
      </c>
      <c r="L4459" s="10">
        <f>I4459*J4459*(1-K4459)</f>
        <v/>
      </c>
      <c r="M4459" s="10" t="n">
        <v>15</v>
      </c>
      <c r="N4459" s="10">
        <f>L4459-M4459</f>
        <v/>
      </c>
    </row>
    <row r="4460">
      <c r="A4460" s="7" t="inlineStr">
        <is>
          <t>ORD-01303</t>
        </is>
      </c>
      <c r="B4460" s="8" t="n">
        <v>45821</v>
      </c>
      <c r="C4460" s="9" t="n">
        <v>45809</v>
      </c>
      <c r="D4460" s="7" t="n">
        <v>2025</v>
      </c>
      <c r="E4460" s="7" t="inlineStr">
        <is>
          <t>North</t>
        </is>
      </c>
      <c r="F4460" s="7" t="inlineStr">
        <is>
          <t>Office Supplies</t>
        </is>
      </c>
      <c r="G4460" s="7" t="inlineStr">
        <is>
          <t>Printer Ink</t>
        </is>
      </c>
      <c r="H4460" s="7" t="inlineStr">
        <is>
          <t>Home Office</t>
        </is>
      </c>
      <c r="I4460" s="7" t="n">
        <v>5</v>
      </c>
      <c r="J4460" s="10" t="n">
        <v>62.83</v>
      </c>
      <c r="K4460" s="11" t="n">
        <v>0</v>
      </c>
      <c r="L4460" s="10">
        <f>I4460*J4460*(1-K4460)</f>
        <v/>
      </c>
      <c r="M4460" s="10" t="n">
        <v>180</v>
      </c>
      <c r="N4460" s="10">
        <f>L4460-M4460</f>
        <v/>
      </c>
    </row>
    <row r="4461">
      <c r="A4461" s="7" t="inlineStr">
        <is>
          <t>ORD-05977</t>
        </is>
      </c>
      <c r="B4461" s="8" t="n">
        <v>45821</v>
      </c>
      <c r="C4461" s="9" t="n">
        <v>45809</v>
      </c>
      <c r="D4461" s="7" t="n">
        <v>2025</v>
      </c>
      <c r="E4461" s="7" t="inlineStr">
        <is>
          <t>West</t>
        </is>
      </c>
      <c r="F4461" s="7" t="inlineStr">
        <is>
          <t>Office Supplies</t>
        </is>
      </c>
      <c r="G4461" s="7" t="inlineStr">
        <is>
          <t>Printer Ink</t>
        </is>
      </c>
      <c r="H4461" s="7" t="inlineStr">
        <is>
          <t>Corporate</t>
        </is>
      </c>
      <c r="I4461" s="7" t="n">
        <v>6</v>
      </c>
      <c r="J4461" s="10" t="n">
        <v>59.49</v>
      </c>
      <c r="K4461" s="11" t="n">
        <v>0.1</v>
      </c>
      <c r="L4461" s="10">
        <f>I4461*J4461*(1-K4461)</f>
        <v/>
      </c>
      <c r="M4461" s="10" t="n">
        <v>216</v>
      </c>
      <c r="N4461" s="10">
        <f>L4461-M4461</f>
        <v/>
      </c>
    </row>
    <row r="4462">
      <c r="A4462" s="7" t="inlineStr">
        <is>
          <t>ORD-00549</t>
        </is>
      </c>
      <c r="B4462" s="8" t="n">
        <v>45821</v>
      </c>
      <c r="C4462" s="9" t="n">
        <v>45809</v>
      </c>
      <c r="D4462" s="7" t="n">
        <v>2025</v>
      </c>
      <c r="E4462" s="7" t="inlineStr">
        <is>
          <t>South</t>
        </is>
      </c>
      <c r="F4462" s="7" t="inlineStr">
        <is>
          <t>Furniture</t>
        </is>
      </c>
      <c r="G4462" s="7" t="inlineStr">
        <is>
          <t>Office Chair</t>
        </is>
      </c>
      <c r="H4462" s="7" t="inlineStr">
        <is>
          <t>Consumer</t>
        </is>
      </c>
      <c r="I4462" s="7" t="n">
        <v>1</v>
      </c>
      <c r="J4462" s="10" t="n">
        <v>213.54</v>
      </c>
      <c r="K4462" s="11" t="n">
        <v>0.1</v>
      </c>
      <c r="L4462" s="10">
        <f>I4462*J4462*(1-K4462)</f>
        <v/>
      </c>
      <c r="M4462" s="10" t="n">
        <v>180.4</v>
      </c>
      <c r="N4462" s="10">
        <f>L4462-M4462</f>
        <v/>
      </c>
    </row>
    <row r="4463">
      <c r="A4463" s="7" t="inlineStr">
        <is>
          <t>ORD-04567</t>
        </is>
      </c>
      <c r="B4463" s="8" t="n">
        <v>45821</v>
      </c>
      <c r="C4463" s="9" t="n">
        <v>45809</v>
      </c>
      <c r="D4463" s="7" t="n">
        <v>2025</v>
      </c>
      <c r="E4463" s="7" t="inlineStr">
        <is>
          <t>West</t>
        </is>
      </c>
      <c r="F4463" s="7" t="inlineStr">
        <is>
          <t>Office Supplies</t>
        </is>
      </c>
      <c r="G4463" s="7" t="inlineStr">
        <is>
          <t>Paper</t>
        </is>
      </c>
      <c r="H4463" s="7" t="inlineStr">
        <is>
          <t>Consumer</t>
        </is>
      </c>
      <c r="I4463" s="7" t="n">
        <v>7</v>
      </c>
      <c r="J4463" s="10" t="n">
        <v>25.82</v>
      </c>
      <c r="K4463" s="11" t="n">
        <v>0</v>
      </c>
      <c r="L4463" s="10">
        <f>I4463*J4463*(1-K4463)</f>
        <v/>
      </c>
      <c r="M4463" s="10" t="n">
        <v>87.5</v>
      </c>
      <c r="N4463" s="10">
        <f>L4463-M4463</f>
        <v/>
      </c>
    </row>
    <row r="4464">
      <c r="A4464" s="7" t="inlineStr">
        <is>
          <t>ORD-03646</t>
        </is>
      </c>
      <c r="B4464" s="8" t="n">
        <v>45822</v>
      </c>
      <c r="C4464" s="9" t="n">
        <v>45809</v>
      </c>
      <c r="D4464" s="7" t="n">
        <v>2025</v>
      </c>
      <c r="E4464" s="7" t="inlineStr">
        <is>
          <t>East</t>
        </is>
      </c>
      <c r="F4464" s="7" t="inlineStr">
        <is>
          <t>Office Supplies</t>
        </is>
      </c>
      <c r="G4464" s="7" t="inlineStr">
        <is>
          <t>Paper</t>
        </is>
      </c>
      <c r="H4464" s="7" t="inlineStr">
        <is>
          <t>Consumer</t>
        </is>
      </c>
      <c r="I4464" s="7" t="n">
        <v>10</v>
      </c>
      <c r="J4464" s="10" t="n">
        <v>24.84</v>
      </c>
      <c r="K4464" s="11" t="n">
        <v>0.2</v>
      </c>
      <c r="L4464" s="10">
        <f>I4464*J4464*(1-K4464)</f>
        <v/>
      </c>
      <c r="M4464" s="10" t="n">
        <v>125</v>
      </c>
      <c r="N4464" s="10">
        <f>L4464-M4464</f>
        <v/>
      </c>
    </row>
    <row r="4465">
      <c r="A4465" s="7" t="inlineStr">
        <is>
          <t>ORD-02440</t>
        </is>
      </c>
      <c r="B4465" s="8" t="n">
        <v>45822</v>
      </c>
      <c r="C4465" s="9" t="n">
        <v>45809</v>
      </c>
      <c r="D4465" s="7" t="n">
        <v>2025</v>
      </c>
      <c r="E4465" s="7" t="inlineStr">
        <is>
          <t>West</t>
        </is>
      </c>
      <c r="F4465" s="7" t="inlineStr">
        <is>
          <t>Technology</t>
        </is>
      </c>
      <c r="G4465" s="7" t="inlineStr">
        <is>
          <t>Laptop</t>
        </is>
      </c>
      <c r="H4465" s="7" t="inlineStr">
        <is>
          <t>Corporate</t>
        </is>
      </c>
      <c r="I4465" s="7" t="n">
        <v>1</v>
      </c>
      <c r="J4465" s="10" t="n">
        <v>919.26</v>
      </c>
      <c r="K4465" s="11" t="n">
        <v>0</v>
      </c>
      <c r="L4465" s="10">
        <f>I4465*J4465*(1-K4465)</f>
        <v/>
      </c>
      <c r="M4465" s="10" t="n">
        <v>702</v>
      </c>
      <c r="N4465" s="10">
        <f>L4465-M4465</f>
        <v/>
      </c>
    </row>
    <row r="4466">
      <c r="A4466" s="7" t="inlineStr">
        <is>
          <t>ORD-01854</t>
        </is>
      </c>
      <c r="B4466" s="8" t="n">
        <v>45822</v>
      </c>
      <c r="C4466" s="9" t="n">
        <v>45809</v>
      </c>
      <c r="D4466" s="7" t="n">
        <v>2025</v>
      </c>
      <c r="E4466" s="7" t="inlineStr">
        <is>
          <t>East</t>
        </is>
      </c>
      <c r="F4466" s="7" t="inlineStr">
        <is>
          <t>Office Supplies</t>
        </is>
      </c>
      <c r="G4466" s="7" t="inlineStr">
        <is>
          <t>Pens</t>
        </is>
      </c>
      <c r="H4466" s="7" t="inlineStr">
        <is>
          <t>Consumer</t>
        </is>
      </c>
      <c r="I4466" s="7" t="n">
        <v>2</v>
      </c>
      <c r="J4466" s="10" t="n">
        <v>11.7</v>
      </c>
      <c r="K4466" s="11" t="n">
        <v>0.2</v>
      </c>
      <c r="L4466" s="10">
        <f>I4466*J4466*(1-K4466)</f>
        <v/>
      </c>
      <c r="M4466" s="10" t="n">
        <v>10.8</v>
      </c>
      <c r="N4466" s="10">
        <f>L4466-M4466</f>
        <v/>
      </c>
    </row>
    <row r="4467">
      <c r="A4467" s="7" t="inlineStr">
        <is>
          <t>ORD-02302</t>
        </is>
      </c>
      <c r="B4467" s="8" t="n">
        <v>45822</v>
      </c>
      <c r="C4467" s="9" t="n">
        <v>45809</v>
      </c>
      <c r="D4467" s="7" t="n">
        <v>2025</v>
      </c>
      <c r="E4467" s="7" t="inlineStr">
        <is>
          <t>East</t>
        </is>
      </c>
      <c r="F4467" s="7" t="inlineStr">
        <is>
          <t>Office Supplies</t>
        </is>
      </c>
      <c r="G4467" s="7" t="inlineStr">
        <is>
          <t>Binder</t>
        </is>
      </c>
      <c r="H4467" s="7" t="inlineStr">
        <is>
          <t>Corporate</t>
        </is>
      </c>
      <c r="I4467" s="7" t="n">
        <v>5</v>
      </c>
      <c r="J4467" s="10" t="n">
        <v>8.08</v>
      </c>
      <c r="K4467" s="11" t="n">
        <v>0</v>
      </c>
      <c r="L4467" s="10">
        <f>I4467*J4467*(1-K4467)</f>
        <v/>
      </c>
      <c r="M4467" s="10" t="n">
        <v>16</v>
      </c>
      <c r="N4467" s="10">
        <f>L4467-M4467</f>
        <v/>
      </c>
    </row>
    <row r="4468">
      <c r="A4468" s="7" t="inlineStr">
        <is>
          <t>ORD-04509</t>
        </is>
      </c>
      <c r="B4468" s="8" t="n">
        <v>45822</v>
      </c>
      <c r="C4468" s="9" t="n">
        <v>45809</v>
      </c>
      <c r="D4468" s="7" t="n">
        <v>2025</v>
      </c>
      <c r="E4468" s="7" t="inlineStr">
        <is>
          <t>West</t>
        </is>
      </c>
      <c r="F4468" s="7" t="inlineStr">
        <is>
          <t>Office Supplies</t>
        </is>
      </c>
      <c r="G4468" s="7" t="inlineStr">
        <is>
          <t>Pens</t>
        </is>
      </c>
      <c r="H4468" s="7" t="inlineStr">
        <is>
          <t>Corporate</t>
        </is>
      </c>
      <c r="I4468" s="7" t="n">
        <v>4</v>
      </c>
      <c r="J4468" s="10" t="n">
        <v>11.64</v>
      </c>
      <c r="K4468" s="11" t="n">
        <v>0.2</v>
      </c>
      <c r="L4468" s="10">
        <f>I4468*J4468*(1-K4468)</f>
        <v/>
      </c>
      <c r="M4468" s="10" t="n">
        <v>21.6</v>
      </c>
      <c r="N4468" s="10">
        <f>L4468-M4468</f>
        <v/>
      </c>
    </row>
    <row r="4469">
      <c r="A4469" s="7" t="inlineStr">
        <is>
          <t>ORD-03297</t>
        </is>
      </c>
      <c r="B4469" s="8" t="n">
        <v>45822</v>
      </c>
      <c r="C4469" s="9" t="n">
        <v>45809</v>
      </c>
      <c r="D4469" s="7" t="n">
        <v>2025</v>
      </c>
      <c r="E4469" s="7" t="inlineStr">
        <is>
          <t>West</t>
        </is>
      </c>
      <c r="F4469" s="7" t="inlineStr">
        <is>
          <t>Furniture</t>
        </is>
      </c>
      <c r="G4469" s="7" t="inlineStr">
        <is>
          <t>Bookcase</t>
        </is>
      </c>
      <c r="H4469" s="7" t="inlineStr">
        <is>
          <t>Consumer</t>
        </is>
      </c>
      <c r="I4469" s="7" t="n">
        <v>1</v>
      </c>
      <c r="J4469" s="10" t="n">
        <v>178.4</v>
      </c>
      <c r="K4469" s="11" t="n">
        <v>0.1</v>
      </c>
      <c r="L4469" s="10">
        <f>I4469*J4469*(1-K4469)</f>
        <v/>
      </c>
      <c r="M4469" s="10" t="n">
        <v>144</v>
      </c>
      <c r="N4469" s="10">
        <f>L4469-M4469</f>
        <v/>
      </c>
    </row>
    <row r="4470">
      <c r="A4470" s="7" t="inlineStr">
        <is>
          <t>ORD-02132</t>
        </is>
      </c>
      <c r="B4470" s="8" t="n">
        <v>45822</v>
      </c>
      <c r="C4470" s="9" t="n">
        <v>45809</v>
      </c>
      <c r="D4470" s="7" t="n">
        <v>2025</v>
      </c>
      <c r="E4470" s="7" t="inlineStr">
        <is>
          <t>North</t>
        </is>
      </c>
      <c r="F4470" s="7" t="inlineStr">
        <is>
          <t>Office Supplies</t>
        </is>
      </c>
      <c r="G4470" s="7" t="inlineStr">
        <is>
          <t>Binder</t>
        </is>
      </c>
      <c r="H4470" s="7" t="inlineStr">
        <is>
          <t>Home Office</t>
        </is>
      </c>
      <c r="I4470" s="7" t="n">
        <v>9</v>
      </c>
      <c r="J4470" s="10" t="n">
        <v>8.24</v>
      </c>
      <c r="K4470" s="11" t="n">
        <v>0.05</v>
      </c>
      <c r="L4470" s="10">
        <f>I4470*J4470*(1-K4470)</f>
        <v/>
      </c>
      <c r="M4470" s="10" t="n">
        <v>28.8</v>
      </c>
      <c r="N4470" s="10">
        <f>L4470-M4470</f>
        <v/>
      </c>
    </row>
    <row r="4471">
      <c r="A4471" s="7" t="inlineStr">
        <is>
          <t>ORD-04398</t>
        </is>
      </c>
      <c r="B4471" s="8" t="n">
        <v>45822</v>
      </c>
      <c r="C4471" s="9" t="n">
        <v>45809</v>
      </c>
      <c r="D4471" s="7" t="n">
        <v>2025</v>
      </c>
      <c r="E4471" s="7" t="inlineStr">
        <is>
          <t>East</t>
        </is>
      </c>
      <c r="F4471" s="7" t="inlineStr">
        <is>
          <t>Office Supplies</t>
        </is>
      </c>
      <c r="G4471" s="7" t="inlineStr">
        <is>
          <t>Pens</t>
        </is>
      </c>
      <c r="H4471" s="7" t="inlineStr">
        <is>
          <t>Corporate</t>
        </is>
      </c>
      <c r="I4471" s="7" t="n">
        <v>13</v>
      </c>
      <c r="J4471" s="10" t="n">
        <v>12.14</v>
      </c>
      <c r="K4471" s="11" t="n">
        <v>0</v>
      </c>
      <c r="L4471" s="10">
        <f>I4471*J4471*(1-K4471)</f>
        <v/>
      </c>
      <c r="M4471" s="10" t="n">
        <v>70.2</v>
      </c>
      <c r="N4471" s="10">
        <f>L4471-M4471</f>
        <v/>
      </c>
    </row>
    <row r="4472">
      <c r="A4472" s="7" t="inlineStr">
        <is>
          <t>ORD-03448</t>
        </is>
      </c>
      <c r="B4472" s="8" t="n">
        <v>45822</v>
      </c>
      <c r="C4472" s="9" t="n">
        <v>45809</v>
      </c>
      <c r="D4472" s="7" t="n">
        <v>2025</v>
      </c>
      <c r="E4472" s="7" t="inlineStr">
        <is>
          <t>East</t>
        </is>
      </c>
      <c r="F4472" s="7" t="inlineStr">
        <is>
          <t>Office Supplies</t>
        </is>
      </c>
      <c r="G4472" s="7" t="inlineStr">
        <is>
          <t>Binder</t>
        </is>
      </c>
      <c r="H4472" s="7" t="inlineStr">
        <is>
          <t>Consumer</t>
        </is>
      </c>
      <c r="I4472" s="7" t="n">
        <v>11</v>
      </c>
      <c r="J4472" s="10" t="n">
        <v>8.199999999999999</v>
      </c>
      <c r="K4472" s="11" t="n">
        <v>0.3</v>
      </c>
      <c r="L4472" s="10">
        <f>I4472*J4472*(1-K4472)</f>
        <v/>
      </c>
      <c r="M4472" s="10" t="n">
        <v>35.2</v>
      </c>
      <c r="N4472" s="10">
        <f>L4472-M4472</f>
        <v/>
      </c>
    </row>
    <row r="4473">
      <c r="A4473" s="7" t="inlineStr">
        <is>
          <t>ORD-02392</t>
        </is>
      </c>
      <c r="B4473" s="8" t="n">
        <v>45822</v>
      </c>
      <c r="C4473" s="9" t="n">
        <v>45809</v>
      </c>
      <c r="D4473" s="7" t="n">
        <v>2025</v>
      </c>
      <c r="E4473" s="7" t="inlineStr">
        <is>
          <t>East</t>
        </is>
      </c>
      <c r="F4473" s="7" t="inlineStr">
        <is>
          <t>Office Supplies</t>
        </is>
      </c>
      <c r="G4473" s="7" t="inlineStr">
        <is>
          <t>Pens</t>
        </is>
      </c>
      <c r="H4473" s="7" t="inlineStr">
        <is>
          <t>Consumer</t>
        </is>
      </c>
      <c r="I4473" s="7" t="n">
        <v>9</v>
      </c>
      <c r="J4473" s="10" t="n">
        <v>11.47</v>
      </c>
      <c r="K4473" s="11" t="n">
        <v>0.3</v>
      </c>
      <c r="L4473" s="10">
        <f>I4473*J4473*(1-K4473)</f>
        <v/>
      </c>
      <c r="M4473" s="10" t="n">
        <v>48.6</v>
      </c>
      <c r="N4473" s="10">
        <f>L4473-M4473</f>
        <v/>
      </c>
    </row>
    <row r="4474">
      <c r="A4474" s="7" t="inlineStr">
        <is>
          <t>ORD-04931</t>
        </is>
      </c>
      <c r="B4474" s="8" t="n">
        <v>45823</v>
      </c>
      <c r="C4474" s="9" t="n">
        <v>45809</v>
      </c>
      <c r="D4474" s="7" t="n">
        <v>2025</v>
      </c>
      <c r="E4474" s="7" t="inlineStr">
        <is>
          <t>West</t>
        </is>
      </c>
      <c r="F4474" s="7" t="inlineStr">
        <is>
          <t>Technology</t>
        </is>
      </c>
      <c r="G4474" s="7" t="inlineStr">
        <is>
          <t>Laptop</t>
        </is>
      </c>
      <c r="H4474" s="7" t="inlineStr">
        <is>
          <t>Home Office</t>
        </is>
      </c>
      <c r="I4474" s="7" t="n">
        <v>2</v>
      </c>
      <c r="J4474" s="10" t="n">
        <v>926.83</v>
      </c>
      <c r="K4474" s="11" t="n">
        <v>0</v>
      </c>
      <c r="L4474" s="10">
        <f>I4474*J4474*(1-K4474)</f>
        <v/>
      </c>
      <c r="M4474" s="10" t="n">
        <v>1404</v>
      </c>
      <c r="N4474" s="10">
        <f>L4474-M4474</f>
        <v/>
      </c>
    </row>
    <row r="4475">
      <c r="A4475" s="7" t="inlineStr">
        <is>
          <t>ORD-03730</t>
        </is>
      </c>
      <c r="B4475" s="8" t="n">
        <v>45823</v>
      </c>
      <c r="C4475" s="9" t="n">
        <v>45809</v>
      </c>
      <c r="D4475" s="7" t="n">
        <v>2025</v>
      </c>
      <c r="E4475" s="7" t="inlineStr">
        <is>
          <t>North</t>
        </is>
      </c>
      <c r="F4475" s="7" t="inlineStr">
        <is>
          <t>Furniture</t>
        </is>
      </c>
      <c r="G4475" s="7" t="inlineStr">
        <is>
          <t>Sofa</t>
        </is>
      </c>
      <c r="H4475" s="7" t="inlineStr">
        <is>
          <t>Home Office</t>
        </is>
      </c>
      <c r="I4475" s="7" t="n">
        <v>2</v>
      </c>
      <c r="J4475" s="10" t="n">
        <v>710.6</v>
      </c>
      <c r="K4475" s="11" t="n">
        <v>0.05</v>
      </c>
      <c r="L4475" s="10">
        <f>I4475*J4475*(1-K4475)</f>
        <v/>
      </c>
      <c r="M4475" s="10" t="n">
        <v>1232</v>
      </c>
      <c r="N4475" s="10">
        <f>L4475-M4475</f>
        <v/>
      </c>
    </row>
    <row r="4476">
      <c r="A4476" s="7" t="inlineStr">
        <is>
          <t>ORD-04270</t>
        </is>
      </c>
      <c r="B4476" s="8" t="n">
        <v>45823</v>
      </c>
      <c r="C4476" s="9" t="n">
        <v>45809</v>
      </c>
      <c r="D4476" s="7" t="n">
        <v>2025</v>
      </c>
      <c r="E4476" s="7" t="inlineStr">
        <is>
          <t>West</t>
        </is>
      </c>
      <c r="F4476" s="7" t="inlineStr">
        <is>
          <t>Furniture</t>
        </is>
      </c>
      <c r="G4476" s="7" t="inlineStr">
        <is>
          <t>Bookcase</t>
        </is>
      </c>
      <c r="H4476" s="7" t="inlineStr">
        <is>
          <t>Home Office</t>
        </is>
      </c>
      <c r="I4476" s="7" t="n">
        <v>2</v>
      </c>
      <c r="J4476" s="10" t="n">
        <v>175.93</v>
      </c>
      <c r="K4476" s="11" t="n">
        <v>0.1</v>
      </c>
      <c r="L4476" s="10">
        <f>I4476*J4476*(1-K4476)</f>
        <v/>
      </c>
      <c r="M4476" s="10" t="n">
        <v>288</v>
      </c>
      <c r="N4476" s="10">
        <f>L4476-M4476</f>
        <v/>
      </c>
    </row>
    <row r="4477">
      <c r="A4477" s="7" t="inlineStr">
        <is>
          <t>ORD-02430</t>
        </is>
      </c>
      <c r="B4477" s="8" t="n">
        <v>45823</v>
      </c>
      <c r="C4477" s="9" t="n">
        <v>45809</v>
      </c>
      <c r="D4477" s="7" t="n">
        <v>2025</v>
      </c>
      <c r="E4477" s="7" t="inlineStr">
        <is>
          <t>East</t>
        </is>
      </c>
      <c r="F4477" s="7" t="inlineStr">
        <is>
          <t>Technology</t>
        </is>
      </c>
      <c r="G4477" s="7" t="inlineStr">
        <is>
          <t>Laptop</t>
        </is>
      </c>
      <c r="H4477" s="7" t="inlineStr">
        <is>
          <t>Corporate</t>
        </is>
      </c>
      <c r="I4477" s="7" t="n">
        <v>1</v>
      </c>
      <c r="J4477" s="10" t="n">
        <v>937.71</v>
      </c>
      <c r="K4477" s="11" t="n">
        <v>0</v>
      </c>
      <c r="L4477" s="10">
        <f>I4477*J4477*(1-K4477)</f>
        <v/>
      </c>
      <c r="M4477" s="10" t="n">
        <v>702</v>
      </c>
      <c r="N4477" s="10">
        <f>L4477-M4477</f>
        <v/>
      </c>
    </row>
    <row r="4478">
      <c r="A4478" s="7" t="inlineStr">
        <is>
          <t>ORD-05704</t>
        </is>
      </c>
      <c r="B4478" s="8" t="n">
        <v>45824</v>
      </c>
      <c r="C4478" s="9" t="n">
        <v>45809</v>
      </c>
      <c r="D4478" s="7" t="n">
        <v>2025</v>
      </c>
      <c r="E4478" s="7" t="inlineStr">
        <is>
          <t>East</t>
        </is>
      </c>
      <c r="F4478" s="7" t="inlineStr">
        <is>
          <t>Furniture</t>
        </is>
      </c>
      <c r="G4478" s="7" t="inlineStr">
        <is>
          <t>Office Chair</t>
        </is>
      </c>
      <c r="H4478" s="7" t="inlineStr">
        <is>
          <t>Consumer</t>
        </is>
      </c>
      <c r="I4478" s="7" t="n">
        <v>1</v>
      </c>
      <c r="J4478" s="10" t="n">
        <v>229.11</v>
      </c>
      <c r="K4478" s="11" t="n">
        <v>0.2</v>
      </c>
      <c r="L4478" s="10">
        <f>I4478*J4478*(1-K4478)</f>
        <v/>
      </c>
      <c r="M4478" s="10" t="n">
        <v>180.4</v>
      </c>
      <c r="N4478" s="10">
        <f>L4478-M4478</f>
        <v/>
      </c>
    </row>
    <row r="4479">
      <c r="A4479" s="7" t="inlineStr">
        <is>
          <t>ORD-03712</t>
        </is>
      </c>
      <c r="B4479" s="8" t="n">
        <v>45824</v>
      </c>
      <c r="C4479" s="9" t="n">
        <v>45809</v>
      </c>
      <c r="D4479" s="7" t="n">
        <v>2025</v>
      </c>
      <c r="E4479" s="7" t="inlineStr">
        <is>
          <t>East</t>
        </is>
      </c>
      <c r="F4479" s="7" t="inlineStr">
        <is>
          <t>Office Supplies</t>
        </is>
      </c>
      <c r="G4479" s="7" t="inlineStr">
        <is>
          <t>Pens</t>
        </is>
      </c>
      <c r="H4479" s="7" t="inlineStr">
        <is>
          <t>Consumer</t>
        </is>
      </c>
      <c r="I4479" s="7" t="n">
        <v>2</v>
      </c>
      <c r="J4479" s="10" t="n">
        <v>11.57</v>
      </c>
      <c r="K4479" s="11" t="n">
        <v>0</v>
      </c>
      <c r="L4479" s="10">
        <f>I4479*J4479*(1-K4479)</f>
        <v/>
      </c>
      <c r="M4479" s="10" t="n">
        <v>10.8</v>
      </c>
      <c r="N4479" s="10">
        <f>L4479-M4479</f>
        <v/>
      </c>
    </row>
    <row r="4480">
      <c r="A4480" s="7" t="inlineStr">
        <is>
          <t>ORD-03779</t>
        </is>
      </c>
      <c r="B4480" s="8" t="n">
        <v>45824</v>
      </c>
      <c r="C4480" s="9" t="n">
        <v>45809</v>
      </c>
      <c r="D4480" s="7" t="n">
        <v>2025</v>
      </c>
      <c r="E4480" s="7" t="inlineStr">
        <is>
          <t>South</t>
        </is>
      </c>
      <c r="F4480" s="7" t="inlineStr">
        <is>
          <t>Office Supplies</t>
        </is>
      </c>
      <c r="G4480" s="7" t="inlineStr">
        <is>
          <t>Pens</t>
        </is>
      </c>
      <c r="H4480" s="7" t="inlineStr">
        <is>
          <t>Corporate</t>
        </is>
      </c>
      <c r="I4480" s="7" t="n">
        <v>4</v>
      </c>
      <c r="J4480" s="10" t="n">
        <v>12.24</v>
      </c>
      <c r="K4480" s="11" t="n">
        <v>0.2</v>
      </c>
      <c r="L4480" s="10">
        <f>I4480*J4480*(1-K4480)</f>
        <v/>
      </c>
      <c r="M4480" s="10" t="n">
        <v>21.6</v>
      </c>
      <c r="N4480" s="10">
        <f>L4480-M4480</f>
        <v/>
      </c>
    </row>
    <row r="4481">
      <c r="A4481" s="7" t="inlineStr">
        <is>
          <t>ORD-00837</t>
        </is>
      </c>
      <c r="B4481" s="8" t="n">
        <v>45824</v>
      </c>
      <c r="C4481" s="9" t="n">
        <v>45809</v>
      </c>
      <c r="D4481" s="7" t="n">
        <v>2025</v>
      </c>
      <c r="E4481" s="7" t="inlineStr">
        <is>
          <t>West</t>
        </is>
      </c>
      <c r="F4481" s="7" t="inlineStr">
        <is>
          <t>Technology</t>
        </is>
      </c>
      <c r="G4481" s="7" t="inlineStr">
        <is>
          <t>Smartphone</t>
        </is>
      </c>
      <c r="H4481" s="7" t="inlineStr">
        <is>
          <t>Home Office</t>
        </is>
      </c>
      <c r="I4481" s="7" t="n">
        <v>1</v>
      </c>
      <c r="J4481" s="10" t="n">
        <v>572.49</v>
      </c>
      <c r="K4481" s="11" t="n">
        <v>0.3</v>
      </c>
      <c r="L4481" s="10">
        <f>I4481*J4481*(1-K4481)</f>
        <v/>
      </c>
      <c r="M4481" s="10" t="n">
        <v>450</v>
      </c>
      <c r="N4481" s="10">
        <f>L4481-M4481</f>
        <v/>
      </c>
    </row>
    <row r="4482">
      <c r="A4482" s="7" t="inlineStr">
        <is>
          <t>ORD-02855</t>
        </is>
      </c>
      <c r="B4482" s="8" t="n">
        <v>45824</v>
      </c>
      <c r="C4482" s="9" t="n">
        <v>45809</v>
      </c>
      <c r="D4482" s="7" t="n">
        <v>2025</v>
      </c>
      <c r="E4482" s="7" t="inlineStr">
        <is>
          <t>East</t>
        </is>
      </c>
      <c r="F4482" s="7" t="inlineStr">
        <is>
          <t>Office Supplies</t>
        </is>
      </c>
      <c r="G4482" s="7" t="inlineStr">
        <is>
          <t>Binder</t>
        </is>
      </c>
      <c r="H4482" s="7" t="inlineStr">
        <is>
          <t>Home Office</t>
        </is>
      </c>
      <c r="I4482" s="7" t="n">
        <v>13</v>
      </c>
      <c r="J4482" s="10" t="n">
        <v>7.96</v>
      </c>
      <c r="K4482" s="11" t="n">
        <v>0</v>
      </c>
      <c r="L4482" s="10">
        <f>I4482*J4482*(1-K4482)</f>
        <v/>
      </c>
      <c r="M4482" s="10" t="n">
        <v>41.6</v>
      </c>
      <c r="N4482" s="10">
        <f>L4482-M4482</f>
        <v/>
      </c>
    </row>
    <row r="4483">
      <c r="A4483" s="7" t="inlineStr">
        <is>
          <t>ORD-04800</t>
        </is>
      </c>
      <c r="B4483" s="8" t="n">
        <v>45824</v>
      </c>
      <c r="C4483" s="9" t="n">
        <v>45809</v>
      </c>
      <c r="D4483" s="7" t="n">
        <v>2025</v>
      </c>
      <c r="E4483" s="7" t="inlineStr">
        <is>
          <t>North</t>
        </is>
      </c>
      <c r="F4483" s="7" t="inlineStr">
        <is>
          <t>Furniture</t>
        </is>
      </c>
      <c r="G4483" s="7" t="inlineStr">
        <is>
          <t>Bookcase</t>
        </is>
      </c>
      <c r="H4483" s="7" t="inlineStr">
        <is>
          <t>Consumer</t>
        </is>
      </c>
      <c r="I4483" s="7" t="n">
        <v>2</v>
      </c>
      <c r="J4483" s="10" t="n">
        <v>183.83</v>
      </c>
      <c r="K4483" s="11" t="n">
        <v>0.1</v>
      </c>
      <c r="L4483" s="10">
        <f>I4483*J4483*(1-K4483)</f>
        <v/>
      </c>
      <c r="M4483" s="10" t="n">
        <v>288</v>
      </c>
      <c r="N4483" s="10">
        <f>L4483-M4483</f>
        <v/>
      </c>
    </row>
    <row r="4484">
      <c r="A4484" s="7" t="inlineStr">
        <is>
          <t>ORD-01211</t>
        </is>
      </c>
      <c r="B4484" s="8" t="n">
        <v>45824</v>
      </c>
      <c r="C4484" s="9" t="n">
        <v>45809</v>
      </c>
      <c r="D4484" s="7" t="n">
        <v>2025</v>
      </c>
      <c r="E4484" s="7" t="inlineStr">
        <is>
          <t>East</t>
        </is>
      </c>
      <c r="F4484" s="7" t="inlineStr">
        <is>
          <t>Office Supplies</t>
        </is>
      </c>
      <c r="G4484" s="7" t="inlineStr">
        <is>
          <t>Pens</t>
        </is>
      </c>
      <c r="H4484" s="7" t="inlineStr">
        <is>
          <t>Corporate</t>
        </is>
      </c>
      <c r="I4484" s="7" t="n">
        <v>9</v>
      </c>
      <c r="J4484" s="10" t="n">
        <v>11.79</v>
      </c>
      <c r="K4484" s="11" t="n">
        <v>0</v>
      </c>
      <c r="L4484" s="10">
        <f>I4484*J4484*(1-K4484)</f>
        <v/>
      </c>
      <c r="M4484" s="10" t="n">
        <v>48.6</v>
      </c>
      <c r="N4484" s="10">
        <f>L4484-M4484</f>
        <v/>
      </c>
    </row>
    <row r="4485">
      <c r="A4485" s="7" t="inlineStr">
        <is>
          <t>ORD-03498</t>
        </is>
      </c>
      <c r="B4485" s="8" t="n">
        <v>45824</v>
      </c>
      <c r="C4485" s="9" t="n">
        <v>45809</v>
      </c>
      <c r="D4485" s="7" t="n">
        <v>2025</v>
      </c>
      <c r="E4485" s="7" t="inlineStr">
        <is>
          <t>West</t>
        </is>
      </c>
      <c r="F4485" s="7" t="inlineStr">
        <is>
          <t>Furniture</t>
        </is>
      </c>
      <c r="G4485" s="7" t="inlineStr">
        <is>
          <t>Desk</t>
        </is>
      </c>
      <c r="H4485" s="7" t="inlineStr">
        <is>
          <t>Consumer</t>
        </is>
      </c>
      <c r="I4485" s="7" t="n">
        <v>1</v>
      </c>
      <c r="J4485" s="10" t="n">
        <v>466.39</v>
      </c>
      <c r="K4485" s="11" t="n">
        <v>0.2</v>
      </c>
      <c r="L4485" s="10">
        <f>I4485*J4485*(1-K4485)</f>
        <v/>
      </c>
      <c r="M4485" s="10" t="n">
        <v>382.5</v>
      </c>
      <c r="N4485" s="10">
        <f>L4485-M4485</f>
        <v/>
      </c>
    </row>
    <row r="4486">
      <c r="A4486" s="7" t="inlineStr">
        <is>
          <t>ORD-00117</t>
        </is>
      </c>
      <c r="B4486" s="8" t="n">
        <v>45824</v>
      </c>
      <c r="C4486" s="9" t="n">
        <v>45809</v>
      </c>
      <c r="D4486" s="7" t="n">
        <v>2025</v>
      </c>
      <c r="E4486" s="7" t="inlineStr">
        <is>
          <t>East</t>
        </is>
      </c>
      <c r="F4486" s="7" t="inlineStr">
        <is>
          <t>Furniture</t>
        </is>
      </c>
      <c r="G4486" s="7" t="inlineStr">
        <is>
          <t>Office Chair</t>
        </is>
      </c>
      <c r="H4486" s="7" t="inlineStr">
        <is>
          <t>Consumer</t>
        </is>
      </c>
      <c r="I4486" s="7" t="n">
        <v>3</v>
      </c>
      <c r="J4486" s="10" t="n">
        <v>214.26</v>
      </c>
      <c r="K4486" s="11" t="n">
        <v>0.05</v>
      </c>
      <c r="L4486" s="10">
        <f>I4486*J4486*(1-K4486)</f>
        <v/>
      </c>
      <c r="M4486" s="10" t="n">
        <v>541.2</v>
      </c>
      <c r="N4486" s="10">
        <f>L4486-M4486</f>
        <v/>
      </c>
    </row>
    <row r="4487">
      <c r="A4487" s="7" t="inlineStr">
        <is>
          <t>ORD-00021</t>
        </is>
      </c>
      <c r="B4487" s="8" t="n">
        <v>45824</v>
      </c>
      <c r="C4487" s="9" t="n">
        <v>45809</v>
      </c>
      <c r="D4487" s="7" t="n">
        <v>2025</v>
      </c>
      <c r="E4487" s="7" t="inlineStr">
        <is>
          <t>North</t>
        </is>
      </c>
      <c r="F4487" s="7" t="inlineStr">
        <is>
          <t>Office Supplies</t>
        </is>
      </c>
      <c r="G4487" s="7" t="inlineStr">
        <is>
          <t>Printer Ink</t>
        </is>
      </c>
      <c r="H4487" s="7" t="inlineStr">
        <is>
          <t>Consumer</t>
        </is>
      </c>
      <c r="I4487" s="7" t="n">
        <v>7</v>
      </c>
      <c r="J4487" s="10" t="n">
        <v>60.31</v>
      </c>
      <c r="K4487" s="11" t="n">
        <v>0</v>
      </c>
      <c r="L4487" s="10">
        <f>I4487*J4487*(1-K4487)</f>
        <v/>
      </c>
      <c r="M4487" s="10" t="n">
        <v>252</v>
      </c>
      <c r="N4487" s="10">
        <f>L4487-M4487</f>
        <v/>
      </c>
    </row>
    <row r="4488">
      <c r="A4488" s="7" t="inlineStr">
        <is>
          <t>ORD-01892</t>
        </is>
      </c>
      <c r="B4488" s="8" t="n">
        <v>45825</v>
      </c>
      <c r="C4488" s="9" t="n">
        <v>45809</v>
      </c>
      <c r="D4488" s="7" t="n">
        <v>2025</v>
      </c>
      <c r="E4488" s="7" t="inlineStr">
        <is>
          <t>North</t>
        </is>
      </c>
      <c r="F4488" s="7" t="inlineStr">
        <is>
          <t>Office Supplies</t>
        </is>
      </c>
      <c r="G4488" s="7" t="inlineStr">
        <is>
          <t>Pens</t>
        </is>
      </c>
      <c r="H4488" s="7" t="inlineStr">
        <is>
          <t>Home Office</t>
        </is>
      </c>
      <c r="I4488" s="7" t="n">
        <v>3</v>
      </c>
      <c r="J4488" s="10" t="n">
        <v>12.18</v>
      </c>
      <c r="K4488" s="11" t="n">
        <v>0.05</v>
      </c>
      <c r="L4488" s="10">
        <f>I4488*J4488*(1-K4488)</f>
        <v/>
      </c>
      <c r="M4488" s="10" t="n">
        <v>16.2</v>
      </c>
      <c r="N4488" s="10">
        <f>L4488-M4488</f>
        <v/>
      </c>
    </row>
    <row r="4489">
      <c r="A4489" s="7" t="inlineStr">
        <is>
          <t>ORD-05753</t>
        </is>
      </c>
      <c r="B4489" s="8" t="n">
        <v>45825</v>
      </c>
      <c r="C4489" s="9" t="n">
        <v>45809</v>
      </c>
      <c r="D4489" s="7" t="n">
        <v>2025</v>
      </c>
      <c r="E4489" s="7" t="inlineStr">
        <is>
          <t>South</t>
        </is>
      </c>
      <c r="F4489" s="7" t="inlineStr">
        <is>
          <t>Office Supplies</t>
        </is>
      </c>
      <c r="G4489" s="7" t="inlineStr">
        <is>
          <t>Printer Ink</t>
        </is>
      </c>
      <c r="H4489" s="7" t="inlineStr">
        <is>
          <t>Home Office</t>
        </is>
      </c>
      <c r="I4489" s="7" t="n">
        <v>10</v>
      </c>
      <c r="J4489" s="10" t="n">
        <v>62</v>
      </c>
      <c r="K4489" s="11" t="n">
        <v>0.05</v>
      </c>
      <c r="L4489" s="10">
        <f>I4489*J4489*(1-K4489)</f>
        <v/>
      </c>
      <c r="M4489" s="10" t="n">
        <v>360</v>
      </c>
      <c r="N4489" s="10">
        <f>L4489-M4489</f>
        <v/>
      </c>
    </row>
    <row r="4490">
      <c r="A4490" s="7" t="inlineStr">
        <is>
          <t>ORD-05092</t>
        </is>
      </c>
      <c r="B4490" s="8" t="n">
        <v>45825</v>
      </c>
      <c r="C4490" s="9" t="n">
        <v>45809</v>
      </c>
      <c r="D4490" s="7" t="n">
        <v>2025</v>
      </c>
      <c r="E4490" s="7" t="inlineStr">
        <is>
          <t>West</t>
        </is>
      </c>
      <c r="F4490" s="7" t="inlineStr">
        <is>
          <t>Furniture</t>
        </is>
      </c>
      <c r="G4490" s="7" t="inlineStr">
        <is>
          <t>Bookcase</t>
        </is>
      </c>
      <c r="H4490" s="7" t="inlineStr">
        <is>
          <t>Home Office</t>
        </is>
      </c>
      <c r="I4490" s="7" t="n">
        <v>2</v>
      </c>
      <c r="J4490" s="10" t="n">
        <v>179.24</v>
      </c>
      <c r="K4490" s="11" t="n">
        <v>0.2</v>
      </c>
      <c r="L4490" s="10">
        <f>I4490*J4490*(1-K4490)</f>
        <v/>
      </c>
      <c r="M4490" s="10" t="n">
        <v>288</v>
      </c>
      <c r="N4490" s="10">
        <f>L4490-M4490</f>
        <v/>
      </c>
    </row>
    <row r="4491">
      <c r="A4491" s="7" t="inlineStr">
        <is>
          <t>ORD-01850</t>
        </is>
      </c>
      <c r="B4491" s="8" t="n">
        <v>45825</v>
      </c>
      <c r="C4491" s="9" t="n">
        <v>45809</v>
      </c>
      <c r="D4491" s="7" t="n">
        <v>2025</v>
      </c>
      <c r="E4491" s="7" t="inlineStr">
        <is>
          <t>South</t>
        </is>
      </c>
      <c r="F4491" s="7" t="inlineStr">
        <is>
          <t>Office Supplies</t>
        </is>
      </c>
      <c r="G4491" s="7" t="inlineStr">
        <is>
          <t>Binder</t>
        </is>
      </c>
      <c r="H4491" s="7" t="inlineStr">
        <is>
          <t>Consumer</t>
        </is>
      </c>
      <c r="I4491" s="7" t="n">
        <v>14</v>
      </c>
      <c r="J4491" s="10" t="n">
        <v>8.06</v>
      </c>
      <c r="K4491" s="11" t="n">
        <v>0.05</v>
      </c>
      <c r="L4491" s="10">
        <f>I4491*J4491*(1-K4491)</f>
        <v/>
      </c>
      <c r="M4491" s="10" t="n">
        <v>44.8</v>
      </c>
      <c r="N4491" s="10">
        <f>L4491-M4491</f>
        <v/>
      </c>
    </row>
    <row r="4492">
      <c r="A4492" s="7" t="inlineStr">
        <is>
          <t>ORD-04392</t>
        </is>
      </c>
      <c r="B4492" s="8" t="n">
        <v>45826</v>
      </c>
      <c r="C4492" s="9" t="n">
        <v>45809</v>
      </c>
      <c r="D4492" s="7" t="n">
        <v>2025</v>
      </c>
      <c r="E4492" s="7" t="inlineStr">
        <is>
          <t>North</t>
        </is>
      </c>
      <c r="F4492" s="7" t="inlineStr">
        <is>
          <t>Office Supplies</t>
        </is>
      </c>
      <c r="G4492" s="7" t="inlineStr">
        <is>
          <t>Printer Ink</t>
        </is>
      </c>
      <c r="H4492" s="7" t="inlineStr">
        <is>
          <t>Home Office</t>
        </is>
      </c>
      <c r="I4492" s="7" t="n">
        <v>6</v>
      </c>
      <c r="J4492" s="10" t="n">
        <v>60.81</v>
      </c>
      <c r="K4492" s="11" t="n">
        <v>0.1</v>
      </c>
      <c r="L4492" s="10">
        <f>I4492*J4492*(1-K4492)</f>
        <v/>
      </c>
      <c r="M4492" s="10" t="n">
        <v>216</v>
      </c>
      <c r="N4492" s="10">
        <f>L4492-M4492</f>
        <v/>
      </c>
    </row>
    <row r="4493">
      <c r="A4493" s="7" t="inlineStr">
        <is>
          <t>ORD-05803</t>
        </is>
      </c>
      <c r="B4493" s="8" t="n">
        <v>45826</v>
      </c>
      <c r="C4493" s="9" t="n">
        <v>45809</v>
      </c>
      <c r="D4493" s="7" t="n">
        <v>2025</v>
      </c>
      <c r="E4493" s="7" t="inlineStr">
        <is>
          <t>South</t>
        </is>
      </c>
      <c r="F4493" s="7" t="inlineStr">
        <is>
          <t>Office Supplies</t>
        </is>
      </c>
      <c r="G4493" s="7" t="inlineStr">
        <is>
          <t>Binder</t>
        </is>
      </c>
      <c r="H4493" s="7" t="inlineStr">
        <is>
          <t>Consumer</t>
        </is>
      </c>
      <c r="I4493" s="7" t="n">
        <v>6</v>
      </c>
      <c r="J4493" s="10" t="n">
        <v>8.19</v>
      </c>
      <c r="K4493" s="11" t="n">
        <v>0.05</v>
      </c>
      <c r="L4493" s="10">
        <f>I4493*J4493*(1-K4493)</f>
        <v/>
      </c>
      <c r="M4493" s="10" t="n">
        <v>19.2</v>
      </c>
      <c r="N4493" s="10">
        <f>L4493-M4493</f>
        <v/>
      </c>
    </row>
    <row r="4494">
      <c r="A4494" s="7" t="inlineStr">
        <is>
          <t>ORD-01524</t>
        </is>
      </c>
      <c r="B4494" s="8" t="n">
        <v>45826</v>
      </c>
      <c r="C4494" s="9" t="n">
        <v>45809</v>
      </c>
      <c r="D4494" s="7" t="n">
        <v>2025</v>
      </c>
      <c r="E4494" s="7" t="inlineStr">
        <is>
          <t>West</t>
        </is>
      </c>
      <c r="F4494" s="7" t="inlineStr">
        <is>
          <t>Office Supplies</t>
        </is>
      </c>
      <c r="G4494" s="7" t="inlineStr">
        <is>
          <t>Paper</t>
        </is>
      </c>
      <c r="H4494" s="7" t="inlineStr">
        <is>
          <t>Consumer</t>
        </is>
      </c>
      <c r="I4494" s="7" t="n">
        <v>15</v>
      </c>
      <c r="J4494" s="10" t="n">
        <v>25.93</v>
      </c>
      <c r="K4494" s="11" t="n">
        <v>0</v>
      </c>
      <c r="L4494" s="10">
        <f>I4494*J4494*(1-K4494)</f>
        <v/>
      </c>
      <c r="M4494" s="10" t="n">
        <v>187.5</v>
      </c>
      <c r="N4494" s="10">
        <f>L4494-M4494</f>
        <v/>
      </c>
    </row>
    <row r="4495">
      <c r="A4495" s="7" t="inlineStr">
        <is>
          <t>ORD-04683</t>
        </is>
      </c>
      <c r="B4495" s="8" t="n">
        <v>45826</v>
      </c>
      <c r="C4495" s="9" t="n">
        <v>45809</v>
      </c>
      <c r="D4495" s="7" t="n">
        <v>2025</v>
      </c>
      <c r="E4495" s="7" t="inlineStr">
        <is>
          <t>South</t>
        </is>
      </c>
      <c r="F4495" s="7" t="inlineStr">
        <is>
          <t>Office Supplies</t>
        </is>
      </c>
      <c r="G4495" s="7" t="inlineStr">
        <is>
          <t>Paper</t>
        </is>
      </c>
      <c r="H4495" s="7" t="inlineStr">
        <is>
          <t>Consumer</t>
        </is>
      </c>
      <c r="I4495" s="7" t="n">
        <v>13</v>
      </c>
      <c r="J4495" s="10" t="n">
        <v>25.29</v>
      </c>
      <c r="K4495" s="11" t="n">
        <v>0</v>
      </c>
      <c r="L4495" s="10">
        <f>I4495*J4495*(1-K4495)</f>
        <v/>
      </c>
      <c r="M4495" s="10" t="n">
        <v>162.5</v>
      </c>
      <c r="N4495" s="10">
        <f>L4495-M4495</f>
        <v/>
      </c>
    </row>
    <row r="4496">
      <c r="A4496" s="7" t="inlineStr">
        <is>
          <t>ORD-01817</t>
        </is>
      </c>
      <c r="B4496" s="8" t="n">
        <v>45826</v>
      </c>
      <c r="C4496" s="9" t="n">
        <v>45809</v>
      </c>
      <c r="D4496" s="7" t="n">
        <v>2025</v>
      </c>
      <c r="E4496" s="7" t="inlineStr">
        <is>
          <t>East</t>
        </is>
      </c>
      <c r="F4496" s="7" t="inlineStr">
        <is>
          <t>Furniture</t>
        </is>
      </c>
      <c r="G4496" s="7" t="inlineStr">
        <is>
          <t>Office Chair</t>
        </is>
      </c>
      <c r="H4496" s="7" t="inlineStr">
        <is>
          <t>Corporate</t>
        </is>
      </c>
      <c r="I4496" s="7" t="n">
        <v>3</v>
      </c>
      <c r="J4496" s="10" t="n">
        <v>215.24</v>
      </c>
      <c r="K4496" s="11" t="n">
        <v>0.05</v>
      </c>
      <c r="L4496" s="10">
        <f>I4496*J4496*(1-K4496)</f>
        <v/>
      </c>
      <c r="M4496" s="10" t="n">
        <v>541.2</v>
      </c>
      <c r="N4496" s="10">
        <f>L4496-M4496</f>
        <v/>
      </c>
    </row>
    <row r="4497">
      <c r="A4497" s="7" t="inlineStr">
        <is>
          <t>ORD-02642</t>
        </is>
      </c>
      <c r="B4497" s="8" t="n">
        <v>45826</v>
      </c>
      <c r="C4497" s="9" t="n">
        <v>45809</v>
      </c>
      <c r="D4497" s="7" t="n">
        <v>2025</v>
      </c>
      <c r="E4497" s="7" t="inlineStr">
        <is>
          <t>North</t>
        </is>
      </c>
      <c r="F4497" s="7" t="inlineStr">
        <is>
          <t>Office Supplies</t>
        </is>
      </c>
      <c r="G4497" s="7" t="inlineStr">
        <is>
          <t>Stapler</t>
        </is>
      </c>
      <c r="H4497" s="7" t="inlineStr">
        <is>
          <t>Corporate</t>
        </is>
      </c>
      <c r="I4497" s="7" t="n">
        <v>13</v>
      </c>
      <c r="J4497" s="10" t="n">
        <v>15.71</v>
      </c>
      <c r="K4497" s="11" t="n">
        <v>0.05</v>
      </c>
      <c r="L4497" s="10">
        <f>I4497*J4497*(1-K4497)</f>
        <v/>
      </c>
      <c r="M4497" s="10" t="n">
        <v>97.5</v>
      </c>
      <c r="N4497" s="10">
        <f>L4497-M4497</f>
        <v/>
      </c>
    </row>
    <row r="4498">
      <c r="A4498" s="7" t="inlineStr">
        <is>
          <t>ORD-03223</t>
        </is>
      </c>
      <c r="B4498" s="8" t="n">
        <v>45826</v>
      </c>
      <c r="C4498" s="9" t="n">
        <v>45809</v>
      </c>
      <c r="D4498" s="7" t="n">
        <v>2025</v>
      </c>
      <c r="E4498" s="7" t="inlineStr">
        <is>
          <t>East</t>
        </is>
      </c>
      <c r="F4498" s="7" t="inlineStr">
        <is>
          <t>Technology</t>
        </is>
      </c>
      <c r="G4498" s="7" t="inlineStr">
        <is>
          <t>Headphones</t>
        </is>
      </c>
      <c r="H4498" s="7" t="inlineStr">
        <is>
          <t>Corporate</t>
        </is>
      </c>
      <c r="I4498" s="7" t="n">
        <v>3</v>
      </c>
      <c r="J4498" s="10" t="n">
        <v>116.21</v>
      </c>
      <c r="K4498" s="11" t="n">
        <v>0.3</v>
      </c>
      <c r="L4498" s="10">
        <f>I4498*J4498*(1-K4498)</f>
        <v/>
      </c>
      <c r="M4498" s="10" t="n">
        <v>216</v>
      </c>
      <c r="N4498" s="10">
        <f>L4498-M4498</f>
        <v/>
      </c>
    </row>
    <row r="4499">
      <c r="A4499" s="7" t="inlineStr">
        <is>
          <t>ORD-01673</t>
        </is>
      </c>
      <c r="B4499" s="8" t="n">
        <v>45826</v>
      </c>
      <c r="C4499" s="9" t="n">
        <v>45809</v>
      </c>
      <c r="D4499" s="7" t="n">
        <v>2025</v>
      </c>
      <c r="E4499" s="7" t="inlineStr">
        <is>
          <t>North</t>
        </is>
      </c>
      <c r="F4499" s="7" t="inlineStr">
        <is>
          <t>Office Supplies</t>
        </is>
      </c>
      <c r="G4499" s="7" t="inlineStr">
        <is>
          <t>Printer Ink</t>
        </is>
      </c>
      <c r="H4499" s="7" t="inlineStr">
        <is>
          <t>Consumer</t>
        </is>
      </c>
      <c r="I4499" s="7" t="n">
        <v>12</v>
      </c>
      <c r="J4499" s="10" t="n">
        <v>59.51</v>
      </c>
      <c r="K4499" s="11" t="n">
        <v>0.05</v>
      </c>
      <c r="L4499" s="10">
        <f>I4499*J4499*(1-K4499)</f>
        <v/>
      </c>
      <c r="M4499" s="10" t="n">
        <v>432</v>
      </c>
      <c r="N4499" s="10">
        <f>L4499-M4499</f>
        <v/>
      </c>
    </row>
    <row r="4500">
      <c r="A4500" s="7" t="inlineStr">
        <is>
          <t>ORD-00934</t>
        </is>
      </c>
      <c r="B4500" s="8" t="n">
        <v>45826</v>
      </c>
      <c r="C4500" s="9" t="n">
        <v>45809</v>
      </c>
      <c r="D4500" s="7" t="n">
        <v>2025</v>
      </c>
      <c r="E4500" s="7" t="inlineStr">
        <is>
          <t>South</t>
        </is>
      </c>
      <c r="F4500" s="7" t="inlineStr">
        <is>
          <t>Office Supplies</t>
        </is>
      </c>
      <c r="G4500" s="7" t="inlineStr">
        <is>
          <t>Pens</t>
        </is>
      </c>
      <c r="H4500" s="7" t="inlineStr">
        <is>
          <t>Corporate</t>
        </is>
      </c>
      <c r="I4500" s="7" t="n">
        <v>2</v>
      </c>
      <c r="J4500" s="10" t="n">
        <v>11.46</v>
      </c>
      <c r="K4500" s="11" t="n">
        <v>0</v>
      </c>
      <c r="L4500" s="10">
        <f>I4500*J4500*(1-K4500)</f>
        <v/>
      </c>
      <c r="M4500" s="10" t="n">
        <v>10.8</v>
      </c>
      <c r="N4500" s="10">
        <f>L4500-M4500</f>
        <v/>
      </c>
    </row>
    <row r="4501">
      <c r="A4501" s="7" t="inlineStr">
        <is>
          <t>ORD-03085</t>
        </is>
      </c>
      <c r="B4501" s="8" t="n">
        <v>45827</v>
      </c>
      <c r="C4501" s="9" t="n">
        <v>45809</v>
      </c>
      <c r="D4501" s="7" t="n">
        <v>2025</v>
      </c>
      <c r="E4501" s="7" t="inlineStr">
        <is>
          <t>West</t>
        </is>
      </c>
      <c r="F4501" s="7" t="inlineStr">
        <is>
          <t>Office Supplies</t>
        </is>
      </c>
      <c r="G4501" s="7" t="inlineStr">
        <is>
          <t>Binder</t>
        </is>
      </c>
      <c r="H4501" s="7" t="inlineStr">
        <is>
          <t>Consumer</t>
        </is>
      </c>
      <c r="I4501" s="7" t="n">
        <v>14</v>
      </c>
      <c r="J4501" s="10" t="n">
        <v>8.109999999999999</v>
      </c>
      <c r="K4501" s="11" t="n">
        <v>0</v>
      </c>
      <c r="L4501" s="10">
        <f>I4501*J4501*(1-K4501)</f>
        <v/>
      </c>
      <c r="M4501" s="10" t="n">
        <v>44.8</v>
      </c>
      <c r="N4501" s="10">
        <f>L4501-M4501</f>
        <v/>
      </c>
    </row>
    <row r="4502">
      <c r="A4502" s="7" t="inlineStr">
        <is>
          <t>ORD-03201</t>
        </is>
      </c>
      <c r="B4502" s="8" t="n">
        <v>45827</v>
      </c>
      <c r="C4502" s="9" t="n">
        <v>45809</v>
      </c>
      <c r="D4502" s="7" t="n">
        <v>2025</v>
      </c>
      <c r="E4502" s="7" t="inlineStr">
        <is>
          <t>West</t>
        </is>
      </c>
      <c r="F4502" s="7" t="inlineStr">
        <is>
          <t>Technology</t>
        </is>
      </c>
      <c r="G4502" s="7" t="inlineStr">
        <is>
          <t>Monitor</t>
        </is>
      </c>
      <c r="H4502" s="7" t="inlineStr">
        <is>
          <t>Consumer</t>
        </is>
      </c>
      <c r="I4502" s="7" t="n">
        <v>1</v>
      </c>
      <c r="J4502" s="10" t="n">
        <v>262.05</v>
      </c>
      <c r="K4502" s="11" t="n">
        <v>0.1</v>
      </c>
      <c r="L4502" s="10">
        <f>I4502*J4502*(1-K4502)</f>
        <v/>
      </c>
      <c r="M4502" s="10" t="n">
        <v>180</v>
      </c>
      <c r="N4502" s="10">
        <f>L4502-M4502</f>
        <v/>
      </c>
    </row>
    <row r="4503">
      <c r="A4503" s="7" t="inlineStr">
        <is>
          <t>ORD-00602</t>
        </is>
      </c>
      <c r="B4503" s="8" t="n">
        <v>45827</v>
      </c>
      <c r="C4503" s="9" t="n">
        <v>45809</v>
      </c>
      <c r="D4503" s="7" t="n">
        <v>2025</v>
      </c>
      <c r="E4503" s="7" t="inlineStr">
        <is>
          <t>West</t>
        </is>
      </c>
      <c r="F4503" s="7" t="inlineStr">
        <is>
          <t>Technology</t>
        </is>
      </c>
      <c r="G4503" s="7" t="inlineStr">
        <is>
          <t>Keyboard</t>
        </is>
      </c>
      <c r="H4503" s="7" t="inlineStr">
        <is>
          <t>Home Office</t>
        </is>
      </c>
      <c r="I4503" s="7" t="n">
        <v>3</v>
      </c>
      <c r="J4503" s="10" t="n">
        <v>46.98</v>
      </c>
      <c r="K4503" s="11" t="n">
        <v>0.1</v>
      </c>
      <c r="L4503" s="10">
        <f>I4503*J4503*(1-K4503)</f>
        <v/>
      </c>
      <c r="M4503" s="10" t="n">
        <v>74.25</v>
      </c>
      <c r="N4503" s="10">
        <f>L4503-M4503</f>
        <v/>
      </c>
    </row>
    <row r="4504">
      <c r="A4504" s="7" t="inlineStr">
        <is>
          <t>ORD-00007</t>
        </is>
      </c>
      <c r="B4504" s="8" t="n">
        <v>45827</v>
      </c>
      <c r="C4504" s="9" t="n">
        <v>45809</v>
      </c>
      <c r="D4504" s="7" t="n">
        <v>2025</v>
      </c>
      <c r="E4504" s="7" t="inlineStr">
        <is>
          <t>South</t>
        </is>
      </c>
      <c r="F4504" s="7" t="inlineStr">
        <is>
          <t>Office Supplies</t>
        </is>
      </c>
      <c r="G4504" s="7" t="inlineStr">
        <is>
          <t>Printer Ink</t>
        </is>
      </c>
      <c r="H4504" s="7" t="inlineStr">
        <is>
          <t>Consumer</t>
        </is>
      </c>
      <c r="I4504" s="7" t="n">
        <v>7</v>
      </c>
      <c r="J4504" s="10" t="n">
        <v>62.25</v>
      </c>
      <c r="K4504" s="11" t="n">
        <v>0</v>
      </c>
      <c r="L4504" s="10">
        <f>I4504*J4504*(1-K4504)</f>
        <v/>
      </c>
      <c r="M4504" s="10" t="n">
        <v>252</v>
      </c>
      <c r="N4504" s="10">
        <f>L4504-M4504</f>
        <v/>
      </c>
    </row>
    <row r="4505">
      <c r="A4505" s="7" t="inlineStr">
        <is>
          <t>ORD-03104</t>
        </is>
      </c>
      <c r="B4505" s="8" t="n">
        <v>45827</v>
      </c>
      <c r="C4505" s="9" t="n">
        <v>45809</v>
      </c>
      <c r="D4505" s="7" t="n">
        <v>2025</v>
      </c>
      <c r="E4505" s="7" t="inlineStr">
        <is>
          <t>South</t>
        </is>
      </c>
      <c r="F4505" s="7" t="inlineStr">
        <is>
          <t>Technology</t>
        </is>
      </c>
      <c r="G4505" s="7" t="inlineStr">
        <is>
          <t>Headphones</t>
        </is>
      </c>
      <c r="H4505" s="7" t="inlineStr">
        <is>
          <t>Consumer</t>
        </is>
      </c>
      <c r="I4505" s="7" t="n">
        <v>1</v>
      </c>
      <c r="J4505" s="10" t="n">
        <v>120.57</v>
      </c>
      <c r="K4505" s="11" t="n">
        <v>0.3</v>
      </c>
      <c r="L4505" s="10">
        <f>I4505*J4505*(1-K4505)</f>
        <v/>
      </c>
      <c r="M4505" s="10" t="n">
        <v>72</v>
      </c>
      <c r="N4505" s="10">
        <f>L4505-M4505</f>
        <v/>
      </c>
    </row>
    <row r="4506">
      <c r="A4506" s="7" t="inlineStr">
        <is>
          <t>ORD-03136</t>
        </is>
      </c>
      <c r="B4506" s="8" t="n">
        <v>45827</v>
      </c>
      <c r="C4506" s="9" t="n">
        <v>45809</v>
      </c>
      <c r="D4506" s="7" t="n">
        <v>2025</v>
      </c>
      <c r="E4506" s="7" t="inlineStr">
        <is>
          <t>South</t>
        </is>
      </c>
      <c r="F4506" s="7" t="inlineStr">
        <is>
          <t>Office Supplies</t>
        </is>
      </c>
      <c r="G4506" s="7" t="inlineStr">
        <is>
          <t>Paper</t>
        </is>
      </c>
      <c r="H4506" s="7" t="inlineStr">
        <is>
          <t>Corporate</t>
        </is>
      </c>
      <c r="I4506" s="7" t="n">
        <v>6</v>
      </c>
      <c r="J4506" s="10" t="n">
        <v>24.67</v>
      </c>
      <c r="K4506" s="11" t="n">
        <v>0.05</v>
      </c>
      <c r="L4506" s="10">
        <f>I4506*J4506*(1-K4506)</f>
        <v/>
      </c>
      <c r="M4506" s="10" t="n">
        <v>75</v>
      </c>
      <c r="N4506" s="10">
        <f>L4506-M4506</f>
        <v/>
      </c>
    </row>
    <row r="4507">
      <c r="A4507" s="7" t="inlineStr">
        <is>
          <t>ORD-02386</t>
        </is>
      </c>
      <c r="B4507" s="8" t="n">
        <v>45828</v>
      </c>
      <c r="C4507" s="9" t="n">
        <v>45809</v>
      </c>
      <c r="D4507" s="7" t="n">
        <v>2025</v>
      </c>
      <c r="E4507" s="7" t="inlineStr">
        <is>
          <t>East</t>
        </is>
      </c>
      <c r="F4507" s="7" t="inlineStr">
        <is>
          <t>Office Supplies</t>
        </is>
      </c>
      <c r="G4507" s="7" t="inlineStr">
        <is>
          <t>Stapler</t>
        </is>
      </c>
      <c r="H4507" s="7" t="inlineStr">
        <is>
          <t>Corporate</t>
        </is>
      </c>
      <c r="I4507" s="7" t="n">
        <v>4</v>
      </c>
      <c r="J4507" s="10" t="n">
        <v>14.81</v>
      </c>
      <c r="K4507" s="11" t="n">
        <v>0.2</v>
      </c>
      <c r="L4507" s="10">
        <f>I4507*J4507*(1-K4507)</f>
        <v/>
      </c>
      <c r="M4507" s="10" t="n">
        <v>30</v>
      </c>
      <c r="N4507" s="10">
        <f>L4507-M4507</f>
        <v/>
      </c>
    </row>
    <row r="4508">
      <c r="A4508" s="7" t="inlineStr">
        <is>
          <t>ORD-05295</t>
        </is>
      </c>
      <c r="B4508" s="8" t="n">
        <v>45828</v>
      </c>
      <c r="C4508" s="9" t="n">
        <v>45809</v>
      </c>
      <c r="D4508" s="7" t="n">
        <v>2025</v>
      </c>
      <c r="E4508" s="7" t="inlineStr">
        <is>
          <t>East</t>
        </is>
      </c>
      <c r="F4508" s="7" t="inlineStr">
        <is>
          <t>Technology</t>
        </is>
      </c>
      <c r="G4508" s="7" t="inlineStr">
        <is>
          <t>Smartphone</t>
        </is>
      </c>
      <c r="H4508" s="7" t="inlineStr">
        <is>
          <t>Consumer</t>
        </is>
      </c>
      <c r="I4508" s="7" t="n">
        <v>1</v>
      </c>
      <c r="J4508" s="10" t="n">
        <v>573.02</v>
      </c>
      <c r="K4508" s="11" t="n">
        <v>0</v>
      </c>
      <c r="L4508" s="10">
        <f>I4508*J4508*(1-K4508)</f>
        <v/>
      </c>
      <c r="M4508" s="10" t="n">
        <v>450</v>
      </c>
      <c r="N4508" s="10">
        <f>L4508-M4508</f>
        <v/>
      </c>
    </row>
    <row r="4509">
      <c r="A4509" s="7" t="inlineStr">
        <is>
          <t>ORD-03571</t>
        </is>
      </c>
      <c r="B4509" s="8" t="n">
        <v>45828</v>
      </c>
      <c r="C4509" s="9" t="n">
        <v>45809</v>
      </c>
      <c r="D4509" s="7" t="n">
        <v>2025</v>
      </c>
      <c r="E4509" s="7" t="inlineStr">
        <is>
          <t>West</t>
        </is>
      </c>
      <c r="F4509" s="7" t="inlineStr">
        <is>
          <t>Office Supplies</t>
        </is>
      </c>
      <c r="G4509" s="7" t="inlineStr">
        <is>
          <t>Paper</t>
        </is>
      </c>
      <c r="H4509" s="7" t="inlineStr">
        <is>
          <t>Consumer</t>
        </is>
      </c>
      <c r="I4509" s="7" t="n">
        <v>14</v>
      </c>
      <c r="J4509" s="10" t="n">
        <v>25.86</v>
      </c>
      <c r="K4509" s="11" t="n">
        <v>0.2</v>
      </c>
      <c r="L4509" s="10">
        <f>I4509*J4509*(1-K4509)</f>
        <v/>
      </c>
      <c r="M4509" s="10" t="n">
        <v>175</v>
      </c>
      <c r="N4509" s="10">
        <f>L4509-M4509</f>
        <v/>
      </c>
    </row>
    <row r="4510">
      <c r="A4510" s="7" t="inlineStr">
        <is>
          <t>ORD-01088</t>
        </is>
      </c>
      <c r="B4510" s="8" t="n">
        <v>45828</v>
      </c>
      <c r="C4510" s="9" t="n">
        <v>45809</v>
      </c>
      <c r="D4510" s="7" t="n">
        <v>2025</v>
      </c>
      <c r="E4510" s="7" t="inlineStr">
        <is>
          <t>West</t>
        </is>
      </c>
      <c r="F4510" s="7" t="inlineStr">
        <is>
          <t>Office Supplies</t>
        </is>
      </c>
      <c r="G4510" s="7" t="inlineStr">
        <is>
          <t>Paper</t>
        </is>
      </c>
      <c r="H4510" s="7" t="inlineStr">
        <is>
          <t>Consumer</t>
        </is>
      </c>
      <c r="I4510" s="7" t="n">
        <v>8</v>
      </c>
      <c r="J4510" s="10" t="n">
        <v>26.03</v>
      </c>
      <c r="K4510" s="11" t="n">
        <v>0.05</v>
      </c>
      <c r="L4510" s="10">
        <f>I4510*J4510*(1-K4510)</f>
        <v/>
      </c>
      <c r="M4510" s="10" t="n">
        <v>100</v>
      </c>
      <c r="N4510" s="10">
        <f>L4510-M4510</f>
        <v/>
      </c>
    </row>
    <row r="4511">
      <c r="A4511" s="7" t="inlineStr">
        <is>
          <t>ORD-00371</t>
        </is>
      </c>
      <c r="B4511" s="8" t="n">
        <v>45828</v>
      </c>
      <c r="C4511" s="9" t="n">
        <v>45809</v>
      </c>
      <c r="D4511" s="7" t="n">
        <v>2025</v>
      </c>
      <c r="E4511" s="7" t="inlineStr">
        <is>
          <t>North</t>
        </is>
      </c>
      <c r="F4511" s="7" t="inlineStr">
        <is>
          <t>Office Supplies</t>
        </is>
      </c>
      <c r="G4511" s="7" t="inlineStr">
        <is>
          <t>Binder</t>
        </is>
      </c>
      <c r="H4511" s="7" t="inlineStr">
        <is>
          <t>Home Office</t>
        </is>
      </c>
      <c r="I4511" s="7" t="n">
        <v>11</v>
      </c>
      <c r="J4511" s="10" t="n">
        <v>8.029999999999999</v>
      </c>
      <c r="K4511" s="11" t="n">
        <v>0.05</v>
      </c>
      <c r="L4511" s="10">
        <f>I4511*J4511*(1-K4511)</f>
        <v/>
      </c>
      <c r="M4511" s="10" t="n">
        <v>35.2</v>
      </c>
      <c r="N4511" s="10">
        <f>L4511-M4511</f>
        <v/>
      </c>
    </row>
    <row r="4512">
      <c r="A4512" s="7" t="inlineStr">
        <is>
          <t>ORD-03013</t>
        </is>
      </c>
      <c r="B4512" s="8" t="n">
        <v>45828</v>
      </c>
      <c r="C4512" s="9" t="n">
        <v>45809</v>
      </c>
      <c r="D4512" s="7" t="n">
        <v>2025</v>
      </c>
      <c r="E4512" s="7" t="inlineStr">
        <is>
          <t>North</t>
        </is>
      </c>
      <c r="F4512" s="7" t="inlineStr">
        <is>
          <t>Office Supplies</t>
        </is>
      </c>
      <c r="G4512" s="7" t="inlineStr">
        <is>
          <t>Printer Ink</t>
        </is>
      </c>
      <c r="H4512" s="7" t="inlineStr">
        <is>
          <t>Home Office</t>
        </is>
      </c>
      <c r="I4512" s="7" t="n">
        <v>6</v>
      </c>
      <c r="J4512" s="10" t="n">
        <v>59.85</v>
      </c>
      <c r="K4512" s="11" t="n">
        <v>0.2</v>
      </c>
      <c r="L4512" s="10">
        <f>I4512*J4512*(1-K4512)</f>
        <v/>
      </c>
      <c r="M4512" s="10" t="n">
        <v>216</v>
      </c>
      <c r="N4512" s="10">
        <f>L4512-M4512</f>
        <v/>
      </c>
    </row>
    <row r="4513">
      <c r="A4513" s="7" t="inlineStr">
        <is>
          <t>ORD-04519</t>
        </is>
      </c>
      <c r="B4513" s="8" t="n">
        <v>45829</v>
      </c>
      <c r="C4513" s="9" t="n">
        <v>45809</v>
      </c>
      <c r="D4513" s="7" t="n">
        <v>2025</v>
      </c>
      <c r="E4513" s="7" t="inlineStr">
        <is>
          <t>East</t>
        </is>
      </c>
      <c r="F4513" s="7" t="inlineStr">
        <is>
          <t>Technology</t>
        </is>
      </c>
      <c r="G4513" s="7" t="inlineStr">
        <is>
          <t>Keyboard</t>
        </is>
      </c>
      <c r="H4513" s="7" t="inlineStr">
        <is>
          <t>Consumer</t>
        </is>
      </c>
      <c r="I4513" s="7" t="n">
        <v>1</v>
      </c>
      <c r="J4513" s="10" t="n">
        <v>45.81</v>
      </c>
      <c r="K4513" s="11" t="n">
        <v>0.05</v>
      </c>
      <c r="L4513" s="10">
        <f>I4513*J4513*(1-K4513)</f>
        <v/>
      </c>
      <c r="M4513" s="10" t="n">
        <v>24.75</v>
      </c>
      <c r="N4513" s="10">
        <f>L4513-M4513</f>
        <v/>
      </c>
    </row>
    <row r="4514">
      <c r="A4514" s="7" t="inlineStr">
        <is>
          <t>ORD-05040</t>
        </is>
      </c>
      <c r="B4514" s="8" t="n">
        <v>45829</v>
      </c>
      <c r="C4514" s="9" t="n">
        <v>45809</v>
      </c>
      <c r="D4514" s="7" t="n">
        <v>2025</v>
      </c>
      <c r="E4514" s="7" t="inlineStr">
        <is>
          <t>North</t>
        </is>
      </c>
      <c r="F4514" s="7" t="inlineStr">
        <is>
          <t>Office Supplies</t>
        </is>
      </c>
      <c r="G4514" s="7" t="inlineStr">
        <is>
          <t>Paper</t>
        </is>
      </c>
      <c r="H4514" s="7" t="inlineStr">
        <is>
          <t>Corporate</t>
        </is>
      </c>
      <c r="I4514" s="7" t="n">
        <v>8</v>
      </c>
      <c r="J4514" s="10" t="n">
        <v>25.72</v>
      </c>
      <c r="K4514" s="11" t="n">
        <v>0.2</v>
      </c>
      <c r="L4514" s="10">
        <f>I4514*J4514*(1-K4514)</f>
        <v/>
      </c>
      <c r="M4514" s="10" t="n">
        <v>100</v>
      </c>
      <c r="N4514" s="10">
        <f>L4514-M4514</f>
        <v/>
      </c>
    </row>
    <row r="4515">
      <c r="A4515" s="7" t="inlineStr">
        <is>
          <t>ORD-00567</t>
        </is>
      </c>
      <c r="B4515" s="8" t="n">
        <v>45829</v>
      </c>
      <c r="C4515" s="9" t="n">
        <v>45809</v>
      </c>
      <c r="D4515" s="7" t="n">
        <v>2025</v>
      </c>
      <c r="E4515" s="7" t="inlineStr">
        <is>
          <t>East</t>
        </is>
      </c>
      <c r="F4515" s="7" t="inlineStr">
        <is>
          <t>Office Supplies</t>
        </is>
      </c>
      <c r="G4515" s="7" t="inlineStr">
        <is>
          <t>Binder</t>
        </is>
      </c>
      <c r="H4515" s="7" t="inlineStr">
        <is>
          <t>Consumer</t>
        </is>
      </c>
      <c r="I4515" s="7" t="n">
        <v>6</v>
      </c>
      <c r="J4515" s="10" t="n">
        <v>7.74</v>
      </c>
      <c r="K4515" s="11" t="n">
        <v>0.05</v>
      </c>
      <c r="L4515" s="10">
        <f>I4515*J4515*(1-K4515)</f>
        <v/>
      </c>
      <c r="M4515" s="10" t="n">
        <v>19.2</v>
      </c>
      <c r="N4515" s="10">
        <f>L4515-M4515</f>
        <v/>
      </c>
    </row>
    <row r="4516">
      <c r="A4516" s="7" t="inlineStr">
        <is>
          <t>ORD-01953</t>
        </is>
      </c>
      <c r="B4516" s="8" t="n">
        <v>45829</v>
      </c>
      <c r="C4516" s="9" t="n">
        <v>45809</v>
      </c>
      <c r="D4516" s="7" t="n">
        <v>2025</v>
      </c>
      <c r="E4516" s="7" t="inlineStr">
        <is>
          <t>North</t>
        </is>
      </c>
      <c r="F4516" s="7" t="inlineStr">
        <is>
          <t>Office Supplies</t>
        </is>
      </c>
      <c r="G4516" s="7" t="inlineStr">
        <is>
          <t>Paper</t>
        </is>
      </c>
      <c r="H4516" s="7" t="inlineStr">
        <is>
          <t>Home Office</t>
        </is>
      </c>
      <c r="I4516" s="7" t="n">
        <v>8</v>
      </c>
      <c r="J4516" s="10" t="n">
        <v>24.87</v>
      </c>
      <c r="K4516" s="11" t="n">
        <v>0</v>
      </c>
      <c r="L4516" s="10">
        <f>I4516*J4516*(1-K4516)</f>
        <v/>
      </c>
      <c r="M4516" s="10" t="n">
        <v>100</v>
      </c>
      <c r="N4516" s="10">
        <f>L4516-M4516</f>
        <v/>
      </c>
    </row>
    <row r="4517">
      <c r="A4517" s="7" t="inlineStr">
        <is>
          <t>ORD-01556</t>
        </is>
      </c>
      <c r="B4517" s="8" t="n">
        <v>45829</v>
      </c>
      <c r="C4517" s="9" t="n">
        <v>45809</v>
      </c>
      <c r="D4517" s="7" t="n">
        <v>2025</v>
      </c>
      <c r="E4517" s="7" t="inlineStr">
        <is>
          <t>North</t>
        </is>
      </c>
      <c r="F4517" s="7" t="inlineStr">
        <is>
          <t>Technology</t>
        </is>
      </c>
      <c r="G4517" s="7" t="inlineStr">
        <is>
          <t>Keyboard</t>
        </is>
      </c>
      <c r="H4517" s="7" t="inlineStr">
        <is>
          <t>Consumer</t>
        </is>
      </c>
      <c r="I4517" s="7" t="n">
        <v>3</v>
      </c>
      <c r="J4517" s="10" t="n">
        <v>42.94</v>
      </c>
      <c r="K4517" s="11" t="n">
        <v>0</v>
      </c>
      <c r="L4517" s="10">
        <f>I4517*J4517*(1-K4517)</f>
        <v/>
      </c>
      <c r="M4517" s="10" t="n">
        <v>74.25</v>
      </c>
      <c r="N4517" s="10">
        <f>L4517-M4517</f>
        <v/>
      </c>
    </row>
    <row r="4518">
      <c r="A4518" s="7" t="inlineStr">
        <is>
          <t>ORD-05721</t>
        </is>
      </c>
      <c r="B4518" s="8" t="n">
        <v>45829</v>
      </c>
      <c r="C4518" s="9" t="n">
        <v>45809</v>
      </c>
      <c r="D4518" s="7" t="n">
        <v>2025</v>
      </c>
      <c r="E4518" s="7" t="inlineStr">
        <is>
          <t>West</t>
        </is>
      </c>
      <c r="F4518" s="7" t="inlineStr">
        <is>
          <t>Office Supplies</t>
        </is>
      </c>
      <c r="G4518" s="7" t="inlineStr">
        <is>
          <t>Paper</t>
        </is>
      </c>
      <c r="H4518" s="7" t="inlineStr">
        <is>
          <t>Corporate</t>
        </is>
      </c>
      <c r="I4518" s="7" t="n">
        <v>12</v>
      </c>
      <c r="J4518" s="10" t="n">
        <v>26.15</v>
      </c>
      <c r="K4518" s="11" t="n">
        <v>0</v>
      </c>
      <c r="L4518" s="10">
        <f>I4518*J4518*(1-K4518)</f>
        <v/>
      </c>
      <c r="M4518" s="10" t="n">
        <v>150</v>
      </c>
      <c r="N4518" s="10">
        <f>L4518-M4518</f>
        <v/>
      </c>
    </row>
    <row r="4519">
      <c r="A4519" s="7" t="inlineStr">
        <is>
          <t>ORD-03268</t>
        </is>
      </c>
      <c r="B4519" s="8" t="n">
        <v>45829</v>
      </c>
      <c r="C4519" s="9" t="n">
        <v>45809</v>
      </c>
      <c r="D4519" s="7" t="n">
        <v>2025</v>
      </c>
      <c r="E4519" s="7" t="inlineStr">
        <is>
          <t>North</t>
        </is>
      </c>
      <c r="F4519" s="7" t="inlineStr">
        <is>
          <t>Furniture</t>
        </is>
      </c>
      <c r="G4519" s="7" t="inlineStr">
        <is>
          <t>Office Chair</t>
        </is>
      </c>
      <c r="H4519" s="7" t="inlineStr">
        <is>
          <t>Consumer</t>
        </is>
      </c>
      <c r="I4519" s="7" t="n">
        <v>4</v>
      </c>
      <c r="J4519" s="10" t="n">
        <v>217.03</v>
      </c>
      <c r="K4519" s="11" t="n">
        <v>0.3</v>
      </c>
      <c r="L4519" s="10">
        <f>I4519*J4519*(1-K4519)</f>
        <v/>
      </c>
      <c r="M4519" s="10" t="n">
        <v>721.6</v>
      </c>
      <c r="N4519" s="10">
        <f>L4519-M4519</f>
        <v/>
      </c>
    </row>
    <row r="4520">
      <c r="A4520" s="7" t="inlineStr">
        <is>
          <t>ORD-02744</t>
        </is>
      </c>
      <c r="B4520" s="8" t="n">
        <v>45830</v>
      </c>
      <c r="C4520" s="9" t="n">
        <v>45809</v>
      </c>
      <c r="D4520" s="7" t="n">
        <v>2025</v>
      </c>
      <c r="E4520" s="7" t="inlineStr">
        <is>
          <t>South</t>
        </is>
      </c>
      <c r="F4520" s="7" t="inlineStr">
        <is>
          <t>Technology</t>
        </is>
      </c>
      <c r="G4520" s="7" t="inlineStr">
        <is>
          <t>Monitor</t>
        </is>
      </c>
      <c r="H4520" s="7" t="inlineStr">
        <is>
          <t>Corporate</t>
        </is>
      </c>
      <c r="I4520" s="7" t="n">
        <v>1</v>
      </c>
      <c r="J4520" s="10" t="n">
        <v>253.83</v>
      </c>
      <c r="K4520" s="11" t="n">
        <v>0.3</v>
      </c>
      <c r="L4520" s="10">
        <f>I4520*J4520*(1-K4520)</f>
        <v/>
      </c>
      <c r="M4520" s="10" t="n">
        <v>180</v>
      </c>
      <c r="N4520" s="10">
        <f>L4520-M4520</f>
        <v/>
      </c>
    </row>
    <row r="4521">
      <c r="A4521" s="7" t="inlineStr">
        <is>
          <t>ORD-00911</t>
        </is>
      </c>
      <c r="B4521" s="8" t="n">
        <v>45830</v>
      </c>
      <c r="C4521" s="9" t="n">
        <v>45809</v>
      </c>
      <c r="D4521" s="7" t="n">
        <v>2025</v>
      </c>
      <c r="E4521" s="7" t="inlineStr">
        <is>
          <t>South</t>
        </is>
      </c>
      <c r="F4521" s="7" t="inlineStr">
        <is>
          <t>Technology</t>
        </is>
      </c>
      <c r="G4521" s="7" t="inlineStr">
        <is>
          <t>Smartphone</t>
        </is>
      </c>
      <c r="H4521" s="7" t="inlineStr">
        <is>
          <t>Corporate</t>
        </is>
      </c>
      <c r="I4521" s="7" t="n">
        <v>1</v>
      </c>
      <c r="J4521" s="10" t="n">
        <v>579.65</v>
      </c>
      <c r="K4521" s="11" t="n">
        <v>0.05</v>
      </c>
      <c r="L4521" s="10">
        <f>I4521*J4521*(1-K4521)</f>
        <v/>
      </c>
      <c r="M4521" s="10" t="n">
        <v>450</v>
      </c>
      <c r="N4521" s="10">
        <f>L4521-M4521</f>
        <v/>
      </c>
    </row>
    <row r="4522">
      <c r="A4522" s="7" t="inlineStr">
        <is>
          <t>ORD-01087</t>
        </is>
      </c>
      <c r="B4522" s="8" t="n">
        <v>45830</v>
      </c>
      <c r="C4522" s="9" t="n">
        <v>45809</v>
      </c>
      <c r="D4522" s="7" t="n">
        <v>2025</v>
      </c>
      <c r="E4522" s="7" t="inlineStr">
        <is>
          <t>South</t>
        </is>
      </c>
      <c r="F4522" s="7" t="inlineStr">
        <is>
          <t>Office Supplies</t>
        </is>
      </c>
      <c r="G4522" s="7" t="inlineStr">
        <is>
          <t>Binder</t>
        </is>
      </c>
      <c r="H4522" s="7" t="inlineStr">
        <is>
          <t>Consumer</t>
        </is>
      </c>
      <c r="I4522" s="7" t="n">
        <v>9</v>
      </c>
      <c r="J4522" s="10" t="n">
        <v>8.210000000000001</v>
      </c>
      <c r="K4522" s="11" t="n">
        <v>0</v>
      </c>
      <c r="L4522" s="10">
        <f>I4522*J4522*(1-K4522)</f>
        <v/>
      </c>
      <c r="M4522" s="10" t="n">
        <v>28.8</v>
      </c>
      <c r="N4522" s="10">
        <f>L4522-M4522</f>
        <v/>
      </c>
    </row>
    <row r="4523">
      <c r="A4523" s="7" t="inlineStr">
        <is>
          <t>ORD-02139</t>
        </is>
      </c>
      <c r="B4523" s="8" t="n">
        <v>45830</v>
      </c>
      <c r="C4523" s="9" t="n">
        <v>45809</v>
      </c>
      <c r="D4523" s="7" t="n">
        <v>2025</v>
      </c>
      <c r="E4523" s="7" t="inlineStr">
        <is>
          <t>South</t>
        </is>
      </c>
      <c r="F4523" s="7" t="inlineStr">
        <is>
          <t>Office Supplies</t>
        </is>
      </c>
      <c r="G4523" s="7" t="inlineStr">
        <is>
          <t>Paper</t>
        </is>
      </c>
      <c r="H4523" s="7" t="inlineStr">
        <is>
          <t>Consumer</t>
        </is>
      </c>
      <c r="I4523" s="7" t="n">
        <v>15</v>
      </c>
      <c r="J4523" s="10" t="n">
        <v>25.89</v>
      </c>
      <c r="K4523" s="11" t="n">
        <v>0.05</v>
      </c>
      <c r="L4523" s="10">
        <f>I4523*J4523*(1-K4523)</f>
        <v/>
      </c>
      <c r="M4523" s="10" t="n">
        <v>187.5</v>
      </c>
      <c r="N4523" s="10">
        <f>L4523-M4523</f>
        <v/>
      </c>
    </row>
    <row r="4524">
      <c r="A4524" s="7" t="inlineStr">
        <is>
          <t>ORD-02318</t>
        </is>
      </c>
      <c r="B4524" s="8" t="n">
        <v>45830</v>
      </c>
      <c r="C4524" s="9" t="n">
        <v>45809</v>
      </c>
      <c r="D4524" s="7" t="n">
        <v>2025</v>
      </c>
      <c r="E4524" s="7" t="inlineStr">
        <is>
          <t>North</t>
        </is>
      </c>
      <c r="F4524" s="7" t="inlineStr">
        <is>
          <t>Office Supplies</t>
        </is>
      </c>
      <c r="G4524" s="7" t="inlineStr">
        <is>
          <t>Binder</t>
        </is>
      </c>
      <c r="H4524" s="7" t="inlineStr">
        <is>
          <t>Corporate</t>
        </is>
      </c>
      <c r="I4524" s="7" t="n">
        <v>2</v>
      </c>
      <c r="J4524" s="10" t="n">
        <v>7.96</v>
      </c>
      <c r="K4524" s="11" t="n">
        <v>0.05</v>
      </c>
      <c r="L4524" s="10">
        <f>I4524*J4524*(1-K4524)</f>
        <v/>
      </c>
      <c r="M4524" s="10" t="n">
        <v>6.4</v>
      </c>
      <c r="N4524" s="10">
        <f>L4524-M4524</f>
        <v/>
      </c>
    </row>
    <row r="4525">
      <c r="A4525" s="7" t="inlineStr">
        <is>
          <t>ORD-04092</t>
        </is>
      </c>
      <c r="B4525" s="8" t="n">
        <v>45830</v>
      </c>
      <c r="C4525" s="9" t="n">
        <v>45809</v>
      </c>
      <c r="D4525" s="7" t="n">
        <v>2025</v>
      </c>
      <c r="E4525" s="7" t="inlineStr">
        <is>
          <t>West</t>
        </is>
      </c>
      <c r="F4525" s="7" t="inlineStr">
        <is>
          <t>Office Supplies</t>
        </is>
      </c>
      <c r="G4525" s="7" t="inlineStr">
        <is>
          <t>Stapler</t>
        </is>
      </c>
      <c r="H4525" s="7" t="inlineStr">
        <is>
          <t>Home Office</t>
        </is>
      </c>
      <c r="I4525" s="7" t="n">
        <v>9</v>
      </c>
      <c r="J4525" s="10" t="n">
        <v>15.25</v>
      </c>
      <c r="K4525" s="11" t="n">
        <v>0.1</v>
      </c>
      <c r="L4525" s="10">
        <f>I4525*J4525*(1-K4525)</f>
        <v/>
      </c>
      <c r="M4525" s="10" t="n">
        <v>67.5</v>
      </c>
      <c r="N4525" s="10">
        <f>L4525-M4525</f>
        <v/>
      </c>
    </row>
    <row r="4526">
      <c r="A4526" s="7" t="inlineStr">
        <is>
          <t>ORD-00357</t>
        </is>
      </c>
      <c r="B4526" s="8" t="n">
        <v>45830</v>
      </c>
      <c r="C4526" s="9" t="n">
        <v>45809</v>
      </c>
      <c r="D4526" s="7" t="n">
        <v>2025</v>
      </c>
      <c r="E4526" s="7" t="inlineStr">
        <is>
          <t>East</t>
        </is>
      </c>
      <c r="F4526" s="7" t="inlineStr">
        <is>
          <t>Technology</t>
        </is>
      </c>
      <c r="G4526" s="7" t="inlineStr">
        <is>
          <t>Laptop</t>
        </is>
      </c>
      <c r="H4526" s="7" t="inlineStr">
        <is>
          <t>Home Office</t>
        </is>
      </c>
      <c r="I4526" s="7" t="n">
        <v>2</v>
      </c>
      <c r="J4526" s="10" t="n">
        <v>943.87</v>
      </c>
      <c r="K4526" s="11" t="n">
        <v>0.1</v>
      </c>
      <c r="L4526" s="10">
        <f>I4526*J4526*(1-K4526)</f>
        <v/>
      </c>
      <c r="M4526" s="10" t="n">
        <v>1404</v>
      </c>
      <c r="N4526" s="10">
        <f>L4526-M4526</f>
        <v/>
      </c>
    </row>
    <row r="4527">
      <c r="A4527" s="7" t="inlineStr">
        <is>
          <t>ORD-02040</t>
        </is>
      </c>
      <c r="B4527" s="8" t="n">
        <v>45830</v>
      </c>
      <c r="C4527" s="9" t="n">
        <v>45809</v>
      </c>
      <c r="D4527" s="7" t="n">
        <v>2025</v>
      </c>
      <c r="E4527" s="7" t="inlineStr">
        <is>
          <t>North</t>
        </is>
      </c>
      <c r="F4527" s="7" t="inlineStr">
        <is>
          <t>Furniture</t>
        </is>
      </c>
      <c r="G4527" s="7" t="inlineStr">
        <is>
          <t>Desk</t>
        </is>
      </c>
      <c r="H4527" s="7" t="inlineStr">
        <is>
          <t>Consumer</t>
        </is>
      </c>
      <c r="I4527" s="7" t="n">
        <v>4</v>
      </c>
      <c r="J4527" s="10" t="n">
        <v>450.27</v>
      </c>
      <c r="K4527" s="11" t="n">
        <v>0.1</v>
      </c>
      <c r="L4527" s="10">
        <f>I4527*J4527*(1-K4527)</f>
        <v/>
      </c>
      <c r="M4527" s="10" t="n">
        <v>1530</v>
      </c>
      <c r="N4527" s="10">
        <f>L4527-M4527</f>
        <v/>
      </c>
    </row>
    <row r="4528">
      <c r="A4528" s="7" t="inlineStr">
        <is>
          <t>ORD-02288</t>
        </is>
      </c>
      <c r="B4528" s="8" t="n">
        <v>45830</v>
      </c>
      <c r="C4528" s="9" t="n">
        <v>45809</v>
      </c>
      <c r="D4528" s="7" t="n">
        <v>2025</v>
      </c>
      <c r="E4528" s="7" t="inlineStr">
        <is>
          <t>North</t>
        </is>
      </c>
      <c r="F4528" s="7" t="inlineStr">
        <is>
          <t>Office Supplies</t>
        </is>
      </c>
      <c r="G4528" s="7" t="inlineStr">
        <is>
          <t>Pens</t>
        </is>
      </c>
      <c r="H4528" s="7" t="inlineStr">
        <is>
          <t>Consumer</t>
        </is>
      </c>
      <c r="I4528" s="7" t="n">
        <v>10</v>
      </c>
      <c r="J4528" s="10" t="n">
        <v>12.53</v>
      </c>
      <c r="K4528" s="11" t="n">
        <v>0.1</v>
      </c>
      <c r="L4528" s="10">
        <f>I4528*J4528*(1-K4528)</f>
        <v/>
      </c>
      <c r="M4528" s="10" t="n">
        <v>54</v>
      </c>
      <c r="N4528" s="10">
        <f>L4528-M4528</f>
        <v/>
      </c>
    </row>
    <row r="4529">
      <c r="A4529" s="7" t="inlineStr">
        <is>
          <t>ORD-05331</t>
        </is>
      </c>
      <c r="B4529" s="8" t="n">
        <v>45831</v>
      </c>
      <c r="C4529" s="9" t="n">
        <v>45809</v>
      </c>
      <c r="D4529" s="7" t="n">
        <v>2025</v>
      </c>
      <c r="E4529" s="7" t="inlineStr">
        <is>
          <t>South</t>
        </is>
      </c>
      <c r="F4529" s="7" t="inlineStr">
        <is>
          <t>Technology</t>
        </is>
      </c>
      <c r="G4529" s="7" t="inlineStr">
        <is>
          <t>Monitor</t>
        </is>
      </c>
      <c r="H4529" s="7" t="inlineStr">
        <is>
          <t>Consumer</t>
        </is>
      </c>
      <c r="I4529" s="7" t="n">
        <v>3</v>
      </c>
      <c r="J4529" s="10" t="n">
        <v>244.11</v>
      </c>
      <c r="K4529" s="11" t="n">
        <v>0</v>
      </c>
      <c r="L4529" s="10">
        <f>I4529*J4529*(1-K4529)</f>
        <v/>
      </c>
      <c r="M4529" s="10" t="n">
        <v>540</v>
      </c>
      <c r="N4529" s="10">
        <f>L4529-M4529</f>
        <v/>
      </c>
    </row>
    <row r="4530">
      <c r="A4530" s="7" t="inlineStr">
        <is>
          <t>ORD-03520</t>
        </is>
      </c>
      <c r="B4530" s="8" t="n">
        <v>45831</v>
      </c>
      <c r="C4530" s="9" t="n">
        <v>45809</v>
      </c>
      <c r="D4530" s="7" t="n">
        <v>2025</v>
      </c>
      <c r="E4530" s="7" t="inlineStr">
        <is>
          <t>West</t>
        </is>
      </c>
      <c r="F4530" s="7" t="inlineStr">
        <is>
          <t>Office Supplies</t>
        </is>
      </c>
      <c r="G4530" s="7" t="inlineStr">
        <is>
          <t>Printer Ink</t>
        </is>
      </c>
      <c r="H4530" s="7" t="inlineStr">
        <is>
          <t>Corporate</t>
        </is>
      </c>
      <c r="I4530" s="7" t="n">
        <v>15</v>
      </c>
      <c r="J4530" s="10" t="n">
        <v>60.95</v>
      </c>
      <c r="K4530" s="11" t="n">
        <v>0.05</v>
      </c>
      <c r="L4530" s="10">
        <f>I4530*J4530*(1-K4530)</f>
        <v/>
      </c>
      <c r="M4530" s="10" t="n">
        <v>540</v>
      </c>
      <c r="N4530" s="10">
        <f>L4530-M4530</f>
        <v/>
      </c>
    </row>
    <row r="4531">
      <c r="A4531" s="7" t="inlineStr">
        <is>
          <t>ORD-02423</t>
        </is>
      </c>
      <c r="B4531" s="8" t="n">
        <v>45831</v>
      </c>
      <c r="C4531" s="9" t="n">
        <v>45809</v>
      </c>
      <c r="D4531" s="7" t="n">
        <v>2025</v>
      </c>
      <c r="E4531" s="7" t="inlineStr">
        <is>
          <t>South</t>
        </is>
      </c>
      <c r="F4531" s="7" t="inlineStr">
        <is>
          <t>Office Supplies</t>
        </is>
      </c>
      <c r="G4531" s="7" t="inlineStr">
        <is>
          <t>Pens</t>
        </is>
      </c>
      <c r="H4531" s="7" t="inlineStr">
        <is>
          <t>Consumer</t>
        </is>
      </c>
      <c r="I4531" s="7" t="n">
        <v>5</v>
      </c>
      <c r="J4531" s="10" t="n">
        <v>11.88</v>
      </c>
      <c r="K4531" s="11" t="n">
        <v>0.05</v>
      </c>
      <c r="L4531" s="10">
        <f>I4531*J4531*(1-K4531)</f>
        <v/>
      </c>
      <c r="M4531" s="10" t="n">
        <v>27</v>
      </c>
      <c r="N4531" s="10">
        <f>L4531-M4531</f>
        <v/>
      </c>
    </row>
    <row r="4532">
      <c r="A4532" s="7" t="inlineStr">
        <is>
          <t>ORD-03581</t>
        </is>
      </c>
      <c r="B4532" s="8" t="n">
        <v>45831</v>
      </c>
      <c r="C4532" s="9" t="n">
        <v>45809</v>
      </c>
      <c r="D4532" s="7" t="n">
        <v>2025</v>
      </c>
      <c r="E4532" s="7" t="inlineStr">
        <is>
          <t>South</t>
        </is>
      </c>
      <c r="F4532" s="7" t="inlineStr">
        <is>
          <t>Office Supplies</t>
        </is>
      </c>
      <c r="G4532" s="7" t="inlineStr">
        <is>
          <t>Paper</t>
        </is>
      </c>
      <c r="H4532" s="7" t="inlineStr">
        <is>
          <t>Consumer</t>
        </is>
      </c>
      <c r="I4532" s="7" t="n">
        <v>13</v>
      </c>
      <c r="J4532" s="10" t="n">
        <v>24.43</v>
      </c>
      <c r="K4532" s="11" t="n">
        <v>0.2</v>
      </c>
      <c r="L4532" s="10">
        <f>I4532*J4532*(1-K4532)</f>
        <v/>
      </c>
      <c r="M4532" s="10" t="n">
        <v>162.5</v>
      </c>
      <c r="N4532" s="10">
        <f>L4532-M4532</f>
        <v/>
      </c>
    </row>
    <row r="4533">
      <c r="A4533" s="7" t="inlineStr">
        <is>
          <t>ORD-01791</t>
        </is>
      </c>
      <c r="B4533" s="8" t="n">
        <v>45831</v>
      </c>
      <c r="C4533" s="9" t="n">
        <v>45809</v>
      </c>
      <c r="D4533" s="7" t="n">
        <v>2025</v>
      </c>
      <c r="E4533" s="7" t="inlineStr">
        <is>
          <t>South</t>
        </is>
      </c>
      <c r="F4533" s="7" t="inlineStr">
        <is>
          <t>Technology</t>
        </is>
      </c>
      <c r="G4533" s="7" t="inlineStr">
        <is>
          <t>Monitor</t>
        </is>
      </c>
      <c r="H4533" s="7" t="inlineStr">
        <is>
          <t>Consumer</t>
        </is>
      </c>
      <c r="I4533" s="7" t="n">
        <v>2</v>
      </c>
      <c r="J4533" s="10" t="n">
        <v>244.96</v>
      </c>
      <c r="K4533" s="11" t="n">
        <v>0.2</v>
      </c>
      <c r="L4533" s="10">
        <f>I4533*J4533*(1-K4533)</f>
        <v/>
      </c>
      <c r="M4533" s="10" t="n">
        <v>360</v>
      </c>
      <c r="N4533" s="10">
        <f>L4533-M4533</f>
        <v/>
      </c>
    </row>
    <row r="4534">
      <c r="A4534" s="7" t="inlineStr">
        <is>
          <t>ORD-00064</t>
        </is>
      </c>
      <c r="B4534" s="8" t="n">
        <v>45831</v>
      </c>
      <c r="C4534" s="9" t="n">
        <v>45809</v>
      </c>
      <c r="D4534" s="7" t="n">
        <v>2025</v>
      </c>
      <c r="E4534" s="7" t="inlineStr">
        <is>
          <t>East</t>
        </is>
      </c>
      <c r="F4534" s="7" t="inlineStr">
        <is>
          <t>Furniture</t>
        </is>
      </c>
      <c r="G4534" s="7" t="inlineStr">
        <is>
          <t>Bookcase</t>
        </is>
      </c>
      <c r="H4534" s="7" t="inlineStr">
        <is>
          <t>Corporate</t>
        </is>
      </c>
      <c r="I4534" s="7" t="n">
        <v>2</v>
      </c>
      <c r="J4534" s="10" t="n">
        <v>181.23</v>
      </c>
      <c r="K4534" s="11" t="n">
        <v>0.3</v>
      </c>
      <c r="L4534" s="10">
        <f>I4534*J4534*(1-K4534)</f>
        <v/>
      </c>
      <c r="M4534" s="10" t="n">
        <v>288</v>
      </c>
      <c r="N4534" s="10">
        <f>L4534-M4534</f>
        <v/>
      </c>
    </row>
    <row r="4535">
      <c r="A4535" s="7" t="inlineStr">
        <is>
          <t>ORD-04347</t>
        </is>
      </c>
      <c r="B4535" s="8" t="n">
        <v>45832</v>
      </c>
      <c r="C4535" s="9" t="n">
        <v>45809</v>
      </c>
      <c r="D4535" s="7" t="n">
        <v>2025</v>
      </c>
      <c r="E4535" s="7" t="inlineStr">
        <is>
          <t>East</t>
        </is>
      </c>
      <c r="F4535" s="7" t="inlineStr">
        <is>
          <t>Office Supplies</t>
        </is>
      </c>
      <c r="G4535" s="7" t="inlineStr">
        <is>
          <t>Binder</t>
        </is>
      </c>
      <c r="H4535" s="7" t="inlineStr">
        <is>
          <t>Consumer</t>
        </is>
      </c>
      <c r="I4535" s="7" t="n">
        <v>5</v>
      </c>
      <c r="J4535" s="10" t="n">
        <v>7.89</v>
      </c>
      <c r="K4535" s="11" t="n">
        <v>0.05</v>
      </c>
      <c r="L4535" s="10">
        <f>I4535*J4535*(1-K4535)</f>
        <v/>
      </c>
      <c r="M4535" s="10" t="n">
        <v>16</v>
      </c>
      <c r="N4535" s="10">
        <f>L4535-M4535</f>
        <v/>
      </c>
    </row>
    <row r="4536">
      <c r="A4536" s="7" t="inlineStr">
        <is>
          <t>ORD-02143</t>
        </is>
      </c>
      <c r="B4536" s="8" t="n">
        <v>45832</v>
      </c>
      <c r="C4536" s="9" t="n">
        <v>45809</v>
      </c>
      <c r="D4536" s="7" t="n">
        <v>2025</v>
      </c>
      <c r="E4536" s="7" t="inlineStr">
        <is>
          <t>West</t>
        </is>
      </c>
      <c r="F4536" s="7" t="inlineStr">
        <is>
          <t>Office Supplies</t>
        </is>
      </c>
      <c r="G4536" s="7" t="inlineStr">
        <is>
          <t>Paper</t>
        </is>
      </c>
      <c r="H4536" s="7" t="inlineStr">
        <is>
          <t>Corporate</t>
        </is>
      </c>
      <c r="I4536" s="7" t="n">
        <v>10</v>
      </c>
      <c r="J4536" s="10" t="n">
        <v>26.01</v>
      </c>
      <c r="K4536" s="11" t="n">
        <v>0.1</v>
      </c>
      <c r="L4536" s="10">
        <f>I4536*J4536*(1-K4536)</f>
        <v/>
      </c>
      <c r="M4536" s="10" t="n">
        <v>125</v>
      </c>
      <c r="N4536" s="10">
        <f>L4536-M4536</f>
        <v/>
      </c>
    </row>
    <row r="4537">
      <c r="A4537" s="7" t="inlineStr">
        <is>
          <t>ORD-05118</t>
        </is>
      </c>
      <c r="B4537" s="8" t="n">
        <v>45832</v>
      </c>
      <c r="C4537" s="9" t="n">
        <v>45809</v>
      </c>
      <c r="D4537" s="7" t="n">
        <v>2025</v>
      </c>
      <c r="E4537" s="7" t="inlineStr">
        <is>
          <t>East</t>
        </is>
      </c>
      <c r="F4537" s="7" t="inlineStr">
        <is>
          <t>Technology</t>
        </is>
      </c>
      <c r="G4537" s="7" t="inlineStr">
        <is>
          <t>Monitor</t>
        </is>
      </c>
      <c r="H4537" s="7" t="inlineStr">
        <is>
          <t>Consumer</t>
        </is>
      </c>
      <c r="I4537" s="7" t="n">
        <v>3</v>
      </c>
      <c r="J4537" s="10" t="n">
        <v>259.9</v>
      </c>
      <c r="K4537" s="11" t="n">
        <v>0.3</v>
      </c>
      <c r="L4537" s="10">
        <f>I4537*J4537*(1-K4537)</f>
        <v/>
      </c>
      <c r="M4537" s="10" t="n">
        <v>540</v>
      </c>
      <c r="N4537" s="10">
        <f>L4537-M4537</f>
        <v/>
      </c>
    </row>
    <row r="4538">
      <c r="A4538" s="7" t="inlineStr">
        <is>
          <t>ORD-05003</t>
        </is>
      </c>
      <c r="B4538" s="8" t="n">
        <v>45832</v>
      </c>
      <c r="C4538" s="9" t="n">
        <v>45809</v>
      </c>
      <c r="D4538" s="7" t="n">
        <v>2025</v>
      </c>
      <c r="E4538" s="7" t="inlineStr">
        <is>
          <t>North</t>
        </is>
      </c>
      <c r="F4538" s="7" t="inlineStr">
        <is>
          <t>Technology</t>
        </is>
      </c>
      <c r="G4538" s="7" t="inlineStr">
        <is>
          <t>Keyboard</t>
        </is>
      </c>
      <c r="H4538" s="7" t="inlineStr">
        <is>
          <t>Consumer</t>
        </is>
      </c>
      <c r="I4538" s="7" t="n">
        <v>2</v>
      </c>
      <c r="J4538" s="10" t="n">
        <v>43.52</v>
      </c>
      <c r="K4538" s="11" t="n">
        <v>0</v>
      </c>
      <c r="L4538" s="10">
        <f>I4538*J4538*(1-K4538)</f>
        <v/>
      </c>
      <c r="M4538" s="10" t="n">
        <v>49.5</v>
      </c>
      <c r="N4538" s="10">
        <f>L4538-M4538</f>
        <v/>
      </c>
    </row>
    <row r="4539">
      <c r="A4539" s="7" t="inlineStr">
        <is>
          <t>ORD-04115</t>
        </is>
      </c>
      <c r="B4539" s="8" t="n">
        <v>45833</v>
      </c>
      <c r="C4539" s="9" t="n">
        <v>45809</v>
      </c>
      <c r="D4539" s="7" t="n">
        <v>2025</v>
      </c>
      <c r="E4539" s="7" t="inlineStr">
        <is>
          <t>West</t>
        </is>
      </c>
      <c r="F4539" s="7" t="inlineStr">
        <is>
          <t>Office Supplies</t>
        </is>
      </c>
      <c r="G4539" s="7" t="inlineStr">
        <is>
          <t>Binder</t>
        </is>
      </c>
      <c r="H4539" s="7" t="inlineStr">
        <is>
          <t>Consumer</t>
        </is>
      </c>
      <c r="I4539" s="7" t="n">
        <v>13</v>
      </c>
      <c r="J4539" s="10" t="n">
        <v>8.25</v>
      </c>
      <c r="K4539" s="11" t="n">
        <v>0.2</v>
      </c>
      <c r="L4539" s="10">
        <f>I4539*J4539*(1-K4539)</f>
        <v/>
      </c>
      <c r="M4539" s="10" t="n">
        <v>41.6</v>
      </c>
      <c r="N4539" s="10">
        <f>L4539-M4539</f>
        <v/>
      </c>
    </row>
    <row r="4540">
      <c r="A4540" s="7" t="inlineStr">
        <is>
          <t>ORD-02849</t>
        </is>
      </c>
      <c r="B4540" s="8" t="n">
        <v>45833</v>
      </c>
      <c r="C4540" s="9" t="n">
        <v>45809</v>
      </c>
      <c r="D4540" s="7" t="n">
        <v>2025</v>
      </c>
      <c r="E4540" s="7" t="inlineStr">
        <is>
          <t>South</t>
        </is>
      </c>
      <c r="F4540" s="7" t="inlineStr">
        <is>
          <t>Technology</t>
        </is>
      </c>
      <c r="G4540" s="7" t="inlineStr">
        <is>
          <t>Headphones</t>
        </is>
      </c>
      <c r="H4540" s="7" t="inlineStr">
        <is>
          <t>Consumer</t>
        </is>
      </c>
      <c r="I4540" s="7" t="n">
        <v>3</v>
      </c>
      <c r="J4540" s="10" t="n">
        <v>115.26</v>
      </c>
      <c r="K4540" s="11" t="n">
        <v>0</v>
      </c>
      <c r="L4540" s="10">
        <f>I4540*J4540*(1-K4540)</f>
        <v/>
      </c>
      <c r="M4540" s="10" t="n">
        <v>216</v>
      </c>
      <c r="N4540" s="10">
        <f>L4540-M4540</f>
        <v/>
      </c>
    </row>
    <row r="4541">
      <c r="A4541" s="7" t="inlineStr">
        <is>
          <t>ORD-02591</t>
        </is>
      </c>
      <c r="B4541" s="8" t="n">
        <v>45833</v>
      </c>
      <c r="C4541" s="9" t="n">
        <v>45809</v>
      </c>
      <c r="D4541" s="7" t="n">
        <v>2025</v>
      </c>
      <c r="E4541" s="7" t="inlineStr">
        <is>
          <t>East</t>
        </is>
      </c>
      <c r="F4541" s="7" t="inlineStr">
        <is>
          <t>Office Supplies</t>
        </is>
      </c>
      <c r="G4541" s="7" t="inlineStr">
        <is>
          <t>Paper</t>
        </is>
      </c>
      <c r="H4541" s="7" t="inlineStr">
        <is>
          <t>Home Office</t>
        </is>
      </c>
      <c r="I4541" s="7" t="n">
        <v>15</v>
      </c>
      <c r="J4541" s="10" t="n">
        <v>25.82</v>
      </c>
      <c r="K4541" s="11" t="n">
        <v>0.2</v>
      </c>
      <c r="L4541" s="10">
        <f>I4541*J4541*(1-K4541)</f>
        <v/>
      </c>
      <c r="M4541" s="10" t="n">
        <v>187.5</v>
      </c>
      <c r="N4541" s="10">
        <f>L4541-M4541</f>
        <v/>
      </c>
    </row>
    <row r="4542">
      <c r="A4542" s="7" t="inlineStr">
        <is>
          <t>ORD-03821</t>
        </is>
      </c>
      <c r="B4542" s="8" t="n">
        <v>45834</v>
      </c>
      <c r="C4542" s="9" t="n">
        <v>45809</v>
      </c>
      <c r="D4542" s="7" t="n">
        <v>2025</v>
      </c>
      <c r="E4542" s="7" t="inlineStr">
        <is>
          <t>South</t>
        </is>
      </c>
      <c r="F4542" s="7" t="inlineStr">
        <is>
          <t>Technology</t>
        </is>
      </c>
      <c r="G4542" s="7" t="inlineStr">
        <is>
          <t>Laptop</t>
        </is>
      </c>
      <c r="H4542" s="7" t="inlineStr">
        <is>
          <t>Corporate</t>
        </is>
      </c>
      <c r="I4542" s="7" t="n">
        <v>1</v>
      </c>
      <c r="J4542" s="10" t="n">
        <v>897.13</v>
      </c>
      <c r="K4542" s="11" t="n">
        <v>0.3</v>
      </c>
      <c r="L4542" s="10">
        <f>I4542*J4542*(1-K4542)</f>
        <v/>
      </c>
      <c r="M4542" s="10" t="n">
        <v>702</v>
      </c>
      <c r="N4542" s="10">
        <f>L4542-M4542</f>
        <v/>
      </c>
    </row>
    <row r="4543">
      <c r="A4543" s="7" t="inlineStr">
        <is>
          <t>ORD-00574</t>
        </is>
      </c>
      <c r="B4543" s="8" t="n">
        <v>45834</v>
      </c>
      <c r="C4543" s="9" t="n">
        <v>45809</v>
      </c>
      <c r="D4543" s="7" t="n">
        <v>2025</v>
      </c>
      <c r="E4543" s="7" t="inlineStr">
        <is>
          <t>South</t>
        </is>
      </c>
      <c r="F4543" s="7" t="inlineStr">
        <is>
          <t>Office Supplies</t>
        </is>
      </c>
      <c r="G4543" s="7" t="inlineStr">
        <is>
          <t>Binder</t>
        </is>
      </c>
      <c r="H4543" s="7" t="inlineStr">
        <is>
          <t>Consumer</t>
        </is>
      </c>
      <c r="I4543" s="7" t="n">
        <v>6</v>
      </c>
      <c r="J4543" s="10" t="n">
        <v>8.07</v>
      </c>
      <c r="K4543" s="11" t="n">
        <v>0.1</v>
      </c>
      <c r="L4543" s="10">
        <f>I4543*J4543*(1-K4543)</f>
        <v/>
      </c>
      <c r="M4543" s="10" t="n">
        <v>19.2</v>
      </c>
      <c r="N4543" s="10">
        <f>L4543-M4543</f>
        <v/>
      </c>
    </row>
    <row r="4544">
      <c r="A4544" s="7" t="inlineStr">
        <is>
          <t>ORD-05628</t>
        </is>
      </c>
      <c r="B4544" s="8" t="n">
        <v>45834</v>
      </c>
      <c r="C4544" s="9" t="n">
        <v>45809</v>
      </c>
      <c r="D4544" s="7" t="n">
        <v>2025</v>
      </c>
      <c r="E4544" s="7" t="inlineStr">
        <is>
          <t>North</t>
        </is>
      </c>
      <c r="F4544" s="7" t="inlineStr">
        <is>
          <t>Technology</t>
        </is>
      </c>
      <c r="G4544" s="7" t="inlineStr">
        <is>
          <t>Smartphone</t>
        </is>
      </c>
      <c r="H4544" s="7" t="inlineStr">
        <is>
          <t>Home Office</t>
        </is>
      </c>
      <c r="I4544" s="7" t="n">
        <v>1</v>
      </c>
      <c r="J4544" s="10" t="n">
        <v>624.74</v>
      </c>
      <c r="K4544" s="11" t="n">
        <v>0.05</v>
      </c>
      <c r="L4544" s="10">
        <f>I4544*J4544*(1-K4544)</f>
        <v/>
      </c>
      <c r="M4544" s="10" t="n">
        <v>450</v>
      </c>
      <c r="N4544" s="10">
        <f>L4544-M4544</f>
        <v/>
      </c>
    </row>
    <row r="4545">
      <c r="A4545" s="7" t="inlineStr">
        <is>
          <t>ORD-00160</t>
        </is>
      </c>
      <c r="B4545" s="8" t="n">
        <v>45834</v>
      </c>
      <c r="C4545" s="9" t="n">
        <v>45809</v>
      </c>
      <c r="D4545" s="7" t="n">
        <v>2025</v>
      </c>
      <c r="E4545" s="7" t="inlineStr">
        <is>
          <t>North</t>
        </is>
      </c>
      <c r="F4545" s="7" t="inlineStr">
        <is>
          <t>Furniture</t>
        </is>
      </c>
      <c r="G4545" s="7" t="inlineStr">
        <is>
          <t>Bookcase</t>
        </is>
      </c>
      <c r="H4545" s="7" t="inlineStr">
        <is>
          <t>Home Office</t>
        </is>
      </c>
      <c r="I4545" s="7" t="n">
        <v>3</v>
      </c>
      <c r="J4545" s="10" t="n">
        <v>173.02</v>
      </c>
      <c r="K4545" s="11" t="n">
        <v>0.1</v>
      </c>
      <c r="L4545" s="10">
        <f>I4545*J4545*(1-K4545)</f>
        <v/>
      </c>
      <c r="M4545" s="10" t="n">
        <v>432</v>
      </c>
      <c r="N4545" s="10">
        <f>L4545-M4545</f>
        <v/>
      </c>
    </row>
    <row r="4546">
      <c r="A4546" s="7" t="inlineStr">
        <is>
          <t>ORD-01839</t>
        </is>
      </c>
      <c r="B4546" s="8" t="n">
        <v>45835</v>
      </c>
      <c r="C4546" s="9" t="n">
        <v>45809</v>
      </c>
      <c r="D4546" s="7" t="n">
        <v>2025</v>
      </c>
      <c r="E4546" s="7" t="inlineStr">
        <is>
          <t>South</t>
        </is>
      </c>
      <c r="F4546" s="7" t="inlineStr">
        <is>
          <t>Office Supplies</t>
        </is>
      </c>
      <c r="G4546" s="7" t="inlineStr">
        <is>
          <t>Paper</t>
        </is>
      </c>
      <c r="H4546" s="7" t="inlineStr">
        <is>
          <t>Corporate</t>
        </is>
      </c>
      <c r="I4546" s="7" t="n">
        <v>2</v>
      </c>
      <c r="J4546" s="10" t="n">
        <v>23.89</v>
      </c>
      <c r="K4546" s="11" t="n">
        <v>0</v>
      </c>
      <c r="L4546" s="10">
        <f>I4546*J4546*(1-K4546)</f>
        <v/>
      </c>
      <c r="M4546" s="10" t="n">
        <v>25</v>
      </c>
      <c r="N4546" s="10">
        <f>L4546-M4546</f>
        <v/>
      </c>
    </row>
    <row r="4547">
      <c r="A4547" s="7" t="inlineStr">
        <is>
          <t>ORD-04586</t>
        </is>
      </c>
      <c r="B4547" s="8" t="n">
        <v>45835</v>
      </c>
      <c r="C4547" s="9" t="n">
        <v>45809</v>
      </c>
      <c r="D4547" s="7" t="n">
        <v>2025</v>
      </c>
      <c r="E4547" s="7" t="inlineStr">
        <is>
          <t>South</t>
        </is>
      </c>
      <c r="F4547" s="7" t="inlineStr">
        <is>
          <t>Office Supplies</t>
        </is>
      </c>
      <c r="G4547" s="7" t="inlineStr">
        <is>
          <t>Paper</t>
        </is>
      </c>
      <c r="H4547" s="7" t="inlineStr">
        <is>
          <t>Consumer</t>
        </is>
      </c>
      <c r="I4547" s="7" t="n">
        <v>3</v>
      </c>
      <c r="J4547" s="10" t="n">
        <v>25.73</v>
      </c>
      <c r="K4547" s="11" t="n">
        <v>0</v>
      </c>
      <c r="L4547" s="10">
        <f>I4547*J4547*(1-K4547)</f>
        <v/>
      </c>
      <c r="M4547" s="10" t="n">
        <v>37.5</v>
      </c>
      <c r="N4547" s="10">
        <f>L4547-M4547</f>
        <v/>
      </c>
    </row>
    <row r="4548">
      <c r="A4548" s="7" t="inlineStr">
        <is>
          <t>ORD-05689</t>
        </is>
      </c>
      <c r="B4548" s="8" t="n">
        <v>45835</v>
      </c>
      <c r="C4548" s="9" t="n">
        <v>45809</v>
      </c>
      <c r="D4548" s="7" t="n">
        <v>2025</v>
      </c>
      <c r="E4548" s="7" t="inlineStr">
        <is>
          <t>East</t>
        </is>
      </c>
      <c r="F4548" s="7" t="inlineStr">
        <is>
          <t>Office Supplies</t>
        </is>
      </c>
      <c r="G4548" s="7" t="inlineStr">
        <is>
          <t>Printer Ink</t>
        </is>
      </c>
      <c r="H4548" s="7" t="inlineStr">
        <is>
          <t>Home Office</t>
        </is>
      </c>
      <c r="I4548" s="7" t="n">
        <v>13</v>
      </c>
      <c r="J4548" s="10" t="n">
        <v>57.95</v>
      </c>
      <c r="K4548" s="11" t="n">
        <v>0.1</v>
      </c>
      <c r="L4548" s="10">
        <f>I4548*J4548*(1-K4548)</f>
        <v/>
      </c>
      <c r="M4548" s="10" t="n">
        <v>468</v>
      </c>
      <c r="N4548" s="10">
        <f>L4548-M4548</f>
        <v/>
      </c>
    </row>
    <row r="4549">
      <c r="A4549" s="7" t="inlineStr">
        <is>
          <t>ORD-04557</t>
        </is>
      </c>
      <c r="B4549" s="8" t="n">
        <v>45835</v>
      </c>
      <c r="C4549" s="9" t="n">
        <v>45809</v>
      </c>
      <c r="D4549" s="7" t="n">
        <v>2025</v>
      </c>
      <c r="E4549" s="7" t="inlineStr">
        <is>
          <t>East</t>
        </is>
      </c>
      <c r="F4549" s="7" t="inlineStr">
        <is>
          <t>Office Supplies</t>
        </is>
      </c>
      <c r="G4549" s="7" t="inlineStr">
        <is>
          <t>Binder</t>
        </is>
      </c>
      <c r="H4549" s="7" t="inlineStr">
        <is>
          <t>Consumer</t>
        </is>
      </c>
      <c r="I4549" s="7" t="n">
        <v>9</v>
      </c>
      <c r="J4549" s="10" t="n">
        <v>7.79</v>
      </c>
      <c r="K4549" s="11" t="n">
        <v>0.1</v>
      </c>
      <c r="L4549" s="10">
        <f>I4549*J4549*(1-K4549)</f>
        <v/>
      </c>
      <c r="M4549" s="10" t="n">
        <v>28.8</v>
      </c>
      <c r="N4549" s="10">
        <f>L4549-M4549</f>
        <v/>
      </c>
    </row>
    <row r="4550">
      <c r="A4550" s="7" t="inlineStr">
        <is>
          <t>ORD-04113</t>
        </is>
      </c>
      <c r="B4550" s="8" t="n">
        <v>45836</v>
      </c>
      <c r="C4550" s="9" t="n">
        <v>45809</v>
      </c>
      <c r="D4550" s="7" t="n">
        <v>2025</v>
      </c>
      <c r="E4550" s="7" t="inlineStr">
        <is>
          <t>East</t>
        </is>
      </c>
      <c r="F4550" s="7" t="inlineStr">
        <is>
          <t>Technology</t>
        </is>
      </c>
      <c r="G4550" s="7" t="inlineStr">
        <is>
          <t>Laptop</t>
        </is>
      </c>
      <c r="H4550" s="7" t="inlineStr">
        <is>
          <t>Corporate</t>
        </is>
      </c>
      <c r="I4550" s="7" t="n">
        <v>2</v>
      </c>
      <c r="J4550" s="10" t="n">
        <v>889.49</v>
      </c>
      <c r="K4550" s="11" t="n">
        <v>0.3</v>
      </c>
      <c r="L4550" s="10">
        <f>I4550*J4550*(1-K4550)</f>
        <v/>
      </c>
      <c r="M4550" s="10" t="n">
        <v>1404</v>
      </c>
      <c r="N4550" s="10">
        <f>L4550-M4550</f>
        <v/>
      </c>
    </row>
    <row r="4551">
      <c r="A4551" s="7" t="inlineStr">
        <is>
          <t>ORD-01716</t>
        </is>
      </c>
      <c r="B4551" s="8" t="n">
        <v>45836</v>
      </c>
      <c r="C4551" s="9" t="n">
        <v>45809</v>
      </c>
      <c r="D4551" s="7" t="n">
        <v>2025</v>
      </c>
      <c r="E4551" s="7" t="inlineStr">
        <is>
          <t>West</t>
        </is>
      </c>
      <c r="F4551" s="7" t="inlineStr">
        <is>
          <t>Technology</t>
        </is>
      </c>
      <c r="G4551" s="7" t="inlineStr">
        <is>
          <t>Keyboard</t>
        </is>
      </c>
      <c r="H4551" s="7" t="inlineStr">
        <is>
          <t>Consumer</t>
        </is>
      </c>
      <c r="I4551" s="7" t="n">
        <v>2</v>
      </c>
      <c r="J4551" s="10" t="n">
        <v>45.08</v>
      </c>
      <c r="K4551" s="11" t="n">
        <v>0</v>
      </c>
      <c r="L4551" s="10">
        <f>I4551*J4551*(1-K4551)</f>
        <v/>
      </c>
      <c r="M4551" s="10" t="n">
        <v>49.5</v>
      </c>
      <c r="N4551" s="10">
        <f>L4551-M4551</f>
        <v/>
      </c>
    </row>
    <row r="4552">
      <c r="A4552" s="7" t="inlineStr">
        <is>
          <t>ORD-04500</t>
        </is>
      </c>
      <c r="B4552" s="8" t="n">
        <v>45836</v>
      </c>
      <c r="C4552" s="9" t="n">
        <v>45809</v>
      </c>
      <c r="D4552" s="7" t="n">
        <v>2025</v>
      </c>
      <c r="E4552" s="7" t="inlineStr">
        <is>
          <t>South</t>
        </is>
      </c>
      <c r="F4552" s="7" t="inlineStr">
        <is>
          <t>Furniture</t>
        </is>
      </c>
      <c r="G4552" s="7" t="inlineStr">
        <is>
          <t>Desk</t>
        </is>
      </c>
      <c r="H4552" s="7" t="inlineStr">
        <is>
          <t>Consumer</t>
        </is>
      </c>
      <c r="I4552" s="7" t="n">
        <v>1</v>
      </c>
      <c r="J4552" s="10" t="n">
        <v>464.03</v>
      </c>
      <c r="K4552" s="11" t="n">
        <v>0.3</v>
      </c>
      <c r="L4552" s="10">
        <f>I4552*J4552*(1-K4552)</f>
        <v/>
      </c>
      <c r="M4552" s="10" t="n">
        <v>382.5</v>
      </c>
      <c r="N4552" s="10">
        <f>L4552-M4552</f>
        <v/>
      </c>
    </row>
    <row r="4553">
      <c r="A4553" s="7" t="inlineStr">
        <is>
          <t>ORD-04531</t>
        </is>
      </c>
      <c r="B4553" s="8" t="n">
        <v>45836</v>
      </c>
      <c r="C4553" s="9" t="n">
        <v>45809</v>
      </c>
      <c r="D4553" s="7" t="n">
        <v>2025</v>
      </c>
      <c r="E4553" s="7" t="inlineStr">
        <is>
          <t>South</t>
        </is>
      </c>
      <c r="F4553" s="7" t="inlineStr">
        <is>
          <t>Office Supplies</t>
        </is>
      </c>
      <c r="G4553" s="7" t="inlineStr">
        <is>
          <t>Pens</t>
        </is>
      </c>
      <c r="H4553" s="7" t="inlineStr">
        <is>
          <t>Corporate</t>
        </is>
      </c>
      <c r="I4553" s="7" t="n">
        <v>12</v>
      </c>
      <c r="J4553" s="10" t="n">
        <v>11.51</v>
      </c>
      <c r="K4553" s="11" t="n">
        <v>0.1</v>
      </c>
      <c r="L4553" s="10">
        <f>I4553*J4553*(1-K4553)</f>
        <v/>
      </c>
      <c r="M4553" s="10" t="n">
        <v>64.8</v>
      </c>
      <c r="N4553" s="10">
        <f>L4553-M4553</f>
        <v/>
      </c>
    </row>
    <row r="4554">
      <c r="A4554" s="7" t="inlineStr">
        <is>
          <t>ORD-02800</t>
        </is>
      </c>
      <c r="B4554" s="8" t="n">
        <v>45836</v>
      </c>
      <c r="C4554" s="9" t="n">
        <v>45809</v>
      </c>
      <c r="D4554" s="7" t="n">
        <v>2025</v>
      </c>
      <c r="E4554" s="7" t="inlineStr">
        <is>
          <t>East</t>
        </is>
      </c>
      <c r="F4554" s="7" t="inlineStr">
        <is>
          <t>Furniture</t>
        </is>
      </c>
      <c r="G4554" s="7" t="inlineStr">
        <is>
          <t>Office Chair</t>
        </is>
      </c>
      <c r="H4554" s="7" t="inlineStr">
        <is>
          <t>Corporate</t>
        </is>
      </c>
      <c r="I4554" s="7" t="n">
        <v>3</v>
      </c>
      <c r="J4554" s="10" t="n">
        <v>227.05</v>
      </c>
      <c r="K4554" s="11" t="n">
        <v>0.1</v>
      </c>
      <c r="L4554" s="10">
        <f>I4554*J4554*(1-K4554)</f>
        <v/>
      </c>
      <c r="M4554" s="10" t="n">
        <v>541.2</v>
      </c>
      <c r="N4554" s="10">
        <f>L4554-M4554</f>
        <v/>
      </c>
    </row>
    <row r="4555">
      <c r="A4555" s="7" t="inlineStr">
        <is>
          <t>ORD-02149</t>
        </is>
      </c>
      <c r="B4555" s="8" t="n">
        <v>45836</v>
      </c>
      <c r="C4555" s="9" t="n">
        <v>45809</v>
      </c>
      <c r="D4555" s="7" t="n">
        <v>2025</v>
      </c>
      <c r="E4555" s="7" t="inlineStr">
        <is>
          <t>North</t>
        </is>
      </c>
      <c r="F4555" s="7" t="inlineStr">
        <is>
          <t>Technology</t>
        </is>
      </c>
      <c r="G4555" s="7" t="inlineStr">
        <is>
          <t>Laptop</t>
        </is>
      </c>
      <c r="H4555" s="7" t="inlineStr">
        <is>
          <t>Corporate</t>
        </is>
      </c>
      <c r="I4555" s="7" t="n">
        <v>2</v>
      </c>
      <c r="J4555" s="10" t="n">
        <v>874.42</v>
      </c>
      <c r="K4555" s="11" t="n">
        <v>0</v>
      </c>
      <c r="L4555" s="10">
        <f>I4555*J4555*(1-K4555)</f>
        <v/>
      </c>
      <c r="M4555" s="10" t="n">
        <v>1404</v>
      </c>
      <c r="N4555" s="10">
        <f>L4555-M4555</f>
        <v/>
      </c>
    </row>
    <row r="4556">
      <c r="A4556" s="7" t="inlineStr">
        <is>
          <t>ORD-02153</t>
        </is>
      </c>
      <c r="B4556" s="8" t="n">
        <v>45836</v>
      </c>
      <c r="C4556" s="9" t="n">
        <v>45809</v>
      </c>
      <c r="D4556" s="7" t="n">
        <v>2025</v>
      </c>
      <c r="E4556" s="7" t="inlineStr">
        <is>
          <t>East</t>
        </is>
      </c>
      <c r="F4556" s="7" t="inlineStr">
        <is>
          <t>Office Supplies</t>
        </is>
      </c>
      <c r="G4556" s="7" t="inlineStr">
        <is>
          <t>Printer Ink</t>
        </is>
      </c>
      <c r="H4556" s="7" t="inlineStr">
        <is>
          <t>Home Office</t>
        </is>
      </c>
      <c r="I4556" s="7" t="n">
        <v>4</v>
      </c>
      <c r="J4556" s="10" t="n">
        <v>62.25</v>
      </c>
      <c r="K4556" s="11" t="n">
        <v>0</v>
      </c>
      <c r="L4556" s="10">
        <f>I4556*J4556*(1-K4556)</f>
        <v/>
      </c>
      <c r="M4556" s="10" t="n">
        <v>144</v>
      </c>
      <c r="N4556" s="10">
        <f>L4556-M4556</f>
        <v/>
      </c>
    </row>
    <row r="4557">
      <c r="A4557" s="7" t="inlineStr">
        <is>
          <t>ORD-01461</t>
        </is>
      </c>
      <c r="B4557" s="8" t="n">
        <v>45836</v>
      </c>
      <c r="C4557" s="9" t="n">
        <v>45809</v>
      </c>
      <c r="D4557" s="7" t="n">
        <v>2025</v>
      </c>
      <c r="E4557" s="7" t="inlineStr">
        <is>
          <t>East</t>
        </is>
      </c>
      <c r="F4557" s="7" t="inlineStr">
        <is>
          <t>Technology</t>
        </is>
      </c>
      <c r="G4557" s="7" t="inlineStr">
        <is>
          <t>Smartphone</t>
        </is>
      </c>
      <c r="H4557" s="7" t="inlineStr">
        <is>
          <t>Consumer</t>
        </is>
      </c>
      <c r="I4557" s="7" t="n">
        <v>2</v>
      </c>
      <c r="J4557" s="10" t="n">
        <v>609.08</v>
      </c>
      <c r="K4557" s="11" t="n">
        <v>0.05</v>
      </c>
      <c r="L4557" s="10">
        <f>I4557*J4557*(1-K4557)</f>
        <v/>
      </c>
      <c r="M4557" s="10" t="n">
        <v>900</v>
      </c>
      <c r="N4557" s="10">
        <f>L4557-M4557</f>
        <v/>
      </c>
    </row>
    <row r="4558">
      <c r="A4558" s="7" t="inlineStr">
        <is>
          <t>ORD-02252</t>
        </is>
      </c>
      <c r="B4558" s="8" t="n">
        <v>45837</v>
      </c>
      <c r="C4558" s="9" t="n">
        <v>45809</v>
      </c>
      <c r="D4558" s="7" t="n">
        <v>2025</v>
      </c>
      <c r="E4558" s="7" t="inlineStr">
        <is>
          <t>West</t>
        </is>
      </c>
      <c r="F4558" s="7" t="inlineStr">
        <is>
          <t>Office Supplies</t>
        </is>
      </c>
      <c r="G4558" s="7" t="inlineStr">
        <is>
          <t>Printer Ink</t>
        </is>
      </c>
      <c r="H4558" s="7" t="inlineStr">
        <is>
          <t>Consumer</t>
        </is>
      </c>
      <c r="I4558" s="7" t="n">
        <v>3</v>
      </c>
      <c r="J4558" s="10" t="n">
        <v>60.16</v>
      </c>
      <c r="K4558" s="11" t="n">
        <v>0.05</v>
      </c>
      <c r="L4558" s="10">
        <f>I4558*J4558*(1-K4558)</f>
        <v/>
      </c>
      <c r="M4558" s="10" t="n">
        <v>108</v>
      </c>
      <c r="N4558" s="10">
        <f>L4558-M4558</f>
        <v/>
      </c>
    </row>
    <row r="4559">
      <c r="A4559" s="7" t="inlineStr">
        <is>
          <t>ORD-05795</t>
        </is>
      </c>
      <c r="B4559" s="8" t="n">
        <v>45837</v>
      </c>
      <c r="C4559" s="9" t="n">
        <v>45809</v>
      </c>
      <c r="D4559" s="7" t="n">
        <v>2025</v>
      </c>
      <c r="E4559" s="7" t="inlineStr">
        <is>
          <t>South</t>
        </is>
      </c>
      <c r="F4559" s="7" t="inlineStr">
        <is>
          <t>Furniture</t>
        </is>
      </c>
      <c r="G4559" s="7" t="inlineStr">
        <is>
          <t>Desk</t>
        </is>
      </c>
      <c r="H4559" s="7" t="inlineStr">
        <is>
          <t>Corporate</t>
        </is>
      </c>
      <c r="I4559" s="7" t="n">
        <v>2</v>
      </c>
      <c r="J4559" s="10" t="n">
        <v>452.66</v>
      </c>
      <c r="K4559" s="11" t="n">
        <v>0.3</v>
      </c>
      <c r="L4559" s="10">
        <f>I4559*J4559*(1-K4559)</f>
        <v/>
      </c>
      <c r="M4559" s="10" t="n">
        <v>765</v>
      </c>
      <c r="N4559" s="10">
        <f>L4559-M4559</f>
        <v/>
      </c>
    </row>
    <row r="4560">
      <c r="A4560" s="7" t="inlineStr">
        <is>
          <t>ORD-01613</t>
        </is>
      </c>
      <c r="B4560" s="8" t="n">
        <v>45837</v>
      </c>
      <c r="C4560" s="9" t="n">
        <v>45809</v>
      </c>
      <c r="D4560" s="7" t="n">
        <v>2025</v>
      </c>
      <c r="E4560" s="7" t="inlineStr">
        <is>
          <t>South</t>
        </is>
      </c>
      <c r="F4560" s="7" t="inlineStr">
        <is>
          <t>Office Supplies</t>
        </is>
      </c>
      <c r="G4560" s="7" t="inlineStr">
        <is>
          <t>Paper</t>
        </is>
      </c>
      <c r="H4560" s="7" t="inlineStr">
        <is>
          <t>Corporate</t>
        </is>
      </c>
      <c r="I4560" s="7" t="n">
        <v>2</v>
      </c>
      <c r="J4560" s="10" t="n">
        <v>25.61</v>
      </c>
      <c r="K4560" s="11" t="n">
        <v>0.05</v>
      </c>
      <c r="L4560" s="10">
        <f>I4560*J4560*(1-K4560)</f>
        <v/>
      </c>
      <c r="M4560" s="10" t="n">
        <v>25</v>
      </c>
      <c r="N4560" s="10">
        <f>L4560-M4560</f>
        <v/>
      </c>
    </row>
    <row r="4561">
      <c r="A4561" s="7" t="inlineStr">
        <is>
          <t>ORD-02487</t>
        </is>
      </c>
      <c r="B4561" s="8" t="n">
        <v>45838</v>
      </c>
      <c r="C4561" s="9" t="n">
        <v>45809</v>
      </c>
      <c r="D4561" s="7" t="n">
        <v>2025</v>
      </c>
      <c r="E4561" s="7" t="inlineStr">
        <is>
          <t>North</t>
        </is>
      </c>
      <c r="F4561" s="7" t="inlineStr">
        <is>
          <t>Office Supplies</t>
        </is>
      </c>
      <c r="G4561" s="7" t="inlineStr">
        <is>
          <t>Stapler</t>
        </is>
      </c>
      <c r="H4561" s="7" t="inlineStr">
        <is>
          <t>Consumer</t>
        </is>
      </c>
      <c r="I4561" s="7" t="n">
        <v>14</v>
      </c>
      <c r="J4561" s="10" t="n">
        <v>14.83</v>
      </c>
      <c r="K4561" s="11" t="n">
        <v>0.05</v>
      </c>
      <c r="L4561" s="10">
        <f>I4561*J4561*(1-K4561)</f>
        <v/>
      </c>
      <c r="M4561" s="10" t="n">
        <v>105</v>
      </c>
      <c r="N4561" s="10">
        <f>L4561-M4561</f>
        <v/>
      </c>
    </row>
    <row r="4562">
      <c r="A4562" s="7" t="inlineStr">
        <is>
          <t>ORD-00185</t>
        </is>
      </c>
      <c r="B4562" s="8" t="n">
        <v>45838</v>
      </c>
      <c r="C4562" s="9" t="n">
        <v>45809</v>
      </c>
      <c r="D4562" s="7" t="n">
        <v>2025</v>
      </c>
      <c r="E4562" s="7" t="inlineStr">
        <is>
          <t>West</t>
        </is>
      </c>
      <c r="F4562" s="7" t="inlineStr">
        <is>
          <t>Office Supplies</t>
        </is>
      </c>
      <c r="G4562" s="7" t="inlineStr">
        <is>
          <t>Binder</t>
        </is>
      </c>
      <c r="H4562" s="7" t="inlineStr">
        <is>
          <t>Corporate</t>
        </is>
      </c>
      <c r="I4562" s="7" t="n">
        <v>12</v>
      </c>
      <c r="J4562" s="10" t="n">
        <v>7.93</v>
      </c>
      <c r="K4562" s="11" t="n">
        <v>0</v>
      </c>
      <c r="L4562" s="10">
        <f>I4562*J4562*(1-K4562)</f>
        <v/>
      </c>
      <c r="M4562" s="10" t="n">
        <v>38.4</v>
      </c>
      <c r="N4562" s="10">
        <f>L4562-M4562</f>
        <v/>
      </c>
    </row>
    <row r="4563">
      <c r="A4563" s="7" t="inlineStr">
        <is>
          <t>ORD-05711</t>
        </is>
      </c>
      <c r="B4563" s="8" t="n">
        <v>45838</v>
      </c>
      <c r="C4563" s="9" t="n">
        <v>45809</v>
      </c>
      <c r="D4563" s="7" t="n">
        <v>2025</v>
      </c>
      <c r="E4563" s="7" t="inlineStr">
        <is>
          <t>South</t>
        </is>
      </c>
      <c r="F4563" s="7" t="inlineStr">
        <is>
          <t>Office Supplies</t>
        </is>
      </c>
      <c r="G4563" s="7" t="inlineStr">
        <is>
          <t>Pens</t>
        </is>
      </c>
      <c r="H4563" s="7" t="inlineStr">
        <is>
          <t>Home Office</t>
        </is>
      </c>
      <c r="I4563" s="7" t="n">
        <v>8</v>
      </c>
      <c r="J4563" s="10" t="n">
        <v>11.98</v>
      </c>
      <c r="K4563" s="11" t="n">
        <v>0</v>
      </c>
      <c r="L4563" s="10">
        <f>I4563*J4563*(1-K4563)</f>
        <v/>
      </c>
      <c r="M4563" s="10" t="n">
        <v>43.2</v>
      </c>
      <c r="N4563" s="10">
        <f>L4563-M4563</f>
        <v/>
      </c>
    </row>
    <row r="4564">
      <c r="A4564" s="7" t="inlineStr">
        <is>
          <t>ORD-00432</t>
        </is>
      </c>
      <c r="B4564" s="8" t="n">
        <v>45838</v>
      </c>
      <c r="C4564" s="9" t="n">
        <v>45809</v>
      </c>
      <c r="D4564" s="7" t="n">
        <v>2025</v>
      </c>
      <c r="E4564" s="7" t="inlineStr">
        <is>
          <t>East</t>
        </is>
      </c>
      <c r="F4564" s="7" t="inlineStr">
        <is>
          <t>Office Supplies</t>
        </is>
      </c>
      <c r="G4564" s="7" t="inlineStr">
        <is>
          <t>Paper</t>
        </is>
      </c>
      <c r="H4564" s="7" t="inlineStr">
        <is>
          <t>Home Office</t>
        </is>
      </c>
      <c r="I4564" s="7" t="n">
        <v>2</v>
      </c>
      <c r="J4564" s="10" t="n">
        <v>24.5</v>
      </c>
      <c r="K4564" s="11" t="n">
        <v>0.05</v>
      </c>
      <c r="L4564" s="10">
        <f>I4564*J4564*(1-K4564)</f>
        <v/>
      </c>
      <c r="M4564" s="10" t="n">
        <v>25</v>
      </c>
      <c r="N4564" s="10">
        <f>L4564-M4564</f>
        <v/>
      </c>
    </row>
    <row r="4565">
      <c r="A4565" s="7" t="inlineStr">
        <is>
          <t>ORD-00529</t>
        </is>
      </c>
      <c r="B4565" s="8" t="n">
        <v>45838</v>
      </c>
      <c r="C4565" s="9" t="n">
        <v>45809</v>
      </c>
      <c r="D4565" s="7" t="n">
        <v>2025</v>
      </c>
      <c r="E4565" s="7" t="inlineStr">
        <is>
          <t>East</t>
        </is>
      </c>
      <c r="F4565" s="7" t="inlineStr">
        <is>
          <t>Office Supplies</t>
        </is>
      </c>
      <c r="G4565" s="7" t="inlineStr">
        <is>
          <t>Binder</t>
        </is>
      </c>
      <c r="H4565" s="7" t="inlineStr">
        <is>
          <t>Corporate</t>
        </is>
      </c>
      <c r="I4565" s="7" t="n">
        <v>8</v>
      </c>
      <c r="J4565" s="10" t="n">
        <v>8.34</v>
      </c>
      <c r="K4565" s="11" t="n">
        <v>0</v>
      </c>
      <c r="L4565" s="10">
        <f>I4565*J4565*(1-K4565)</f>
        <v/>
      </c>
      <c r="M4565" s="10" t="n">
        <v>25.6</v>
      </c>
      <c r="N4565" s="10">
        <f>L4565-M4565</f>
        <v/>
      </c>
    </row>
    <row r="4566">
      <c r="A4566" s="7" t="inlineStr">
        <is>
          <t>ORD-00935</t>
        </is>
      </c>
      <c r="B4566" s="8" t="n">
        <v>45838</v>
      </c>
      <c r="C4566" s="9" t="n">
        <v>45809</v>
      </c>
      <c r="D4566" s="7" t="n">
        <v>2025</v>
      </c>
      <c r="E4566" s="7" t="inlineStr">
        <is>
          <t>South</t>
        </is>
      </c>
      <c r="F4566" s="7" t="inlineStr">
        <is>
          <t>Office Supplies</t>
        </is>
      </c>
      <c r="G4566" s="7" t="inlineStr">
        <is>
          <t>Pens</t>
        </is>
      </c>
      <c r="H4566" s="7" t="inlineStr">
        <is>
          <t>Home Office</t>
        </is>
      </c>
      <c r="I4566" s="7" t="n">
        <v>13</v>
      </c>
      <c r="J4566" s="10" t="n">
        <v>12.01</v>
      </c>
      <c r="K4566" s="11" t="n">
        <v>0.2</v>
      </c>
      <c r="L4566" s="10">
        <f>I4566*J4566*(1-K4566)</f>
        <v/>
      </c>
      <c r="M4566" s="10" t="n">
        <v>70.2</v>
      </c>
      <c r="N4566" s="10">
        <f>L4566-M4566</f>
        <v/>
      </c>
    </row>
    <row r="4567">
      <c r="A4567" s="7" t="inlineStr">
        <is>
          <t>ORD-02614</t>
        </is>
      </c>
      <c r="B4567" s="8" t="n">
        <v>45838</v>
      </c>
      <c r="C4567" s="9" t="n">
        <v>45809</v>
      </c>
      <c r="D4567" s="7" t="n">
        <v>2025</v>
      </c>
      <c r="E4567" s="7" t="inlineStr">
        <is>
          <t>West</t>
        </is>
      </c>
      <c r="F4567" s="7" t="inlineStr">
        <is>
          <t>Furniture</t>
        </is>
      </c>
      <c r="G4567" s="7" t="inlineStr">
        <is>
          <t>Office Chair</t>
        </is>
      </c>
      <c r="H4567" s="7" t="inlineStr">
        <is>
          <t>Consumer</t>
        </is>
      </c>
      <c r="I4567" s="7" t="n">
        <v>4</v>
      </c>
      <c r="J4567" s="10" t="n">
        <v>226.33</v>
      </c>
      <c r="K4567" s="11" t="n">
        <v>0.1</v>
      </c>
      <c r="L4567" s="10">
        <f>I4567*J4567*(1-K4567)</f>
        <v/>
      </c>
      <c r="M4567" s="10" t="n">
        <v>721.6</v>
      </c>
      <c r="N4567" s="10">
        <f>L4567-M4567</f>
        <v/>
      </c>
    </row>
    <row r="4568">
      <c r="A4568" s="7" t="inlineStr">
        <is>
          <t>ORD-00779</t>
        </is>
      </c>
      <c r="B4568" s="8" t="n">
        <v>45838</v>
      </c>
      <c r="C4568" s="9" t="n">
        <v>45809</v>
      </c>
      <c r="D4568" s="7" t="n">
        <v>2025</v>
      </c>
      <c r="E4568" s="7" t="inlineStr">
        <is>
          <t>East</t>
        </is>
      </c>
      <c r="F4568" s="7" t="inlineStr">
        <is>
          <t>Technology</t>
        </is>
      </c>
      <c r="G4568" s="7" t="inlineStr">
        <is>
          <t>Laptop</t>
        </is>
      </c>
      <c r="H4568" s="7" t="inlineStr">
        <is>
          <t>Consumer</t>
        </is>
      </c>
      <c r="I4568" s="7" t="n">
        <v>2</v>
      </c>
      <c r="J4568" s="10" t="n">
        <v>925.74</v>
      </c>
      <c r="K4568" s="11" t="n">
        <v>0</v>
      </c>
      <c r="L4568" s="10">
        <f>I4568*J4568*(1-K4568)</f>
        <v/>
      </c>
      <c r="M4568" s="10" t="n">
        <v>1404</v>
      </c>
      <c r="N4568" s="10">
        <f>L4568-M4568</f>
        <v/>
      </c>
    </row>
    <row r="4569">
      <c r="A4569" s="7" t="inlineStr">
        <is>
          <t>ORD-05967</t>
        </is>
      </c>
      <c r="B4569" s="8" t="n">
        <v>45838</v>
      </c>
      <c r="C4569" s="9" t="n">
        <v>45809</v>
      </c>
      <c r="D4569" s="7" t="n">
        <v>2025</v>
      </c>
      <c r="E4569" s="7" t="inlineStr">
        <is>
          <t>South</t>
        </is>
      </c>
      <c r="F4569" s="7" t="inlineStr">
        <is>
          <t>Office Supplies</t>
        </is>
      </c>
      <c r="G4569" s="7" t="inlineStr">
        <is>
          <t>Paper</t>
        </is>
      </c>
      <c r="H4569" s="7" t="inlineStr">
        <is>
          <t>Home Office</t>
        </is>
      </c>
      <c r="I4569" s="7" t="n">
        <v>15</v>
      </c>
      <c r="J4569" s="10" t="n">
        <v>24.75</v>
      </c>
      <c r="K4569" s="11" t="n">
        <v>0.05</v>
      </c>
      <c r="L4569" s="10">
        <f>I4569*J4569*(1-K4569)</f>
        <v/>
      </c>
      <c r="M4569" s="10" t="n">
        <v>187.5</v>
      </c>
      <c r="N4569" s="10">
        <f>L4569-M4569</f>
        <v/>
      </c>
    </row>
    <row r="4570">
      <c r="A4570" s="7" t="inlineStr">
        <is>
          <t>ORD-04523</t>
        </is>
      </c>
      <c r="B4570" s="8" t="n">
        <v>45839</v>
      </c>
      <c r="C4570" s="9" t="n">
        <v>45839</v>
      </c>
      <c r="D4570" s="7" t="n">
        <v>2025</v>
      </c>
      <c r="E4570" s="7" t="inlineStr">
        <is>
          <t>West</t>
        </is>
      </c>
      <c r="F4570" s="7" t="inlineStr">
        <is>
          <t>Office Supplies</t>
        </is>
      </c>
      <c r="G4570" s="7" t="inlineStr">
        <is>
          <t>Binder</t>
        </is>
      </c>
      <c r="H4570" s="7" t="inlineStr">
        <is>
          <t>Home Office</t>
        </is>
      </c>
      <c r="I4570" s="7" t="n">
        <v>11</v>
      </c>
      <c r="J4570" s="10" t="n">
        <v>7.69</v>
      </c>
      <c r="K4570" s="11" t="n">
        <v>0.2</v>
      </c>
      <c r="L4570" s="10">
        <f>I4570*J4570*(1-K4570)</f>
        <v/>
      </c>
      <c r="M4570" s="10" t="n">
        <v>35.2</v>
      </c>
      <c r="N4570" s="10">
        <f>L4570-M4570</f>
        <v/>
      </c>
    </row>
    <row r="4571">
      <c r="A4571" s="7" t="inlineStr">
        <is>
          <t>ORD-00639</t>
        </is>
      </c>
      <c r="B4571" s="8" t="n">
        <v>45839</v>
      </c>
      <c r="C4571" s="9" t="n">
        <v>45839</v>
      </c>
      <c r="D4571" s="7" t="n">
        <v>2025</v>
      </c>
      <c r="E4571" s="7" t="inlineStr">
        <is>
          <t>South</t>
        </is>
      </c>
      <c r="F4571" s="7" t="inlineStr">
        <is>
          <t>Office Supplies</t>
        </is>
      </c>
      <c r="G4571" s="7" t="inlineStr">
        <is>
          <t>Paper</t>
        </is>
      </c>
      <c r="H4571" s="7" t="inlineStr">
        <is>
          <t>Corporate</t>
        </is>
      </c>
      <c r="I4571" s="7" t="n">
        <v>4</v>
      </c>
      <c r="J4571" s="10" t="n">
        <v>24.2</v>
      </c>
      <c r="K4571" s="11" t="n">
        <v>0.1</v>
      </c>
      <c r="L4571" s="10">
        <f>I4571*J4571*(1-K4571)</f>
        <v/>
      </c>
      <c r="M4571" s="10" t="n">
        <v>50</v>
      </c>
      <c r="N4571" s="10">
        <f>L4571-M4571</f>
        <v/>
      </c>
    </row>
    <row r="4572">
      <c r="A4572" s="7" t="inlineStr">
        <is>
          <t>ORD-04234</t>
        </is>
      </c>
      <c r="B4572" s="8" t="n">
        <v>45839</v>
      </c>
      <c r="C4572" s="9" t="n">
        <v>45839</v>
      </c>
      <c r="D4572" s="7" t="n">
        <v>2025</v>
      </c>
      <c r="E4572" s="7" t="inlineStr">
        <is>
          <t>West</t>
        </is>
      </c>
      <c r="F4572" s="7" t="inlineStr">
        <is>
          <t>Office Supplies</t>
        </is>
      </c>
      <c r="G4572" s="7" t="inlineStr">
        <is>
          <t>Binder</t>
        </is>
      </c>
      <c r="H4572" s="7" t="inlineStr">
        <is>
          <t>Consumer</t>
        </is>
      </c>
      <c r="I4572" s="7" t="n">
        <v>13</v>
      </c>
      <c r="J4572" s="10" t="n">
        <v>8.18</v>
      </c>
      <c r="K4572" s="11" t="n">
        <v>0.3</v>
      </c>
      <c r="L4572" s="10">
        <f>I4572*J4572*(1-K4572)</f>
        <v/>
      </c>
      <c r="M4572" s="10" t="n">
        <v>41.6</v>
      </c>
      <c r="N4572" s="10">
        <f>L4572-M4572</f>
        <v/>
      </c>
    </row>
    <row r="4573">
      <c r="A4573" s="7" t="inlineStr">
        <is>
          <t>ORD-03349</t>
        </is>
      </c>
      <c r="B4573" s="8" t="n">
        <v>45839</v>
      </c>
      <c r="C4573" s="9" t="n">
        <v>45839</v>
      </c>
      <c r="D4573" s="7" t="n">
        <v>2025</v>
      </c>
      <c r="E4573" s="7" t="inlineStr">
        <is>
          <t>South</t>
        </is>
      </c>
      <c r="F4573" s="7" t="inlineStr">
        <is>
          <t>Furniture</t>
        </is>
      </c>
      <c r="G4573" s="7" t="inlineStr">
        <is>
          <t>Sofa</t>
        </is>
      </c>
      <c r="H4573" s="7" t="inlineStr">
        <is>
          <t>Consumer</t>
        </is>
      </c>
      <c r="I4573" s="7" t="n">
        <v>1</v>
      </c>
      <c r="J4573" s="10" t="n">
        <v>727.25</v>
      </c>
      <c r="K4573" s="11" t="n">
        <v>0.1</v>
      </c>
      <c r="L4573" s="10">
        <f>I4573*J4573*(1-K4573)</f>
        <v/>
      </c>
      <c r="M4573" s="10" t="n">
        <v>616</v>
      </c>
      <c r="N4573" s="10">
        <f>L4573-M4573</f>
        <v/>
      </c>
    </row>
    <row r="4574">
      <c r="A4574" s="7" t="inlineStr">
        <is>
          <t>ORD-01106</t>
        </is>
      </c>
      <c r="B4574" s="8" t="n">
        <v>45840</v>
      </c>
      <c r="C4574" s="9" t="n">
        <v>45839</v>
      </c>
      <c r="D4574" s="7" t="n">
        <v>2025</v>
      </c>
      <c r="E4574" s="7" t="inlineStr">
        <is>
          <t>West</t>
        </is>
      </c>
      <c r="F4574" s="7" t="inlineStr">
        <is>
          <t>Technology</t>
        </is>
      </c>
      <c r="G4574" s="7" t="inlineStr">
        <is>
          <t>Monitor</t>
        </is>
      </c>
      <c r="H4574" s="7" t="inlineStr">
        <is>
          <t>Corporate</t>
        </is>
      </c>
      <c r="I4574" s="7" t="n">
        <v>3</v>
      </c>
      <c r="J4574" s="10" t="n">
        <v>258.49</v>
      </c>
      <c r="K4574" s="11" t="n">
        <v>0</v>
      </c>
      <c r="L4574" s="10">
        <f>I4574*J4574*(1-K4574)</f>
        <v/>
      </c>
      <c r="M4574" s="10" t="n">
        <v>540</v>
      </c>
      <c r="N4574" s="10">
        <f>L4574-M4574</f>
        <v/>
      </c>
    </row>
    <row r="4575">
      <c r="A4575" s="7" t="inlineStr">
        <is>
          <t>ORD-05007</t>
        </is>
      </c>
      <c r="B4575" s="8" t="n">
        <v>45840</v>
      </c>
      <c r="C4575" s="9" t="n">
        <v>45839</v>
      </c>
      <c r="D4575" s="7" t="n">
        <v>2025</v>
      </c>
      <c r="E4575" s="7" t="inlineStr">
        <is>
          <t>South</t>
        </is>
      </c>
      <c r="F4575" s="7" t="inlineStr">
        <is>
          <t>Office Supplies</t>
        </is>
      </c>
      <c r="G4575" s="7" t="inlineStr">
        <is>
          <t>Pens</t>
        </is>
      </c>
      <c r="H4575" s="7" t="inlineStr">
        <is>
          <t>Corporate</t>
        </is>
      </c>
      <c r="I4575" s="7" t="n">
        <v>8</v>
      </c>
      <c r="J4575" s="10" t="n">
        <v>12.09</v>
      </c>
      <c r="K4575" s="11" t="n">
        <v>0.3</v>
      </c>
      <c r="L4575" s="10">
        <f>I4575*J4575*(1-K4575)</f>
        <v/>
      </c>
      <c r="M4575" s="10" t="n">
        <v>43.2</v>
      </c>
      <c r="N4575" s="10">
        <f>L4575-M4575</f>
        <v/>
      </c>
    </row>
    <row r="4576">
      <c r="A4576" s="7" t="inlineStr">
        <is>
          <t>ORD-03006</t>
        </is>
      </c>
      <c r="B4576" s="8" t="n">
        <v>45840</v>
      </c>
      <c r="C4576" s="9" t="n">
        <v>45839</v>
      </c>
      <c r="D4576" s="7" t="n">
        <v>2025</v>
      </c>
      <c r="E4576" s="7" t="inlineStr">
        <is>
          <t>South</t>
        </is>
      </c>
      <c r="F4576" s="7" t="inlineStr">
        <is>
          <t>Technology</t>
        </is>
      </c>
      <c r="G4576" s="7" t="inlineStr">
        <is>
          <t>Keyboard</t>
        </is>
      </c>
      <c r="H4576" s="7" t="inlineStr">
        <is>
          <t>Consumer</t>
        </is>
      </c>
      <c r="I4576" s="7" t="n">
        <v>2</v>
      </c>
      <c r="J4576" s="10" t="n">
        <v>46.47</v>
      </c>
      <c r="K4576" s="11" t="n">
        <v>0.05</v>
      </c>
      <c r="L4576" s="10">
        <f>I4576*J4576*(1-K4576)</f>
        <v/>
      </c>
      <c r="M4576" s="10" t="n">
        <v>49.5</v>
      </c>
      <c r="N4576" s="10">
        <f>L4576-M4576</f>
        <v/>
      </c>
    </row>
    <row r="4577">
      <c r="A4577" s="7" t="inlineStr">
        <is>
          <t>ORD-00001</t>
        </is>
      </c>
      <c r="B4577" s="8" t="n">
        <v>45840</v>
      </c>
      <c r="C4577" s="9" t="n">
        <v>45839</v>
      </c>
      <c r="D4577" s="7" t="n">
        <v>2025</v>
      </c>
      <c r="E4577" s="7" t="inlineStr">
        <is>
          <t>East</t>
        </is>
      </c>
      <c r="F4577" s="7" t="inlineStr">
        <is>
          <t>Technology</t>
        </is>
      </c>
      <c r="G4577" s="7" t="inlineStr">
        <is>
          <t>Monitor</t>
        </is>
      </c>
      <c r="H4577" s="7" t="inlineStr">
        <is>
          <t>Corporate</t>
        </is>
      </c>
      <c r="I4577" s="7" t="n">
        <v>1</v>
      </c>
      <c r="J4577" s="10" t="n">
        <v>238.55</v>
      </c>
      <c r="K4577" s="11" t="n">
        <v>0.05</v>
      </c>
      <c r="L4577" s="10">
        <f>I4577*J4577*(1-K4577)</f>
        <v/>
      </c>
      <c r="M4577" s="10" t="n">
        <v>180</v>
      </c>
      <c r="N4577" s="10">
        <f>L4577-M4577</f>
        <v/>
      </c>
    </row>
    <row r="4578">
      <c r="A4578" s="7" t="inlineStr">
        <is>
          <t>ORD-01772</t>
        </is>
      </c>
      <c r="B4578" s="8" t="n">
        <v>45840</v>
      </c>
      <c r="C4578" s="9" t="n">
        <v>45839</v>
      </c>
      <c r="D4578" s="7" t="n">
        <v>2025</v>
      </c>
      <c r="E4578" s="7" t="inlineStr">
        <is>
          <t>West</t>
        </is>
      </c>
      <c r="F4578" s="7" t="inlineStr">
        <is>
          <t>Technology</t>
        </is>
      </c>
      <c r="G4578" s="7" t="inlineStr">
        <is>
          <t>Smartphone</t>
        </is>
      </c>
      <c r="H4578" s="7" t="inlineStr">
        <is>
          <t>Consumer</t>
        </is>
      </c>
      <c r="I4578" s="7" t="n">
        <v>1</v>
      </c>
      <c r="J4578" s="10" t="n">
        <v>605.47</v>
      </c>
      <c r="K4578" s="11" t="n">
        <v>0.2</v>
      </c>
      <c r="L4578" s="10">
        <f>I4578*J4578*(1-K4578)</f>
        <v/>
      </c>
      <c r="M4578" s="10" t="n">
        <v>450</v>
      </c>
      <c r="N4578" s="10">
        <f>L4578-M4578</f>
        <v/>
      </c>
    </row>
    <row r="4579">
      <c r="A4579" s="7" t="inlineStr">
        <is>
          <t>ORD-02138</t>
        </is>
      </c>
      <c r="B4579" s="8" t="n">
        <v>45840</v>
      </c>
      <c r="C4579" s="9" t="n">
        <v>45839</v>
      </c>
      <c r="D4579" s="7" t="n">
        <v>2025</v>
      </c>
      <c r="E4579" s="7" t="inlineStr">
        <is>
          <t>West</t>
        </is>
      </c>
      <c r="F4579" s="7" t="inlineStr">
        <is>
          <t>Technology</t>
        </is>
      </c>
      <c r="G4579" s="7" t="inlineStr">
        <is>
          <t>Laptop</t>
        </is>
      </c>
      <c r="H4579" s="7" t="inlineStr">
        <is>
          <t>Home Office</t>
        </is>
      </c>
      <c r="I4579" s="7" t="n">
        <v>3</v>
      </c>
      <c r="J4579" s="10" t="n">
        <v>866.21</v>
      </c>
      <c r="K4579" s="11" t="n">
        <v>0.2</v>
      </c>
      <c r="L4579" s="10">
        <f>I4579*J4579*(1-K4579)</f>
        <v/>
      </c>
      <c r="M4579" s="10" t="n">
        <v>2106</v>
      </c>
      <c r="N4579" s="10">
        <f>L4579-M4579</f>
        <v/>
      </c>
    </row>
    <row r="4580">
      <c r="A4580" s="7" t="inlineStr">
        <is>
          <t>ORD-05412</t>
        </is>
      </c>
      <c r="B4580" s="8" t="n">
        <v>45840</v>
      </c>
      <c r="C4580" s="9" t="n">
        <v>45839</v>
      </c>
      <c r="D4580" s="7" t="n">
        <v>2025</v>
      </c>
      <c r="E4580" s="7" t="inlineStr">
        <is>
          <t>West</t>
        </is>
      </c>
      <c r="F4580" s="7" t="inlineStr">
        <is>
          <t>Office Supplies</t>
        </is>
      </c>
      <c r="G4580" s="7" t="inlineStr">
        <is>
          <t>Paper</t>
        </is>
      </c>
      <c r="H4580" s="7" t="inlineStr">
        <is>
          <t>Home Office</t>
        </is>
      </c>
      <c r="I4580" s="7" t="n">
        <v>15</v>
      </c>
      <c r="J4580" s="10" t="n">
        <v>24.77</v>
      </c>
      <c r="K4580" s="11" t="n">
        <v>0</v>
      </c>
      <c r="L4580" s="10">
        <f>I4580*J4580*(1-K4580)</f>
        <v/>
      </c>
      <c r="M4580" s="10" t="n">
        <v>187.5</v>
      </c>
      <c r="N4580" s="10">
        <f>L4580-M4580</f>
        <v/>
      </c>
    </row>
    <row r="4581">
      <c r="A4581" s="7" t="inlineStr">
        <is>
          <t>ORD-00367</t>
        </is>
      </c>
      <c r="B4581" s="8" t="n">
        <v>45840</v>
      </c>
      <c r="C4581" s="9" t="n">
        <v>45839</v>
      </c>
      <c r="D4581" s="7" t="n">
        <v>2025</v>
      </c>
      <c r="E4581" s="7" t="inlineStr">
        <is>
          <t>East</t>
        </is>
      </c>
      <c r="F4581" s="7" t="inlineStr">
        <is>
          <t>Office Supplies</t>
        </is>
      </c>
      <c r="G4581" s="7" t="inlineStr">
        <is>
          <t>Stapler</t>
        </is>
      </c>
      <c r="H4581" s="7" t="inlineStr">
        <is>
          <t>Home Office</t>
        </is>
      </c>
      <c r="I4581" s="7" t="n">
        <v>14</v>
      </c>
      <c r="J4581" s="10" t="n">
        <v>15.12</v>
      </c>
      <c r="K4581" s="11" t="n">
        <v>0.2</v>
      </c>
      <c r="L4581" s="10">
        <f>I4581*J4581*(1-K4581)</f>
        <v/>
      </c>
      <c r="M4581" s="10" t="n">
        <v>105</v>
      </c>
      <c r="N4581" s="10">
        <f>L4581-M4581</f>
        <v/>
      </c>
    </row>
    <row r="4582">
      <c r="A4582" s="7" t="inlineStr">
        <is>
          <t>ORD-01160</t>
        </is>
      </c>
      <c r="B4582" s="8" t="n">
        <v>45840</v>
      </c>
      <c r="C4582" s="9" t="n">
        <v>45839</v>
      </c>
      <c r="D4582" s="7" t="n">
        <v>2025</v>
      </c>
      <c r="E4582" s="7" t="inlineStr">
        <is>
          <t>West</t>
        </is>
      </c>
      <c r="F4582" s="7" t="inlineStr">
        <is>
          <t>Office Supplies</t>
        </is>
      </c>
      <c r="G4582" s="7" t="inlineStr">
        <is>
          <t>Paper</t>
        </is>
      </c>
      <c r="H4582" s="7" t="inlineStr">
        <is>
          <t>Consumer</t>
        </is>
      </c>
      <c r="I4582" s="7" t="n">
        <v>13</v>
      </c>
      <c r="J4582" s="10" t="n">
        <v>24.76</v>
      </c>
      <c r="K4582" s="11" t="n">
        <v>0</v>
      </c>
      <c r="L4582" s="10">
        <f>I4582*J4582*(1-K4582)</f>
        <v/>
      </c>
      <c r="M4582" s="10" t="n">
        <v>162.5</v>
      </c>
      <c r="N4582" s="10">
        <f>L4582-M4582</f>
        <v/>
      </c>
    </row>
    <row r="4583">
      <c r="A4583" s="7" t="inlineStr">
        <is>
          <t>ORD-04700</t>
        </is>
      </c>
      <c r="B4583" s="8" t="n">
        <v>45841</v>
      </c>
      <c r="C4583" s="9" t="n">
        <v>45839</v>
      </c>
      <c r="D4583" s="7" t="n">
        <v>2025</v>
      </c>
      <c r="E4583" s="7" t="inlineStr">
        <is>
          <t>North</t>
        </is>
      </c>
      <c r="F4583" s="7" t="inlineStr">
        <is>
          <t>Office Supplies</t>
        </is>
      </c>
      <c r="G4583" s="7" t="inlineStr">
        <is>
          <t>Printer Ink</t>
        </is>
      </c>
      <c r="H4583" s="7" t="inlineStr">
        <is>
          <t>Home Office</t>
        </is>
      </c>
      <c r="I4583" s="7" t="n">
        <v>2</v>
      </c>
      <c r="J4583" s="10" t="n">
        <v>57.04</v>
      </c>
      <c r="K4583" s="11" t="n">
        <v>0</v>
      </c>
      <c r="L4583" s="10">
        <f>I4583*J4583*(1-K4583)</f>
        <v/>
      </c>
      <c r="M4583" s="10" t="n">
        <v>72</v>
      </c>
      <c r="N4583" s="10">
        <f>L4583-M4583</f>
        <v/>
      </c>
    </row>
    <row r="4584">
      <c r="A4584" s="7" t="inlineStr">
        <is>
          <t>ORD-04864</t>
        </is>
      </c>
      <c r="B4584" s="8" t="n">
        <v>45841</v>
      </c>
      <c r="C4584" s="9" t="n">
        <v>45839</v>
      </c>
      <c r="D4584" s="7" t="n">
        <v>2025</v>
      </c>
      <c r="E4584" s="7" t="inlineStr">
        <is>
          <t>West</t>
        </is>
      </c>
      <c r="F4584" s="7" t="inlineStr">
        <is>
          <t>Technology</t>
        </is>
      </c>
      <c r="G4584" s="7" t="inlineStr">
        <is>
          <t>Laptop</t>
        </is>
      </c>
      <c r="H4584" s="7" t="inlineStr">
        <is>
          <t>Consumer</t>
        </is>
      </c>
      <c r="I4584" s="7" t="n">
        <v>3</v>
      </c>
      <c r="J4584" s="10" t="n">
        <v>865.14</v>
      </c>
      <c r="K4584" s="11" t="n">
        <v>0</v>
      </c>
      <c r="L4584" s="10">
        <f>I4584*J4584*(1-K4584)</f>
        <v/>
      </c>
      <c r="M4584" s="10" t="n">
        <v>2106</v>
      </c>
      <c r="N4584" s="10">
        <f>L4584-M4584</f>
        <v/>
      </c>
    </row>
    <row r="4585">
      <c r="A4585" s="7" t="inlineStr">
        <is>
          <t>ORD-04487</t>
        </is>
      </c>
      <c r="B4585" s="8" t="n">
        <v>45841</v>
      </c>
      <c r="C4585" s="9" t="n">
        <v>45839</v>
      </c>
      <c r="D4585" s="7" t="n">
        <v>2025</v>
      </c>
      <c r="E4585" s="7" t="inlineStr">
        <is>
          <t>West</t>
        </is>
      </c>
      <c r="F4585" s="7" t="inlineStr">
        <is>
          <t>Technology</t>
        </is>
      </c>
      <c r="G4585" s="7" t="inlineStr">
        <is>
          <t>Monitor</t>
        </is>
      </c>
      <c r="H4585" s="7" t="inlineStr">
        <is>
          <t>Corporate</t>
        </is>
      </c>
      <c r="I4585" s="7" t="n">
        <v>1</v>
      </c>
      <c r="J4585" s="10" t="n">
        <v>255.36</v>
      </c>
      <c r="K4585" s="11" t="n">
        <v>0</v>
      </c>
      <c r="L4585" s="10">
        <f>I4585*J4585*(1-K4585)</f>
        <v/>
      </c>
      <c r="M4585" s="10" t="n">
        <v>180</v>
      </c>
      <c r="N4585" s="10">
        <f>L4585-M4585</f>
        <v/>
      </c>
    </row>
    <row r="4586">
      <c r="A4586" s="7" t="inlineStr">
        <is>
          <t>ORD-05336</t>
        </is>
      </c>
      <c r="B4586" s="8" t="n">
        <v>45841</v>
      </c>
      <c r="C4586" s="9" t="n">
        <v>45839</v>
      </c>
      <c r="D4586" s="7" t="n">
        <v>2025</v>
      </c>
      <c r="E4586" s="7" t="inlineStr">
        <is>
          <t>West</t>
        </is>
      </c>
      <c r="F4586" s="7" t="inlineStr">
        <is>
          <t>Furniture</t>
        </is>
      </c>
      <c r="G4586" s="7" t="inlineStr">
        <is>
          <t>Desk</t>
        </is>
      </c>
      <c r="H4586" s="7" t="inlineStr">
        <is>
          <t>Home Office</t>
        </is>
      </c>
      <c r="I4586" s="7" t="n">
        <v>4</v>
      </c>
      <c r="J4586" s="10" t="n">
        <v>456.43</v>
      </c>
      <c r="K4586" s="11" t="n">
        <v>0.3</v>
      </c>
      <c r="L4586" s="10">
        <f>I4586*J4586*(1-K4586)</f>
        <v/>
      </c>
      <c r="M4586" s="10" t="n">
        <v>1530</v>
      </c>
      <c r="N4586" s="10">
        <f>L4586-M4586</f>
        <v/>
      </c>
    </row>
    <row r="4587">
      <c r="A4587" s="7" t="inlineStr">
        <is>
          <t>ORD-01331</t>
        </is>
      </c>
      <c r="B4587" s="8" t="n">
        <v>45841</v>
      </c>
      <c r="C4587" s="9" t="n">
        <v>45839</v>
      </c>
      <c r="D4587" s="7" t="n">
        <v>2025</v>
      </c>
      <c r="E4587" s="7" t="inlineStr">
        <is>
          <t>West</t>
        </is>
      </c>
      <c r="F4587" s="7" t="inlineStr">
        <is>
          <t>Office Supplies</t>
        </is>
      </c>
      <c r="G4587" s="7" t="inlineStr">
        <is>
          <t>Pens</t>
        </is>
      </c>
      <c r="H4587" s="7" t="inlineStr">
        <is>
          <t>Consumer</t>
        </is>
      </c>
      <c r="I4587" s="7" t="n">
        <v>11</v>
      </c>
      <c r="J4587" s="10" t="n">
        <v>12.5</v>
      </c>
      <c r="K4587" s="11" t="n">
        <v>0</v>
      </c>
      <c r="L4587" s="10">
        <f>I4587*J4587*(1-K4587)</f>
        <v/>
      </c>
      <c r="M4587" s="10" t="n">
        <v>59.4</v>
      </c>
      <c r="N4587" s="10">
        <f>L4587-M4587</f>
        <v/>
      </c>
    </row>
    <row r="4588">
      <c r="A4588" s="7" t="inlineStr">
        <is>
          <t>ORD-01612</t>
        </is>
      </c>
      <c r="B4588" s="8" t="n">
        <v>45841</v>
      </c>
      <c r="C4588" s="9" t="n">
        <v>45839</v>
      </c>
      <c r="D4588" s="7" t="n">
        <v>2025</v>
      </c>
      <c r="E4588" s="7" t="inlineStr">
        <is>
          <t>South</t>
        </is>
      </c>
      <c r="F4588" s="7" t="inlineStr">
        <is>
          <t>Office Supplies</t>
        </is>
      </c>
      <c r="G4588" s="7" t="inlineStr">
        <is>
          <t>Pens</t>
        </is>
      </c>
      <c r="H4588" s="7" t="inlineStr">
        <is>
          <t>Consumer</t>
        </is>
      </c>
      <c r="I4588" s="7" t="n">
        <v>14</v>
      </c>
      <c r="J4588" s="10" t="n">
        <v>12.02</v>
      </c>
      <c r="K4588" s="11" t="n">
        <v>0.1</v>
      </c>
      <c r="L4588" s="10">
        <f>I4588*J4588*(1-K4588)</f>
        <v/>
      </c>
      <c r="M4588" s="10" t="n">
        <v>75.59999999999999</v>
      </c>
      <c r="N4588" s="10">
        <f>L4588-M4588</f>
        <v/>
      </c>
    </row>
    <row r="4589">
      <c r="A4589" s="7" t="inlineStr">
        <is>
          <t>ORD-04416</t>
        </is>
      </c>
      <c r="B4589" s="8" t="n">
        <v>45841</v>
      </c>
      <c r="C4589" s="9" t="n">
        <v>45839</v>
      </c>
      <c r="D4589" s="7" t="n">
        <v>2025</v>
      </c>
      <c r="E4589" s="7" t="inlineStr">
        <is>
          <t>North</t>
        </is>
      </c>
      <c r="F4589" s="7" t="inlineStr">
        <is>
          <t>Office Supplies</t>
        </is>
      </c>
      <c r="G4589" s="7" t="inlineStr">
        <is>
          <t>Pens</t>
        </is>
      </c>
      <c r="H4589" s="7" t="inlineStr">
        <is>
          <t>Corporate</t>
        </is>
      </c>
      <c r="I4589" s="7" t="n">
        <v>11</v>
      </c>
      <c r="J4589" s="10" t="n">
        <v>12.25</v>
      </c>
      <c r="K4589" s="11" t="n">
        <v>0</v>
      </c>
      <c r="L4589" s="10">
        <f>I4589*J4589*(1-K4589)</f>
        <v/>
      </c>
      <c r="M4589" s="10" t="n">
        <v>59.4</v>
      </c>
      <c r="N4589" s="10">
        <f>L4589-M4589</f>
        <v/>
      </c>
    </row>
    <row r="4590">
      <c r="A4590" s="7" t="inlineStr">
        <is>
          <t>ORD-04850</t>
        </is>
      </c>
      <c r="B4590" s="8" t="n">
        <v>45841</v>
      </c>
      <c r="C4590" s="9" t="n">
        <v>45839</v>
      </c>
      <c r="D4590" s="7" t="n">
        <v>2025</v>
      </c>
      <c r="E4590" s="7" t="inlineStr">
        <is>
          <t>East</t>
        </is>
      </c>
      <c r="F4590" s="7" t="inlineStr">
        <is>
          <t>Office Supplies</t>
        </is>
      </c>
      <c r="G4590" s="7" t="inlineStr">
        <is>
          <t>Paper</t>
        </is>
      </c>
      <c r="H4590" s="7" t="inlineStr">
        <is>
          <t>Consumer</t>
        </is>
      </c>
      <c r="I4590" s="7" t="n">
        <v>8</v>
      </c>
      <c r="J4590" s="10" t="n">
        <v>25.21</v>
      </c>
      <c r="K4590" s="11" t="n">
        <v>0.2</v>
      </c>
      <c r="L4590" s="10">
        <f>I4590*J4590*(1-K4590)</f>
        <v/>
      </c>
      <c r="M4590" s="10" t="n">
        <v>100</v>
      </c>
      <c r="N4590" s="10">
        <f>L4590-M4590</f>
        <v/>
      </c>
    </row>
    <row r="4591">
      <c r="A4591" s="7" t="inlineStr">
        <is>
          <t>ORD-01933</t>
        </is>
      </c>
      <c r="B4591" s="8" t="n">
        <v>45842</v>
      </c>
      <c r="C4591" s="9" t="n">
        <v>45839</v>
      </c>
      <c r="D4591" s="7" t="n">
        <v>2025</v>
      </c>
      <c r="E4591" s="7" t="inlineStr">
        <is>
          <t>West</t>
        </is>
      </c>
      <c r="F4591" s="7" t="inlineStr">
        <is>
          <t>Technology</t>
        </is>
      </c>
      <c r="G4591" s="7" t="inlineStr">
        <is>
          <t>Smartphone</t>
        </is>
      </c>
      <c r="H4591" s="7" t="inlineStr">
        <is>
          <t>Corporate</t>
        </is>
      </c>
      <c r="I4591" s="7" t="n">
        <v>3</v>
      </c>
      <c r="J4591" s="10" t="n">
        <v>571.74</v>
      </c>
      <c r="K4591" s="11" t="n">
        <v>0.1</v>
      </c>
      <c r="L4591" s="10">
        <f>I4591*J4591*(1-K4591)</f>
        <v/>
      </c>
      <c r="M4591" s="10" t="n">
        <v>1350</v>
      </c>
      <c r="N4591" s="10">
        <f>L4591-M4591</f>
        <v/>
      </c>
    </row>
    <row r="4592">
      <c r="A4592" s="7" t="inlineStr">
        <is>
          <t>ORD-00418</t>
        </is>
      </c>
      <c r="B4592" s="8" t="n">
        <v>45842</v>
      </c>
      <c r="C4592" s="9" t="n">
        <v>45839</v>
      </c>
      <c r="D4592" s="7" t="n">
        <v>2025</v>
      </c>
      <c r="E4592" s="7" t="inlineStr">
        <is>
          <t>West</t>
        </is>
      </c>
      <c r="F4592" s="7" t="inlineStr">
        <is>
          <t>Office Supplies</t>
        </is>
      </c>
      <c r="G4592" s="7" t="inlineStr">
        <is>
          <t>Binder</t>
        </is>
      </c>
      <c r="H4592" s="7" t="inlineStr">
        <is>
          <t>Consumer</t>
        </is>
      </c>
      <c r="I4592" s="7" t="n">
        <v>5</v>
      </c>
      <c r="J4592" s="10" t="n">
        <v>8.09</v>
      </c>
      <c r="K4592" s="11" t="n">
        <v>0</v>
      </c>
      <c r="L4592" s="10">
        <f>I4592*J4592*(1-K4592)</f>
        <v/>
      </c>
      <c r="M4592" s="10" t="n">
        <v>16</v>
      </c>
      <c r="N4592" s="10">
        <f>L4592-M4592</f>
        <v/>
      </c>
    </row>
    <row r="4593">
      <c r="A4593" s="7" t="inlineStr">
        <is>
          <t>ORD-02952</t>
        </is>
      </c>
      <c r="B4593" s="8" t="n">
        <v>45842</v>
      </c>
      <c r="C4593" s="9" t="n">
        <v>45839</v>
      </c>
      <c r="D4593" s="7" t="n">
        <v>2025</v>
      </c>
      <c r="E4593" s="7" t="inlineStr">
        <is>
          <t>East</t>
        </is>
      </c>
      <c r="F4593" s="7" t="inlineStr">
        <is>
          <t>Office Supplies</t>
        </is>
      </c>
      <c r="G4593" s="7" t="inlineStr">
        <is>
          <t>Printer Ink</t>
        </is>
      </c>
      <c r="H4593" s="7" t="inlineStr">
        <is>
          <t>Corporate</t>
        </is>
      </c>
      <c r="I4593" s="7" t="n">
        <v>4</v>
      </c>
      <c r="J4593" s="10" t="n">
        <v>61.13</v>
      </c>
      <c r="K4593" s="11" t="n">
        <v>0</v>
      </c>
      <c r="L4593" s="10">
        <f>I4593*J4593*(1-K4593)</f>
        <v/>
      </c>
      <c r="M4593" s="10" t="n">
        <v>144</v>
      </c>
      <c r="N4593" s="10">
        <f>L4593-M4593</f>
        <v/>
      </c>
    </row>
    <row r="4594">
      <c r="A4594" s="7" t="inlineStr">
        <is>
          <t>ORD-00201</t>
        </is>
      </c>
      <c r="B4594" s="8" t="n">
        <v>45843</v>
      </c>
      <c r="C4594" s="9" t="n">
        <v>45839</v>
      </c>
      <c r="D4594" s="7" t="n">
        <v>2025</v>
      </c>
      <c r="E4594" s="7" t="inlineStr">
        <is>
          <t>East</t>
        </is>
      </c>
      <c r="F4594" s="7" t="inlineStr">
        <is>
          <t>Office Supplies</t>
        </is>
      </c>
      <c r="G4594" s="7" t="inlineStr">
        <is>
          <t>Pens</t>
        </is>
      </c>
      <c r="H4594" s="7" t="inlineStr">
        <is>
          <t>Home Office</t>
        </is>
      </c>
      <c r="I4594" s="7" t="n">
        <v>8</v>
      </c>
      <c r="J4594" s="10" t="n">
        <v>11.97</v>
      </c>
      <c r="K4594" s="11" t="n">
        <v>0.05</v>
      </c>
      <c r="L4594" s="10">
        <f>I4594*J4594*(1-K4594)</f>
        <v/>
      </c>
      <c r="M4594" s="10" t="n">
        <v>43.2</v>
      </c>
      <c r="N4594" s="10">
        <f>L4594-M4594</f>
        <v/>
      </c>
    </row>
    <row r="4595">
      <c r="A4595" s="7" t="inlineStr">
        <is>
          <t>ORD-00621</t>
        </is>
      </c>
      <c r="B4595" s="8" t="n">
        <v>45843</v>
      </c>
      <c r="C4595" s="9" t="n">
        <v>45839</v>
      </c>
      <c r="D4595" s="7" t="n">
        <v>2025</v>
      </c>
      <c r="E4595" s="7" t="inlineStr">
        <is>
          <t>South</t>
        </is>
      </c>
      <c r="F4595" s="7" t="inlineStr">
        <is>
          <t>Technology</t>
        </is>
      </c>
      <c r="G4595" s="7" t="inlineStr">
        <is>
          <t>Headphones</t>
        </is>
      </c>
      <c r="H4595" s="7" t="inlineStr">
        <is>
          <t>Corporate</t>
        </is>
      </c>
      <c r="I4595" s="7" t="n">
        <v>3</v>
      </c>
      <c r="J4595" s="10" t="n">
        <v>115.33</v>
      </c>
      <c r="K4595" s="11" t="n">
        <v>0.05</v>
      </c>
      <c r="L4595" s="10">
        <f>I4595*J4595*(1-K4595)</f>
        <v/>
      </c>
      <c r="M4595" s="10" t="n">
        <v>216</v>
      </c>
      <c r="N4595" s="10">
        <f>L4595-M4595</f>
        <v/>
      </c>
    </row>
    <row r="4596">
      <c r="A4596" s="7" t="inlineStr">
        <is>
          <t>ORD-05918</t>
        </is>
      </c>
      <c r="B4596" s="8" t="n">
        <v>45843</v>
      </c>
      <c r="C4596" s="9" t="n">
        <v>45839</v>
      </c>
      <c r="D4596" s="7" t="n">
        <v>2025</v>
      </c>
      <c r="E4596" s="7" t="inlineStr">
        <is>
          <t>South</t>
        </is>
      </c>
      <c r="F4596" s="7" t="inlineStr">
        <is>
          <t>Office Supplies</t>
        </is>
      </c>
      <c r="G4596" s="7" t="inlineStr">
        <is>
          <t>Paper</t>
        </is>
      </c>
      <c r="H4596" s="7" t="inlineStr">
        <is>
          <t>Consumer</t>
        </is>
      </c>
      <c r="I4596" s="7" t="n">
        <v>14</v>
      </c>
      <c r="J4596" s="10" t="n">
        <v>24.87</v>
      </c>
      <c r="K4596" s="11" t="n">
        <v>0</v>
      </c>
      <c r="L4596" s="10">
        <f>I4596*J4596*(1-K4596)</f>
        <v/>
      </c>
      <c r="M4596" s="10" t="n">
        <v>175</v>
      </c>
      <c r="N4596" s="10">
        <f>L4596-M4596</f>
        <v/>
      </c>
    </row>
    <row r="4597">
      <c r="A4597" s="7" t="inlineStr">
        <is>
          <t>ORD-00957</t>
        </is>
      </c>
      <c r="B4597" s="8" t="n">
        <v>45843</v>
      </c>
      <c r="C4597" s="9" t="n">
        <v>45839</v>
      </c>
      <c r="D4597" s="7" t="n">
        <v>2025</v>
      </c>
      <c r="E4597" s="7" t="inlineStr">
        <is>
          <t>West</t>
        </is>
      </c>
      <c r="F4597" s="7" t="inlineStr">
        <is>
          <t>Furniture</t>
        </is>
      </c>
      <c r="G4597" s="7" t="inlineStr">
        <is>
          <t>Sofa</t>
        </is>
      </c>
      <c r="H4597" s="7" t="inlineStr">
        <is>
          <t>Consumer</t>
        </is>
      </c>
      <c r="I4597" s="7" t="n">
        <v>3</v>
      </c>
      <c r="J4597" s="10" t="n">
        <v>691.74</v>
      </c>
      <c r="K4597" s="11" t="n">
        <v>0</v>
      </c>
      <c r="L4597" s="10">
        <f>I4597*J4597*(1-K4597)</f>
        <v/>
      </c>
      <c r="M4597" s="10" t="n">
        <v>1848</v>
      </c>
      <c r="N4597" s="10">
        <f>L4597-M4597</f>
        <v/>
      </c>
    </row>
    <row r="4598">
      <c r="A4598" s="7" t="inlineStr">
        <is>
          <t>ORD-05896</t>
        </is>
      </c>
      <c r="B4598" s="8" t="n">
        <v>45843</v>
      </c>
      <c r="C4598" s="9" t="n">
        <v>45839</v>
      </c>
      <c r="D4598" s="7" t="n">
        <v>2025</v>
      </c>
      <c r="E4598" s="7" t="inlineStr">
        <is>
          <t>West</t>
        </is>
      </c>
      <c r="F4598" s="7" t="inlineStr">
        <is>
          <t>Office Supplies</t>
        </is>
      </c>
      <c r="G4598" s="7" t="inlineStr">
        <is>
          <t>Paper</t>
        </is>
      </c>
      <c r="H4598" s="7" t="inlineStr">
        <is>
          <t>Home Office</t>
        </is>
      </c>
      <c r="I4598" s="7" t="n">
        <v>10</v>
      </c>
      <c r="J4598" s="10" t="n">
        <v>26.01</v>
      </c>
      <c r="K4598" s="11" t="n">
        <v>0</v>
      </c>
      <c r="L4598" s="10">
        <f>I4598*J4598*(1-K4598)</f>
        <v/>
      </c>
      <c r="M4598" s="10" t="n">
        <v>125</v>
      </c>
      <c r="N4598" s="10">
        <f>L4598-M4598</f>
        <v/>
      </c>
    </row>
    <row r="4599">
      <c r="A4599" s="7" t="inlineStr">
        <is>
          <t>ORD-03139</t>
        </is>
      </c>
      <c r="B4599" s="8" t="n">
        <v>45843</v>
      </c>
      <c r="C4599" s="9" t="n">
        <v>45839</v>
      </c>
      <c r="D4599" s="7" t="n">
        <v>2025</v>
      </c>
      <c r="E4599" s="7" t="inlineStr">
        <is>
          <t>West</t>
        </is>
      </c>
      <c r="F4599" s="7" t="inlineStr">
        <is>
          <t>Technology</t>
        </is>
      </c>
      <c r="G4599" s="7" t="inlineStr">
        <is>
          <t>Monitor</t>
        </is>
      </c>
      <c r="H4599" s="7" t="inlineStr">
        <is>
          <t>Corporate</t>
        </is>
      </c>
      <c r="I4599" s="7" t="n">
        <v>2</v>
      </c>
      <c r="J4599" s="10" t="n">
        <v>258.65</v>
      </c>
      <c r="K4599" s="11" t="n">
        <v>0.05</v>
      </c>
      <c r="L4599" s="10">
        <f>I4599*J4599*(1-K4599)</f>
        <v/>
      </c>
      <c r="M4599" s="10" t="n">
        <v>360</v>
      </c>
      <c r="N4599" s="10">
        <f>L4599-M4599</f>
        <v/>
      </c>
    </row>
    <row r="4600">
      <c r="A4600" s="7" t="inlineStr">
        <is>
          <t>ORD-01048</t>
        </is>
      </c>
      <c r="B4600" s="8" t="n">
        <v>45844</v>
      </c>
      <c r="C4600" s="9" t="n">
        <v>45839</v>
      </c>
      <c r="D4600" s="7" t="n">
        <v>2025</v>
      </c>
      <c r="E4600" s="7" t="inlineStr">
        <is>
          <t>East</t>
        </is>
      </c>
      <c r="F4600" s="7" t="inlineStr">
        <is>
          <t>Furniture</t>
        </is>
      </c>
      <c r="G4600" s="7" t="inlineStr">
        <is>
          <t>Office Chair</t>
        </is>
      </c>
      <c r="H4600" s="7" t="inlineStr">
        <is>
          <t>Corporate</t>
        </is>
      </c>
      <c r="I4600" s="7" t="n">
        <v>4</v>
      </c>
      <c r="J4600" s="10" t="n">
        <v>222.53</v>
      </c>
      <c r="K4600" s="11" t="n">
        <v>0</v>
      </c>
      <c r="L4600" s="10">
        <f>I4600*J4600*(1-K4600)</f>
        <v/>
      </c>
      <c r="M4600" s="10" t="n">
        <v>721.6</v>
      </c>
      <c r="N4600" s="10">
        <f>L4600-M4600</f>
        <v/>
      </c>
    </row>
    <row r="4601">
      <c r="A4601" s="7" t="inlineStr">
        <is>
          <t>ORD-00105</t>
        </is>
      </c>
      <c r="B4601" s="8" t="n">
        <v>45844</v>
      </c>
      <c r="C4601" s="9" t="n">
        <v>45839</v>
      </c>
      <c r="D4601" s="7" t="n">
        <v>2025</v>
      </c>
      <c r="E4601" s="7" t="inlineStr">
        <is>
          <t>East</t>
        </is>
      </c>
      <c r="F4601" s="7" t="inlineStr">
        <is>
          <t>Technology</t>
        </is>
      </c>
      <c r="G4601" s="7" t="inlineStr">
        <is>
          <t>Headphones</t>
        </is>
      </c>
      <c r="H4601" s="7" t="inlineStr">
        <is>
          <t>Corporate</t>
        </is>
      </c>
      <c r="I4601" s="7" t="n">
        <v>1</v>
      </c>
      <c r="J4601" s="10" t="n">
        <v>115.95</v>
      </c>
      <c r="K4601" s="11" t="n">
        <v>0</v>
      </c>
      <c r="L4601" s="10">
        <f>I4601*J4601*(1-K4601)</f>
        <v/>
      </c>
      <c r="M4601" s="10" t="n">
        <v>72</v>
      </c>
      <c r="N4601" s="10">
        <f>L4601-M4601</f>
        <v/>
      </c>
    </row>
    <row r="4602">
      <c r="A4602" s="7" t="inlineStr">
        <is>
          <t>ORD-03798</t>
        </is>
      </c>
      <c r="B4602" s="8" t="n">
        <v>45844</v>
      </c>
      <c r="C4602" s="9" t="n">
        <v>45839</v>
      </c>
      <c r="D4602" s="7" t="n">
        <v>2025</v>
      </c>
      <c r="E4602" s="7" t="inlineStr">
        <is>
          <t>West</t>
        </is>
      </c>
      <c r="F4602" s="7" t="inlineStr">
        <is>
          <t>Office Supplies</t>
        </is>
      </c>
      <c r="G4602" s="7" t="inlineStr">
        <is>
          <t>Binder</t>
        </is>
      </c>
      <c r="H4602" s="7" t="inlineStr">
        <is>
          <t>Corporate</t>
        </is>
      </c>
      <c r="I4602" s="7" t="n">
        <v>3</v>
      </c>
      <c r="J4602" s="10" t="n">
        <v>8.34</v>
      </c>
      <c r="K4602" s="11" t="n">
        <v>0.3</v>
      </c>
      <c r="L4602" s="10">
        <f>I4602*J4602*(1-K4602)</f>
        <v/>
      </c>
      <c r="M4602" s="10" t="n">
        <v>9.6</v>
      </c>
      <c r="N4602" s="10">
        <f>L4602-M4602</f>
        <v/>
      </c>
    </row>
    <row r="4603">
      <c r="A4603" s="7" t="inlineStr">
        <is>
          <t>ORD-04400</t>
        </is>
      </c>
      <c r="B4603" s="8" t="n">
        <v>45844</v>
      </c>
      <c r="C4603" s="9" t="n">
        <v>45839</v>
      </c>
      <c r="D4603" s="7" t="n">
        <v>2025</v>
      </c>
      <c r="E4603" s="7" t="inlineStr">
        <is>
          <t>South</t>
        </is>
      </c>
      <c r="F4603" s="7" t="inlineStr">
        <is>
          <t>Technology</t>
        </is>
      </c>
      <c r="G4603" s="7" t="inlineStr">
        <is>
          <t>Keyboard</t>
        </is>
      </c>
      <c r="H4603" s="7" t="inlineStr">
        <is>
          <t>Corporate</t>
        </is>
      </c>
      <c r="I4603" s="7" t="n">
        <v>2</v>
      </c>
      <c r="J4603" s="10" t="n">
        <v>43.19</v>
      </c>
      <c r="K4603" s="11" t="n">
        <v>0.05</v>
      </c>
      <c r="L4603" s="10">
        <f>I4603*J4603*(1-K4603)</f>
        <v/>
      </c>
      <c r="M4603" s="10" t="n">
        <v>49.5</v>
      </c>
      <c r="N4603" s="10">
        <f>L4603-M4603</f>
        <v/>
      </c>
    </row>
    <row r="4604">
      <c r="A4604" s="7" t="inlineStr">
        <is>
          <t>ORD-00025</t>
        </is>
      </c>
      <c r="B4604" s="8" t="n">
        <v>45844</v>
      </c>
      <c r="C4604" s="9" t="n">
        <v>45839</v>
      </c>
      <c r="D4604" s="7" t="n">
        <v>2025</v>
      </c>
      <c r="E4604" s="7" t="inlineStr">
        <is>
          <t>North</t>
        </is>
      </c>
      <c r="F4604" s="7" t="inlineStr">
        <is>
          <t>Office Supplies</t>
        </is>
      </c>
      <c r="G4604" s="7" t="inlineStr">
        <is>
          <t>Pens</t>
        </is>
      </c>
      <c r="H4604" s="7" t="inlineStr">
        <is>
          <t>Corporate</t>
        </is>
      </c>
      <c r="I4604" s="7" t="n">
        <v>15</v>
      </c>
      <c r="J4604" s="10" t="n">
        <v>12.42</v>
      </c>
      <c r="K4604" s="11" t="n">
        <v>0.2</v>
      </c>
      <c r="L4604" s="10">
        <f>I4604*J4604*(1-K4604)</f>
        <v/>
      </c>
      <c r="M4604" s="10" t="n">
        <v>81</v>
      </c>
      <c r="N4604" s="10">
        <f>L4604-M4604</f>
        <v/>
      </c>
    </row>
    <row r="4605">
      <c r="A4605" s="7" t="inlineStr">
        <is>
          <t>ORD-05386</t>
        </is>
      </c>
      <c r="B4605" s="8" t="n">
        <v>45845</v>
      </c>
      <c r="C4605" s="9" t="n">
        <v>45839</v>
      </c>
      <c r="D4605" s="7" t="n">
        <v>2025</v>
      </c>
      <c r="E4605" s="7" t="inlineStr">
        <is>
          <t>West</t>
        </is>
      </c>
      <c r="F4605" s="7" t="inlineStr">
        <is>
          <t>Technology</t>
        </is>
      </c>
      <c r="G4605" s="7" t="inlineStr">
        <is>
          <t>Laptop</t>
        </is>
      </c>
      <c r="H4605" s="7" t="inlineStr">
        <is>
          <t>Consumer</t>
        </is>
      </c>
      <c r="I4605" s="7" t="n">
        <v>2</v>
      </c>
      <c r="J4605" s="10" t="n">
        <v>865.54</v>
      </c>
      <c r="K4605" s="11" t="n">
        <v>0</v>
      </c>
      <c r="L4605" s="10">
        <f>I4605*J4605*(1-K4605)</f>
        <v/>
      </c>
      <c r="M4605" s="10" t="n">
        <v>1404</v>
      </c>
      <c r="N4605" s="10">
        <f>L4605-M4605</f>
        <v/>
      </c>
    </row>
    <row r="4606">
      <c r="A4606" s="7" t="inlineStr">
        <is>
          <t>ORD-01740</t>
        </is>
      </c>
      <c r="B4606" s="8" t="n">
        <v>45845</v>
      </c>
      <c r="C4606" s="9" t="n">
        <v>45839</v>
      </c>
      <c r="D4606" s="7" t="n">
        <v>2025</v>
      </c>
      <c r="E4606" s="7" t="inlineStr">
        <is>
          <t>East</t>
        </is>
      </c>
      <c r="F4606" s="7" t="inlineStr">
        <is>
          <t>Furniture</t>
        </is>
      </c>
      <c r="G4606" s="7" t="inlineStr">
        <is>
          <t>Office Chair</t>
        </is>
      </c>
      <c r="H4606" s="7" t="inlineStr">
        <is>
          <t>Corporate</t>
        </is>
      </c>
      <c r="I4606" s="7" t="n">
        <v>2</v>
      </c>
      <c r="J4606" s="10" t="n">
        <v>215.71</v>
      </c>
      <c r="K4606" s="11" t="n">
        <v>0</v>
      </c>
      <c r="L4606" s="10">
        <f>I4606*J4606*(1-K4606)</f>
        <v/>
      </c>
      <c r="M4606" s="10" t="n">
        <v>360.8</v>
      </c>
      <c r="N4606" s="10">
        <f>L4606-M4606</f>
        <v/>
      </c>
    </row>
    <row r="4607">
      <c r="A4607" s="7" t="inlineStr">
        <is>
          <t>ORD-04743</t>
        </is>
      </c>
      <c r="B4607" s="8" t="n">
        <v>45845</v>
      </c>
      <c r="C4607" s="9" t="n">
        <v>45839</v>
      </c>
      <c r="D4607" s="7" t="n">
        <v>2025</v>
      </c>
      <c r="E4607" s="7" t="inlineStr">
        <is>
          <t>West</t>
        </is>
      </c>
      <c r="F4607" s="7" t="inlineStr">
        <is>
          <t>Office Supplies</t>
        </is>
      </c>
      <c r="G4607" s="7" t="inlineStr">
        <is>
          <t>Printer Ink</t>
        </is>
      </c>
      <c r="H4607" s="7" t="inlineStr">
        <is>
          <t>Home Office</t>
        </is>
      </c>
      <c r="I4607" s="7" t="n">
        <v>6</v>
      </c>
      <c r="J4607" s="10" t="n">
        <v>59.54</v>
      </c>
      <c r="K4607" s="11" t="n">
        <v>0</v>
      </c>
      <c r="L4607" s="10">
        <f>I4607*J4607*(1-K4607)</f>
        <v/>
      </c>
      <c r="M4607" s="10" t="n">
        <v>216</v>
      </c>
      <c r="N4607" s="10">
        <f>L4607-M4607</f>
        <v/>
      </c>
    </row>
    <row r="4608">
      <c r="A4608" s="7" t="inlineStr">
        <is>
          <t>ORD-00299</t>
        </is>
      </c>
      <c r="B4608" s="8" t="n">
        <v>45845</v>
      </c>
      <c r="C4608" s="9" t="n">
        <v>45839</v>
      </c>
      <c r="D4608" s="7" t="n">
        <v>2025</v>
      </c>
      <c r="E4608" s="7" t="inlineStr">
        <is>
          <t>West</t>
        </is>
      </c>
      <c r="F4608" s="7" t="inlineStr">
        <is>
          <t>Office Supplies</t>
        </is>
      </c>
      <c r="G4608" s="7" t="inlineStr">
        <is>
          <t>Pens</t>
        </is>
      </c>
      <c r="H4608" s="7" t="inlineStr">
        <is>
          <t>Consumer</t>
        </is>
      </c>
      <c r="I4608" s="7" t="n">
        <v>5</v>
      </c>
      <c r="J4608" s="10" t="n">
        <v>12.18</v>
      </c>
      <c r="K4608" s="11" t="n">
        <v>0.05</v>
      </c>
      <c r="L4608" s="10">
        <f>I4608*J4608*(1-K4608)</f>
        <v/>
      </c>
      <c r="M4608" s="10" t="n">
        <v>27</v>
      </c>
      <c r="N4608" s="10">
        <f>L4608-M4608</f>
        <v/>
      </c>
    </row>
    <row r="4609">
      <c r="A4609" s="7" t="inlineStr">
        <is>
          <t>ORD-03589</t>
        </is>
      </c>
      <c r="B4609" s="8" t="n">
        <v>45845</v>
      </c>
      <c r="C4609" s="9" t="n">
        <v>45839</v>
      </c>
      <c r="D4609" s="7" t="n">
        <v>2025</v>
      </c>
      <c r="E4609" s="7" t="inlineStr">
        <is>
          <t>South</t>
        </is>
      </c>
      <c r="F4609" s="7" t="inlineStr">
        <is>
          <t>Office Supplies</t>
        </is>
      </c>
      <c r="G4609" s="7" t="inlineStr">
        <is>
          <t>Printer Ink</t>
        </is>
      </c>
      <c r="H4609" s="7" t="inlineStr">
        <is>
          <t>Consumer</t>
        </is>
      </c>
      <c r="I4609" s="7" t="n">
        <v>5</v>
      </c>
      <c r="J4609" s="10" t="n">
        <v>60.36</v>
      </c>
      <c r="K4609" s="11" t="n">
        <v>0</v>
      </c>
      <c r="L4609" s="10">
        <f>I4609*J4609*(1-K4609)</f>
        <v/>
      </c>
      <c r="M4609" s="10" t="n">
        <v>180</v>
      </c>
      <c r="N4609" s="10">
        <f>L4609-M4609</f>
        <v/>
      </c>
    </row>
    <row r="4610">
      <c r="A4610" s="7" t="inlineStr">
        <is>
          <t>ORD-00301</t>
        </is>
      </c>
      <c r="B4610" s="8" t="n">
        <v>45845</v>
      </c>
      <c r="C4610" s="9" t="n">
        <v>45839</v>
      </c>
      <c r="D4610" s="7" t="n">
        <v>2025</v>
      </c>
      <c r="E4610" s="7" t="inlineStr">
        <is>
          <t>West</t>
        </is>
      </c>
      <c r="F4610" s="7" t="inlineStr">
        <is>
          <t>Office Supplies</t>
        </is>
      </c>
      <c r="G4610" s="7" t="inlineStr">
        <is>
          <t>Pens</t>
        </is>
      </c>
      <c r="H4610" s="7" t="inlineStr">
        <is>
          <t>Consumer</t>
        </is>
      </c>
      <c r="I4610" s="7" t="n">
        <v>7</v>
      </c>
      <c r="J4610" s="10" t="n">
        <v>12.56</v>
      </c>
      <c r="K4610" s="11" t="n">
        <v>0.05</v>
      </c>
      <c r="L4610" s="10">
        <f>I4610*J4610*(1-K4610)</f>
        <v/>
      </c>
      <c r="M4610" s="10" t="n">
        <v>37.8</v>
      </c>
      <c r="N4610" s="10">
        <f>L4610-M4610</f>
        <v/>
      </c>
    </row>
    <row r="4611">
      <c r="A4611" s="7" t="inlineStr">
        <is>
          <t>ORD-00383</t>
        </is>
      </c>
      <c r="B4611" s="8" t="n">
        <v>45846</v>
      </c>
      <c r="C4611" s="9" t="n">
        <v>45839</v>
      </c>
      <c r="D4611" s="7" t="n">
        <v>2025</v>
      </c>
      <c r="E4611" s="7" t="inlineStr">
        <is>
          <t>South</t>
        </is>
      </c>
      <c r="F4611" s="7" t="inlineStr">
        <is>
          <t>Furniture</t>
        </is>
      </c>
      <c r="G4611" s="7" t="inlineStr">
        <is>
          <t>Office Chair</t>
        </is>
      </c>
      <c r="H4611" s="7" t="inlineStr">
        <is>
          <t>Corporate</t>
        </is>
      </c>
      <c r="I4611" s="7" t="n">
        <v>1</v>
      </c>
      <c r="J4611" s="10" t="n">
        <v>214.4</v>
      </c>
      <c r="K4611" s="11" t="n">
        <v>0.2</v>
      </c>
      <c r="L4611" s="10">
        <f>I4611*J4611*(1-K4611)</f>
        <v/>
      </c>
      <c r="M4611" s="10" t="n">
        <v>180.4</v>
      </c>
      <c r="N4611" s="10">
        <f>L4611-M4611</f>
        <v/>
      </c>
    </row>
    <row r="4612">
      <c r="A4612" s="7" t="inlineStr">
        <is>
          <t>ORD-01429</t>
        </is>
      </c>
      <c r="B4612" s="8" t="n">
        <v>45846</v>
      </c>
      <c r="C4612" s="9" t="n">
        <v>45839</v>
      </c>
      <c r="D4612" s="7" t="n">
        <v>2025</v>
      </c>
      <c r="E4612" s="7" t="inlineStr">
        <is>
          <t>East</t>
        </is>
      </c>
      <c r="F4612" s="7" t="inlineStr">
        <is>
          <t>Furniture</t>
        </is>
      </c>
      <c r="G4612" s="7" t="inlineStr">
        <is>
          <t>Bookcase</t>
        </is>
      </c>
      <c r="H4612" s="7" t="inlineStr">
        <is>
          <t>Consumer</t>
        </is>
      </c>
      <c r="I4612" s="7" t="n">
        <v>2</v>
      </c>
      <c r="J4612" s="10" t="n">
        <v>183.62</v>
      </c>
      <c r="K4612" s="11" t="n">
        <v>0.2</v>
      </c>
      <c r="L4612" s="10">
        <f>I4612*J4612*(1-K4612)</f>
        <v/>
      </c>
      <c r="M4612" s="10" t="n">
        <v>288</v>
      </c>
      <c r="N4612" s="10">
        <f>L4612-M4612</f>
        <v/>
      </c>
    </row>
    <row r="4613">
      <c r="A4613" s="7" t="inlineStr">
        <is>
          <t>ORD-00749</t>
        </is>
      </c>
      <c r="B4613" s="8" t="n">
        <v>45846</v>
      </c>
      <c r="C4613" s="9" t="n">
        <v>45839</v>
      </c>
      <c r="D4613" s="7" t="n">
        <v>2025</v>
      </c>
      <c r="E4613" s="7" t="inlineStr">
        <is>
          <t>East</t>
        </is>
      </c>
      <c r="F4613" s="7" t="inlineStr">
        <is>
          <t>Technology</t>
        </is>
      </c>
      <c r="G4613" s="7" t="inlineStr">
        <is>
          <t>Smartphone</t>
        </is>
      </c>
      <c r="H4613" s="7" t="inlineStr">
        <is>
          <t>Consumer</t>
        </is>
      </c>
      <c r="I4613" s="7" t="n">
        <v>3</v>
      </c>
      <c r="J4613" s="10" t="n">
        <v>603.6799999999999</v>
      </c>
      <c r="K4613" s="11" t="n">
        <v>0</v>
      </c>
      <c r="L4613" s="10">
        <f>I4613*J4613*(1-K4613)</f>
        <v/>
      </c>
      <c r="M4613" s="10" t="n">
        <v>1350</v>
      </c>
      <c r="N4613" s="10">
        <f>L4613-M4613</f>
        <v/>
      </c>
    </row>
    <row r="4614">
      <c r="A4614" s="7" t="inlineStr">
        <is>
          <t>ORD-02537</t>
        </is>
      </c>
      <c r="B4614" s="8" t="n">
        <v>45847</v>
      </c>
      <c r="C4614" s="9" t="n">
        <v>45839</v>
      </c>
      <c r="D4614" s="7" t="n">
        <v>2025</v>
      </c>
      <c r="E4614" s="7" t="inlineStr">
        <is>
          <t>West</t>
        </is>
      </c>
      <c r="F4614" s="7" t="inlineStr">
        <is>
          <t>Office Supplies</t>
        </is>
      </c>
      <c r="G4614" s="7" t="inlineStr">
        <is>
          <t>Paper</t>
        </is>
      </c>
      <c r="H4614" s="7" t="inlineStr">
        <is>
          <t>Consumer</t>
        </is>
      </c>
      <c r="I4614" s="7" t="n">
        <v>15</v>
      </c>
      <c r="J4614" s="10" t="n">
        <v>25.79</v>
      </c>
      <c r="K4614" s="11" t="n">
        <v>0.1</v>
      </c>
      <c r="L4614" s="10">
        <f>I4614*J4614*(1-K4614)</f>
        <v/>
      </c>
      <c r="M4614" s="10" t="n">
        <v>187.5</v>
      </c>
      <c r="N4614" s="10">
        <f>L4614-M4614</f>
        <v/>
      </c>
    </row>
    <row r="4615">
      <c r="A4615" s="7" t="inlineStr">
        <is>
          <t>ORD-00403</t>
        </is>
      </c>
      <c r="B4615" s="8" t="n">
        <v>45847</v>
      </c>
      <c r="C4615" s="9" t="n">
        <v>45839</v>
      </c>
      <c r="D4615" s="7" t="n">
        <v>2025</v>
      </c>
      <c r="E4615" s="7" t="inlineStr">
        <is>
          <t>West</t>
        </is>
      </c>
      <c r="F4615" s="7" t="inlineStr">
        <is>
          <t>Technology</t>
        </is>
      </c>
      <c r="G4615" s="7" t="inlineStr">
        <is>
          <t>Smartphone</t>
        </is>
      </c>
      <c r="H4615" s="7" t="inlineStr">
        <is>
          <t>Corporate</t>
        </is>
      </c>
      <c r="I4615" s="7" t="n">
        <v>1</v>
      </c>
      <c r="J4615" s="10" t="n">
        <v>584.39</v>
      </c>
      <c r="K4615" s="11" t="n">
        <v>0.1</v>
      </c>
      <c r="L4615" s="10">
        <f>I4615*J4615*(1-K4615)</f>
        <v/>
      </c>
      <c r="M4615" s="10" t="n">
        <v>450</v>
      </c>
      <c r="N4615" s="10">
        <f>L4615-M4615</f>
        <v/>
      </c>
    </row>
    <row r="4616">
      <c r="A4616" s="7" t="inlineStr">
        <is>
          <t>ORD-01675</t>
        </is>
      </c>
      <c r="B4616" s="8" t="n">
        <v>45847</v>
      </c>
      <c r="C4616" s="9" t="n">
        <v>45839</v>
      </c>
      <c r="D4616" s="7" t="n">
        <v>2025</v>
      </c>
      <c r="E4616" s="7" t="inlineStr">
        <is>
          <t>East</t>
        </is>
      </c>
      <c r="F4616" s="7" t="inlineStr">
        <is>
          <t>Office Supplies</t>
        </is>
      </c>
      <c r="G4616" s="7" t="inlineStr">
        <is>
          <t>Pens</t>
        </is>
      </c>
      <c r="H4616" s="7" t="inlineStr">
        <is>
          <t>Corporate</t>
        </is>
      </c>
      <c r="I4616" s="7" t="n">
        <v>6</v>
      </c>
      <c r="J4616" s="10" t="n">
        <v>11.47</v>
      </c>
      <c r="K4616" s="11" t="n">
        <v>0.05</v>
      </c>
      <c r="L4616" s="10">
        <f>I4616*J4616*(1-K4616)</f>
        <v/>
      </c>
      <c r="M4616" s="10" t="n">
        <v>32.4</v>
      </c>
      <c r="N4616" s="10">
        <f>L4616-M4616</f>
        <v/>
      </c>
    </row>
    <row r="4617">
      <c r="A4617" s="7" t="inlineStr">
        <is>
          <t>ORD-00056</t>
        </is>
      </c>
      <c r="B4617" s="8" t="n">
        <v>45847</v>
      </c>
      <c r="C4617" s="9" t="n">
        <v>45839</v>
      </c>
      <c r="D4617" s="7" t="n">
        <v>2025</v>
      </c>
      <c r="E4617" s="7" t="inlineStr">
        <is>
          <t>West</t>
        </is>
      </c>
      <c r="F4617" s="7" t="inlineStr">
        <is>
          <t>Technology</t>
        </is>
      </c>
      <c r="G4617" s="7" t="inlineStr">
        <is>
          <t>Headphones</t>
        </is>
      </c>
      <c r="H4617" s="7" t="inlineStr">
        <is>
          <t>Corporate</t>
        </is>
      </c>
      <c r="I4617" s="7" t="n">
        <v>2</v>
      </c>
      <c r="J4617" s="10" t="n">
        <v>115.57</v>
      </c>
      <c r="K4617" s="11" t="n">
        <v>0</v>
      </c>
      <c r="L4617" s="10">
        <f>I4617*J4617*(1-K4617)</f>
        <v/>
      </c>
      <c r="M4617" s="10" t="n">
        <v>144</v>
      </c>
      <c r="N4617" s="10">
        <f>L4617-M4617</f>
        <v/>
      </c>
    </row>
    <row r="4618">
      <c r="A4618" s="7" t="inlineStr">
        <is>
          <t>ORD-03084</t>
        </is>
      </c>
      <c r="B4618" s="8" t="n">
        <v>45847</v>
      </c>
      <c r="C4618" s="9" t="n">
        <v>45839</v>
      </c>
      <c r="D4618" s="7" t="n">
        <v>2025</v>
      </c>
      <c r="E4618" s="7" t="inlineStr">
        <is>
          <t>West</t>
        </is>
      </c>
      <c r="F4618" s="7" t="inlineStr">
        <is>
          <t>Office Supplies</t>
        </is>
      </c>
      <c r="G4618" s="7" t="inlineStr">
        <is>
          <t>Printer Ink</t>
        </is>
      </c>
      <c r="H4618" s="7" t="inlineStr">
        <is>
          <t>Corporate</t>
        </is>
      </c>
      <c r="I4618" s="7" t="n">
        <v>13</v>
      </c>
      <c r="J4618" s="10" t="n">
        <v>61.02</v>
      </c>
      <c r="K4618" s="11" t="n">
        <v>0.1</v>
      </c>
      <c r="L4618" s="10">
        <f>I4618*J4618*(1-K4618)</f>
        <v/>
      </c>
      <c r="M4618" s="10" t="n">
        <v>468</v>
      </c>
      <c r="N4618" s="10">
        <f>L4618-M4618</f>
        <v/>
      </c>
    </row>
    <row r="4619">
      <c r="A4619" s="7" t="inlineStr">
        <is>
          <t>ORD-01494</t>
        </is>
      </c>
      <c r="B4619" s="8" t="n">
        <v>45848</v>
      </c>
      <c r="C4619" s="9" t="n">
        <v>45839</v>
      </c>
      <c r="D4619" s="7" t="n">
        <v>2025</v>
      </c>
      <c r="E4619" s="7" t="inlineStr">
        <is>
          <t>West</t>
        </is>
      </c>
      <c r="F4619" s="7" t="inlineStr">
        <is>
          <t>Furniture</t>
        </is>
      </c>
      <c r="G4619" s="7" t="inlineStr">
        <is>
          <t>Office Chair</t>
        </is>
      </c>
      <c r="H4619" s="7" t="inlineStr">
        <is>
          <t>Consumer</t>
        </is>
      </c>
      <c r="I4619" s="7" t="n">
        <v>1</v>
      </c>
      <c r="J4619" s="10" t="n">
        <v>212.28</v>
      </c>
      <c r="K4619" s="11" t="n">
        <v>0.2</v>
      </c>
      <c r="L4619" s="10">
        <f>I4619*J4619*(1-K4619)</f>
        <v/>
      </c>
      <c r="M4619" s="10" t="n">
        <v>180.4</v>
      </c>
      <c r="N4619" s="10">
        <f>L4619-M4619</f>
        <v/>
      </c>
    </row>
    <row r="4620">
      <c r="A4620" s="7" t="inlineStr">
        <is>
          <t>ORD-00606</t>
        </is>
      </c>
      <c r="B4620" s="8" t="n">
        <v>45848</v>
      </c>
      <c r="C4620" s="9" t="n">
        <v>45839</v>
      </c>
      <c r="D4620" s="7" t="n">
        <v>2025</v>
      </c>
      <c r="E4620" s="7" t="inlineStr">
        <is>
          <t>West</t>
        </is>
      </c>
      <c r="F4620" s="7" t="inlineStr">
        <is>
          <t>Technology</t>
        </is>
      </c>
      <c r="G4620" s="7" t="inlineStr">
        <is>
          <t>Laptop</t>
        </is>
      </c>
      <c r="H4620" s="7" t="inlineStr">
        <is>
          <t>Corporate</t>
        </is>
      </c>
      <c r="I4620" s="7" t="n">
        <v>2</v>
      </c>
      <c r="J4620" s="10" t="n">
        <v>902.41</v>
      </c>
      <c r="K4620" s="11" t="n">
        <v>0</v>
      </c>
      <c r="L4620" s="10">
        <f>I4620*J4620*(1-K4620)</f>
        <v/>
      </c>
      <c r="M4620" s="10" t="n">
        <v>1404</v>
      </c>
      <c r="N4620" s="10">
        <f>L4620-M4620</f>
        <v/>
      </c>
    </row>
    <row r="4621">
      <c r="A4621" s="7" t="inlineStr">
        <is>
          <t>ORD-03456</t>
        </is>
      </c>
      <c r="B4621" s="8" t="n">
        <v>45848</v>
      </c>
      <c r="C4621" s="9" t="n">
        <v>45839</v>
      </c>
      <c r="D4621" s="7" t="n">
        <v>2025</v>
      </c>
      <c r="E4621" s="7" t="inlineStr">
        <is>
          <t>West</t>
        </is>
      </c>
      <c r="F4621" s="7" t="inlineStr">
        <is>
          <t>Office Supplies</t>
        </is>
      </c>
      <c r="G4621" s="7" t="inlineStr">
        <is>
          <t>Pens</t>
        </is>
      </c>
      <c r="H4621" s="7" t="inlineStr">
        <is>
          <t>Home Office</t>
        </is>
      </c>
      <c r="I4621" s="7" t="n">
        <v>9</v>
      </c>
      <c r="J4621" s="10" t="n">
        <v>12.16</v>
      </c>
      <c r="K4621" s="11" t="n">
        <v>0</v>
      </c>
      <c r="L4621" s="10">
        <f>I4621*J4621*(1-K4621)</f>
        <v/>
      </c>
      <c r="M4621" s="10" t="n">
        <v>48.6</v>
      </c>
      <c r="N4621" s="10">
        <f>L4621-M4621</f>
        <v/>
      </c>
    </row>
    <row r="4622">
      <c r="A4622" s="7" t="inlineStr">
        <is>
          <t>ORD-01537</t>
        </is>
      </c>
      <c r="B4622" s="8" t="n">
        <v>45848</v>
      </c>
      <c r="C4622" s="9" t="n">
        <v>45839</v>
      </c>
      <c r="D4622" s="7" t="n">
        <v>2025</v>
      </c>
      <c r="E4622" s="7" t="inlineStr">
        <is>
          <t>East</t>
        </is>
      </c>
      <c r="F4622" s="7" t="inlineStr">
        <is>
          <t>Office Supplies</t>
        </is>
      </c>
      <c r="G4622" s="7" t="inlineStr">
        <is>
          <t>Pens</t>
        </is>
      </c>
      <c r="H4622" s="7" t="inlineStr">
        <is>
          <t>Corporate</t>
        </is>
      </c>
      <c r="I4622" s="7" t="n">
        <v>3</v>
      </c>
      <c r="J4622" s="10" t="n">
        <v>12.23</v>
      </c>
      <c r="K4622" s="11" t="n">
        <v>0</v>
      </c>
      <c r="L4622" s="10">
        <f>I4622*J4622*(1-K4622)</f>
        <v/>
      </c>
      <c r="M4622" s="10" t="n">
        <v>16.2</v>
      </c>
      <c r="N4622" s="10">
        <f>L4622-M4622</f>
        <v/>
      </c>
    </row>
    <row r="4623">
      <c r="A4623" s="7" t="inlineStr">
        <is>
          <t>ORD-01663</t>
        </is>
      </c>
      <c r="B4623" s="8" t="n">
        <v>45849</v>
      </c>
      <c r="C4623" s="9" t="n">
        <v>45839</v>
      </c>
      <c r="D4623" s="7" t="n">
        <v>2025</v>
      </c>
      <c r="E4623" s="7" t="inlineStr">
        <is>
          <t>South</t>
        </is>
      </c>
      <c r="F4623" s="7" t="inlineStr">
        <is>
          <t>Office Supplies</t>
        </is>
      </c>
      <c r="G4623" s="7" t="inlineStr">
        <is>
          <t>Paper</t>
        </is>
      </c>
      <c r="H4623" s="7" t="inlineStr">
        <is>
          <t>Home Office</t>
        </is>
      </c>
      <c r="I4623" s="7" t="n">
        <v>10</v>
      </c>
      <c r="J4623" s="10" t="n">
        <v>24.97</v>
      </c>
      <c r="K4623" s="11" t="n">
        <v>0.1</v>
      </c>
      <c r="L4623" s="10">
        <f>I4623*J4623*(1-K4623)</f>
        <v/>
      </c>
      <c r="M4623" s="10" t="n">
        <v>125</v>
      </c>
      <c r="N4623" s="10">
        <f>L4623-M4623</f>
        <v/>
      </c>
    </row>
    <row r="4624">
      <c r="A4624" s="7" t="inlineStr">
        <is>
          <t>ORD-04948</t>
        </is>
      </c>
      <c r="B4624" s="8" t="n">
        <v>45849</v>
      </c>
      <c r="C4624" s="9" t="n">
        <v>45839</v>
      </c>
      <c r="D4624" s="7" t="n">
        <v>2025</v>
      </c>
      <c r="E4624" s="7" t="inlineStr">
        <is>
          <t>South</t>
        </is>
      </c>
      <c r="F4624" s="7" t="inlineStr">
        <is>
          <t>Office Supplies</t>
        </is>
      </c>
      <c r="G4624" s="7" t="inlineStr">
        <is>
          <t>Paper</t>
        </is>
      </c>
      <c r="H4624" s="7" t="inlineStr">
        <is>
          <t>Consumer</t>
        </is>
      </c>
      <c r="I4624" s="7" t="n">
        <v>7</v>
      </c>
      <c r="J4624" s="10" t="n">
        <v>24.48</v>
      </c>
      <c r="K4624" s="11" t="n">
        <v>0.05</v>
      </c>
      <c r="L4624" s="10">
        <f>I4624*J4624*(1-K4624)</f>
        <v/>
      </c>
      <c r="M4624" s="10" t="n">
        <v>87.5</v>
      </c>
      <c r="N4624" s="10">
        <f>L4624-M4624</f>
        <v/>
      </c>
    </row>
    <row r="4625">
      <c r="A4625" s="7" t="inlineStr">
        <is>
          <t>ORD-02746</t>
        </is>
      </c>
      <c r="B4625" s="8" t="n">
        <v>45849</v>
      </c>
      <c r="C4625" s="9" t="n">
        <v>45839</v>
      </c>
      <c r="D4625" s="7" t="n">
        <v>2025</v>
      </c>
      <c r="E4625" s="7" t="inlineStr">
        <is>
          <t>East</t>
        </is>
      </c>
      <c r="F4625" s="7" t="inlineStr">
        <is>
          <t>Office Supplies</t>
        </is>
      </c>
      <c r="G4625" s="7" t="inlineStr">
        <is>
          <t>Stapler</t>
        </is>
      </c>
      <c r="H4625" s="7" t="inlineStr">
        <is>
          <t>Home Office</t>
        </is>
      </c>
      <c r="I4625" s="7" t="n">
        <v>3</v>
      </c>
      <c r="J4625" s="10" t="n">
        <v>14.75</v>
      </c>
      <c r="K4625" s="11" t="n">
        <v>0.05</v>
      </c>
      <c r="L4625" s="10">
        <f>I4625*J4625*(1-K4625)</f>
        <v/>
      </c>
      <c r="M4625" s="10" t="n">
        <v>22.5</v>
      </c>
      <c r="N4625" s="10">
        <f>L4625-M4625</f>
        <v/>
      </c>
    </row>
    <row r="4626">
      <c r="A4626" s="7" t="inlineStr">
        <is>
          <t>ORD-03054</t>
        </is>
      </c>
      <c r="B4626" s="8" t="n">
        <v>45849</v>
      </c>
      <c r="C4626" s="9" t="n">
        <v>45839</v>
      </c>
      <c r="D4626" s="7" t="n">
        <v>2025</v>
      </c>
      <c r="E4626" s="7" t="inlineStr">
        <is>
          <t>South</t>
        </is>
      </c>
      <c r="F4626" s="7" t="inlineStr">
        <is>
          <t>Office Supplies</t>
        </is>
      </c>
      <c r="G4626" s="7" t="inlineStr">
        <is>
          <t>Binder</t>
        </is>
      </c>
      <c r="H4626" s="7" t="inlineStr">
        <is>
          <t>Corporate</t>
        </is>
      </c>
      <c r="I4626" s="7" t="n">
        <v>14</v>
      </c>
      <c r="J4626" s="10" t="n">
        <v>8.08</v>
      </c>
      <c r="K4626" s="11" t="n">
        <v>0.2</v>
      </c>
      <c r="L4626" s="10">
        <f>I4626*J4626*(1-K4626)</f>
        <v/>
      </c>
      <c r="M4626" s="10" t="n">
        <v>44.8</v>
      </c>
      <c r="N4626" s="10">
        <f>L4626-M4626</f>
        <v/>
      </c>
    </row>
    <row r="4627">
      <c r="A4627" s="7" t="inlineStr">
        <is>
          <t>ORD-00139</t>
        </is>
      </c>
      <c r="B4627" s="8" t="n">
        <v>45849</v>
      </c>
      <c r="C4627" s="9" t="n">
        <v>45839</v>
      </c>
      <c r="D4627" s="7" t="n">
        <v>2025</v>
      </c>
      <c r="E4627" s="7" t="inlineStr">
        <is>
          <t>West</t>
        </is>
      </c>
      <c r="F4627" s="7" t="inlineStr">
        <is>
          <t>Office Supplies</t>
        </is>
      </c>
      <c r="G4627" s="7" t="inlineStr">
        <is>
          <t>Paper</t>
        </is>
      </c>
      <c r="H4627" s="7" t="inlineStr">
        <is>
          <t>Home Office</t>
        </is>
      </c>
      <c r="I4627" s="7" t="n">
        <v>14</v>
      </c>
      <c r="J4627" s="10" t="n">
        <v>25.05</v>
      </c>
      <c r="K4627" s="11" t="n">
        <v>0</v>
      </c>
      <c r="L4627" s="10">
        <f>I4627*J4627*(1-K4627)</f>
        <v/>
      </c>
      <c r="M4627" s="10" t="n">
        <v>175</v>
      </c>
      <c r="N4627" s="10">
        <f>L4627-M4627</f>
        <v/>
      </c>
    </row>
    <row r="4628">
      <c r="A4628" s="7" t="inlineStr">
        <is>
          <t>ORD-02036</t>
        </is>
      </c>
      <c r="B4628" s="8" t="n">
        <v>45849</v>
      </c>
      <c r="C4628" s="9" t="n">
        <v>45839</v>
      </c>
      <c r="D4628" s="7" t="n">
        <v>2025</v>
      </c>
      <c r="E4628" s="7" t="inlineStr">
        <is>
          <t>North</t>
        </is>
      </c>
      <c r="F4628" s="7" t="inlineStr">
        <is>
          <t>Office Supplies</t>
        </is>
      </c>
      <c r="G4628" s="7" t="inlineStr">
        <is>
          <t>Paper</t>
        </is>
      </c>
      <c r="H4628" s="7" t="inlineStr">
        <is>
          <t>Corporate</t>
        </is>
      </c>
      <c r="I4628" s="7" t="n">
        <v>3</v>
      </c>
      <c r="J4628" s="10" t="n">
        <v>24.32</v>
      </c>
      <c r="K4628" s="11" t="n">
        <v>0</v>
      </c>
      <c r="L4628" s="10">
        <f>I4628*J4628*(1-K4628)</f>
        <v/>
      </c>
      <c r="M4628" s="10" t="n">
        <v>37.5</v>
      </c>
      <c r="N4628" s="10">
        <f>L4628-M4628</f>
        <v/>
      </c>
    </row>
    <row r="4629">
      <c r="A4629" s="7" t="inlineStr">
        <is>
          <t>ORD-00345</t>
        </is>
      </c>
      <c r="B4629" s="8" t="n">
        <v>45849</v>
      </c>
      <c r="C4629" s="9" t="n">
        <v>45839</v>
      </c>
      <c r="D4629" s="7" t="n">
        <v>2025</v>
      </c>
      <c r="E4629" s="7" t="inlineStr">
        <is>
          <t>West</t>
        </is>
      </c>
      <c r="F4629" s="7" t="inlineStr">
        <is>
          <t>Office Supplies</t>
        </is>
      </c>
      <c r="G4629" s="7" t="inlineStr">
        <is>
          <t>Pens</t>
        </is>
      </c>
      <c r="H4629" s="7" t="inlineStr">
        <is>
          <t>Home Office</t>
        </is>
      </c>
      <c r="I4629" s="7" t="n">
        <v>13</v>
      </c>
      <c r="J4629" s="10" t="n">
        <v>12.34</v>
      </c>
      <c r="K4629" s="11" t="n">
        <v>0.3</v>
      </c>
      <c r="L4629" s="10">
        <f>I4629*J4629*(1-K4629)</f>
        <v/>
      </c>
      <c r="M4629" s="10" t="n">
        <v>70.2</v>
      </c>
      <c r="N4629" s="10">
        <f>L4629-M4629</f>
        <v/>
      </c>
    </row>
    <row r="4630">
      <c r="A4630" s="7" t="inlineStr">
        <is>
          <t>ORD-00863</t>
        </is>
      </c>
      <c r="B4630" s="8" t="n">
        <v>45849</v>
      </c>
      <c r="C4630" s="9" t="n">
        <v>45839</v>
      </c>
      <c r="D4630" s="7" t="n">
        <v>2025</v>
      </c>
      <c r="E4630" s="7" t="inlineStr">
        <is>
          <t>West</t>
        </is>
      </c>
      <c r="F4630" s="7" t="inlineStr">
        <is>
          <t>Office Supplies</t>
        </is>
      </c>
      <c r="G4630" s="7" t="inlineStr">
        <is>
          <t>Printer Ink</t>
        </is>
      </c>
      <c r="H4630" s="7" t="inlineStr">
        <is>
          <t>Consumer</t>
        </is>
      </c>
      <c r="I4630" s="7" t="n">
        <v>15</v>
      </c>
      <c r="J4630" s="10" t="n">
        <v>57.2</v>
      </c>
      <c r="K4630" s="11" t="n">
        <v>0.05</v>
      </c>
      <c r="L4630" s="10">
        <f>I4630*J4630*(1-K4630)</f>
        <v/>
      </c>
      <c r="M4630" s="10" t="n">
        <v>540</v>
      </c>
      <c r="N4630" s="10">
        <f>L4630-M4630</f>
        <v/>
      </c>
    </row>
    <row r="4631">
      <c r="A4631" s="7" t="inlineStr">
        <is>
          <t>ORD-04241</t>
        </is>
      </c>
      <c r="B4631" s="8" t="n">
        <v>45849</v>
      </c>
      <c r="C4631" s="9" t="n">
        <v>45839</v>
      </c>
      <c r="D4631" s="7" t="n">
        <v>2025</v>
      </c>
      <c r="E4631" s="7" t="inlineStr">
        <is>
          <t>West</t>
        </is>
      </c>
      <c r="F4631" s="7" t="inlineStr">
        <is>
          <t>Office Supplies</t>
        </is>
      </c>
      <c r="G4631" s="7" t="inlineStr">
        <is>
          <t>Paper</t>
        </is>
      </c>
      <c r="H4631" s="7" t="inlineStr">
        <is>
          <t>Corporate</t>
        </is>
      </c>
      <c r="I4631" s="7" t="n">
        <v>12</v>
      </c>
      <c r="J4631" s="10" t="n">
        <v>24.09</v>
      </c>
      <c r="K4631" s="11" t="n">
        <v>0.3</v>
      </c>
      <c r="L4631" s="10">
        <f>I4631*J4631*(1-K4631)</f>
        <v/>
      </c>
      <c r="M4631" s="10" t="n">
        <v>150</v>
      </c>
      <c r="N4631" s="10">
        <f>L4631-M4631</f>
        <v/>
      </c>
    </row>
    <row r="4632">
      <c r="A4632" s="7" t="inlineStr">
        <is>
          <t>ORD-05383</t>
        </is>
      </c>
      <c r="B4632" s="8" t="n">
        <v>45849</v>
      </c>
      <c r="C4632" s="9" t="n">
        <v>45839</v>
      </c>
      <c r="D4632" s="7" t="n">
        <v>2025</v>
      </c>
      <c r="E4632" s="7" t="inlineStr">
        <is>
          <t>East</t>
        </is>
      </c>
      <c r="F4632" s="7" t="inlineStr">
        <is>
          <t>Furniture</t>
        </is>
      </c>
      <c r="G4632" s="7" t="inlineStr">
        <is>
          <t>Office Chair</t>
        </is>
      </c>
      <c r="H4632" s="7" t="inlineStr">
        <is>
          <t>Home Office</t>
        </is>
      </c>
      <c r="I4632" s="7" t="n">
        <v>4</v>
      </c>
      <c r="J4632" s="10" t="n">
        <v>225.59</v>
      </c>
      <c r="K4632" s="11" t="n">
        <v>0.1</v>
      </c>
      <c r="L4632" s="10">
        <f>I4632*J4632*(1-K4632)</f>
        <v/>
      </c>
      <c r="M4632" s="10" t="n">
        <v>721.6</v>
      </c>
      <c r="N4632" s="10">
        <f>L4632-M4632</f>
        <v/>
      </c>
    </row>
    <row r="4633">
      <c r="A4633" s="7" t="inlineStr">
        <is>
          <t>ORD-00708</t>
        </is>
      </c>
      <c r="B4633" s="8" t="n">
        <v>45850</v>
      </c>
      <c r="C4633" s="9" t="n">
        <v>45839</v>
      </c>
      <c r="D4633" s="7" t="n">
        <v>2025</v>
      </c>
      <c r="E4633" s="7" t="inlineStr">
        <is>
          <t>East</t>
        </is>
      </c>
      <c r="F4633" s="7" t="inlineStr">
        <is>
          <t>Technology</t>
        </is>
      </c>
      <c r="G4633" s="7" t="inlineStr">
        <is>
          <t>Keyboard</t>
        </is>
      </c>
      <c r="H4633" s="7" t="inlineStr">
        <is>
          <t>Consumer</t>
        </is>
      </c>
      <c r="I4633" s="7" t="n">
        <v>2</v>
      </c>
      <c r="J4633" s="10" t="n">
        <v>44.52</v>
      </c>
      <c r="K4633" s="11" t="n">
        <v>0.05</v>
      </c>
      <c r="L4633" s="10">
        <f>I4633*J4633*(1-K4633)</f>
        <v/>
      </c>
      <c r="M4633" s="10" t="n">
        <v>49.5</v>
      </c>
      <c r="N4633" s="10">
        <f>L4633-M4633</f>
        <v/>
      </c>
    </row>
    <row r="4634">
      <c r="A4634" s="7" t="inlineStr">
        <is>
          <t>ORD-05643</t>
        </is>
      </c>
      <c r="B4634" s="8" t="n">
        <v>45850</v>
      </c>
      <c r="C4634" s="9" t="n">
        <v>45839</v>
      </c>
      <c r="D4634" s="7" t="n">
        <v>2025</v>
      </c>
      <c r="E4634" s="7" t="inlineStr">
        <is>
          <t>East</t>
        </is>
      </c>
      <c r="F4634" s="7" t="inlineStr">
        <is>
          <t>Office Supplies</t>
        </is>
      </c>
      <c r="G4634" s="7" t="inlineStr">
        <is>
          <t>Stapler</t>
        </is>
      </c>
      <c r="H4634" s="7" t="inlineStr">
        <is>
          <t>Corporate</t>
        </is>
      </c>
      <c r="I4634" s="7" t="n">
        <v>6</v>
      </c>
      <c r="J4634" s="10" t="n">
        <v>14.86</v>
      </c>
      <c r="K4634" s="11" t="n">
        <v>0.1</v>
      </c>
      <c r="L4634" s="10">
        <f>I4634*J4634*(1-K4634)</f>
        <v/>
      </c>
      <c r="M4634" s="10" t="n">
        <v>45</v>
      </c>
      <c r="N4634" s="10">
        <f>L4634-M4634</f>
        <v/>
      </c>
    </row>
    <row r="4635">
      <c r="A4635" s="7" t="inlineStr">
        <is>
          <t>ORD-00080</t>
        </is>
      </c>
      <c r="B4635" s="8" t="n">
        <v>45850</v>
      </c>
      <c r="C4635" s="9" t="n">
        <v>45839</v>
      </c>
      <c r="D4635" s="7" t="n">
        <v>2025</v>
      </c>
      <c r="E4635" s="7" t="inlineStr">
        <is>
          <t>North</t>
        </is>
      </c>
      <c r="F4635" s="7" t="inlineStr">
        <is>
          <t>Office Supplies</t>
        </is>
      </c>
      <c r="G4635" s="7" t="inlineStr">
        <is>
          <t>Stapler</t>
        </is>
      </c>
      <c r="H4635" s="7" t="inlineStr">
        <is>
          <t>Consumer</t>
        </is>
      </c>
      <c r="I4635" s="7" t="n">
        <v>5</v>
      </c>
      <c r="J4635" s="10" t="n">
        <v>14.59</v>
      </c>
      <c r="K4635" s="11" t="n">
        <v>0</v>
      </c>
      <c r="L4635" s="10">
        <f>I4635*J4635*(1-K4635)</f>
        <v/>
      </c>
      <c r="M4635" s="10" t="n">
        <v>37.5</v>
      </c>
      <c r="N4635" s="10">
        <f>L4635-M4635</f>
        <v/>
      </c>
    </row>
    <row r="4636">
      <c r="A4636" s="7" t="inlineStr">
        <is>
          <t>ORD-05087</t>
        </is>
      </c>
      <c r="B4636" s="8" t="n">
        <v>45850</v>
      </c>
      <c r="C4636" s="9" t="n">
        <v>45839</v>
      </c>
      <c r="D4636" s="7" t="n">
        <v>2025</v>
      </c>
      <c r="E4636" s="7" t="inlineStr">
        <is>
          <t>South</t>
        </is>
      </c>
      <c r="F4636" s="7" t="inlineStr">
        <is>
          <t>Office Supplies</t>
        </is>
      </c>
      <c r="G4636" s="7" t="inlineStr">
        <is>
          <t>Printer Ink</t>
        </is>
      </c>
      <c r="H4636" s="7" t="inlineStr">
        <is>
          <t>Consumer</t>
        </is>
      </c>
      <c r="I4636" s="7" t="n">
        <v>9</v>
      </c>
      <c r="J4636" s="10" t="n">
        <v>58.71</v>
      </c>
      <c r="K4636" s="11" t="n">
        <v>0</v>
      </c>
      <c r="L4636" s="10">
        <f>I4636*J4636*(1-K4636)</f>
        <v/>
      </c>
      <c r="M4636" s="10" t="n">
        <v>324</v>
      </c>
      <c r="N4636" s="10">
        <f>L4636-M4636</f>
        <v/>
      </c>
    </row>
    <row r="4637">
      <c r="A4637" s="7" t="inlineStr">
        <is>
          <t>ORD-00459</t>
        </is>
      </c>
      <c r="B4637" s="8" t="n">
        <v>45850</v>
      </c>
      <c r="C4637" s="9" t="n">
        <v>45839</v>
      </c>
      <c r="D4637" s="7" t="n">
        <v>2025</v>
      </c>
      <c r="E4637" s="7" t="inlineStr">
        <is>
          <t>East</t>
        </is>
      </c>
      <c r="F4637" s="7" t="inlineStr">
        <is>
          <t>Office Supplies</t>
        </is>
      </c>
      <c r="G4637" s="7" t="inlineStr">
        <is>
          <t>Pens</t>
        </is>
      </c>
      <c r="H4637" s="7" t="inlineStr">
        <is>
          <t>Corporate</t>
        </is>
      </c>
      <c r="I4637" s="7" t="n">
        <v>15</v>
      </c>
      <c r="J4637" s="10" t="n">
        <v>11.43</v>
      </c>
      <c r="K4637" s="11" t="n">
        <v>0.05</v>
      </c>
      <c r="L4637" s="10">
        <f>I4637*J4637*(1-K4637)</f>
        <v/>
      </c>
      <c r="M4637" s="10" t="n">
        <v>81</v>
      </c>
      <c r="N4637" s="10">
        <f>L4637-M4637</f>
        <v/>
      </c>
    </row>
    <row r="4638">
      <c r="A4638" s="7" t="inlineStr">
        <is>
          <t>ORD-05368</t>
        </is>
      </c>
      <c r="B4638" s="8" t="n">
        <v>45850</v>
      </c>
      <c r="C4638" s="9" t="n">
        <v>45839</v>
      </c>
      <c r="D4638" s="7" t="n">
        <v>2025</v>
      </c>
      <c r="E4638" s="7" t="inlineStr">
        <is>
          <t>South</t>
        </is>
      </c>
      <c r="F4638" s="7" t="inlineStr">
        <is>
          <t>Office Supplies</t>
        </is>
      </c>
      <c r="G4638" s="7" t="inlineStr">
        <is>
          <t>Paper</t>
        </is>
      </c>
      <c r="H4638" s="7" t="inlineStr">
        <is>
          <t>Consumer</t>
        </is>
      </c>
      <c r="I4638" s="7" t="n">
        <v>8</v>
      </c>
      <c r="J4638" s="10" t="n">
        <v>25.88</v>
      </c>
      <c r="K4638" s="11" t="n">
        <v>0</v>
      </c>
      <c r="L4638" s="10">
        <f>I4638*J4638*(1-K4638)</f>
        <v/>
      </c>
      <c r="M4638" s="10" t="n">
        <v>100</v>
      </c>
      <c r="N4638" s="10">
        <f>L4638-M4638</f>
        <v/>
      </c>
    </row>
    <row r="4639">
      <c r="A4639" s="7" t="inlineStr">
        <is>
          <t>ORD-02181</t>
        </is>
      </c>
      <c r="B4639" s="8" t="n">
        <v>45851</v>
      </c>
      <c r="C4639" s="9" t="n">
        <v>45839</v>
      </c>
      <c r="D4639" s="7" t="n">
        <v>2025</v>
      </c>
      <c r="E4639" s="7" t="inlineStr">
        <is>
          <t>West</t>
        </is>
      </c>
      <c r="F4639" s="7" t="inlineStr">
        <is>
          <t>Technology</t>
        </is>
      </c>
      <c r="G4639" s="7" t="inlineStr">
        <is>
          <t>Monitor</t>
        </is>
      </c>
      <c r="H4639" s="7" t="inlineStr">
        <is>
          <t>Consumer</t>
        </is>
      </c>
      <c r="I4639" s="7" t="n">
        <v>3</v>
      </c>
      <c r="J4639" s="10" t="n">
        <v>243.88</v>
      </c>
      <c r="K4639" s="11" t="n">
        <v>0</v>
      </c>
      <c r="L4639" s="10">
        <f>I4639*J4639*(1-K4639)</f>
        <v/>
      </c>
      <c r="M4639" s="10" t="n">
        <v>540</v>
      </c>
      <c r="N4639" s="10">
        <f>L4639-M4639</f>
        <v/>
      </c>
    </row>
    <row r="4640">
      <c r="A4640" s="7" t="inlineStr">
        <is>
          <t>ORD-02727</t>
        </is>
      </c>
      <c r="B4640" s="8" t="n">
        <v>45851</v>
      </c>
      <c r="C4640" s="9" t="n">
        <v>45839</v>
      </c>
      <c r="D4640" s="7" t="n">
        <v>2025</v>
      </c>
      <c r="E4640" s="7" t="inlineStr">
        <is>
          <t>North</t>
        </is>
      </c>
      <c r="F4640" s="7" t="inlineStr">
        <is>
          <t>Furniture</t>
        </is>
      </c>
      <c r="G4640" s="7" t="inlineStr">
        <is>
          <t>Sofa</t>
        </is>
      </c>
      <c r="H4640" s="7" t="inlineStr">
        <is>
          <t>Corporate</t>
        </is>
      </c>
      <c r="I4640" s="7" t="n">
        <v>4</v>
      </c>
      <c r="J4640" s="10" t="n">
        <v>712.74</v>
      </c>
      <c r="K4640" s="11" t="n">
        <v>0</v>
      </c>
      <c r="L4640" s="10">
        <f>I4640*J4640*(1-K4640)</f>
        <v/>
      </c>
      <c r="M4640" s="10" t="n">
        <v>2464</v>
      </c>
      <c r="N4640" s="10">
        <f>L4640-M4640</f>
        <v/>
      </c>
    </row>
    <row r="4641">
      <c r="A4641" s="7" t="inlineStr">
        <is>
          <t>ORD-05850</t>
        </is>
      </c>
      <c r="B4641" s="8" t="n">
        <v>45851</v>
      </c>
      <c r="C4641" s="9" t="n">
        <v>45839</v>
      </c>
      <c r="D4641" s="7" t="n">
        <v>2025</v>
      </c>
      <c r="E4641" s="7" t="inlineStr">
        <is>
          <t>West</t>
        </is>
      </c>
      <c r="F4641" s="7" t="inlineStr">
        <is>
          <t>Furniture</t>
        </is>
      </c>
      <c r="G4641" s="7" t="inlineStr">
        <is>
          <t>Office Chair</t>
        </is>
      </c>
      <c r="H4641" s="7" t="inlineStr">
        <is>
          <t>Corporate</t>
        </is>
      </c>
      <c r="I4641" s="7" t="n">
        <v>1</v>
      </c>
      <c r="J4641" s="10" t="n">
        <v>223.33</v>
      </c>
      <c r="K4641" s="11" t="n">
        <v>0.1</v>
      </c>
      <c r="L4641" s="10">
        <f>I4641*J4641*(1-K4641)</f>
        <v/>
      </c>
      <c r="M4641" s="10" t="n">
        <v>180.4</v>
      </c>
      <c r="N4641" s="10">
        <f>L4641-M4641</f>
        <v/>
      </c>
    </row>
    <row r="4642">
      <c r="A4642" s="7" t="inlineStr">
        <is>
          <t>ORD-00238</t>
        </is>
      </c>
      <c r="B4642" s="8" t="n">
        <v>45851</v>
      </c>
      <c r="C4642" s="9" t="n">
        <v>45839</v>
      </c>
      <c r="D4642" s="7" t="n">
        <v>2025</v>
      </c>
      <c r="E4642" s="7" t="inlineStr">
        <is>
          <t>South</t>
        </is>
      </c>
      <c r="F4642" s="7" t="inlineStr">
        <is>
          <t>Office Supplies</t>
        </is>
      </c>
      <c r="G4642" s="7" t="inlineStr">
        <is>
          <t>Binder</t>
        </is>
      </c>
      <c r="H4642" s="7" t="inlineStr">
        <is>
          <t>Consumer</t>
        </is>
      </c>
      <c r="I4642" s="7" t="n">
        <v>7</v>
      </c>
      <c r="J4642" s="10" t="n">
        <v>8.08</v>
      </c>
      <c r="K4642" s="11" t="n">
        <v>0</v>
      </c>
      <c r="L4642" s="10">
        <f>I4642*J4642*(1-K4642)</f>
        <v/>
      </c>
      <c r="M4642" s="10" t="n">
        <v>22.4</v>
      </c>
      <c r="N4642" s="10">
        <f>L4642-M4642</f>
        <v/>
      </c>
    </row>
    <row r="4643">
      <c r="A4643" s="7" t="inlineStr">
        <is>
          <t>ORD-05883</t>
        </is>
      </c>
      <c r="B4643" s="8" t="n">
        <v>45851</v>
      </c>
      <c r="C4643" s="9" t="n">
        <v>45839</v>
      </c>
      <c r="D4643" s="7" t="n">
        <v>2025</v>
      </c>
      <c r="E4643" s="7" t="inlineStr">
        <is>
          <t>East</t>
        </is>
      </c>
      <c r="F4643" s="7" t="inlineStr">
        <is>
          <t>Technology</t>
        </is>
      </c>
      <c r="G4643" s="7" t="inlineStr">
        <is>
          <t>Monitor</t>
        </is>
      </c>
      <c r="H4643" s="7" t="inlineStr">
        <is>
          <t>Corporate</t>
        </is>
      </c>
      <c r="I4643" s="7" t="n">
        <v>3</v>
      </c>
      <c r="J4643" s="10" t="n">
        <v>240.45</v>
      </c>
      <c r="K4643" s="11" t="n">
        <v>0.05</v>
      </c>
      <c r="L4643" s="10">
        <f>I4643*J4643*(1-K4643)</f>
        <v/>
      </c>
      <c r="M4643" s="10" t="n">
        <v>540</v>
      </c>
      <c r="N4643" s="10">
        <f>L4643-M4643</f>
        <v/>
      </c>
    </row>
    <row r="4644">
      <c r="A4644" s="7" t="inlineStr">
        <is>
          <t>ORD-05423</t>
        </is>
      </c>
      <c r="B4644" s="8" t="n">
        <v>45851</v>
      </c>
      <c r="C4644" s="9" t="n">
        <v>45839</v>
      </c>
      <c r="D4644" s="7" t="n">
        <v>2025</v>
      </c>
      <c r="E4644" s="7" t="inlineStr">
        <is>
          <t>South</t>
        </is>
      </c>
      <c r="F4644" s="7" t="inlineStr">
        <is>
          <t>Office Supplies</t>
        </is>
      </c>
      <c r="G4644" s="7" t="inlineStr">
        <is>
          <t>Binder</t>
        </is>
      </c>
      <c r="H4644" s="7" t="inlineStr">
        <is>
          <t>Consumer</t>
        </is>
      </c>
      <c r="I4644" s="7" t="n">
        <v>3</v>
      </c>
      <c r="J4644" s="10" t="n">
        <v>8.24</v>
      </c>
      <c r="K4644" s="11" t="n">
        <v>0.2</v>
      </c>
      <c r="L4644" s="10">
        <f>I4644*J4644*(1-K4644)</f>
        <v/>
      </c>
      <c r="M4644" s="10" t="n">
        <v>9.6</v>
      </c>
      <c r="N4644" s="10">
        <f>L4644-M4644</f>
        <v/>
      </c>
    </row>
    <row r="4645">
      <c r="A4645" s="7" t="inlineStr">
        <is>
          <t>ORD-05287</t>
        </is>
      </c>
      <c r="B4645" s="8" t="n">
        <v>45851</v>
      </c>
      <c r="C4645" s="9" t="n">
        <v>45839</v>
      </c>
      <c r="D4645" s="7" t="n">
        <v>2025</v>
      </c>
      <c r="E4645" s="7" t="inlineStr">
        <is>
          <t>North</t>
        </is>
      </c>
      <c r="F4645" s="7" t="inlineStr">
        <is>
          <t>Technology</t>
        </is>
      </c>
      <c r="G4645" s="7" t="inlineStr">
        <is>
          <t>Laptop</t>
        </is>
      </c>
      <c r="H4645" s="7" t="inlineStr">
        <is>
          <t>Corporate</t>
        </is>
      </c>
      <c r="I4645" s="7" t="n">
        <v>3</v>
      </c>
      <c r="J4645" s="10" t="n">
        <v>869.55</v>
      </c>
      <c r="K4645" s="11" t="n">
        <v>0</v>
      </c>
      <c r="L4645" s="10">
        <f>I4645*J4645*(1-K4645)</f>
        <v/>
      </c>
      <c r="M4645" s="10" t="n">
        <v>2106</v>
      </c>
      <c r="N4645" s="10">
        <f>L4645-M4645</f>
        <v/>
      </c>
    </row>
    <row r="4646">
      <c r="A4646" s="7" t="inlineStr">
        <is>
          <t>ORD-00008</t>
        </is>
      </c>
      <c r="B4646" s="8" t="n">
        <v>45852</v>
      </c>
      <c r="C4646" s="9" t="n">
        <v>45839</v>
      </c>
      <c r="D4646" s="7" t="n">
        <v>2025</v>
      </c>
      <c r="E4646" s="7" t="inlineStr">
        <is>
          <t>North</t>
        </is>
      </c>
      <c r="F4646" s="7" t="inlineStr">
        <is>
          <t>Furniture</t>
        </is>
      </c>
      <c r="G4646" s="7" t="inlineStr">
        <is>
          <t>Sofa</t>
        </is>
      </c>
      <c r="H4646" s="7" t="inlineStr">
        <is>
          <t>Home Office</t>
        </is>
      </c>
      <c r="I4646" s="7" t="n">
        <v>1</v>
      </c>
      <c r="J4646" s="10" t="n">
        <v>674.4299999999999</v>
      </c>
      <c r="K4646" s="11" t="n">
        <v>0.1</v>
      </c>
      <c r="L4646" s="10">
        <f>I4646*J4646*(1-K4646)</f>
        <v/>
      </c>
      <c r="M4646" s="10" t="n">
        <v>616</v>
      </c>
      <c r="N4646" s="10">
        <f>L4646-M4646</f>
        <v/>
      </c>
    </row>
    <row r="4647">
      <c r="A4647" s="7" t="inlineStr">
        <is>
          <t>ORD-05509</t>
        </is>
      </c>
      <c r="B4647" s="8" t="n">
        <v>45852</v>
      </c>
      <c r="C4647" s="9" t="n">
        <v>45839</v>
      </c>
      <c r="D4647" s="7" t="n">
        <v>2025</v>
      </c>
      <c r="E4647" s="7" t="inlineStr">
        <is>
          <t>North</t>
        </is>
      </c>
      <c r="F4647" s="7" t="inlineStr">
        <is>
          <t>Office Supplies</t>
        </is>
      </c>
      <c r="G4647" s="7" t="inlineStr">
        <is>
          <t>Paper</t>
        </is>
      </c>
      <c r="H4647" s="7" t="inlineStr">
        <is>
          <t>Corporate</t>
        </is>
      </c>
      <c r="I4647" s="7" t="n">
        <v>14</v>
      </c>
      <c r="J4647" s="10" t="n">
        <v>24</v>
      </c>
      <c r="K4647" s="11" t="n">
        <v>0</v>
      </c>
      <c r="L4647" s="10">
        <f>I4647*J4647*(1-K4647)</f>
        <v/>
      </c>
      <c r="M4647" s="10" t="n">
        <v>175</v>
      </c>
      <c r="N4647" s="10">
        <f>L4647-M4647</f>
        <v/>
      </c>
    </row>
    <row r="4648">
      <c r="A4648" s="7" t="inlineStr">
        <is>
          <t>ORD-02841</t>
        </is>
      </c>
      <c r="B4648" s="8" t="n">
        <v>45853</v>
      </c>
      <c r="C4648" s="9" t="n">
        <v>45839</v>
      </c>
      <c r="D4648" s="7" t="n">
        <v>2025</v>
      </c>
      <c r="E4648" s="7" t="inlineStr">
        <is>
          <t>West</t>
        </is>
      </c>
      <c r="F4648" s="7" t="inlineStr">
        <is>
          <t>Office Supplies</t>
        </is>
      </c>
      <c r="G4648" s="7" t="inlineStr">
        <is>
          <t>Paper</t>
        </is>
      </c>
      <c r="H4648" s="7" t="inlineStr">
        <is>
          <t>Consumer</t>
        </is>
      </c>
      <c r="I4648" s="7" t="n">
        <v>4</v>
      </c>
      <c r="J4648" s="10" t="n">
        <v>25.18</v>
      </c>
      <c r="K4648" s="11" t="n">
        <v>0</v>
      </c>
      <c r="L4648" s="10">
        <f>I4648*J4648*(1-K4648)</f>
        <v/>
      </c>
      <c r="M4648" s="10" t="n">
        <v>50</v>
      </c>
      <c r="N4648" s="10">
        <f>L4648-M4648</f>
        <v/>
      </c>
    </row>
    <row r="4649">
      <c r="A4649" s="7" t="inlineStr">
        <is>
          <t>ORD-01691</t>
        </is>
      </c>
      <c r="B4649" s="8" t="n">
        <v>45853</v>
      </c>
      <c r="C4649" s="9" t="n">
        <v>45839</v>
      </c>
      <c r="D4649" s="7" t="n">
        <v>2025</v>
      </c>
      <c r="E4649" s="7" t="inlineStr">
        <is>
          <t>West</t>
        </is>
      </c>
      <c r="F4649" s="7" t="inlineStr">
        <is>
          <t>Office Supplies</t>
        </is>
      </c>
      <c r="G4649" s="7" t="inlineStr">
        <is>
          <t>Binder</t>
        </is>
      </c>
      <c r="H4649" s="7" t="inlineStr">
        <is>
          <t>Consumer</t>
        </is>
      </c>
      <c r="I4649" s="7" t="n">
        <v>6</v>
      </c>
      <c r="J4649" s="10" t="n">
        <v>8.199999999999999</v>
      </c>
      <c r="K4649" s="11" t="n">
        <v>0.1</v>
      </c>
      <c r="L4649" s="10">
        <f>I4649*J4649*(1-K4649)</f>
        <v/>
      </c>
      <c r="M4649" s="10" t="n">
        <v>19.2</v>
      </c>
      <c r="N4649" s="10">
        <f>L4649-M4649</f>
        <v/>
      </c>
    </row>
    <row r="4650">
      <c r="A4650" s="7" t="inlineStr">
        <is>
          <t>ORD-00053</t>
        </is>
      </c>
      <c r="B4650" s="8" t="n">
        <v>45853</v>
      </c>
      <c r="C4650" s="9" t="n">
        <v>45839</v>
      </c>
      <c r="D4650" s="7" t="n">
        <v>2025</v>
      </c>
      <c r="E4650" s="7" t="inlineStr">
        <is>
          <t>North</t>
        </is>
      </c>
      <c r="F4650" s="7" t="inlineStr">
        <is>
          <t>Office Supplies</t>
        </is>
      </c>
      <c r="G4650" s="7" t="inlineStr">
        <is>
          <t>Stapler</t>
        </is>
      </c>
      <c r="H4650" s="7" t="inlineStr">
        <is>
          <t>Consumer</t>
        </is>
      </c>
      <c r="I4650" s="7" t="n">
        <v>2</v>
      </c>
      <c r="J4650" s="10" t="n">
        <v>14.7</v>
      </c>
      <c r="K4650" s="11" t="n">
        <v>0</v>
      </c>
      <c r="L4650" s="10">
        <f>I4650*J4650*(1-K4650)</f>
        <v/>
      </c>
      <c r="M4650" s="10" t="n">
        <v>15</v>
      </c>
      <c r="N4650" s="10">
        <f>L4650-M4650</f>
        <v/>
      </c>
    </row>
    <row r="4651">
      <c r="A4651" s="7" t="inlineStr">
        <is>
          <t>ORD-04829</t>
        </is>
      </c>
      <c r="B4651" s="8" t="n">
        <v>45853</v>
      </c>
      <c r="C4651" s="9" t="n">
        <v>45839</v>
      </c>
      <c r="D4651" s="7" t="n">
        <v>2025</v>
      </c>
      <c r="E4651" s="7" t="inlineStr">
        <is>
          <t>South</t>
        </is>
      </c>
      <c r="F4651" s="7" t="inlineStr">
        <is>
          <t>Office Supplies</t>
        </is>
      </c>
      <c r="G4651" s="7" t="inlineStr">
        <is>
          <t>Paper</t>
        </is>
      </c>
      <c r="H4651" s="7" t="inlineStr">
        <is>
          <t>Corporate</t>
        </is>
      </c>
      <c r="I4651" s="7" t="n">
        <v>12</v>
      </c>
      <c r="J4651" s="10" t="n">
        <v>25.17</v>
      </c>
      <c r="K4651" s="11" t="n">
        <v>0.3</v>
      </c>
      <c r="L4651" s="10">
        <f>I4651*J4651*(1-K4651)</f>
        <v/>
      </c>
      <c r="M4651" s="10" t="n">
        <v>150</v>
      </c>
      <c r="N4651" s="10">
        <f>L4651-M4651</f>
        <v/>
      </c>
    </row>
    <row r="4652">
      <c r="A4652" s="7" t="inlineStr">
        <is>
          <t>ORD-03418</t>
        </is>
      </c>
      <c r="B4652" s="8" t="n">
        <v>45853</v>
      </c>
      <c r="C4652" s="9" t="n">
        <v>45839</v>
      </c>
      <c r="D4652" s="7" t="n">
        <v>2025</v>
      </c>
      <c r="E4652" s="7" t="inlineStr">
        <is>
          <t>South</t>
        </is>
      </c>
      <c r="F4652" s="7" t="inlineStr">
        <is>
          <t>Office Supplies</t>
        </is>
      </c>
      <c r="G4652" s="7" t="inlineStr">
        <is>
          <t>Pens</t>
        </is>
      </c>
      <c r="H4652" s="7" t="inlineStr">
        <is>
          <t>Home Office</t>
        </is>
      </c>
      <c r="I4652" s="7" t="n">
        <v>6</v>
      </c>
      <c r="J4652" s="10" t="n">
        <v>12.19</v>
      </c>
      <c r="K4652" s="11" t="n">
        <v>0</v>
      </c>
      <c r="L4652" s="10">
        <f>I4652*J4652*(1-K4652)</f>
        <v/>
      </c>
      <c r="M4652" s="10" t="n">
        <v>32.4</v>
      </c>
      <c r="N4652" s="10">
        <f>L4652-M4652</f>
        <v/>
      </c>
    </row>
    <row r="4653">
      <c r="A4653" s="7" t="inlineStr">
        <is>
          <t>ORD-01324</t>
        </is>
      </c>
      <c r="B4653" s="8" t="n">
        <v>45853</v>
      </c>
      <c r="C4653" s="9" t="n">
        <v>45839</v>
      </c>
      <c r="D4653" s="7" t="n">
        <v>2025</v>
      </c>
      <c r="E4653" s="7" t="inlineStr">
        <is>
          <t>North</t>
        </is>
      </c>
      <c r="F4653" s="7" t="inlineStr">
        <is>
          <t>Furniture</t>
        </is>
      </c>
      <c r="G4653" s="7" t="inlineStr">
        <is>
          <t>Bookcase</t>
        </is>
      </c>
      <c r="H4653" s="7" t="inlineStr">
        <is>
          <t>Home Office</t>
        </is>
      </c>
      <c r="I4653" s="7" t="n">
        <v>3</v>
      </c>
      <c r="J4653" s="10" t="n">
        <v>182.26</v>
      </c>
      <c r="K4653" s="11" t="n">
        <v>0.2</v>
      </c>
      <c r="L4653" s="10">
        <f>I4653*J4653*(1-K4653)</f>
        <v/>
      </c>
      <c r="M4653" s="10" t="n">
        <v>432</v>
      </c>
      <c r="N4653" s="10">
        <f>L4653-M4653</f>
        <v/>
      </c>
    </row>
    <row r="4654">
      <c r="A4654" s="7" t="inlineStr">
        <is>
          <t>ORD-04318</t>
        </is>
      </c>
      <c r="B4654" s="8" t="n">
        <v>45854</v>
      </c>
      <c r="C4654" s="9" t="n">
        <v>45839</v>
      </c>
      <c r="D4654" s="7" t="n">
        <v>2025</v>
      </c>
      <c r="E4654" s="7" t="inlineStr">
        <is>
          <t>East</t>
        </is>
      </c>
      <c r="F4654" s="7" t="inlineStr">
        <is>
          <t>Office Supplies</t>
        </is>
      </c>
      <c r="G4654" s="7" t="inlineStr">
        <is>
          <t>Binder</t>
        </is>
      </c>
      <c r="H4654" s="7" t="inlineStr">
        <is>
          <t>Corporate</t>
        </is>
      </c>
      <c r="I4654" s="7" t="n">
        <v>2</v>
      </c>
      <c r="J4654" s="10" t="n">
        <v>8</v>
      </c>
      <c r="K4654" s="11" t="n">
        <v>0</v>
      </c>
      <c r="L4654" s="10">
        <f>I4654*J4654*(1-K4654)</f>
        <v/>
      </c>
      <c r="M4654" s="10" t="n">
        <v>6.4</v>
      </c>
      <c r="N4654" s="10">
        <f>L4654-M4654</f>
        <v/>
      </c>
    </row>
    <row r="4655">
      <c r="A4655" s="7" t="inlineStr">
        <is>
          <t>ORD-04933</t>
        </is>
      </c>
      <c r="B4655" s="8" t="n">
        <v>45854</v>
      </c>
      <c r="C4655" s="9" t="n">
        <v>45839</v>
      </c>
      <c r="D4655" s="7" t="n">
        <v>2025</v>
      </c>
      <c r="E4655" s="7" t="inlineStr">
        <is>
          <t>South</t>
        </is>
      </c>
      <c r="F4655" s="7" t="inlineStr">
        <is>
          <t>Office Supplies</t>
        </is>
      </c>
      <c r="G4655" s="7" t="inlineStr">
        <is>
          <t>Binder</t>
        </is>
      </c>
      <c r="H4655" s="7" t="inlineStr">
        <is>
          <t>Consumer</t>
        </is>
      </c>
      <c r="I4655" s="7" t="n">
        <v>4</v>
      </c>
      <c r="J4655" s="10" t="n">
        <v>7.68</v>
      </c>
      <c r="K4655" s="11" t="n">
        <v>0</v>
      </c>
      <c r="L4655" s="10">
        <f>I4655*J4655*(1-K4655)</f>
        <v/>
      </c>
      <c r="M4655" s="10" t="n">
        <v>12.8</v>
      </c>
      <c r="N4655" s="10">
        <f>L4655-M4655</f>
        <v/>
      </c>
    </row>
    <row r="4656">
      <c r="A4656" s="7" t="inlineStr">
        <is>
          <t>ORD-00495</t>
        </is>
      </c>
      <c r="B4656" s="8" t="n">
        <v>45854</v>
      </c>
      <c r="C4656" s="9" t="n">
        <v>45839</v>
      </c>
      <c r="D4656" s="7" t="n">
        <v>2025</v>
      </c>
      <c r="E4656" s="7" t="inlineStr">
        <is>
          <t>North</t>
        </is>
      </c>
      <c r="F4656" s="7" t="inlineStr">
        <is>
          <t>Furniture</t>
        </is>
      </c>
      <c r="G4656" s="7" t="inlineStr">
        <is>
          <t>Office Chair</t>
        </is>
      </c>
      <c r="H4656" s="7" t="inlineStr">
        <is>
          <t>Corporate</t>
        </is>
      </c>
      <c r="I4656" s="7" t="n">
        <v>3</v>
      </c>
      <c r="J4656" s="10" t="n">
        <v>218.43</v>
      </c>
      <c r="K4656" s="11" t="n">
        <v>0.1</v>
      </c>
      <c r="L4656" s="10">
        <f>I4656*J4656*(1-K4656)</f>
        <v/>
      </c>
      <c r="M4656" s="10" t="n">
        <v>541.2</v>
      </c>
      <c r="N4656" s="10">
        <f>L4656-M4656</f>
        <v/>
      </c>
    </row>
    <row r="4657">
      <c r="A4657" s="7" t="inlineStr">
        <is>
          <t>ORD-05743</t>
        </is>
      </c>
      <c r="B4657" s="8" t="n">
        <v>45854</v>
      </c>
      <c r="C4657" s="9" t="n">
        <v>45839</v>
      </c>
      <c r="D4657" s="7" t="n">
        <v>2025</v>
      </c>
      <c r="E4657" s="7" t="inlineStr">
        <is>
          <t>North</t>
        </is>
      </c>
      <c r="F4657" s="7" t="inlineStr">
        <is>
          <t>Office Supplies</t>
        </is>
      </c>
      <c r="G4657" s="7" t="inlineStr">
        <is>
          <t>Paper</t>
        </is>
      </c>
      <c r="H4657" s="7" t="inlineStr">
        <is>
          <t>Consumer</t>
        </is>
      </c>
      <c r="I4657" s="7" t="n">
        <v>13</v>
      </c>
      <c r="J4657" s="10" t="n">
        <v>26.15</v>
      </c>
      <c r="K4657" s="11" t="n">
        <v>0</v>
      </c>
      <c r="L4657" s="10">
        <f>I4657*J4657*(1-K4657)</f>
        <v/>
      </c>
      <c r="M4657" s="10" t="n">
        <v>162.5</v>
      </c>
      <c r="N4657" s="10">
        <f>L4657-M4657</f>
        <v/>
      </c>
    </row>
    <row r="4658">
      <c r="A4658" s="7" t="inlineStr">
        <is>
          <t>ORD-01711</t>
        </is>
      </c>
      <c r="B4658" s="8" t="n">
        <v>45854</v>
      </c>
      <c r="C4658" s="9" t="n">
        <v>45839</v>
      </c>
      <c r="D4658" s="7" t="n">
        <v>2025</v>
      </c>
      <c r="E4658" s="7" t="inlineStr">
        <is>
          <t>East</t>
        </is>
      </c>
      <c r="F4658" s="7" t="inlineStr">
        <is>
          <t>Furniture</t>
        </is>
      </c>
      <c r="G4658" s="7" t="inlineStr">
        <is>
          <t>Desk</t>
        </is>
      </c>
      <c r="H4658" s="7" t="inlineStr">
        <is>
          <t>Consumer</t>
        </is>
      </c>
      <c r="I4658" s="7" t="n">
        <v>4</v>
      </c>
      <c r="J4658" s="10" t="n">
        <v>464.82</v>
      </c>
      <c r="K4658" s="11" t="n">
        <v>0.05</v>
      </c>
      <c r="L4658" s="10">
        <f>I4658*J4658*(1-K4658)</f>
        <v/>
      </c>
      <c r="M4658" s="10" t="n">
        <v>1530</v>
      </c>
      <c r="N4658" s="10">
        <f>L4658-M4658</f>
        <v/>
      </c>
    </row>
    <row r="4659">
      <c r="A4659" s="7" t="inlineStr">
        <is>
          <t>ORD-00715</t>
        </is>
      </c>
      <c r="B4659" s="8" t="n">
        <v>45854</v>
      </c>
      <c r="C4659" s="9" t="n">
        <v>45839</v>
      </c>
      <c r="D4659" s="7" t="n">
        <v>2025</v>
      </c>
      <c r="E4659" s="7" t="inlineStr">
        <is>
          <t>South</t>
        </is>
      </c>
      <c r="F4659" s="7" t="inlineStr">
        <is>
          <t>Office Supplies</t>
        </is>
      </c>
      <c r="G4659" s="7" t="inlineStr">
        <is>
          <t>Binder</t>
        </is>
      </c>
      <c r="H4659" s="7" t="inlineStr">
        <is>
          <t>Consumer</t>
        </is>
      </c>
      <c r="I4659" s="7" t="n">
        <v>14</v>
      </c>
      <c r="J4659" s="10" t="n">
        <v>8.08</v>
      </c>
      <c r="K4659" s="11" t="n">
        <v>0</v>
      </c>
      <c r="L4659" s="10">
        <f>I4659*J4659*(1-K4659)</f>
        <v/>
      </c>
      <c r="M4659" s="10" t="n">
        <v>44.8</v>
      </c>
      <c r="N4659" s="10">
        <f>L4659-M4659</f>
        <v/>
      </c>
    </row>
    <row r="4660">
      <c r="A4660" s="7" t="inlineStr">
        <is>
          <t>ORD-01142</t>
        </is>
      </c>
      <c r="B4660" s="8" t="n">
        <v>45854</v>
      </c>
      <c r="C4660" s="9" t="n">
        <v>45839</v>
      </c>
      <c r="D4660" s="7" t="n">
        <v>2025</v>
      </c>
      <c r="E4660" s="7" t="inlineStr">
        <is>
          <t>South</t>
        </is>
      </c>
      <c r="F4660" s="7" t="inlineStr">
        <is>
          <t>Office Supplies</t>
        </is>
      </c>
      <c r="G4660" s="7" t="inlineStr">
        <is>
          <t>Stapler</t>
        </is>
      </c>
      <c r="H4660" s="7" t="inlineStr">
        <is>
          <t>Consumer</t>
        </is>
      </c>
      <c r="I4660" s="7" t="n">
        <v>10</v>
      </c>
      <c r="J4660" s="10" t="n">
        <v>14.53</v>
      </c>
      <c r="K4660" s="11" t="n">
        <v>0.05</v>
      </c>
      <c r="L4660" s="10">
        <f>I4660*J4660*(1-K4660)</f>
        <v/>
      </c>
      <c r="M4660" s="10" t="n">
        <v>75</v>
      </c>
      <c r="N4660" s="10">
        <f>L4660-M4660</f>
        <v/>
      </c>
    </row>
    <row r="4661">
      <c r="A4661" s="7" t="inlineStr">
        <is>
          <t>ORD-02042</t>
        </is>
      </c>
      <c r="B4661" s="8" t="n">
        <v>45854</v>
      </c>
      <c r="C4661" s="9" t="n">
        <v>45839</v>
      </c>
      <c r="D4661" s="7" t="n">
        <v>2025</v>
      </c>
      <c r="E4661" s="7" t="inlineStr">
        <is>
          <t>East</t>
        </is>
      </c>
      <c r="F4661" s="7" t="inlineStr">
        <is>
          <t>Technology</t>
        </is>
      </c>
      <c r="G4661" s="7" t="inlineStr">
        <is>
          <t>Smartphone</t>
        </is>
      </c>
      <c r="H4661" s="7" t="inlineStr">
        <is>
          <t>Home Office</t>
        </is>
      </c>
      <c r="I4661" s="7" t="n">
        <v>3</v>
      </c>
      <c r="J4661" s="10" t="n">
        <v>605.72</v>
      </c>
      <c r="K4661" s="11" t="n">
        <v>0.1</v>
      </c>
      <c r="L4661" s="10">
        <f>I4661*J4661*(1-K4661)</f>
        <v/>
      </c>
      <c r="M4661" s="10" t="n">
        <v>1350</v>
      </c>
      <c r="N4661" s="10">
        <f>L4661-M4661</f>
        <v/>
      </c>
    </row>
    <row r="4662">
      <c r="A4662" s="7" t="inlineStr">
        <is>
          <t>ORD-04066</t>
        </is>
      </c>
      <c r="B4662" s="8" t="n">
        <v>45855</v>
      </c>
      <c r="C4662" s="9" t="n">
        <v>45839</v>
      </c>
      <c r="D4662" s="7" t="n">
        <v>2025</v>
      </c>
      <c r="E4662" s="7" t="inlineStr">
        <is>
          <t>North</t>
        </is>
      </c>
      <c r="F4662" s="7" t="inlineStr">
        <is>
          <t>Office Supplies</t>
        </is>
      </c>
      <c r="G4662" s="7" t="inlineStr">
        <is>
          <t>Paper</t>
        </is>
      </c>
      <c r="H4662" s="7" t="inlineStr">
        <is>
          <t>Home Office</t>
        </is>
      </c>
      <c r="I4662" s="7" t="n">
        <v>11</v>
      </c>
      <c r="J4662" s="10" t="n">
        <v>26.16</v>
      </c>
      <c r="K4662" s="11" t="n">
        <v>0</v>
      </c>
      <c r="L4662" s="10">
        <f>I4662*J4662*(1-K4662)</f>
        <v/>
      </c>
      <c r="M4662" s="10" t="n">
        <v>137.5</v>
      </c>
      <c r="N4662" s="10">
        <f>L4662-M4662</f>
        <v/>
      </c>
    </row>
    <row r="4663">
      <c r="A4663" s="7" t="inlineStr">
        <is>
          <t>ORD-03462</t>
        </is>
      </c>
      <c r="B4663" s="8" t="n">
        <v>45856</v>
      </c>
      <c r="C4663" s="9" t="n">
        <v>45839</v>
      </c>
      <c r="D4663" s="7" t="n">
        <v>2025</v>
      </c>
      <c r="E4663" s="7" t="inlineStr">
        <is>
          <t>West</t>
        </is>
      </c>
      <c r="F4663" s="7" t="inlineStr">
        <is>
          <t>Office Supplies</t>
        </is>
      </c>
      <c r="G4663" s="7" t="inlineStr">
        <is>
          <t>Pens</t>
        </is>
      </c>
      <c r="H4663" s="7" t="inlineStr">
        <is>
          <t>Corporate</t>
        </is>
      </c>
      <c r="I4663" s="7" t="n">
        <v>7</v>
      </c>
      <c r="J4663" s="10" t="n">
        <v>11.69</v>
      </c>
      <c r="K4663" s="11" t="n">
        <v>0.2</v>
      </c>
      <c r="L4663" s="10">
        <f>I4663*J4663*(1-K4663)</f>
        <v/>
      </c>
      <c r="M4663" s="10" t="n">
        <v>37.8</v>
      </c>
      <c r="N4663" s="10">
        <f>L4663-M4663</f>
        <v/>
      </c>
    </row>
    <row r="4664">
      <c r="A4664" s="7" t="inlineStr">
        <is>
          <t>ORD-02454</t>
        </is>
      </c>
      <c r="B4664" s="8" t="n">
        <v>45856</v>
      </c>
      <c r="C4664" s="9" t="n">
        <v>45839</v>
      </c>
      <c r="D4664" s="7" t="n">
        <v>2025</v>
      </c>
      <c r="E4664" s="7" t="inlineStr">
        <is>
          <t>North</t>
        </is>
      </c>
      <c r="F4664" s="7" t="inlineStr">
        <is>
          <t>Furniture</t>
        </is>
      </c>
      <c r="G4664" s="7" t="inlineStr">
        <is>
          <t>Desk</t>
        </is>
      </c>
      <c r="H4664" s="7" t="inlineStr">
        <is>
          <t>Corporate</t>
        </is>
      </c>
      <c r="I4664" s="7" t="n">
        <v>2</v>
      </c>
      <c r="J4664" s="10" t="n">
        <v>468.44</v>
      </c>
      <c r="K4664" s="11" t="n">
        <v>0</v>
      </c>
      <c r="L4664" s="10">
        <f>I4664*J4664*(1-K4664)</f>
        <v/>
      </c>
      <c r="M4664" s="10" t="n">
        <v>765</v>
      </c>
      <c r="N4664" s="10">
        <f>L4664-M4664</f>
        <v/>
      </c>
    </row>
    <row r="4665">
      <c r="A4665" s="7" t="inlineStr">
        <is>
          <t>ORD-03031</t>
        </is>
      </c>
      <c r="B4665" s="8" t="n">
        <v>45856</v>
      </c>
      <c r="C4665" s="9" t="n">
        <v>45839</v>
      </c>
      <c r="D4665" s="7" t="n">
        <v>2025</v>
      </c>
      <c r="E4665" s="7" t="inlineStr">
        <is>
          <t>East</t>
        </is>
      </c>
      <c r="F4665" s="7" t="inlineStr">
        <is>
          <t>Office Supplies</t>
        </is>
      </c>
      <c r="G4665" s="7" t="inlineStr">
        <is>
          <t>Stapler</t>
        </is>
      </c>
      <c r="H4665" s="7" t="inlineStr">
        <is>
          <t>Home Office</t>
        </is>
      </c>
      <c r="I4665" s="7" t="n">
        <v>9</v>
      </c>
      <c r="J4665" s="10" t="n">
        <v>14.67</v>
      </c>
      <c r="K4665" s="11" t="n">
        <v>0.2</v>
      </c>
      <c r="L4665" s="10">
        <f>I4665*J4665*(1-K4665)</f>
        <v/>
      </c>
      <c r="M4665" s="10" t="n">
        <v>67.5</v>
      </c>
      <c r="N4665" s="10">
        <f>L4665-M4665</f>
        <v/>
      </c>
    </row>
    <row r="4666">
      <c r="A4666" s="7" t="inlineStr">
        <is>
          <t>ORD-03766</t>
        </is>
      </c>
      <c r="B4666" s="8" t="n">
        <v>45856</v>
      </c>
      <c r="C4666" s="9" t="n">
        <v>45839</v>
      </c>
      <c r="D4666" s="7" t="n">
        <v>2025</v>
      </c>
      <c r="E4666" s="7" t="inlineStr">
        <is>
          <t>East</t>
        </is>
      </c>
      <c r="F4666" s="7" t="inlineStr">
        <is>
          <t>Furniture</t>
        </is>
      </c>
      <c r="G4666" s="7" t="inlineStr">
        <is>
          <t>Bookcase</t>
        </is>
      </c>
      <c r="H4666" s="7" t="inlineStr">
        <is>
          <t>Consumer</t>
        </is>
      </c>
      <c r="I4666" s="7" t="n">
        <v>1</v>
      </c>
      <c r="J4666" s="10" t="n">
        <v>181.97</v>
      </c>
      <c r="K4666" s="11" t="n">
        <v>0</v>
      </c>
      <c r="L4666" s="10">
        <f>I4666*J4666*(1-K4666)</f>
        <v/>
      </c>
      <c r="M4666" s="10" t="n">
        <v>144</v>
      </c>
      <c r="N4666" s="10">
        <f>L4666-M4666</f>
        <v/>
      </c>
    </row>
    <row r="4667">
      <c r="A4667" s="7" t="inlineStr">
        <is>
          <t>ORD-01118</t>
        </is>
      </c>
      <c r="B4667" s="8" t="n">
        <v>45857</v>
      </c>
      <c r="C4667" s="9" t="n">
        <v>45839</v>
      </c>
      <c r="D4667" s="7" t="n">
        <v>2025</v>
      </c>
      <c r="E4667" s="7" t="inlineStr">
        <is>
          <t>South</t>
        </is>
      </c>
      <c r="F4667" s="7" t="inlineStr">
        <is>
          <t>Furniture</t>
        </is>
      </c>
      <c r="G4667" s="7" t="inlineStr">
        <is>
          <t>Office Chair</t>
        </is>
      </c>
      <c r="H4667" s="7" t="inlineStr">
        <is>
          <t>Home Office</t>
        </is>
      </c>
      <c r="I4667" s="7" t="n">
        <v>4</v>
      </c>
      <c r="J4667" s="10" t="n">
        <v>209.25</v>
      </c>
      <c r="K4667" s="11" t="n">
        <v>0.3</v>
      </c>
      <c r="L4667" s="10">
        <f>I4667*J4667*(1-K4667)</f>
        <v/>
      </c>
      <c r="M4667" s="10" t="n">
        <v>721.6</v>
      </c>
      <c r="N4667" s="10">
        <f>L4667-M4667</f>
        <v/>
      </c>
    </row>
    <row r="4668">
      <c r="A4668" s="7" t="inlineStr">
        <is>
          <t>ORD-04483</t>
        </is>
      </c>
      <c r="B4668" s="8" t="n">
        <v>45857</v>
      </c>
      <c r="C4668" s="9" t="n">
        <v>45839</v>
      </c>
      <c r="D4668" s="7" t="n">
        <v>2025</v>
      </c>
      <c r="E4668" s="7" t="inlineStr">
        <is>
          <t>South</t>
        </is>
      </c>
      <c r="F4668" s="7" t="inlineStr">
        <is>
          <t>Office Supplies</t>
        </is>
      </c>
      <c r="G4668" s="7" t="inlineStr">
        <is>
          <t>Binder</t>
        </is>
      </c>
      <c r="H4668" s="7" t="inlineStr">
        <is>
          <t>Corporate</t>
        </is>
      </c>
      <c r="I4668" s="7" t="n">
        <v>4</v>
      </c>
      <c r="J4668" s="10" t="n">
        <v>7.94</v>
      </c>
      <c r="K4668" s="11" t="n">
        <v>0.3</v>
      </c>
      <c r="L4668" s="10">
        <f>I4668*J4668*(1-K4668)</f>
        <v/>
      </c>
      <c r="M4668" s="10" t="n">
        <v>12.8</v>
      </c>
      <c r="N4668" s="10">
        <f>L4668-M4668</f>
        <v/>
      </c>
    </row>
    <row r="4669">
      <c r="A4669" s="7" t="inlineStr">
        <is>
          <t>ORD-02991</t>
        </is>
      </c>
      <c r="B4669" s="8" t="n">
        <v>45857</v>
      </c>
      <c r="C4669" s="9" t="n">
        <v>45839</v>
      </c>
      <c r="D4669" s="7" t="n">
        <v>2025</v>
      </c>
      <c r="E4669" s="7" t="inlineStr">
        <is>
          <t>North</t>
        </is>
      </c>
      <c r="F4669" s="7" t="inlineStr">
        <is>
          <t>Technology</t>
        </is>
      </c>
      <c r="G4669" s="7" t="inlineStr">
        <is>
          <t>Keyboard</t>
        </is>
      </c>
      <c r="H4669" s="7" t="inlineStr">
        <is>
          <t>Home Office</t>
        </is>
      </c>
      <c r="I4669" s="7" t="n">
        <v>3</v>
      </c>
      <c r="J4669" s="10" t="n">
        <v>42.9</v>
      </c>
      <c r="K4669" s="11" t="n">
        <v>0</v>
      </c>
      <c r="L4669" s="10">
        <f>I4669*J4669*(1-K4669)</f>
        <v/>
      </c>
      <c r="M4669" s="10" t="n">
        <v>74.25</v>
      </c>
      <c r="N4669" s="10">
        <f>L4669-M4669</f>
        <v/>
      </c>
    </row>
    <row r="4670">
      <c r="A4670" s="7" t="inlineStr">
        <is>
          <t>ORD-05592</t>
        </is>
      </c>
      <c r="B4670" s="8" t="n">
        <v>45857</v>
      </c>
      <c r="C4670" s="9" t="n">
        <v>45839</v>
      </c>
      <c r="D4670" s="7" t="n">
        <v>2025</v>
      </c>
      <c r="E4670" s="7" t="inlineStr">
        <is>
          <t>West</t>
        </is>
      </c>
      <c r="F4670" s="7" t="inlineStr">
        <is>
          <t>Office Supplies</t>
        </is>
      </c>
      <c r="G4670" s="7" t="inlineStr">
        <is>
          <t>Binder</t>
        </is>
      </c>
      <c r="H4670" s="7" t="inlineStr">
        <is>
          <t>Consumer</t>
        </is>
      </c>
      <c r="I4670" s="7" t="n">
        <v>15</v>
      </c>
      <c r="J4670" s="10" t="n">
        <v>7.81</v>
      </c>
      <c r="K4670" s="11" t="n">
        <v>0.05</v>
      </c>
      <c r="L4670" s="10">
        <f>I4670*J4670*(1-K4670)</f>
        <v/>
      </c>
      <c r="M4670" s="10" t="n">
        <v>48</v>
      </c>
      <c r="N4670" s="10">
        <f>L4670-M4670</f>
        <v/>
      </c>
    </row>
    <row r="4671">
      <c r="A4671" s="7" t="inlineStr">
        <is>
          <t>ORD-03213</t>
        </is>
      </c>
      <c r="B4671" s="8" t="n">
        <v>45857</v>
      </c>
      <c r="C4671" s="9" t="n">
        <v>45839</v>
      </c>
      <c r="D4671" s="7" t="n">
        <v>2025</v>
      </c>
      <c r="E4671" s="7" t="inlineStr">
        <is>
          <t>West</t>
        </is>
      </c>
      <c r="F4671" s="7" t="inlineStr">
        <is>
          <t>Technology</t>
        </is>
      </c>
      <c r="G4671" s="7" t="inlineStr">
        <is>
          <t>Keyboard</t>
        </is>
      </c>
      <c r="H4671" s="7" t="inlineStr">
        <is>
          <t>Corporate</t>
        </is>
      </c>
      <c r="I4671" s="7" t="n">
        <v>1</v>
      </c>
      <c r="J4671" s="10" t="n">
        <v>43.73</v>
      </c>
      <c r="K4671" s="11" t="n">
        <v>0.05</v>
      </c>
      <c r="L4671" s="10">
        <f>I4671*J4671*(1-K4671)</f>
        <v/>
      </c>
      <c r="M4671" s="10" t="n">
        <v>24.75</v>
      </c>
      <c r="N4671" s="10">
        <f>L4671-M4671</f>
        <v/>
      </c>
    </row>
    <row r="4672">
      <c r="A4672" s="7" t="inlineStr">
        <is>
          <t>ORD-04582</t>
        </is>
      </c>
      <c r="B4672" s="8" t="n">
        <v>45857</v>
      </c>
      <c r="C4672" s="9" t="n">
        <v>45839</v>
      </c>
      <c r="D4672" s="7" t="n">
        <v>2025</v>
      </c>
      <c r="E4672" s="7" t="inlineStr">
        <is>
          <t>East</t>
        </is>
      </c>
      <c r="F4672" s="7" t="inlineStr">
        <is>
          <t>Office Supplies</t>
        </is>
      </c>
      <c r="G4672" s="7" t="inlineStr">
        <is>
          <t>Printer Ink</t>
        </is>
      </c>
      <c r="H4672" s="7" t="inlineStr">
        <is>
          <t>Home Office</t>
        </is>
      </c>
      <c r="I4672" s="7" t="n">
        <v>7</v>
      </c>
      <c r="J4672" s="10" t="n">
        <v>59.59</v>
      </c>
      <c r="K4672" s="11" t="n">
        <v>0</v>
      </c>
      <c r="L4672" s="10">
        <f>I4672*J4672*(1-K4672)</f>
        <v/>
      </c>
      <c r="M4672" s="10" t="n">
        <v>252</v>
      </c>
      <c r="N4672" s="10">
        <f>L4672-M4672</f>
        <v/>
      </c>
    </row>
    <row r="4673">
      <c r="A4673" s="7" t="inlineStr">
        <is>
          <t>ORD-03460</t>
        </is>
      </c>
      <c r="B4673" s="8" t="n">
        <v>45858</v>
      </c>
      <c r="C4673" s="9" t="n">
        <v>45839</v>
      </c>
      <c r="D4673" s="7" t="n">
        <v>2025</v>
      </c>
      <c r="E4673" s="7" t="inlineStr">
        <is>
          <t>North</t>
        </is>
      </c>
      <c r="F4673" s="7" t="inlineStr">
        <is>
          <t>Technology</t>
        </is>
      </c>
      <c r="G4673" s="7" t="inlineStr">
        <is>
          <t>Smartphone</t>
        </is>
      </c>
      <c r="H4673" s="7" t="inlineStr">
        <is>
          <t>Consumer</t>
        </is>
      </c>
      <c r="I4673" s="7" t="n">
        <v>3</v>
      </c>
      <c r="J4673" s="10" t="n">
        <v>624.03</v>
      </c>
      <c r="K4673" s="11" t="n">
        <v>0</v>
      </c>
      <c r="L4673" s="10">
        <f>I4673*J4673*(1-K4673)</f>
        <v/>
      </c>
      <c r="M4673" s="10" t="n">
        <v>1350</v>
      </c>
      <c r="N4673" s="10">
        <f>L4673-M4673</f>
        <v/>
      </c>
    </row>
    <row r="4674">
      <c r="A4674" s="7" t="inlineStr">
        <is>
          <t>ORD-03582</t>
        </is>
      </c>
      <c r="B4674" s="8" t="n">
        <v>45858</v>
      </c>
      <c r="C4674" s="9" t="n">
        <v>45839</v>
      </c>
      <c r="D4674" s="7" t="n">
        <v>2025</v>
      </c>
      <c r="E4674" s="7" t="inlineStr">
        <is>
          <t>West</t>
        </is>
      </c>
      <c r="F4674" s="7" t="inlineStr">
        <is>
          <t>Office Supplies</t>
        </is>
      </c>
      <c r="G4674" s="7" t="inlineStr">
        <is>
          <t>Pens</t>
        </is>
      </c>
      <c r="H4674" s="7" t="inlineStr">
        <is>
          <t>Consumer</t>
        </is>
      </c>
      <c r="I4674" s="7" t="n">
        <v>13</v>
      </c>
      <c r="J4674" s="10" t="n">
        <v>11.86</v>
      </c>
      <c r="K4674" s="11" t="n">
        <v>0.05</v>
      </c>
      <c r="L4674" s="10">
        <f>I4674*J4674*(1-K4674)</f>
        <v/>
      </c>
      <c r="M4674" s="10" t="n">
        <v>70.2</v>
      </c>
      <c r="N4674" s="10">
        <f>L4674-M4674</f>
        <v/>
      </c>
    </row>
    <row r="4675">
      <c r="A4675" s="7" t="inlineStr">
        <is>
          <t>ORD-00707</t>
        </is>
      </c>
      <c r="B4675" s="8" t="n">
        <v>45858</v>
      </c>
      <c r="C4675" s="9" t="n">
        <v>45839</v>
      </c>
      <c r="D4675" s="7" t="n">
        <v>2025</v>
      </c>
      <c r="E4675" s="7" t="inlineStr">
        <is>
          <t>West</t>
        </is>
      </c>
      <c r="F4675" s="7" t="inlineStr">
        <is>
          <t>Office Supplies</t>
        </is>
      </c>
      <c r="G4675" s="7" t="inlineStr">
        <is>
          <t>Paper</t>
        </is>
      </c>
      <c r="H4675" s="7" t="inlineStr">
        <is>
          <t>Consumer</t>
        </is>
      </c>
      <c r="I4675" s="7" t="n">
        <v>13</v>
      </c>
      <c r="J4675" s="10" t="n">
        <v>24.73</v>
      </c>
      <c r="K4675" s="11" t="n">
        <v>0.1</v>
      </c>
      <c r="L4675" s="10">
        <f>I4675*J4675*(1-K4675)</f>
        <v/>
      </c>
      <c r="M4675" s="10" t="n">
        <v>162.5</v>
      </c>
      <c r="N4675" s="10">
        <f>L4675-M4675</f>
        <v/>
      </c>
    </row>
    <row r="4676">
      <c r="A4676" s="7" t="inlineStr">
        <is>
          <t>ORD-05830</t>
        </is>
      </c>
      <c r="B4676" s="8" t="n">
        <v>45858</v>
      </c>
      <c r="C4676" s="9" t="n">
        <v>45839</v>
      </c>
      <c r="D4676" s="7" t="n">
        <v>2025</v>
      </c>
      <c r="E4676" s="7" t="inlineStr">
        <is>
          <t>West</t>
        </is>
      </c>
      <c r="F4676" s="7" t="inlineStr">
        <is>
          <t>Technology</t>
        </is>
      </c>
      <c r="G4676" s="7" t="inlineStr">
        <is>
          <t>Laptop</t>
        </is>
      </c>
      <c r="H4676" s="7" t="inlineStr">
        <is>
          <t>Consumer</t>
        </is>
      </c>
      <c r="I4676" s="7" t="n">
        <v>3</v>
      </c>
      <c r="J4676" s="10" t="n">
        <v>925.48</v>
      </c>
      <c r="K4676" s="11" t="n">
        <v>0</v>
      </c>
      <c r="L4676" s="10">
        <f>I4676*J4676*(1-K4676)</f>
        <v/>
      </c>
      <c r="M4676" s="10" t="n">
        <v>2106</v>
      </c>
      <c r="N4676" s="10">
        <f>L4676-M4676</f>
        <v/>
      </c>
    </row>
    <row r="4677">
      <c r="A4677" s="7" t="inlineStr">
        <is>
          <t>ORD-01565</t>
        </is>
      </c>
      <c r="B4677" s="8" t="n">
        <v>45858</v>
      </c>
      <c r="C4677" s="9" t="n">
        <v>45839</v>
      </c>
      <c r="D4677" s="7" t="n">
        <v>2025</v>
      </c>
      <c r="E4677" s="7" t="inlineStr">
        <is>
          <t>West</t>
        </is>
      </c>
      <c r="F4677" s="7" t="inlineStr">
        <is>
          <t>Technology</t>
        </is>
      </c>
      <c r="G4677" s="7" t="inlineStr">
        <is>
          <t>Smartphone</t>
        </is>
      </c>
      <c r="H4677" s="7" t="inlineStr">
        <is>
          <t>Corporate</t>
        </is>
      </c>
      <c r="I4677" s="7" t="n">
        <v>2</v>
      </c>
      <c r="J4677" s="10" t="n">
        <v>587.29</v>
      </c>
      <c r="K4677" s="11" t="n">
        <v>0</v>
      </c>
      <c r="L4677" s="10">
        <f>I4677*J4677*(1-K4677)</f>
        <v/>
      </c>
      <c r="M4677" s="10" t="n">
        <v>900</v>
      </c>
      <c r="N4677" s="10">
        <f>L4677-M4677</f>
        <v/>
      </c>
    </row>
    <row r="4678">
      <c r="A4678" s="7" t="inlineStr">
        <is>
          <t>ORD-03775</t>
        </is>
      </c>
      <c r="B4678" s="8" t="n">
        <v>45859</v>
      </c>
      <c r="C4678" s="9" t="n">
        <v>45839</v>
      </c>
      <c r="D4678" s="7" t="n">
        <v>2025</v>
      </c>
      <c r="E4678" s="7" t="inlineStr">
        <is>
          <t>South</t>
        </is>
      </c>
      <c r="F4678" s="7" t="inlineStr">
        <is>
          <t>Office Supplies</t>
        </is>
      </c>
      <c r="G4678" s="7" t="inlineStr">
        <is>
          <t>Paper</t>
        </is>
      </c>
      <c r="H4678" s="7" t="inlineStr">
        <is>
          <t>Consumer</t>
        </is>
      </c>
      <c r="I4678" s="7" t="n">
        <v>6</v>
      </c>
      <c r="J4678" s="10" t="n">
        <v>23.94</v>
      </c>
      <c r="K4678" s="11" t="n">
        <v>0</v>
      </c>
      <c r="L4678" s="10">
        <f>I4678*J4678*(1-K4678)</f>
        <v/>
      </c>
      <c r="M4678" s="10" t="n">
        <v>75</v>
      </c>
      <c r="N4678" s="10">
        <f>L4678-M4678</f>
        <v/>
      </c>
    </row>
    <row r="4679">
      <c r="A4679" s="7" t="inlineStr">
        <is>
          <t>ORD-04269</t>
        </is>
      </c>
      <c r="B4679" s="8" t="n">
        <v>45859</v>
      </c>
      <c r="C4679" s="9" t="n">
        <v>45839</v>
      </c>
      <c r="D4679" s="7" t="n">
        <v>2025</v>
      </c>
      <c r="E4679" s="7" t="inlineStr">
        <is>
          <t>South</t>
        </is>
      </c>
      <c r="F4679" s="7" t="inlineStr">
        <is>
          <t>Office Supplies</t>
        </is>
      </c>
      <c r="G4679" s="7" t="inlineStr">
        <is>
          <t>Paper</t>
        </is>
      </c>
      <c r="H4679" s="7" t="inlineStr">
        <is>
          <t>Home Office</t>
        </is>
      </c>
      <c r="I4679" s="7" t="n">
        <v>7</v>
      </c>
      <c r="J4679" s="10" t="n">
        <v>25.9</v>
      </c>
      <c r="K4679" s="11" t="n">
        <v>0</v>
      </c>
      <c r="L4679" s="10">
        <f>I4679*J4679*(1-K4679)</f>
        <v/>
      </c>
      <c r="M4679" s="10" t="n">
        <v>87.5</v>
      </c>
      <c r="N4679" s="10">
        <f>L4679-M4679</f>
        <v/>
      </c>
    </row>
    <row r="4680">
      <c r="A4680" s="7" t="inlineStr">
        <is>
          <t>ORD-03466</t>
        </is>
      </c>
      <c r="B4680" s="8" t="n">
        <v>45859</v>
      </c>
      <c r="C4680" s="9" t="n">
        <v>45839</v>
      </c>
      <c r="D4680" s="7" t="n">
        <v>2025</v>
      </c>
      <c r="E4680" s="7" t="inlineStr">
        <is>
          <t>West</t>
        </is>
      </c>
      <c r="F4680" s="7" t="inlineStr">
        <is>
          <t>Technology</t>
        </is>
      </c>
      <c r="G4680" s="7" t="inlineStr">
        <is>
          <t>Headphones</t>
        </is>
      </c>
      <c r="H4680" s="7" t="inlineStr">
        <is>
          <t>Consumer</t>
        </is>
      </c>
      <c r="I4680" s="7" t="n">
        <v>1</v>
      </c>
      <c r="J4680" s="10" t="n">
        <v>116.76</v>
      </c>
      <c r="K4680" s="11" t="n">
        <v>0.05</v>
      </c>
      <c r="L4680" s="10">
        <f>I4680*J4680*(1-K4680)</f>
        <v/>
      </c>
      <c r="M4680" s="10" t="n">
        <v>72</v>
      </c>
      <c r="N4680" s="10">
        <f>L4680-M4680</f>
        <v/>
      </c>
    </row>
    <row r="4681">
      <c r="A4681" s="7" t="inlineStr">
        <is>
          <t>ORD-01577</t>
        </is>
      </c>
      <c r="B4681" s="8" t="n">
        <v>45859</v>
      </c>
      <c r="C4681" s="9" t="n">
        <v>45839</v>
      </c>
      <c r="D4681" s="7" t="n">
        <v>2025</v>
      </c>
      <c r="E4681" s="7" t="inlineStr">
        <is>
          <t>North</t>
        </is>
      </c>
      <c r="F4681" s="7" t="inlineStr">
        <is>
          <t>Office Supplies</t>
        </is>
      </c>
      <c r="G4681" s="7" t="inlineStr">
        <is>
          <t>Pens</t>
        </is>
      </c>
      <c r="H4681" s="7" t="inlineStr">
        <is>
          <t>Consumer</t>
        </is>
      </c>
      <c r="I4681" s="7" t="n">
        <v>2</v>
      </c>
      <c r="J4681" s="10" t="n">
        <v>11.81</v>
      </c>
      <c r="K4681" s="11" t="n">
        <v>0.05</v>
      </c>
      <c r="L4681" s="10">
        <f>I4681*J4681*(1-K4681)</f>
        <v/>
      </c>
      <c r="M4681" s="10" t="n">
        <v>10.8</v>
      </c>
      <c r="N4681" s="10">
        <f>L4681-M4681</f>
        <v/>
      </c>
    </row>
    <row r="4682">
      <c r="A4682" s="7" t="inlineStr">
        <is>
          <t>ORD-02402</t>
        </is>
      </c>
      <c r="B4682" s="8" t="n">
        <v>45859</v>
      </c>
      <c r="C4682" s="9" t="n">
        <v>45839</v>
      </c>
      <c r="D4682" s="7" t="n">
        <v>2025</v>
      </c>
      <c r="E4682" s="7" t="inlineStr">
        <is>
          <t>West</t>
        </is>
      </c>
      <c r="F4682" s="7" t="inlineStr">
        <is>
          <t>Office Supplies</t>
        </is>
      </c>
      <c r="G4682" s="7" t="inlineStr">
        <is>
          <t>Binder</t>
        </is>
      </c>
      <c r="H4682" s="7" t="inlineStr">
        <is>
          <t>Consumer</t>
        </is>
      </c>
      <c r="I4682" s="7" t="n">
        <v>3</v>
      </c>
      <c r="J4682" s="10" t="n">
        <v>7.95</v>
      </c>
      <c r="K4682" s="11" t="n">
        <v>0</v>
      </c>
      <c r="L4682" s="10">
        <f>I4682*J4682*(1-K4682)</f>
        <v/>
      </c>
      <c r="M4682" s="10" t="n">
        <v>9.6</v>
      </c>
      <c r="N4682" s="10">
        <f>L4682-M4682</f>
        <v/>
      </c>
    </row>
    <row r="4683">
      <c r="A4683" s="7" t="inlineStr">
        <is>
          <t>ORD-04900</t>
        </is>
      </c>
      <c r="B4683" s="8" t="n">
        <v>45859</v>
      </c>
      <c r="C4683" s="9" t="n">
        <v>45839</v>
      </c>
      <c r="D4683" s="7" t="n">
        <v>2025</v>
      </c>
      <c r="E4683" s="7" t="inlineStr">
        <is>
          <t>West</t>
        </is>
      </c>
      <c r="F4683" s="7" t="inlineStr">
        <is>
          <t>Office Supplies</t>
        </is>
      </c>
      <c r="G4683" s="7" t="inlineStr">
        <is>
          <t>Paper</t>
        </is>
      </c>
      <c r="H4683" s="7" t="inlineStr">
        <is>
          <t>Consumer</t>
        </is>
      </c>
      <c r="I4683" s="7" t="n">
        <v>14</v>
      </c>
      <c r="J4683" s="10" t="n">
        <v>24.07</v>
      </c>
      <c r="K4683" s="11" t="n">
        <v>0.05</v>
      </c>
      <c r="L4683" s="10">
        <f>I4683*J4683*(1-K4683)</f>
        <v/>
      </c>
      <c r="M4683" s="10" t="n">
        <v>175</v>
      </c>
      <c r="N4683" s="10">
        <f>L4683-M4683</f>
        <v/>
      </c>
    </row>
    <row r="4684">
      <c r="A4684" s="7" t="inlineStr">
        <is>
          <t>ORD-04711</t>
        </is>
      </c>
      <c r="B4684" s="8" t="n">
        <v>45860</v>
      </c>
      <c r="C4684" s="9" t="n">
        <v>45839</v>
      </c>
      <c r="D4684" s="7" t="n">
        <v>2025</v>
      </c>
      <c r="E4684" s="7" t="inlineStr">
        <is>
          <t>North</t>
        </is>
      </c>
      <c r="F4684" s="7" t="inlineStr">
        <is>
          <t>Office Supplies</t>
        </is>
      </c>
      <c r="G4684" s="7" t="inlineStr">
        <is>
          <t>Binder</t>
        </is>
      </c>
      <c r="H4684" s="7" t="inlineStr">
        <is>
          <t>Consumer</t>
        </is>
      </c>
      <c r="I4684" s="7" t="n">
        <v>2</v>
      </c>
      <c r="J4684" s="10" t="n">
        <v>8.32</v>
      </c>
      <c r="K4684" s="11" t="n">
        <v>0</v>
      </c>
      <c r="L4684" s="10">
        <f>I4684*J4684*(1-K4684)</f>
        <v/>
      </c>
      <c r="M4684" s="10" t="n">
        <v>6.4</v>
      </c>
      <c r="N4684" s="10">
        <f>L4684-M4684</f>
        <v/>
      </c>
    </row>
    <row r="4685">
      <c r="A4685" s="7" t="inlineStr">
        <is>
          <t>ORD-00993</t>
        </is>
      </c>
      <c r="B4685" s="8" t="n">
        <v>45860</v>
      </c>
      <c r="C4685" s="9" t="n">
        <v>45839</v>
      </c>
      <c r="D4685" s="7" t="n">
        <v>2025</v>
      </c>
      <c r="E4685" s="7" t="inlineStr">
        <is>
          <t>North</t>
        </is>
      </c>
      <c r="F4685" s="7" t="inlineStr">
        <is>
          <t>Office Supplies</t>
        </is>
      </c>
      <c r="G4685" s="7" t="inlineStr">
        <is>
          <t>Binder</t>
        </is>
      </c>
      <c r="H4685" s="7" t="inlineStr">
        <is>
          <t>Consumer</t>
        </is>
      </c>
      <c r="I4685" s="7" t="n">
        <v>2</v>
      </c>
      <c r="J4685" s="10" t="n">
        <v>8.08</v>
      </c>
      <c r="K4685" s="11" t="n">
        <v>0</v>
      </c>
      <c r="L4685" s="10">
        <f>I4685*J4685*(1-K4685)</f>
        <v/>
      </c>
      <c r="M4685" s="10" t="n">
        <v>6.4</v>
      </c>
      <c r="N4685" s="10">
        <f>L4685-M4685</f>
        <v/>
      </c>
    </row>
    <row r="4686">
      <c r="A4686" s="7" t="inlineStr">
        <is>
          <t>ORD-02258</t>
        </is>
      </c>
      <c r="B4686" s="8" t="n">
        <v>45860</v>
      </c>
      <c r="C4686" s="9" t="n">
        <v>45839</v>
      </c>
      <c r="D4686" s="7" t="n">
        <v>2025</v>
      </c>
      <c r="E4686" s="7" t="inlineStr">
        <is>
          <t>West</t>
        </is>
      </c>
      <c r="F4686" s="7" t="inlineStr">
        <is>
          <t>Office Supplies</t>
        </is>
      </c>
      <c r="G4686" s="7" t="inlineStr">
        <is>
          <t>Paper</t>
        </is>
      </c>
      <c r="H4686" s="7" t="inlineStr">
        <is>
          <t>Consumer</t>
        </is>
      </c>
      <c r="I4686" s="7" t="n">
        <v>9</v>
      </c>
      <c r="J4686" s="10" t="n">
        <v>24.53</v>
      </c>
      <c r="K4686" s="11" t="n">
        <v>0.1</v>
      </c>
      <c r="L4686" s="10">
        <f>I4686*J4686*(1-K4686)</f>
        <v/>
      </c>
      <c r="M4686" s="10" t="n">
        <v>112.5</v>
      </c>
      <c r="N4686" s="10">
        <f>L4686-M4686</f>
        <v/>
      </c>
    </row>
    <row r="4687">
      <c r="A4687" s="7" t="inlineStr">
        <is>
          <t>ORD-00627</t>
        </is>
      </c>
      <c r="B4687" s="8" t="n">
        <v>45860</v>
      </c>
      <c r="C4687" s="9" t="n">
        <v>45839</v>
      </c>
      <c r="D4687" s="7" t="n">
        <v>2025</v>
      </c>
      <c r="E4687" s="7" t="inlineStr">
        <is>
          <t>South</t>
        </is>
      </c>
      <c r="F4687" s="7" t="inlineStr">
        <is>
          <t>Office Supplies</t>
        </is>
      </c>
      <c r="G4687" s="7" t="inlineStr">
        <is>
          <t>Paper</t>
        </is>
      </c>
      <c r="H4687" s="7" t="inlineStr">
        <is>
          <t>Corporate</t>
        </is>
      </c>
      <c r="I4687" s="7" t="n">
        <v>9</v>
      </c>
      <c r="J4687" s="10" t="n">
        <v>25.33</v>
      </c>
      <c r="K4687" s="11" t="n">
        <v>0</v>
      </c>
      <c r="L4687" s="10">
        <f>I4687*J4687*(1-K4687)</f>
        <v/>
      </c>
      <c r="M4687" s="10" t="n">
        <v>112.5</v>
      </c>
      <c r="N4687" s="10">
        <f>L4687-M4687</f>
        <v/>
      </c>
    </row>
    <row r="4688">
      <c r="A4688" s="7" t="inlineStr">
        <is>
          <t>ORD-05816</t>
        </is>
      </c>
      <c r="B4688" s="8" t="n">
        <v>45860</v>
      </c>
      <c r="C4688" s="9" t="n">
        <v>45839</v>
      </c>
      <c r="D4688" s="7" t="n">
        <v>2025</v>
      </c>
      <c r="E4688" s="7" t="inlineStr">
        <is>
          <t>South</t>
        </is>
      </c>
      <c r="F4688" s="7" t="inlineStr">
        <is>
          <t>Technology</t>
        </is>
      </c>
      <c r="G4688" s="7" t="inlineStr">
        <is>
          <t>Laptop</t>
        </is>
      </c>
      <c r="H4688" s="7" t="inlineStr">
        <is>
          <t>Corporate</t>
        </is>
      </c>
      <c r="I4688" s="7" t="n">
        <v>1</v>
      </c>
      <c r="J4688" s="10" t="n">
        <v>930.88</v>
      </c>
      <c r="K4688" s="11" t="n">
        <v>0.1</v>
      </c>
      <c r="L4688" s="10">
        <f>I4688*J4688*(1-K4688)</f>
        <v/>
      </c>
      <c r="M4688" s="10" t="n">
        <v>702</v>
      </c>
      <c r="N4688" s="10">
        <f>L4688-M4688</f>
        <v/>
      </c>
    </row>
    <row r="4689">
      <c r="A4689" s="7" t="inlineStr">
        <is>
          <t>ORD-00346</t>
        </is>
      </c>
      <c r="B4689" s="8" t="n">
        <v>45861</v>
      </c>
      <c r="C4689" s="9" t="n">
        <v>45839</v>
      </c>
      <c r="D4689" s="7" t="n">
        <v>2025</v>
      </c>
      <c r="E4689" s="7" t="inlineStr">
        <is>
          <t>South</t>
        </is>
      </c>
      <c r="F4689" s="7" t="inlineStr">
        <is>
          <t>Technology</t>
        </is>
      </c>
      <c r="G4689" s="7" t="inlineStr">
        <is>
          <t>Keyboard</t>
        </is>
      </c>
      <c r="H4689" s="7" t="inlineStr">
        <is>
          <t>Consumer</t>
        </is>
      </c>
      <c r="I4689" s="7" t="n">
        <v>2</v>
      </c>
      <c r="J4689" s="10" t="n">
        <v>43.87</v>
      </c>
      <c r="K4689" s="11" t="n">
        <v>0.2</v>
      </c>
      <c r="L4689" s="10">
        <f>I4689*J4689*(1-K4689)</f>
        <v/>
      </c>
      <c r="M4689" s="10" t="n">
        <v>49.5</v>
      </c>
      <c r="N4689" s="10">
        <f>L4689-M4689</f>
        <v/>
      </c>
    </row>
    <row r="4690">
      <c r="A4690" s="7" t="inlineStr">
        <is>
          <t>ORD-00990</t>
        </is>
      </c>
      <c r="B4690" s="8" t="n">
        <v>45861</v>
      </c>
      <c r="C4690" s="9" t="n">
        <v>45839</v>
      </c>
      <c r="D4690" s="7" t="n">
        <v>2025</v>
      </c>
      <c r="E4690" s="7" t="inlineStr">
        <is>
          <t>West</t>
        </is>
      </c>
      <c r="F4690" s="7" t="inlineStr">
        <is>
          <t>Technology</t>
        </is>
      </c>
      <c r="G4690" s="7" t="inlineStr">
        <is>
          <t>Monitor</t>
        </is>
      </c>
      <c r="H4690" s="7" t="inlineStr">
        <is>
          <t>Consumer</t>
        </is>
      </c>
      <c r="I4690" s="7" t="n">
        <v>3</v>
      </c>
      <c r="J4690" s="10" t="n">
        <v>250.89</v>
      </c>
      <c r="K4690" s="11" t="n">
        <v>0.1</v>
      </c>
      <c r="L4690" s="10">
        <f>I4690*J4690*(1-K4690)</f>
        <v/>
      </c>
      <c r="M4690" s="10" t="n">
        <v>540</v>
      </c>
      <c r="N4690" s="10">
        <f>L4690-M4690</f>
        <v/>
      </c>
    </row>
    <row r="4691">
      <c r="A4691" s="7" t="inlineStr">
        <is>
          <t>ORD-01351</t>
        </is>
      </c>
      <c r="B4691" s="8" t="n">
        <v>45861</v>
      </c>
      <c r="C4691" s="9" t="n">
        <v>45839</v>
      </c>
      <c r="D4691" s="7" t="n">
        <v>2025</v>
      </c>
      <c r="E4691" s="7" t="inlineStr">
        <is>
          <t>West</t>
        </is>
      </c>
      <c r="F4691" s="7" t="inlineStr">
        <is>
          <t>Technology</t>
        </is>
      </c>
      <c r="G4691" s="7" t="inlineStr">
        <is>
          <t>Keyboard</t>
        </is>
      </c>
      <c r="H4691" s="7" t="inlineStr">
        <is>
          <t>Corporate</t>
        </is>
      </c>
      <c r="I4691" s="7" t="n">
        <v>3</v>
      </c>
      <c r="J4691" s="10" t="n">
        <v>45.89</v>
      </c>
      <c r="K4691" s="11" t="n">
        <v>0.05</v>
      </c>
      <c r="L4691" s="10">
        <f>I4691*J4691*(1-K4691)</f>
        <v/>
      </c>
      <c r="M4691" s="10" t="n">
        <v>74.25</v>
      </c>
      <c r="N4691" s="10">
        <f>L4691-M4691</f>
        <v/>
      </c>
    </row>
    <row r="4692">
      <c r="A4692" s="7" t="inlineStr">
        <is>
          <t>ORD-03839</t>
        </is>
      </c>
      <c r="B4692" s="8" t="n">
        <v>45861</v>
      </c>
      <c r="C4692" s="9" t="n">
        <v>45839</v>
      </c>
      <c r="D4692" s="7" t="n">
        <v>2025</v>
      </c>
      <c r="E4692" s="7" t="inlineStr">
        <is>
          <t>North</t>
        </is>
      </c>
      <c r="F4692" s="7" t="inlineStr">
        <is>
          <t>Office Supplies</t>
        </is>
      </c>
      <c r="G4692" s="7" t="inlineStr">
        <is>
          <t>Paper</t>
        </is>
      </c>
      <c r="H4692" s="7" t="inlineStr">
        <is>
          <t>Home Office</t>
        </is>
      </c>
      <c r="I4692" s="7" t="n">
        <v>15</v>
      </c>
      <c r="J4692" s="10" t="n">
        <v>25.84</v>
      </c>
      <c r="K4692" s="11" t="n">
        <v>0.2</v>
      </c>
      <c r="L4692" s="10">
        <f>I4692*J4692*(1-K4692)</f>
        <v/>
      </c>
      <c r="M4692" s="10" t="n">
        <v>187.5</v>
      </c>
      <c r="N4692" s="10">
        <f>L4692-M4692</f>
        <v/>
      </c>
    </row>
    <row r="4693">
      <c r="A4693" s="7" t="inlineStr">
        <is>
          <t>ORD-01698</t>
        </is>
      </c>
      <c r="B4693" s="8" t="n">
        <v>45862</v>
      </c>
      <c r="C4693" s="9" t="n">
        <v>45839</v>
      </c>
      <c r="D4693" s="7" t="n">
        <v>2025</v>
      </c>
      <c r="E4693" s="7" t="inlineStr">
        <is>
          <t>North</t>
        </is>
      </c>
      <c r="F4693" s="7" t="inlineStr">
        <is>
          <t>Technology</t>
        </is>
      </c>
      <c r="G4693" s="7" t="inlineStr">
        <is>
          <t>Laptop</t>
        </is>
      </c>
      <c r="H4693" s="7" t="inlineStr">
        <is>
          <t>Consumer</t>
        </is>
      </c>
      <c r="I4693" s="7" t="n">
        <v>3</v>
      </c>
      <c r="J4693" s="10" t="n">
        <v>923.05</v>
      </c>
      <c r="K4693" s="11" t="n">
        <v>0.2</v>
      </c>
      <c r="L4693" s="10">
        <f>I4693*J4693*(1-K4693)</f>
        <v/>
      </c>
      <c r="M4693" s="10" t="n">
        <v>2106</v>
      </c>
      <c r="N4693" s="10">
        <f>L4693-M4693</f>
        <v/>
      </c>
    </row>
    <row r="4694">
      <c r="A4694" s="7" t="inlineStr">
        <is>
          <t>ORD-01648</t>
        </is>
      </c>
      <c r="B4694" s="8" t="n">
        <v>45862</v>
      </c>
      <c r="C4694" s="9" t="n">
        <v>45839</v>
      </c>
      <c r="D4694" s="7" t="n">
        <v>2025</v>
      </c>
      <c r="E4694" s="7" t="inlineStr">
        <is>
          <t>East</t>
        </is>
      </c>
      <c r="F4694" s="7" t="inlineStr">
        <is>
          <t>Furniture</t>
        </is>
      </c>
      <c r="G4694" s="7" t="inlineStr">
        <is>
          <t>Office Chair</t>
        </is>
      </c>
      <c r="H4694" s="7" t="inlineStr">
        <is>
          <t>Corporate</t>
        </is>
      </c>
      <c r="I4694" s="7" t="n">
        <v>1</v>
      </c>
      <c r="J4694" s="10" t="n">
        <v>216.62</v>
      </c>
      <c r="K4694" s="11" t="n">
        <v>0.1</v>
      </c>
      <c r="L4694" s="10">
        <f>I4694*J4694*(1-K4694)</f>
        <v/>
      </c>
      <c r="M4694" s="10" t="n">
        <v>180.4</v>
      </c>
      <c r="N4694" s="10">
        <f>L4694-M4694</f>
        <v/>
      </c>
    </row>
    <row r="4695">
      <c r="A4695" s="7" t="inlineStr">
        <is>
          <t>ORD-04140</t>
        </is>
      </c>
      <c r="B4695" s="8" t="n">
        <v>45862</v>
      </c>
      <c r="C4695" s="9" t="n">
        <v>45839</v>
      </c>
      <c r="D4695" s="7" t="n">
        <v>2025</v>
      </c>
      <c r="E4695" s="7" t="inlineStr">
        <is>
          <t>West</t>
        </is>
      </c>
      <c r="F4695" s="7" t="inlineStr">
        <is>
          <t>Furniture</t>
        </is>
      </c>
      <c r="G4695" s="7" t="inlineStr">
        <is>
          <t>Office Chair</t>
        </is>
      </c>
      <c r="H4695" s="7" t="inlineStr">
        <is>
          <t>Home Office</t>
        </is>
      </c>
      <c r="I4695" s="7" t="n">
        <v>4</v>
      </c>
      <c r="J4695" s="10" t="n">
        <v>209.5</v>
      </c>
      <c r="K4695" s="11" t="n">
        <v>0.1</v>
      </c>
      <c r="L4695" s="10">
        <f>I4695*J4695*(1-K4695)</f>
        <v/>
      </c>
      <c r="M4695" s="10" t="n">
        <v>721.6</v>
      </c>
      <c r="N4695" s="10">
        <f>L4695-M4695</f>
        <v/>
      </c>
    </row>
    <row r="4696">
      <c r="A4696" s="7" t="inlineStr">
        <is>
          <t>ORD-03536</t>
        </is>
      </c>
      <c r="B4696" s="8" t="n">
        <v>45862</v>
      </c>
      <c r="C4696" s="9" t="n">
        <v>45839</v>
      </c>
      <c r="D4696" s="7" t="n">
        <v>2025</v>
      </c>
      <c r="E4696" s="7" t="inlineStr">
        <is>
          <t>East</t>
        </is>
      </c>
      <c r="F4696" s="7" t="inlineStr">
        <is>
          <t>Furniture</t>
        </is>
      </c>
      <c r="G4696" s="7" t="inlineStr">
        <is>
          <t>Desk</t>
        </is>
      </c>
      <c r="H4696" s="7" t="inlineStr">
        <is>
          <t>Consumer</t>
        </is>
      </c>
      <c r="I4696" s="7" t="n">
        <v>2</v>
      </c>
      <c r="J4696" s="10" t="n">
        <v>434.93</v>
      </c>
      <c r="K4696" s="11" t="n">
        <v>0</v>
      </c>
      <c r="L4696" s="10">
        <f>I4696*J4696*(1-K4696)</f>
        <v/>
      </c>
      <c r="M4696" s="10" t="n">
        <v>765</v>
      </c>
      <c r="N4696" s="10">
        <f>L4696-M4696</f>
        <v/>
      </c>
    </row>
    <row r="4697">
      <c r="A4697" s="7" t="inlineStr">
        <is>
          <t>ORD-01416</t>
        </is>
      </c>
      <c r="B4697" s="8" t="n">
        <v>45862</v>
      </c>
      <c r="C4697" s="9" t="n">
        <v>45839</v>
      </c>
      <c r="D4697" s="7" t="n">
        <v>2025</v>
      </c>
      <c r="E4697" s="7" t="inlineStr">
        <is>
          <t>North</t>
        </is>
      </c>
      <c r="F4697" s="7" t="inlineStr">
        <is>
          <t>Office Supplies</t>
        </is>
      </c>
      <c r="G4697" s="7" t="inlineStr">
        <is>
          <t>Binder</t>
        </is>
      </c>
      <c r="H4697" s="7" t="inlineStr">
        <is>
          <t>Consumer</t>
        </is>
      </c>
      <c r="I4697" s="7" t="n">
        <v>8</v>
      </c>
      <c r="J4697" s="10" t="n">
        <v>8.210000000000001</v>
      </c>
      <c r="K4697" s="11" t="n">
        <v>0</v>
      </c>
      <c r="L4697" s="10">
        <f>I4697*J4697*(1-K4697)</f>
        <v/>
      </c>
      <c r="M4697" s="10" t="n">
        <v>25.6</v>
      </c>
      <c r="N4697" s="10">
        <f>L4697-M4697</f>
        <v/>
      </c>
    </row>
    <row r="4698">
      <c r="A4698" s="7" t="inlineStr">
        <is>
          <t>ORD-00842</t>
        </is>
      </c>
      <c r="B4698" s="8" t="n">
        <v>45862</v>
      </c>
      <c r="C4698" s="9" t="n">
        <v>45839</v>
      </c>
      <c r="D4698" s="7" t="n">
        <v>2025</v>
      </c>
      <c r="E4698" s="7" t="inlineStr">
        <is>
          <t>North</t>
        </is>
      </c>
      <c r="F4698" s="7" t="inlineStr">
        <is>
          <t>Furniture</t>
        </is>
      </c>
      <c r="G4698" s="7" t="inlineStr">
        <is>
          <t>Sofa</t>
        </is>
      </c>
      <c r="H4698" s="7" t="inlineStr">
        <is>
          <t>Consumer</t>
        </is>
      </c>
      <c r="I4698" s="7" t="n">
        <v>4</v>
      </c>
      <c r="J4698" s="10" t="n">
        <v>702.9</v>
      </c>
      <c r="K4698" s="11" t="n">
        <v>0.3</v>
      </c>
      <c r="L4698" s="10">
        <f>I4698*J4698*(1-K4698)</f>
        <v/>
      </c>
      <c r="M4698" s="10" t="n">
        <v>2464</v>
      </c>
      <c r="N4698" s="10">
        <f>L4698-M4698</f>
        <v/>
      </c>
    </row>
    <row r="4699">
      <c r="A4699" s="7" t="inlineStr">
        <is>
          <t>ORD-02356</t>
        </is>
      </c>
      <c r="B4699" s="8" t="n">
        <v>45862</v>
      </c>
      <c r="C4699" s="9" t="n">
        <v>45839</v>
      </c>
      <c r="D4699" s="7" t="n">
        <v>2025</v>
      </c>
      <c r="E4699" s="7" t="inlineStr">
        <is>
          <t>South</t>
        </is>
      </c>
      <c r="F4699" s="7" t="inlineStr">
        <is>
          <t>Technology</t>
        </is>
      </c>
      <c r="G4699" s="7" t="inlineStr">
        <is>
          <t>Smartphone</t>
        </is>
      </c>
      <c r="H4699" s="7" t="inlineStr">
        <is>
          <t>Corporate</t>
        </is>
      </c>
      <c r="I4699" s="7" t="n">
        <v>1</v>
      </c>
      <c r="J4699" s="10" t="n">
        <v>585.7</v>
      </c>
      <c r="K4699" s="11" t="n">
        <v>0</v>
      </c>
      <c r="L4699" s="10">
        <f>I4699*J4699*(1-K4699)</f>
        <v/>
      </c>
      <c r="M4699" s="10" t="n">
        <v>450</v>
      </c>
      <c r="N4699" s="10">
        <f>L4699-M4699</f>
        <v/>
      </c>
    </row>
    <row r="4700">
      <c r="A4700" s="7" t="inlineStr">
        <is>
          <t>ORD-03347</t>
        </is>
      </c>
      <c r="B4700" s="8" t="n">
        <v>45862</v>
      </c>
      <c r="C4700" s="9" t="n">
        <v>45839</v>
      </c>
      <c r="D4700" s="7" t="n">
        <v>2025</v>
      </c>
      <c r="E4700" s="7" t="inlineStr">
        <is>
          <t>East</t>
        </is>
      </c>
      <c r="F4700" s="7" t="inlineStr">
        <is>
          <t>Office Supplies</t>
        </is>
      </c>
      <c r="G4700" s="7" t="inlineStr">
        <is>
          <t>Binder</t>
        </is>
      </c>
      <c r="H4700" s="7" t="inlineStr">
        <is>
          <t>Consumer</t>
        </is>
      </c>
      <c r="I4700" s="7" t="n">
        <v>9</v>
      </c>
      <c r="J4700" s="10" t="n">
        <v>7.62</v>
      </c>
      <c r="K4700" s="11" t="n">
        <v>0.1</v>
      </c>
      <c r="L4700" s="10">
        <f>I4700*J4700*(1-K4700)</f>
        <v/>
      </c>
      <c r="M4700" s="10" t="n">
        <v>28.8</v>
      </c>
      <c r="N4700" s="10">
        <f>L4700-M4700</f>
        <v/>
      </c>
    </row>
    <row r="4701">
      <c r="A4701" s="7" t="inlineStr">
        <is>
          <t>ORD-03739</t>
        </is>
      </c>
      <c r="B4701" s="8" t="n">
        <v>45862</v>
      </c>
      <c r="C4701" s="9" t="n">
        <v>45839</v>
      </c>
      <c r="D4701" s="7" t="n">
        <v>2025</v>
      </c>
      <c r="E4701" s="7" t="inlineStr">
        <is>
          <t>South</t>
        </is>
      </c>
      <c r="F4701" s="7" t="inlineStr">
        <is>
          <t>Technology</t>
        </is>
      </c>
      <c r="G4701" s="7" t="inlineStr">
        <is>
          <t>Laptop</t>
        </is>
      </c>
      <c r="H4701" s="7" t="inlineStr">
        <is>
          <t>Consumer</t>
        </is>
      </c>
      <c r="I4701" s="7" t="n">
        <v>2</v>
      </c>
      <c r="J4701" s="10" t="n">
        <v>934.73</v>
      </c>
      <c r="K4701" s="11" t="n">
        <v>0</v>
      </c>
      <c r="L4701" s="10">
        <f>I4701*J4701*(1-K4701)</f>
        <v/>
      </c>
      <c r="M4701" s="10" t="n">
        <v>1404</v>
      </c>
      <c r="N4701" s="10">
        <f>L4701-M4701</f>
        <v/>
      </c>
    </row>
    <row r="4702">
      <c r="A4702" s="7" t="inlineStr">
        <is>
          <t>ORD-05642</t>
        </is>
      </c>
      <c r="B4702" s="8" t="n">
        <v>45863</v>
      </c>
      <c r="C4702" s="9" t="n">
        <v>45839</v>
      </c>
      <c r="D4702" s="7" t="n">
        <v>2025</v>
      </c>
      <c r="E4702" s="7" t="inlineStr">
        <is>
          <t>West</t>
        </is>
      </c>
      <c r="F4702" s="7" t="inlineStr">
        <is>
          <t>Office Supplies</t>
        </is>
      </c>
      <c r="G4702" s="7" t="inlineStr">
        <is>
          <t>Stapler</t>
        </is>
      </c>
      <c r="H4702" s="7" t="inlineStr">
        <is>
          <t>Home Office</t>
        </is>
      </c>
      <c r="I4702" s="7" t="n">
        <v>5</v>
      </c>
      <c r="J4702" s="10" t="n">
        <v>14.42</v>
      </c>
      <c r="K4702" s="11" t="n">
        <v>0.2</v>
      </c>
      <c r="L4702" s="10">
        <f>I4702*J4702*(1-K4702)</f>
        <v/>
      </c>
      <c r="M4702" s="10" t="n">
        <v>37.5</v>
      </c>
      <c r="N4702" s="10">
        <f>L4702-M4702</f>
        <v/>
      </c>
    </row>
    <row r="4703">
      <c r="A4703" s="7" t="inlineStr">
        <is>
          <t>ORD-01782</t>
        </is>
      </c>
      <c r="B4703" s="8" t="n">
        <v>45863</v>
      </c>
      <c r="C4703" s="9" t="n">
        <v>45839</v>
      </c>
      <c r="D4703" s="7" t="n">
        <v>2025</v>
      </c>
      <c r="E4703" s="7" t="inlineStr">
        <is>
          <t>West</t>
        </is>
      </c>
      <c r="F4703" s="7" t="inlineStr">
        <is>
          <t>Office Supplies</t>
        </is>
      </c>
      <c r="G4703" s="7" t="inlineStr">
        <is>
          <t>Binder</t>
        </is>
      </c>
      <c r="H4703" s="7" t="inlineStr">
        <is>
          <t>Home Office</t>
        </is>
      </c>
      <c r="I4703" s="7" t="n">
        <v>4</v>
      </c>
      <c r="J4703" s="10" t="n">
        <v>8.35</v>
      </c>
      <c r="K4703" s="11" t="n">
        <v>0</v>
      </c>
      <c r="L4703" s="10">
        <f>I4703*J4703*(1-K4703)</f>
        <v/>
      </c>
      <c r="M4703" s="10" t="n">
        <v>12.8</v>
      </c>
      <c r="N4703" s="10">
        <f>L4703-M4703</f>
        <v/>
      </c>
    </row>
    <row r="4704">
      <c r="A4704" s="7" t="inlineStr">
        <is>
          <t>ORD-00242</t>
        </is>
      </c>
      <c r="B4704" s="8" t="n">
        <v>45863</v>
      </c>
      <c r="C4704" s="9" t="n">
        <v>45839</v>
      </c>
      <c r="D4704" s="7" t="n">
        <v>2025</v>
      </c>
      <c r="E4704" s="7" t="inlineStr">
        <is>
          <t>West</t>
        </is>
      </c>
      <c r="F4704" s="7" t="inlineStr">
        <is>
          <t>Technology</t>
        </is>
      </c>
      <c r="G4704" s="7" t="inlineStr">
        <is>
          <t>Laptop</t>
        </is>
      </c>
      <c r="H4704" s="7" t="inlineStr">
        <is>
          <t>Consumer</t>
        </is>
      </c>
      <c r="I4704" s="7" t="n">
        <v>1</v>
      </c>
      <c r="J4704" s="10" t="n">
        <v>902.24</v>
      </c>
      <c r="K4704" s="11" t="n">
        <v>0</v>
      </c>
      <c r="L4704" s="10">
        <f>I4704*J4704*(1-K4704)</f>
        <v/>
      </c>
      <c r="M4704" s="10" t="n">
        <v>702</v>
      </c>
      <c r="N4704" s="10">
        <f>L4704-M4704</f>
        <v/>
      </c>
    </row>
    <row r="4705">
      <c r="A4705" s="7" t="inlineStr">
        <is>
          <t>ORD-04025</t>
        </is>
      </c>
      <c r="B4705" s="8" t="n">
        <v>45863</v>
      </c>
      <c r="C4705" s="9" t="n">
        <v>45839</v>
      </c>
      <c r="D4705" s="7" t="n">
        <v>2025</v>
      </c>
      <c r="E4705" s="7" t="inlineStr">
        <is>
          <t>West</t>
        </is>
      </c>
      <c r="F4705" s="7" t="inlineStr">
        <is>
          <t>Office Supplies</t>
        </is>
      </c>
      <c r="G4705" s="7" t="inlineStr">
        <is>
          <t>Binder</t>
        </is>
      </c>
      <c r="H4705" s="7" t="inlineStr">
        <is>
          <t>Home Office</t>
        </is>
      </c>
      <c r="I4705" s="7" t="n">
        <v>3</v>
      </c>
      <c r="J4705" s="10" t="n">
        <v>8.06</v>
      </c>
      <c r="K4705" s="11" t="n">
        <v>0</v>
      </c>
      <c r="L4705" s="10">
        <f>I4705*J4705*(1-K4705)</f>
        <v/>
      </c>
      <c r="M4705" s="10" t="n">
        <v>9.6</v>
      </c>
      <c r="N4705" s="10">
        <f>L4705-M4705</f>
        <v/>
      </c>
    </row>
    <row r="4706">
      <c r="A4706" s="7" t="inlineStr">
        <is>
          <t>ORD-05467</t>
        </is>
      </c>
      <c r="B4706" s="8" t="n">
        <v>45863</v>
      </c>
      <c r="C4706" s="9" t="n">
        <v>45839</v>
      </c>
      <c r="D4706" s="7" t="n">
        <v>2025</v>
      </c>
      <c r="E4706" s="7" t="inlineStr">
        <is>
          <t>East</t>
        </is>
      </c>
      <c r="F4706" s="7" t="inlineStr">
        <is>
          <t>Office Supplies</t>
        </is>
      </c>
      <c r="G4706" s="7" t="inlineStr">
        <is>
          <t>Paper</t>
        </is>
      </c>
      <c r="H4706" s="7" t="inlineStr">
        <is>
          <t>Consumer</t>
        </is>
      </c>
      <c r="I4706" s="7" t="n">
        <v>11</v>
      </c>
      <c r="J4706" s="10" t="n">
        <v>23.92</v>
      </c>
      <c r="K4706" s="11" t="n">
        <v>0.1</v>
      </c>
      <c r="L4706" s="10">
        <f>I4706*J4706*(1-K4706)</f>
        <v/>
      </c>
      <c r="M4706" s="10" t="n">
        <v>137.5</v>
      </c>
      <c r="N4706" s="10">
        <f>L4706-M4706</f>
        <v/>
      </c>
    </row>
    <row r="4707">
      <c r="A4707" s="7" t="inlineStr">
        <is>
          <t>ORD-02961</t>
        </is>
      </c>
      <c r="B4707" s="8" t="n">
        <v>45864</v>
      </c>
      <c r="C4707" s="9" t="n">
        <v>45839</v>
      </c>
      <c r="D4707" s="7" t="n">
        <v>2025</v>
      </c>
      <c r="E4707" s="7" t="inlineStr">
        <is>
          <t>West</t>
        </is>
      </c>
      <c r="F4707" s="7" t="inlineStr">
        <is>
          <t>Office Supplies</t>
        </is>
      </c>
      <c r="G4707" s="7" t="inlineStr">
        <is>
          <t>Paper</t>
        </is>
      </c>
      <c r="H4707" s="7" t="inlineStr">
        <is>
          <t>Consumer</t>
        </is>
      </c>
      <c r="I4707" s="7" t="n">
        <v>3</v>
      </c>
      <c r="J4707" s="10" t="n">
        <v>23.93</v>
      </c>
      <c r="K4707" s="11" t="n">
        <v>0</v>
      </c>
      <c r="L4707" s="10">
        <f>I4707*J4707*(1-K4707)</f>
        <v/>
      </c>
      <c r="M4707" s="10" t="n">
        <v>37.5</v>
      </c>
      <c r="N4707" s="10">
        <f>L4707-M4707</f>
        <v/>
      </c>
    </row>
    <row r="4708">
      <c r="A4708" s="7" t="inlineStr">
        <is>
          <t>ORD-04401</t>
        </is>
      </c>
      <c r="B4708" s="8" t="n">
        <v>45864</v>
      </c>
      <c r="C4708" s="9" t="n">
        <v>45839</v>
      </c>
      <c r="D4708" s="7" t="n">
        <v>2025</v>
      </c>
      <c r="E4708" s="7" t="inlineStr">
        <is>
          <t>North</t>
        </is>
      </c>
      <c r="F4708" s="7" t="inlineStr">
        <is>
          <t>Office Supplies</t>
        </is>
      </c>
      <c r="G4708" s="7" t="inlineStr">
        <is>
          <t>Paper</t>
        </is>
      </c>
      <c r="H4708" s="7" t="inlineStr">
        <is>
          <t>Home Office</t>
        </is>
      </c>
      <c r="I4708" s="7" t="n">
        <v>9</v>
      </c>
      <c r="J4708" s="10" t="n">
        <v>23.82</v>
      </c>
      <c r="K4708" s="11" t="n">
        <v>0.2</v>
      </c>
      <c r="L4708" s="10">
        <f>I4708*J4708*(1-K4708)</f>
        <v/>
      </c>
      <c r="M4708" s="10" t="n">
        <v>112.5</v>
      </c>
      <c r="N4708" s="10">
        <f>L4708-M4708</f>
        <v/>
      </c>
    </row>
    <row r="4709">
      <c r="A4709" s="7" t="inlineStr">
        <is>
          <t>ORD-01103</t>
        </is>
      </c>
      <c r="B4709" s="8" t="n">
        <v>45864</v>
      </c>
      <c r="C4709" s="9" t="n">
        <v>45839</v>
      </c>
      <c r="D4709" s="7" t="n">
        <v>2025</v>
      </c>
      <c r="E4709" s="7" t="inlineStr">
        <is>
          <t>East</t>
        </is>
      </c>
      <c r="F4709" s="7" t="inlineStr">
        <is>
          <t>Office Supplies</t>
        </is>
      </c>
      <c r="G4709" s="7" t="inlineStr">
        <is>
          <t>Binder</t>
        </is>
      </c>
      <c r="H4709" s="7" t="inlineStr">
        <is>
          <t>Consumer</t>
        </is>
      </c>
      <c r="I4709" s="7" t="n">
        <v>11</v>
      </c>
      <c r="J4709" s="10" t="n">
        <v>8.34</v>
      </c>
      <c r="K4709" s="11" t="n">
        <v>0.3</v>
      </c>
      <c r="L4709" s="10">
        <f>I4709*J4709*(1-K4709)</f>
        <v/>
      </c>
      <c r="M4709" s="10" t="n">
        <v>35.2</v>
      </c>
      <c r="N4709" s="10">
        <f>L4709-M4709</f>
        <v/>
      </c>
    </row>
    <row r="4710">
      <c r="A4710" s="7" t="inlineStr">
        <is>
          <t>ORD-05904</t>
        </is>
      </c>
      <c r="B4710" s="8" t="n">
        <v>45864</v>
      </c>
      <c r="C4710" s="9" t="n">
        <v>45839</v>
      </c>
      <c r="D4710" s="7" t="n">
        <v>2025</v>
      </c>
      <c r="E4710" s="7" t="inlineStr">
        <is>
          <t>West</t>
        </is>
      </c>
      <c r="F4710" s="7" t="inlineStr">
        <is>
          <t>Office Supplies</t>
        </is>
      </c>
      <c r="G4710" s="7" t="inlineStr">
        <is>
          <t>Printer Ink</t>
        </is>
      </c>
      <c r="H4710" s="7" t="inlineStr">
        <is>
          <t>Consumer</t>
        </is>
      </c>
      <c r="I4710" s="7" t="n">
        <v>5</v>
      </c>
      <c r="J4710" s="10" t="n">
        <v>61.17</v>
      </c>
      <c r="K4710" s="11" t="n">
        <v>0</v>
      </c>
      <c r="L4710" s="10">
        <f>I4710*J4710*(1-K4710)</f>
        <v/>
      </c>
      <c r="M4710" s="10" t="n">
        <v>180</v>
      </c>
      <c r="N4710" s="10">
        <f>L4710-M4710</f>
        <v/>
      </c>
    </row>
    <row r="4711">
      <c r="A4711" s="7" t="inlineStr">
        <is>
          <t>ORD-02756</t>
        </is>
      </c>
      <c r="B4711" s="8" t="n">
        <v>45864</v>
      </c>
      <c r="C4711" s="9" t="n">
        <v>45839</v>
      </c>
      <c r="D4711" s="7" t="n">
        <v>2025</v>
      </c>
      <c r="E4711" s="7" t="inlineStr">
        <is>
          <t>West</t>
        </is>
      </c>
      <c r="F4711" s="7" t="inlineStr">
        <is>
          <t>Furniture</t>
        </is>
      </c>
      <c r="G4711" s="7" t="inlineStr">
        <is>
          <t>Office Chair</t>
        </is>
      </c>
      <c r="H4711" s="7" t="inlineStr">
        <is>
          <t>Home Office</t>
        </is>
      </c>
      <c r="I4711" s="7" t="n">
        <v>4</v>
      </c>
      <c r="J4711" s="10" t="n">
        <v>228.18</v>
      </c>
      <c r="K4711" s="11" t="n">
        <v>0.1</v>
      </c>
      <c r="L4711" s="10">
        <f>I4711*J4711*(1-K4711)</f>
        <v/>
      </c>
      <c r="M4711" s="10" t="n">
        <v>721.6</v>
      </c>
      <c r="N4711" s="10">
        <f>L4711-M4711</f>
        <v/>
      </c>
    </row>
    <row r="4712">
      <c r="A4712" s="7" t="inlineStr">
        <is>
          <t>ORD-05917</t>
        </is>
      </c>
      <c r="B4712" s="8" t="n">
        <v>45864</v>
      </c>
      <c r="C4712" s="9" t="n">
        <v>45839</v>
      </c>
      <c r="D4712" s="7" t="n">
        <v>2025</v>
      </c>
      <c r="E4712" s="7" t="inlineStr">
        <is>
          <t>South</t>
        </is>
      </c>
      <c r="F4712" s="7" t="inlineStr">
        <is>
          <t>Furniture</t>
        </is>
      </c>
      <c r="G4712" s="7" t="inlineStr">
        <is>
          <t>Office Chair</t>
        </is>
      </c>
      <c r="H4712" s="7" t="inlineStr">
        <is>
          <t>Corporate</t>
        </is>
      </c>
      <c r="I4712" s="7" t="n">
        <v>2</v>
      </c>
      <c r="J4712" s="10" t="n">
        <v>212</v>
      </c>
      <c r="K4712" s="11" t="n">
        <v>0.3</v>
      </c>
      <c r="L4712" s="10">
        <f>I4712*J4712*(1-K4712)</f>
        <v/>
      </c>
      <c r="M4712" s="10" t="n">
        <v>360.8</v>
      </c>
      <c r="N4712" s="10">
        <f>L4712-M4712</f>
        <v/>
      </c>
    </row>
    <row r="4713">
      <c r="A4713" s="7" t="inlineStr">
        <is>
          <t>ORD-04129</t>
        </is>
      </c>
      <c r="B4713" s="8" t="n">
        <v>45865</v>
      </c>
      <c r="C4713" s="9" t="n">
        <v>45839</v>
      </c>
      <c r="D4713" s="7" t="n">
        <v>2025</v>
      </c>
      <c r="E4713" s="7" t="inlineStr">
        <is>
          <t>West</t>
        </is>
      </c>
      <c r="F4713" s="7" t="inlineStr">
        <is>
          <t>Office Supplies</t>
        </is>
      </c>
      <c r="G4713" s="7" t="inlineStr">
        <is>
          <t>Binder</t>
        </is>
      </c>
      <c r="H4713" s="7" t="inlineStr">
        <is>
          <t>Consumer</t>
        </is>
      </c>
      <c r="I4713" s="7" t="n">
        <v>5</v>
      </c>
      <c r="J4713" s="10" t="n">
        <v>8.31</v>
      </c>
      <c r="K4713" s="11" t="n">
        <v>0</v>
      </c>
      <c r="L4713" s="10">
        <f>I4713*J4713*(1-K4713)</f>
        <v/>
      </c>
      <c r="M4713" s="10" t="n">
        <v>16</v>
      </c>
      <c r="N4713" s="10">
        <f>L4713-M4713</f>
        <v/>
      </c>
    </row>
    <row r="4714">
      <c r="A4714" s="7" t="inlineStr">
        <is>
          <t>ORD-00868</t>
        </is>
      </c>
      <c r="B4714" s="8" t="n">
        <v>45865</v>
      </c>
      <c r="C4714" s="9" t="n">
        <v>45839</v>
      </c>
      <c r="D4714" s="7" t="n">
        <v>2025</v>
      </c>
      <c r="E4714" s="7" t="inlineStr">
        <is>
          <t>West</t>
        </is>
      </c>
      <c r="F4714" s="7" t="inlineStr">
        <is>
          <t>Office Supplies</t>
        </is>
      </c>
      <c r="G4714" s="7" t="inlineStr">
        <is>
          <t>Binder</t>
        </is>
      </c>
      <c r="H4714" s="7" t="inlineStr">
        <is>
          <t>Corporate</t>
        </is>
      </c>
      <c r="I4714" s="7" t="n">
        <v>3</v>
      </c>
      <c r="J4714" s="10" t="n">
        <v>8.19</v>
      </c>
      <c r="K4714" s="11" t="n">
        <v>0.2</v>
      </c>
      <c r="L4714" s="10">
        <f>I4714*J4714*(1-K4714)</f>
        <v/>
      </c>
      <c r="M4714" s="10" t="n">
        <v>9.6</v>
      </c>
      <c r="N4714" s="10">
        <f>L4714-M4714</f>
        <v/>
      </c>
    </row>
    <row r="4715">
      <c r="A4715" s="7" t="inlineStr">
        <is>
          <t>ORD-02648</t>
        </is>
      </c>
      <c r="B4715" s="8" t="n">
        <v>45865</v>
      </c>
      <c r="C4715" s="9" t="n">
        <v>45839</v>
      </c>
      <c r="D4715" s="7" t="n">
        <v>2025</v>
      </c>
      <c r="E4715" s="7" t="inlineStr">
        <is>
          <t>West</t>
        </is>
      </c>
      <c r="F4715" s="7" t="inlineStr">
        <is>
          <t>Office Supplies</t>
        </is>
      </c>
      <c r="G4715" s="7" t="inlineStr">
        <is>
          <t>Pens</t>
        </is>
      </c>
      <c r="H4715" s="7" t="inlineStr">
        <is>
          <t>Home Office</t>
        </is>
      </c>
      <c r="I4715" s="7" t="n">
        <v>2</v>
      </c>
      <c r="J4715" s="10" t="n">
        <v>11.91</v>
      </c>
      <c r="K4715" s="11" t="n">
        <v>0.1</v>
      </c>
      <c r="L4715" s="10">
        <f>I4715*J4715*(1-K4715)</f>
        <v/>
      </c>
      <c r="M4715" s="10" t="n">
        <v>10.8</v>
      </c>
      <c r="N4715" s="10">
        <f>L4715-M4715</f>
        <v/>
      </c>
    </row>
    <row r="4716">
      <c r="A4716" s="7" t="inlineStr">
        <is>
          <t>ORD-04312</t>
        </is>
      </c>
      <c r="B4716" s="8" t="n">
        <v>45865</v>
      </c>
      <c r="C4716" s="9" t="n">
        <v>45839</v>
      </c>
      <c r="D4716" s="7" t="n">
        <v>2025</v>
      </c>
      <c r="E4716" s="7" t="inlineStr">
        <is>
          <t>East</t>
        </is>
      </c>
      <c r="F4716" s="7" t="inlineStr">
        <is>
          <t>Office Supplies</t>
        </is>
      </c>
      <c r="G4716" s="7" t="inlineStr">
        <is>
          <t>Printer Ink</t>
        </is>
      </c>
      <c r="H4716" s="7" t="inlineStr">
        <is>
          <t>Corporate</t>
        </is>
      </c>
      <c r="I4716" s="7" t="n">
        <v>9</v>
      </c>
      <c r="J4716" s="10" t="n">
        <v>60.84</v>
      </c>
      <c r="K4716" s="11" t="n">
        <v>0.2</v>
      </c>
      <c r="L4716" s="10">
        <f>I4716*J4716*(1-K4716)</f>
        <v/>
      </c>
      <c r="M4716" s="10" t="n">
        <v>324</v>
      </c>
      <c r="N4716" s="10">
        <f>L4716-M4716</f>
        <v/>
      </c>
    </row>
    <row r="4717">
      <c r="A4717" s="7" t="inlineStr">
        <is>
          <t>ORD-03810</t>
        </is>
      </c>
      <c r="B4717" s="8" t="n">
        <v>45865</v>
      </c>
      <c r="C4717" s="9" t="n">
        <v>45839</v>
      </c>
      <c r="D4717" s="7" t="n">
        <v>2025</v>
      </c>
      <c r="E4717" s="7" t="inlineStr">
        <is>
          <t>South</t>
        </is>
      </c>
      <c r="F4717" s="7" t="inlineStr">
        <is>
          <t>Furniture</t>
        </is>
      </c>
      <c r="G4717" s="7" t="inlineStr">
        <is>
          <t>Desk</t>
        </is>
      </c>
      <c r="H4717" s="7" t="inlineStr">
        <is>
          <t>Consumer</t>
        </is>
      </c>
      <c r="I4717" s="7" t="n">
        <v>2</v>
      </c>
      <c r="J4717" s="10" t="n">
        <v>472.15</v>
      </c>
      <c r="K4717" s="11" t="n">
        <v>0.2</v>
      </c>
      <c r="L4717" s="10">
        <f>I4717*J4717*(1-K4717)</f>
        <v/>
      </c>
      <c r="M4717" s="10" t="n">
        <v>765</v>
      </c>
      <c r="N4717" s="10">
        <f>L4717-M4717</f>
        <v/>
      </c>
    </row>
    <row r="4718">
      <c r="A4718" s="7" t="inlineStr">
        <is>
          <t>ORD-04122</t>
        </is>
      </c>
      <c r="B4718" s="8" t="n">
        <v>45865</v>
      </c>
      <c r="C4718" s="9" t="n">
        <v>45839</v>
      </c>
      <c r="D4718" s="7" t="n">
        <v>2025</v>
      </c>
      <c r="E4718" s="7" t="inlineStr">
        <is>
          <t>West</t>
        </is>
      </c>
      <c r="F4718" s="7" t="inlineStr">
        <is>
          <t>Office Supplies</t>
        </is>
      </c>
      <c r="G4718" s="7" t="inlineStr">
        <is>
          <t>Printer Ink</t>
        </is>
      </c>
      <c r="H4718" s="7" t="inlineStr">
        <is>
          <t>Home Office</t>
        </is>
      </c>
      <c r="I4718" s="7" t="n">
        <v>8</v>
      </c>
      <c r="J4718" s="10" t="n">
        <v>60.64</v>
      </c>
      <c r="K4718" s="11" t="n">
        <v>0.3</v>
      </c>
      <c r="L4718" s="10">
        <f>I4718*J4718*(1-K4718)</f>
        <v/>
      </c>
      <c r="M4718" s="10" t="n">
        <v>288</v>
      </c>
      <c r="N4718" s="10">
        <f>L4718-M4718</f>
        <v/>
      </c>
    </row>
    <row r="4719">
      <c r="A4719" s="7" t="inlineStr">
        <is>
          <t>ORD-02948</t>
        </is>
      </c>
      <c r="B4719" s="8" t="n">
        <v>45865</v>
      </c>
      <c r="C4719" s="9" t="n">
        <v>45839</v>
      </c>
      <c r="D4719" s="7" t="n">
        <v>2025</v>
      </c>
      <c r="E4719" s="7" t="inlineStr">
        <is>
          <t>South</t>
        </is>
      </c>
      <c r="F4719" s="7" t="inlineStr">
        <is>
          <t>Office Supplies</t>
        </is>
      </c>
      <c r="G4719" s="7" t="inlineStr">
        <is>
          <t>Pens</t>
        </is>
      </c>
      <c r="H4719" s="7" t="inlineStr">
        <is>
          <t>Consumer</t>
        </is>
      </c>
      <c r="I4719" s="7" t="n">
        <v>5</v>
      </c>
      <c r="J4719" s="10" t="n">
        <v>11.8</v>
      </c>
      <c r="K4719" s="11" t="n">
        <v>0</v>
      </c>
      <c r="L4719" s="10">
        <f>I4719*J4719*(1-K4719)</f>
        <v/>
      </c>
      <c r="M4719" s="10" t="n">
        <v>27</v>
      </c>
      <c r="N4719" s="10">
        <f>L4719-M4719</f>
        <v/>
      </c>
    </row>
    <row r="4720">
      <c r="A4720" s="7" t="inlineStr">
        <is>
          <t>ORD-00789</t>
        </is>
      </c>
      <c r="B4720" s="8" t="n">
        <v>45866</v>
      </c>
      <c r="C4720" s="9" t="n">
        <v>45839</v>
      </c>
      <c r="D4720" s="7" t="n">
        <v>2025</v>
      </c>
      <c r="E4720" s="7" t="inlineStr">
        <is>
          <t>South</t>
        </is>
      </c>
      <c r="F4720" s="7" t="inlineStr">
        <is>
          <t>Office Supplies</t>
        </is>
      </c>
      <c r="G4720" s="7" t="inlineStr">
        <is>
          <t>Stapler</t>
        </is>
      </c>
      <c r="H4720" s="7" t="inlineStr">
        <is>
          <t>Corporate</t>
        </is>
      </c>
      <c r="I4720" s="7" t="n">
        <v>6</v>
      </c>
      <c r="J4720" s="10" t="n">
        <v>14.78</v>
      </c>
      <c r="K4720" s="11" t="n">
        <v>0.05</v>
      </c>
      <c r="L4720" s="10">
        <f>I4720*J4720*(1-K4720)</f>
        <v/>
      </c>
      <c r="M4720" s="10" t="n">
        <v>45</v>
      </c>
      <c r="N4720" s="10">
        <f>L4720-M4720</f>
        <v/>
      </c>
    </row>
    <row r="4721">
      <c r="A4721" s="7" t="inlineStr">
        <is>
          <t>ORD-03726</t>
        </is>
      </c>
      <c r="B4721" s="8" t="n">
        <v>45866</v>
      </c>
      <c r="C4721" s="9" t="n">
        <v>45839</v>
      </c>
      <c r="D4721" s="7" t="n">
        <v>2025</v>
      </c>
      <c r="E4721" s="7" t="inlineStr">
        <is>
          <t>South</t>
        </is>
      </c>
      <c r="F4721" s="7" t="inlineStr">
        <is>
          <t>Technology</t>
        </is>
      </c>
      <c r="G4721" s="7" t="inlineStr">
        <is>
          <t>Laptop</t>
        </is>
      </c>
      <c r="H4721" s="7" t="inlineStr">
        <is>
          <t>Consumer</t>
        </is>
      </c>
      <c r="I4721" s="7" t="n">
        <v>2</v>
      </c>
      <c r="J4721" s="10" t="n">
        <v>874.73</v>
      </c>
      <c r="K4721" s="11" t="n">
        <v>0.05</v>
      </c>
      <c r="L4721" s="10">
        <f>I4721*J4721*(1-K4721)</f>
        <v/>
      </c>
      <c r="M4721" s="10" t="n">
        <v>1404</v>
      </c>
      <c r="N4721" s="10">
        <f>L4721-M4721</f>
        <v/>
      </c>
    </row>
    <row r="4722">
      <c r="A4722" s="7" t="inlineStr">
        <is>
          <t>ORD-03556</t>
        </is>
      </c>
      <c r="B4722" s="8" t="n">
        <v>45866</v>
      </c>
      <c r="C4722" s="9" t="n">
        <v>45839</v>
      </c>
      <c r="D4722" s="7" t="n">
        <v>2025</v>
      </c>
      <c r="E4722" s="7" t="inlineStr">
        <is>
          <t>West</t>
        </is>
      </c>
      <c r="F4722" s="7" t="inlineStr">
        <is>
          <t>Office Supplies</t>
        </is>
      </c>
      <c r="G4722" s="7" t="inlineStr">
        <is>
          <t>Binder</t>
        </is>
      </c>
      <c r="H4722" s="7" t="inlineStr">
        <is>
          <t>Corporate</t>
        </is>
      </c>
      <c r="I4722" s="7" t="n">
        <v>5</v>
      </c>
      <c r="J4722" s="10" t="n">
        <v>7.7</v>
      </c>
      <c r="K4722" s="11" t="n">
        <v>0.05</v>
      </c>
      <c r="L4722" s="10">
        <f>I4722*J4722*(1-K4722)</f>
        <v/>
      </c>
      <c r="M4722" s="10" t="n">
        <v>16</v>
      </c>
      <c r="N4722" s="10">
        <f>L4722-M4722</f>
        <v/>
      </c>
    </row>
    <row r="4723">
      <c r="A4723" s="7" t="inlineStr">
        <is>
          <t>ORD-00506</t>
        </is>
      </c>
      <c r="B4723" s="8" t="n">
        <v>45866</v>
      </c>
      <c r="C4723" s="9" t="n">
        <v>45839</v>
      </c>
      <c r="D4723" s="7" t="n">
        <v>2025</v>
      </c>
      <c r="E4723" s="7" t="inlineStr">
        <is>
          <t>West</t>
        </is>
      </c>
      <c r="F4723" s="7" t="inlineStr">
        <is>
          <t>Office Supplies</t>
        </is>
      </c>
      <c r="G4723" s="7" t="inlineStr">
        <is>
          <t>Binder</t>
        </is>
      </c>
      <c r="H4723" s="7" t="inlineStr">
        <is>
          <t>Consumer</t>
        </is>
      </c>
      <c r="I4723" s="7" t="n">
        <v>9</v>
      </c>
      <c r="J4723" s="10" t="n">
        <v>7.87</v>
      </c>
      <c r="K4723" s="11" t="n">
        <v>0.3</v>
      </c>
      <c r="L4723" s="10">
        <f>I4723*J4723*(1-K4723)</f>
        <v/>
      </c>
      <c r="M4723" s="10" t="n">
        <v>28.8</v>
      </c>
      <c r="N4723" s="10">
        <f>L4723-M4723</f>
        <v/>
      </c>
    </row>
    <row r="4724">
      <c r="A4724" s="7" t="inlineStr">
        <is>
          <t>ORD-00358</t>
        </is>
      </c>
      <c r="B4724" s="8" t="n">
        <v>45866</v>
      </c>
      <c r="C4724" s="9" t="n">
        <v>45839</v>
      </c>
      <c r="D4724" s="7" t="n">
        <v>2025</v>
      </c>
      <c r="E4724" s="7" t="inlineStr">
        <is>
          <t>North</t>
        </is>
      </c>
      <c r="F4724" s="7" t="inlineStr">
        <is>
          <t>Technology</t>
        </is>
      </c>
      <c r="G4724" s="7" t="inlineStr">
        <is>
          <t>Keyboard</t>
        </is>
      </c>
      <c r="H4724" s="7" t="inlineStr">
        <is>
          <t>Consumer</t>
        </is>
      </c>
      <c r="I4724" s="7" t="n">
        <v>3</v>
      </c>
      <c r="J4724" s="10" t="n">
        <v>47</v>
      </c>
      <c r="K4724" s="11" t="n">
        <v>0.1</v>
      </c>
      <c r="L4724" s="10">
        <f>I4724*J4724*(1-K4724)</f>
        <v/>
      </c>
      <c r="M4724" s="10" t="n">
        <v>74.25</v>
      </c>
      <c r="N4724" s="10">
        <f>L4724-M4724</f>
        <v/>
      </c>
    </row>
    <row r="4725">
      <c r="A4725" s="7" t="inlineStr">
        <is>
          <t>ORD-02154</t>
        </is>
      </c>
      <c r="B4725" s="8" t="n">
        <v>45866</v>
      </c>
      <c r="C4725" s="9" t="n">
        <v>45839</v>
      </c>
      <c r="D4725" s="7" t="n">
        <v>2025</v>
      </c>
      <c r="E4725" s="7" t="inlineStr">
        <is>
          <t>North</t>
        </is>
      </c>
      <c r="F4725" s="7" t="inlineStr">
        <is>
          <t>Office Supplies</t>
        </is>
      </c>
      <c r="G4725" s="7" t="inlineStr">
        <is>
          <t>Pens</t>
        </is>
      </c>
      <c r="H4725" s="7" t="inlineStr">
        <is>
          <t>Consumer</t>
        </is>
      </c>
      <c r="I4725" s="7" t="n">
        <v>7</v>
      </c>
      <c r="J4725" s="10" t="n">
        <v>12.06</v>
      </c>
      <c r="K4725" s="11" t="n">
        <v>0</v>
      </c>
      <c r="L4725" s="10">
        <f>I4725*J4725*(1-K4725)</f>
        <v/>
      </c>
      <c r="M4725" s="10" t="n">
        <v>37.8</v>
      </c>
      <c r="N4725" s="10">
        <f>L4725-M4725</f>
        <v/>
      </c>
    </row>
    <row r="4726">
      <c r="A4726" s="7" t="inlineStr">
        <is>
          <t>ORD-02772</t>
        </is>
      </c>
      <c r="B4726" s="8" t="n">
        <v>45866</v>
      </c>
      <c r="C4726" s="9" t="n">
        <v>45839</v>
      </c>
      <c r="D4726" s="7" t="n">
        <v>2025</v>
      </c>
      <c r="E4726" s="7" t="inlineStr">
        <is>
          <t>North</t>
        </is>
      </c>
      <c r="F4726" s="7" t="inlineStr">
        <is>
          <t>Technology</t>
        </is>
      </c>
      <c r="G4726" s="7" t="inlineStr">
        <is>
          <t>Keyboard</t>
        </is>
      </c>
      <c r="H4726" s="7" t="inlineStr">
        <is>
          <t>Corporate</t>
        </is>
      </c>
      <c r="I4726" s="7" t="n">
        <v>2</v>
      </c>
      <c r="J4726" s="10" t="n">
        <v>45.48</v>
      </c>
      <c r="K4726" s="11" t="n">
        <v>0</v>
      </c>
      <c r="L4726" s="10">
        <f>I4726*J4726*(1-K4726)</f>
        <v/>
      </c>
      <c r="M4726" s="10" t="n">
        <v>49.5</v>
      </c>
      <c r="N4726" s="10">
        <f>L4726-M4726</f>
        <v/>
      </c>
    </row>
    <row r="4727">
      <c r="A4727" s="7" t="inlineStr">
        <is>
          <t>ORD-05658</t>
        </is>
      </c>
      <c r="B4727" s="8" t="n">
        <v>45866</v>
      </c>
      <c r="C4727" s="9" t="n">
        <v>45839</v>
      </c>
      <c r="D4727" s="7" t="n">
        <v>2025</v>
      </c>
      <c r="E4727" s="7" t="inlineStr">
        <is>
          <t>South</t>
        </is>
      </c>
      <c r="F4727" s="7" t="inlineStr">
        <is>
          <t>Furniture</t>
        </is>
      </c>
      <c r="G4727" s="7" t="inlineStr">
        <is>
          <t>Sofa</t>
        </is>
      </c>
      <c r="H4727" s="7" t="inlineStr">
        <is>
          <t>Consumer</t>
        </is>
      </c>
      <c r="I4727" s="7" t="n">
        <v>1</v>
      </c>
      <c r="J4727" s="10" t="n">
        <v>673.01</v>
      </c>
      <c r="K4727" s="11" t="n">
        <v>0.2</v>
      </c>
      <c r="L4727" s="10">
        <f>I4727*J4727*(1-K4727)</f>
        <v/>
      </c>
      <c r="M4727" s="10" t="n">
        <v>616</v>
      </c>
      <c r="N4727" s="10">
        <f>L4727-M4727</f>
        <v/>
      </c>
    </row>
    <row r="4728">
      <c r="A4728" s="7" t="inlineStr">
        <is>
          <t>ORD-05970</t>
        </is>
      </c>
      <c r="B4728" s="8" t="n">
        <v>45866</v>
      </c>
      <c r="C4728" s="9" t="n">
        <v>45839</v>
      </c>
      <c r="D4728" s="7" t="n">
        <v>2025</v>
      </c>
      <c r="E4728" s="7" t="inlineStr">
        <is>
          <t>East</t>
        </is>
      </c>
      <c r="F4728" s="7" t="inlineStr">
        <is>
          <t>Technology</t>
        </is>
      </c>
      <c r="G4728" s="7" t="inlineStr">
        <is>
          <t>Keyboard</t>
        </is>
      </c>
      <c r="H4728" s="7" t="inlineStr">
        <is>
          <t>Consumer</t>
        </is>
      </c>
      <c r="I4728" s="7" t="n">
        <v>3</v>
      </c>
      <c r="J4728" s="10" t="n">
        <v>45.55</v>
      </c>
      <c r="K4728" s="11" t="n">
        <v>0.2</v>
      </c>
      <c r="L4728" s="10">
        <f>I4728*J4728*(1-K4728)</f>
        <v/>
      </c>
      <c r="M4728" s="10" t="n">
        <v>74.25</v>
      </c>
      <c r="N4728" s="10">
        <f>L4728-M4728</f>
        <v/>
      </c>
    </row>
    <row r="4729">
      <c r="A4729" s="7" t="inlineStr">
        <is>
          <t>ORD-05231</t>
        </is>
      </c>
      <c r="B4729" s="8" t="n">
        <v>45867</v>
      </c>
      <c r="C4729" s="9" t="n">
        <v>45839</v>
      </c>
      <c r="D4729" s="7" t="n">
        <v>2025</v>
      </c>
      <c r="E4729" s="7" t="inlineStr">
        <is>
          <t>West</t>
        </is>
      </c>
      <c r="F4729" s="7" t="inlineStr">
        <is>
          <t>Technology</t>
        </is>
      </c>
      <c r="G4729" s="7" t="inlineStr">
        <is>
          <t>Headphones</t>
        </is>
      </c>
      <c r="H4729" s="7" t="inlineStr">
        <is>
          <t>Consumer</t>
        </is>
      </c>
      <c r="I4729" s="7" t="n">
        <v>3</v>
      </c>
      <c r="J4729" s="10" t="n">
        <v>115.3</v>
      </c>
      <c r="K4729" s="11" t="n">
        <v>0</v>
      </c>
      <c r="L4729" s="10">
        <f>I4729*J4729*(1-K4729)</f>
        <v/>
      </c>
      <c r="M4729" s="10" t="n">
        <v>216</v>
      </c>
      <c r="N4729" s="10">
        <f>L4729-M4729</f>
        <v/>
      </c>
    </row>
    <row r="4730">
      <c r="A4730" s="7" t="inlineStr">
        <is>
          <t>ORD-03586</t>
        </is>
      </c>
      <c r="B4730" s="8" t="n">
        <v>45867</v>
      </c>
      <c r="C4730" s="9" t="n">
        <v>45839</v>
      </c>
      <c r="D4730" s="7" t="n">
        <v>2025</v>
      </c>
      <c r="E4730" s="7" t="inlineStr">
        <is>
          <t>North</t>
        </is>
      </c>
      <c r="F4730" s="7" t="inlineStr">
        <is>
          <t>Furniture</t>
        </is>
      </c>
      <c r="G4730" s="7" t="inlineStr">
        <is>
          <t>Bookcase</t>
        </is>
      </c>
      <c r="H4730" s="7" t="inlineStr">
        <is>
          <t>Corporate</t>
        </is>
      </c>
      <c r="I4730" s="7" t="n">
        <v>2</v>
      </c>
      <c r="J4730" s="10" t="n">
        <v>177.76</v>
      </c>
      <c r="K4730" s="11" t="n">
        <v>0</v>
      </c>
      <c r="L4730" s="10">
        <f>I4730*J4730*(1-K4730)</f>
        <v/>
      </c>
      <c r="M4730" s="10" t="n">
        <v>288</v>
      </c>
      <c r="N4730" s="10">
        <f>L4730-M4730</f>
        <v/>
      </c>
    </row>
    <row r="4731">
      <c r="A4731" s="7" t="inlineStr">
        <is>
          <t>ORD-02681</t>
        </is>
      </c>
      <c r="B4731" s="8" t="n">
        <v>45867</v>
      </c>
      <c r="C4731" s="9" t="n">
        <v>45839</v>
      </c>
      <c r="D4731" s="7" t="n">
        <v>2025</v>
      </c>
      <c r="E4731" s="7" t="inlineStr">
        <is>
          <t>West</t>
        </is>
      </c>
      <c r="F4731" s="7" t="inlineStr">
        <is>
          <t>Office Supplies</t>
        </is>
      </c>
      <c r="G4731" s="7" t="inlineStr">
        <is>
          <t>Paper</t>
        </is>
      </c>
      <c r="H4731" s="7" t="inlineStr">
        <is>
          <t>Home Office</t>
        </is>
      </c>
      <c r="I4731" s="7" t="n">
        <v>4</v>
      </c>
      <c r="J4731" s="10" t="n">
        <v>24.07</v>
      </c>
      <c r="K4731" s="11" t="n">
        <v>0</v>
      </c>
      <c r="L4731" s="10">
        <f>I4731*J4731*(1-K4731)</f>
        <v/>
      </c>
      <c r="M4731" s="10" t="n">
        <v>50</v>
      </c>
      <c r="N4731" s="10">
        <f>L4731-M4731</f>
        <v/>
      </c>
    </row>
    <row r="4732">
      <c r="A4732" s="7" t="inlineStr">
        <is>
          <t>ORD-00642</t>
        </is>
      </c>
      <c r="B4732" s="8" t="n">
        <v>45867</v>
      </c>
      <c r="C4732" s="9" t="n">
        <v>45839</v>
      </c>
      <c r="D4732" s="7" t="n">
        <v>2025</v>
      </c>
      <c r="E4732" s="7" t="inlineStr">
        <is>
          <t>South</t>
        </is>
      </c>
      <c r="F4732" s="7" t="inlineStr">
        <is>
          <t>Technology</t>
        </is>
      </c>
      <c r="G4732" s="7" t="inlineStr">
        <is>
          <t>Smartphone</t>
        </is>
      </c>
      <c r="H4732" s="7" t="inlineStr">
        <is>
          <t>Corporate</t>
        </is>
      </c>
      <c r="I4732" s="7" t="n">
        <v>1</v>
      </c>
      <c r="J4732" s="10" t="n">
        <v>602.48</v>
      </c>
      <c r="K4732" s="11" t="n">
        <v>0.2</v>
      </c>
      <c r="L4732" s="10">
        <f>I4732*J4732*(1-K4732)</f>
        <v/>
      </c>
      <c r="M4732" s="10" t="n">
        <v>450</v>
      </c>
      <c r="N4732" s="10">
        <f>L4732-M4732</f>
        <v/>
      </c>
    </row>
    <row r="4733">
      <c r="A4733" s="7" t="inlineStr">
        <is>
          <t>ORD-05725</t>
        </is>
      </c>
      <c r="B4733" s="8" t="n">
        <v>45867</v>
      </c>
      <c r="C4733" s="9" t="n">
        <v>45839</v>
      </c>
      <c r="D4733" s="7" t="n">
        <v>2025</v>
      </c>
      <c r="E4733" s="7" t="inlineStr">
        <is>
          <t>West</t>
        </is>
      </c>
      <c r="F4733" s="7" t="inlineStr">
        <is>
          <t>Office Supplies</t>
        </is>
      </c>
      <c r="G4733" s="7" t="inlineStr">
        <is>
          <t>Stapler</t>
        </is>
      </c>
      <c r="H4733" s="7" t="inlineStr">
        <is>
          <t>Consumer</t>
        </is>
      </c>
      <c r="I4733" s="7" t="n">
        <v>6</v>
      </c>
      <c r="J4733" s="10" t="n">
        <v>15.09</v>
      </c>
      <c r="K4733" s="11" t="n">
        <v>0</v>
      </c>
      <c r="L4733" s="10">
        <f>I4733*J4733*(1-K4733)</f>
        <v/>
      </c>
      <c r="M4733" s="10" t="n">
        <v>45</v>
      </c>
      <c r="N4733" s="10">
        <f>L4733-M4733</f>
        <v/>
      </c>
    </row>
    <row r="4734">
      <c r="A4734" s="7" t="inlineStr">
        <is>
          <t>ORD-04060</t>
        </is>
      </c>
      <c r="B4734" s="8" t="n">
        <v>45867</v>
      </c>
      <c r="C4734" s="9" t="n">
        <v>45839</v>
      </c>
      <c r="D4734" s="7" t="n">
        <v>2025</v>
      </c>
      <c r="E4734" s="7" t="inlineStr">
        <is>
          <t>North</t>
        </is>
      </c>
      <c r="F4734" s="7" t="inlineStr">
        <is>
          <t>Office Supplies</t>
        </is>
      </c>
      <c r="G4734" s="7" t="inlineStr">
        <is>
          <t>Pens</t>
        </is>
      </c>
      <c r="H4734" s="7" t="inlineStr">
        <is>
          <t>Consumer</t>
        </is>
      </c>
      <c r="I4734" s="7" t="n">
        <v>2</v>
      </c>
      <c r="J4734" s="10" t="n">
        <v>12.36</v>
      </c>
      <c r="K4734" s="11" t="n">
        <v>0.2</v>
      </c>
      <c r="L4734" s="10">
        <f>I4734*J4734*(1-K4734)</f>
        <v/>
      </c>
      <c r="M4734" s="10" t="n">
        <v>10.8</v>
      </c>
      <c r="N4734" s="10">
        <f>L4734-M4734</f>
        <v/>
      </c>
    </row>
    <row r="4735">
      <c r="A4735" s="7" t="inlineStr">
        <is>
          <t>ORD-04946</t>
        </is>
      </c>
      <c r="B4735" s="8" t="n">
        <v>45867</v>
      </c>
      <c r="C4735" s="9" t="n">
        <v>45839</v>
      </c>
      <c r="D4735" s="7" t="n">
        <v>2025</v>
      </c>
      <c r="E4735" s="7" t="inlineStr">
        <is>
          <t>North</t>
        </is>
      </c>
      <c r="F4735" s="7" t="inlineStr">
        <is>
          <t>Furniture</t>
        </is>
      </c>
      <c r="G4735" s="7" t="inlineStr">
        <is>
          <t>Sofa</t>
        </is>
      </c>
      <c r="H4735" s="7" t="inlineStr">
        <is>
          <t>Home Office</t>
        </is>
      </c>
      <c r="I4735" s="7" t="n">
        <v>1</v>
      </c>
      <c r="J4735" s="10" t="n">
        <v>703.6799999999999</v>
      </c>
      <c r="K4735" s="11" t="n">
        <v>0.1</v>
      </c>
      <c r="L4735" s="10">
        <f>I4735*J4735*(1-K4735)</f>
        <v/>
      </c>
      <c r="M4735" s="10" t="n">
        <v>616</v>
      </c>
      <c r="N4735" s="10">
        <f>L4735-M4735</f>
        <v/>
      </c>
    </row>
    <row r="4736">
      <c r="A4736" s="7" t="inlineStr">
        <is>
          <t>ORD-00343</t>
        </is>
      </c>
      <c r="B4736" s="8" t="n">
        <v>45867</v>
      </c>
      <c r="C4736" s="9" t="n">
        <v>45839</v>
      </c>
      <c r="D4736" s="7" t="n">
        <v>2025</v>
      </c>
      <c r="E4736" s="7" t="inlineStr">
        <is>
          <t>North</t>
        </is>
      </c>
      <c r="F4736" s="7" t="inlineStr">
        <is>
          <t>Technology</t>
        </is>
      </c>
      <c r="G4736" s="7" t="inlineStr">
        <is>
          <t>Headphones</t>
        </is>
      </c>
      <c r="H4736" s="7" t="inlineStr">
        <is>
          <t>Consumer</t>
        </is>
      </c>
      <c r="I4736" s="7" t="n">
        <v>1</v>
      </c>
      <c r="J4736" s="10" t="n">
        <v>114.51</v>
      </c>
      <c r="K4736" s="11" t="n">
        <v>0.05</v>
      </c>
      <c r="L4736" s="10">
        <f>I4736*J4736*(1-K4736)</f>
        <v/>
      </c>
      <c r="M4736" s="10" t="n">
        <v>72</v>
      </c>
      <c r="N4736" s="10">
        <f>L4736-M4736</f>
        <v/>
      </c>
    </row>
    <row r="4737">
      <c r="A4737" s="7" t="inlineStr">
        <is>
          <t>ORD-04250</t>
        </is>
      </c>
      <c r="B4737" s="8" t="n">
        <v>45867</v>
      </c>
      <c r="C4737" s="9" t="n">
        <v>45839</v>
      </c>
      <c r="D4737" s="7" t="n">
        <v>2025</v>
      </c>
      <c r="E4737" s="7" t="inlineStr">
        <is>
          <t>North</t>
        </is>
      </c>
      <c r="F4737" s="7" t="inlineStr">
        <is>
          <t>Office Supplies</t>
        </is>
      </c>
      <c r="G4737" s="7" t="inlineStr">
        <is>
          <t>Binder</t>
        </is>
      </c>
      <c r="H4737" s="7" t="inlineStr">
        <is>
          <t>Home Office</t>
        </is>
      </c>
      <c r="I4737" s="7" t="n">
        <v>12</v>
      </c>
      <c r="J4737" s="10" t="n">
        <v>7.83</v>
      </c>
      <c r="K4737" s="11" t="n">
        <v>0.05</v>
      </c>
      <c r="L4737" s="10">
        <f>I4737*J4737*(1-K4737)</f>
        <v/>
      </c>
      <c r="M4737" s="10" t="n">
        <v>38.4</v>
      </c>
      <c r="N4737" s="10">
        <f>L4737-M4737</f>
        <v/>
      </c>
    </row>
    <row r="4738">
      <c r="A4738" s="7" t="inlineStr">
        <is>
          <t>ORD-01451</t>
        </is>
      </c>
      <c r="B4738" s="8" t="n">
        <v>45867</v>
      </c>
      <c r="C4738" s="9" t="n">
        <v>45839</v>
      </c>
      <c r="D4738" s="7" t="n">
        <v>2025</v>
      </c>
      <c r="E4738" s="7" t="inlineStr">
        <is>
          <t>West</t>
        </is>
      </c>
      <c r="F4738" s="7" t="inlineStr">
        <is>
          <t>Office Supplies</t>
        </is>
      </c>
      <c r="G4738" s="7" t="inlineStr">
        <is>
          <t>Pens</t>
        </is>
      </c>
      <c r="H4738" s="7" t="inlineStr">
        <is>
          <t>Consumer</t>
        </is>
      </c>
      <c r="I4738" s="7" t="n">
        <v>15</v>
      </c>
      <c r="J4738" s="10" t="n">
        <v>11.74</v>
      </c>
      <c r="K4738" s="11" t="n">
        <v>0</v>
      </c>
      <c r="L4738" s="10">
        <f>I4738*J4738*(1-K4738)</f>
        <v/>
      </c>
      <c r="M4738" s="10" t="n">
        <v>81</v>
      </c>
      <c r="N4738" s="10">
        <f>L4738-M4738</f>
        <v/>
      </c>
    </row>
    <row r="4739">
      <c r="A4739" s="7" t="inlineStr">
        <is>
          <t>ORD-00430</t>
        </is>
      </c>
      <c r="B4739" s="8" t="n">
        <v>45868</v>
      </c>
      <c r="C4739" s="9" t="n">
        <v>45839</v>
      </c>
      <c r="D4739" s="7" t="n">
        <v>2025</v>
      </c>
      <c r="E4739" s="7" t="inlineStr">
        <is>
          <t>West</t>
        </is>
      </c>
      <c r="F4739" s="7" t="inlineStr">
        <is>
          <t>Office Supplies</t>
        </is>
      </c>
      <c r="G4739" s="7" t="inlineStr">
        <is>
          <t>Paper</t>
        </is>
      </c>
      <c r="H4739" s="7" t="inlineStr">
        <is>
          <t>Consumer</t>
        </is>
      </c>
      <c r="I4739" s="7" t="n">
        <v>9</v>
      </c>
      <c r="J4739" s="10" t="n">
        <v>24.05</v>
      </c>
      <c r="K4739" s="11" t="n">
        <v>0.1</v>
      </c>
      <c r="L4739" s="10">
        <f>I4739*J4739*(1-K4739)</f>
        <v/>
      </c>
      <c r="M4739" s="10" t="n">
        <v>112.5</v>
      </c>
      <c r="N4739" s="10">
        <f>L4739-M4739</f>
        <v/>
      </c>
    </row>
    <row r="4740">
      <c r="A4740" s="7" t="inlineStr">
        <is>
          <t>ORD-00426</t>
        </is>
      </c>
      <c r="B4740" s="8" t="n">
        <v>45868</v>
      </c>
      <c r="C4740" s="9" t="n">
        <v>45839</v>
      </c>
      <c r="D4740" s="7" t="n">
        <v>2025</v>
      </c>
      <c r="E4740" s="7" t="inlineStr">
        <is>
          <t>West</t>
        </is>
      </c>
      <c r="F4740" s="7" t="inlineStr">
        <is>
          <t>Technology</t>
        </is>
      </c>
      <c r="G4740" s="7" t="inlineStr">
        <is>
          <t>Smartphone</t>
        </is>
      </c>
      <c r="H4740" s="7" t="inlineStr">
        <is>
          <t>Consumer</t>
        </is>
      </c>
      <c r="I4740" s="7" t="n">
        <v>1</v>
      </c>
      <c r="J4740" s="10" t="n">
        <v>621.5700000000001</v>
      </c>
      <c r="K4740" s="11" t="n">
        <v>0</v>
      </c>
      <c r="L4740" s="10">
        <f>I4740*J4740*(1-K4740)</f>
        <v/>
      </c>
      <c r="M4740" s="10" t="n">
        <v>450</v>
      </c>
      <c r="N4740" s="10">
        <f>L4740-M4740</f>
        <v/>
      </c>
    </row>
    <row r="4741">
      <c r="A4741" s="7" t="inlineStr">
        <is>
          <t>ORD-01148</t>
        </is>
      </c>
      <c r="B4741" s="8" t="n">
        <v>45868</v>
      </c>
      <c r="C4741" s="9" t="n">
        <v>45839</v>
      </c>
      <c r="D4741" s="7" t="n">
        <v>2025</v>
      </c>
      <c r="E4741" s="7" t="inlineStr">
        <is>
          <t>South</t>
        </is>
      </c>
      <c r="F4741" s="7" t="inlineStr">
        <is>
          <t>Office Supplies</t>
        </is>
      </c>
      <c r="G4741" s="7" t="inlineStr">
        <is>
          <t>Pens</t>
        </is>
      </c>
      <c r="H4741" s="7" t="inlineStr">
        <is>
          <t>Consumer</t>
        </is>
      </c>
      <c r="I4741" s="7" t="n">
        <v>8</v>
      </c>
      <c r="J4741" s="10" t="n">
        <v>12.47</v>
      </c>
      <c r="K4741" s="11" t="n">
        <v>0.1</v>
      </c>
      <c r="L4741" s="10">
        <f>I4741*J4741*(1-K4741)</f>
        <v/>
      </c>
      <c r="M4741" s="10" t="n">
        <v>43.2</v>
      </c>
      <c r="N4741" s="10">
        <f>L4741-M4741</f>
        <v/>
      </c>
    </row>
    <row r="4742">
      <c r="A4742" s="7" t="inlineStr">
        <is>
          <t>ORD-05771</t>
        </is>
      </c>
      <c r="B4742" s="8" t="n">
        <v>45868</v>
      </c>
      <c r="C4742" s="9" t="n">
        <v>45839</v>
      </c>
      <c r="D4742" s="7" t="n">
        <v>2025</v>
      </c>
      <c r="E4742" s="7" t="inlineStr">
        <is>
          <t>East</t>
        </is>
      </c>
      <c r="F4742" s="7" t="inlineStr">
        <is>
          <t>Technology</t>
        </is>
      </c>
      <c r="G4742" s="7" t="inlineStr">
        <is>
          <t>Headphones</t>
        </is>
      </c>
      <c r="H4742" s="7" t="inlineStr">
        <is>
          <t>Home Office</t>
        </is>
      </c>
      <c r="I4742" s="7" t="n">
        <v>2</v>
      </c>
      <c r="J4742" s="10" t="n">
        <v>116.3</v>
      </c>
      <c r="K4742" s="11" t="n">
        <v>0</v>
      </c>
      <c r="L4742" s="10">
        <f>I4742*J4742*(1-K4742)</f>
        <v/>
      </c>
      <c r="M4742" s="10" t="n">
        <v>144</v>
      </c>
      <c r="N4742" s="10">
        <f>L4742-M4742</f>
        <v/>
      </c>
    </row>
    <row r="4743">
      <c r="A4743" s="7" t="inlineStr">
        <is>
          <t>ORD-03324</t>
        </is>
      </c>
      <c r="B4743" s="8" t="n">
        <v>45868</v>
      </c>
      <c r="C4743" s="9" t="n">
        <v>45839</v>
      </c>
      <c r="D4743" s="7" t="n">
        <v>2025</v>
      </c>
      <c r="E4743" s="7" t="inlineStr">
        <is>
          <t>South</t>
        </is>
      </c>
      <c r="F4743" s="7" t="inlineStr">
        <is>
          <t>Technology</t>
        </is>
      </c>
      <c r="G4743" s="7" t="inlineStr">
        <is>
          <t>Headphones</t>
        </is>
      </c>
      <c r="H4743" s="7" t="inlineStr">
        <is>
          <t>Consumer</t>
        </is>
      </c>
      <c r="I4743" s="7" t="n">
        <v>3</v>
      </c>
      <c r="J4743" s="10" t="n">
        <v>123.15</v>
      </c>
      <c r="K4743" s="11" t="n">
        <v>0</v>
      </c>
      <c r="L4743" s="10">
        <f>I4743*J4743*(1-K4743)</f>
        <v/>
      </c>
      <c r="M4743" s="10" t="n">
        <v>216</v>
      </c>
      <c r="N4743" s="10">
        <f>L4743-M4743</f>
        <v/>
      </c>
    </row>
    <row r="4744">
      <c r="A4744" s="7" t="inlineStr">
        <is>
          <t>ORD-03718</t>
        </is>
      </c>
      <c r="B4744" s="8" t="n">
        <v>45868</v>
      </c>
      <c r="C4744" s="9" t="n">
        <v>45839</v>
      </c>
      <c r="D4744" s="7" t="n">
        <v>2025</v>
      </c>
      <c r="E4744" s="7" t="inlineStr">
        <is>
          <t>West</t>
        </is>
      </c>
      <c r="F4744" s="7" t="inlineStr">
        <is>
          <t>Furniture</t>
        </is>
      </c>
      <c r="G4744" s="7" t="inlineStr">
        <is>
          <t>Bookcase</t>
        </is>
      </c>
      <c r="H4744" s="7" t="inlineStr">
        <is>
          <t>Home Office</t>
        </is>
      </c>
      <c r="I4744" s="7" t="n">
        <v>2</v>
      </c>
      <c r="J4744" s="10" t="n">
        <v>188.11</v>
      </c>
      <c r="K4744" s="11" t="n">
        <v>0.2</v>
      </c>
      <c r="L4744" s="10">
        <f>I4744*J4744*(1-K4744)</f>
        <v/>
      </c>
      <c r="M4744" s="10" t="n">
        <v>288</v>
      </c>
      <c r="N4744" s="10">
        <f>L4744-M4744</f>
        <v/>
      </c>
    </row>
    <row r="4745">
      <c r="A4745" s="7" t="inlineStr">
        <is>
          <t>ORD-00630</t>
        </is>
      </c>
      <c r="B4745" s="8" t="n">
        <v>45869</v>
      </c>
      <c r="C4745" s="9" t="n">
        <v>45839</v>
      </c>
      <c r="D4745" s="7" t="n">
        <v>2025</v>
      </c>
      <c r="E4745" s="7" t="inlineStr">
        <is>
          <t>South</t>
        </is>
      </c>
      <c r="F4745" s="7" t="inlineStr">
        <is>
          <t>Office Supplies</t>
        </is>
      </c>
      <c r="G4745" s="7" t="inlineStr">
        <is>
          <t>Pens</t>
        </is>
      </c>
      <c r="H4745" s="7" t="inlineStr">
        <is>
          <t>Corporate</t>
        </is>
      </c>
      <c r="I4745" s="7" t="n">
        <v>11</v>
      </c>
      <c r="J4745" s="10" t="n">
        <v>11.5</v>
      </c>
      <c r="K4745" s="11" t="n">
        <v>0</v>
      </c>
      <c r="L4745" s="10">
        <f>I4745*J4745*(1-K4745)</f>
        <v/>
      </c>
      <c r="M4745" s="10" t="n">
        <v>59.4</v>
      </c>
      <c r="N4745" s="10">
        <f>L4745-M4745</f>
        <v/>
      </c>
    </row>
    <row r="4746">
      <c r="A4746" s="7" t="inlineStr">
        <is>
          <t>ORD-02488</t>
        </is>
      </c>
      <c r="B4746" s="8" t="n">
        <v>45869</v>
      </c>
      <c r="C4746" s="9" t="n">
        <v>45839</v>
      </c>
      <c r="D4746" s="7" t="n">
        <v>2025</v>
      </c>
      <c r="E4746" s="7" t="inlineStr">
        <is>
          <t>West</t>
        </is>
      </c>
      <c r="F4746" s="7" t="inlineStr">
        <is>
          <t>Technology</t>
        </is>
      </c>
      <c r="G4746" s="7" t="inlineStr">
        <is>
          <t>Headphones</t>
        </is>
      </c>
      <c r="H4746" s="7" t="inlineStr">
        <is>
          <t>Home Office</t>
        </is>
      </c>
      <c r="I4746" s="7" t="n">
        <v>2</v>
      </c>
      <c r="J4746" s="10" t="n">
        <v>125.77</v>
      </c>
      <c r="K4746" s="11" t="n">
        <v>0.2</v>
      </c>
      <c r="L4746" s="10">
        <f>I4746*J4746*(1-K4746)</f>
        <v/>
      </c>
      <c r="M4746" s="10" t="n">
        <v>144</v>
      </c>
      <c r="N4746" s="10">
        <f>L4746-M4746</f>
        <v/>
      </c>
    </row>
    <row r="4747">
      <c r="A4747" s="7" t="inlineStr">
        <is>
          <t>ORD-00298</t>
        </is>
      </c>
      <c r="B4747" s="8" t="n">
        <v>45869</v>
      </c>
      <c r="C4747" s="9" t="n">
        <v>45839</v>
      </c>
      <c r="D4747" s="7" t="n">
        <v>2025</v>
      </c>
      <c r="E4747" s="7" t="inlineStr">
        <is>
          <t>South</t>
        </is>
      </c>
      <c r="F4747" s="7" t="inlineStr">
        <is>
          <t>Furniture</t>
        </is>
      </c>
      <c r="G4747" s="7" t="inlineStr">
        <is>
          <t>Desk</t>
        </is>
      </c>
      <c r="H4747" s="7" t="inlineStr">
        <is>
          <t>Consumer</t>
        </is>
      </c>
      <c r="I4747" s="7" t="n">
        <v>1</v>
      </c>
      <c r="J4747" s="10" t="n">
        <v>438.04</v>
      </c>
      <c r="K4747" s="11" t="n">
        <v>0</v>
      </c>
      <c r="L4747" s="10">
        <f>I4747*J4747*(1-K4747)</f>
        <v/>
      </c>
      <c r="M4747" s="10" t="n">
        <v>382.5</v>
      </c>
      <c r="N4747" s="10">
        <f>L4747-M4747</f>
        <v/>
      </c>
    </row>
    <row r="4748">
      <c r="A4748" s="7" t="inlineStr">
        <is>
          <t>ORD-03248</t>
        </is>
      </c>
      <c r="B4748" s="8" t="n">
        <v>45869</v>
      </c>
      <c r="C4748" s="9" t="n">
        <v>45839</v>
      </c>
      <c r="D4748" s="7" t="n">
        <v>2025</v>
      </c>
      <c r="E4748" s="7" t="inlineStr">
        <is>
          <t>East</t>
        </is>
      </c>
      <c r="F4748" s="7" t="inlineStr">
        <is>
          <t>Office Supplies</t>
        </is>
      </c>
      <c r="G4748" s="7" t="inlineStr">
        <is>
          <t>Paper</t>
        </is>
      </c>
      <c r="H4748" s="7" t="inlineStr">
        <is>
          <t>Consumer</t>
        </is>
      </c>
      <c r="I4748" s="7" t="n">
        <v>5</v>
      </c>
      <c r="J4748" s="10" t="n">
        <v>24.17</v>
      </c>
      <c r="K4748" s="11" t="n">
        <v>0.05</v>
      </c>
      <c r="L4748" s="10">
        <f>I4748*J4748*(1-K4748)</f>
        <v/>
      </c>
      <c r="M4748" s="10" t="n">
        <v>62.5</v>
      </c>
      <c r="N4748" s="10">
        <f>L4748-M4748</f>
        <v/>
      </c>
    </row>
    <row r="4749">
      <c r="A4749" s="7" t="inlineStr">
        <is>
          <t>ORD-01650</t>
        </is>
      </c>
      <c r="B4749" s="8" t="n">
        <v>45869</v>
      </c>
      <c r="C4749" s="9" t="n">
        <v>45839</v>
      </c>
      <c r="D4749" s="7" t="n">
        <v>2025</v>
      </c>
      <c r="E4749" s="7" t="inlineStr">
        <is>
          <t>South</t>
        </is>
      </c>
      <c r="F4749" s="7" t="inlineStr">
        <is>
          <t>Technology</t>
        </is>
      </c>
      <c r="G4749" s="7" t="inlineStr">
        <is>
          <t>Laptop</t>
        </is>
      </c>
      <c r="H4749" s="7" t="inlineStr">
        <is>
          <t>Consumer</t>
        </is>
      </c>
      <c r="I4749" s="7" t="n">
        <v>3</v>
      </c>
      <c r="J4749" s="10" t="n">
        <v>881.24</v>
      </c>
      <c r="K4749" s="11" t="n">
        <v>0</v>
      </c>
      <c r="L4749" s="10">
        <f>I4749*J4749*(1-K4749)</f>
        <v/>
      </c>
      <c r="M4749" s="10" t="n">
        <v>2106</v>
      </c>
      <c r="N4749" s="10">
        <f>L4749-M4749</f>
        <v/>
      </c>
    </row>
    <row r="4750">
      <c r="A4750" s="7" t="inlineStr">
        <is>
          <t>ORD-04652</t>
        </is>
      </c>
      <c r="B4750" s="8" t="n">
        <v>45869</v>
      </c>
      <c r="C4750" s="9" t="n">
        <v>45839</v>
      </c>
      <c r="D4750" s="7" t="n">
        <v>2025</v>
      </c>
      <c r="E4750" s="7" t="inlineStr">
        <is>
          <t>East</t>
        </is>
      </c>
      <c r="F4750" s="7" t="inlineStr">
        <is>
          <t>Furniture</t>
        </is>
      </c>
      <c r="G4750" s="7" t="inlineStr">
        <is>
          <t>Office Chair</t>
        </is>
      </c>
      <c r="H4750" s="7" t="inlineStr">
        <is>
          <t>Corporate</t>
        </is>
      </c>
      <c r="I4750" s="7" t="n">
        <v>2</v>
      </c>
      <c r="J4750" s="10" t="n">
        <v>222.22</v>
      </c>
      <c r="K4750" s="11" t="n">
        <v>0.3</v>
      </c>
      <c r="L4750" s="10">
        <f>I4750*J4750*(1-K4750)</f>
        <v/>
      </c>
      <c r="M4750" s="10" t="n">
        <v>360.8</v>
      </c>
      <c r="N4750" s="10">
        <f>L4750-M4750</f>
        <v/>
      </c>
    </row>
    <row r="4751">
      <c r="A4751" s="7" t="inlineStr">
        <is>
          <t>ORD-01909</t>
        </is>
      </c>
      <c r="B4751" s="8" t="n">
        <v>45869</v>
      </c>
      <c r="C4751" s="9" t="n">
        <v>45839</v>
      </c>
      <c r="D4751" s="7" t="n">
        <v>2025</v>
      </c>
      <c r="E4751" s="7" t="inlineStr">
        <is>
          <t>East</t>
        </is>
      </c>
      <c r="F4751" s="7" t="inlineStr">
        <is>
          <t>Office Supplies</t>
        </is>
      </c>
      <c r="G4751" s="7" t="inlineStr">
        <is>
          <t>Stapler</t>
        </is>
      </c>
      <c r="H4751" s="7" t="inlineStr">
        <is>
          <t>Consumer</t>
        </is>
      </c>
      <c r="I4751" s="7" t="n">
        <v>3</v>
      </c>
      <c r="J4751" s="10" t="n">
        <v>14.89</v>
      </c>
      <c r="K4751" s="11" t="n">
        <v>0</v>
      </c>
      <c r="L4751" s="10">
        <f>I4751*J4751*(1-K4751)</f>
        <v/>
      </c>
      <c r="M4751" s="10" t="n">
        <v>22.5</v>
      </c>
      <c r="N4751" s="10">
        <f>L4751-M4751</f>
        <v/>
      </c>
    </row>
    <row r="4752">
      <c r="A4752" s="7" t="inlineStr">
        <is>
          <t>ORD-04727</t>
        </is>
      </c>
      <c r="B4752" s="8" t="n">
        <v>45871</v>
      </c>
      <c r="C4752" s="9" t="n">
        <v>45870</v>
      </c>
      <c r="D4752" s="7" t="n">
        <v>2025</v>
      </c>
      <c r="E4752" s="7" t="inlineStr">
        <is>
          <t>South</t>
        </is>
      </c>
      <c r="F4752" s="7" t="inlineStr">
        <is>
          <t>Technology</t>
        </is>
      </c>
      <c r="G4752" s="7" t="inlineStr">
        <is>
          <t>Keyboard</t>
        </is>
      </c>
      <c r="H4752" s="7" t="inlineStr">
        <is>
          <t>Home Office</t>
        </is>
      </c>
      <c r="I4752" s="7" t="n">
        <v>1</v>
      </c>
      <c r="J4752" s="10" t="n">
        <v>43.22</v>
      </c>
      <c r="K4752" s="11" t="n">
        <v>0</v>
      </c>
      <c r="L4752" s="10">
        <f>I4752*J4752*(1-K4752)</f>
        <v/>
      </c>
      <c r="M4752" s="10" t="n">
        <v>24.75</v>
      </c>
      <c r="N4752" s="10">
        <f>L4752-M4752</f>
        <v/>
      </c>
    </row>
    <row r="4753">
      <c r="A4753" s="7" t="inlineStr">
        <is>
          <t>ORD-05254</t>
        </is>
      </c>
      <c r="B4753" s="8" t="n">
        <v>45871</v>
      </c>
      <c r="C4753" s="9" t="n">
        <v>45870</v>
      </c>
      <c r="D4753" s="7" t="n">
        <v>2025</v>
      </c>
      <c r="E4753" s="7" t="inlineStr">
        <is>
          <t>West</t>
        </is>
      </c>
      <c r="F4753" s="7" t="inlineStr">
        <is>
          <t>Office Supplies</t>
        </is>
      </c>
      <c r="G4753" s="7" t="inlineStr">
        <is>
          <t>Binder</t>
        </is>
      </c>
      <c r="H4753" s="7" t="inlineStr">
        <is>
          <t>Consumer</t>
        </is>
      </c>
      <c r="I4753" s="7" t="n">
        <v>4</v>
      </c>
      <c r="J4753" s="10" t="n">
        <v>7.67</v>
      </c>
      <c r="K4753" s="11" t="n">
        <v>0.05</v>
      </c>
      <c r="L4753" s="10">
        <f>I4753*J4753*(1-K4753)</f>
        <v/>
      </c>
      <c r="M4753" s="10" t="n">
        <v>12.8</v>
      </c>
      <c r="N4753" s="10">
        <f>L4753-M4753</f>
        <v/>
      </c>
    </row>
    <row r="4754">
      <c r="A4754" s="7" t="inlineStr">
        <is>
          <t>ORD-03256</t>
        </is>
      </c>
      <c r="B4754" s="8" t="n">
        <v>45871</v>
      </c>
      <c r="C4754" s="9" t="n">
        <v>45870</v>
      </c>
      <c r="D4754" s="7" t="n">
        <v>2025</v>
      </c>
      <c r="E4754" s="7" t="inlineStr">
        <is>
          <t>West</t>
        </is>
      </c>
      <c r="F4754" s="7" t="inlineStr">
        <is>
          <t>Technology</t>
        </is>
      </c>
      <c r="G4754" s="7" t="inlineStr">
        <is>
          <t>Monitor</t>
        </is>
      </c>
      <c r="H4754" s="7" t="inlineStr">
        <is>
          <t>Consumer</t>
        </is>
      </c>
      <c r="I4754" s="7" t="n">
        <v>3</v>
      </c>
      <c r="J4754" s="10" t="n">
        <v>240.91</v>
      </c>
      <c r="K4754" s="11" t="n">
        <v>0.3</v>
      </c>
      <c r="L4754" s="10">
        <f>I4754*J4754*(1-K4754)</f>
        <v/>
      </c>
      <c r="M4754" s="10" t="n">
        <v>540</v>
      </c>
      <c r="N4754" s="10">
        <f>L4754-M4754</f>
        <v/>
      </c>
    </row>
    <row r="4755">
      <c r="A4755" s="7" t="inlineStr">
        <is>
          <t>ORD-03857</t>
        </is>
      </c>
      <c r="B4755" s="8" t="n">
        <v>45871</v>
      </c>
      <c r="C4755" s="9" t="n">
        <v>45870</v>
      </c>
      <c r="D4755" s="7" t="n">
        <v>2025</v>
      </c>
      <c r="E4755" s="7" t="inlineStr">
        <is>
          <t>South</t>
        </is>
      </c>
      <c r="F4755" s="7" t="inlineStr">
        <is>
          <t>Office Supplies</t>
        </is>
      </c>
      <c r="G4755" s="7" t="inlineStr">
        <is>
          <t>Printer Ink</t>
        </is>
      </c>
      <c r="H4755" s="7" t="inlineStr">
        <is>
          <t>Corporate</t>
        </is>
      </c>
      <c r="I4755" s="7" t="n">
        <v>2</v>
      </c>
      <c r="J4755" s="10" t="n">
        <v>61.17</v>
      </c>
      <c r="K4755" s="11" t="n">
        <v>0.1</v>
      </c>
      <c r="L4755" s="10">
        <f>I4755*J4755*(1-K4755)</f>
        <v/>
      </c>
      <c r="M4755" s="10" t="n">
        <v>72</v>
      </c>
      <c r="N4755" s="10">
        <f>L4755-M4755</f>
        <v/>
      </c>
    </row>
    <row r="4756">
      <c r="A4756" s="7" t="inlineStr">
        <is>
          <t>ORD-00236</t>
        </is>
      </c>
      <c r="B4756" s="8" t="n">
        <v>45871</v>
      </c>
      <c r="C4756" s="9" t="n">
        <v>45870</v>
      </c>
      <c r="D4756" s="7" t="n">
        <v>2025</v>
      </c>
      <c r="E4756" s="7" t="inlineStr">
        <is>
          <t>West</t>
        </is>
      </c>
      <c r="F4756" s="7" t="inlineStr">
        <is>
          <t>Office Supplies</t>
        </is>
      </c>
      <c r="G4756" s="7" t="inlineStr">
        <is>
          <t>Binder</t>
        </is>
      </c>
      <c r="H4756" s="7" t="inlineStr">
        <is>
          <t>Home Office</t>
        </is>
      </c>
      <c r="I4756" s="7" t="n">
        <v>11</v>
      </c>
      <c r="J4756" s="10" t="n">
        <v>8.09</v>
      </c>
      <c r="K4756" s="11" t="n">
        <v>0.1</v>
      </c>
      <c r="L4756" s="10">
        <f>I4756*J4756*(1-K4756)</f>
        <v/>
      </c>
      <c r="M4756" s="10" t="n">
        <v>35.2</v>
      </c>
      <c r="N4756" s="10">
        <f>L4756-M4756</f>
        <v/>
      </c>
    </row>
    <row r="4757">
      <c r="A4757" s="7" t="inlineStr">
        <is>
          <t>ORD-00214</t>
        </is>
      </c>
      <c r="B4757" s="8" t="n">
        <v>45871</v>
      </c>
      <c r="C4757" s="9" t="n">
        <v>45870</v>
      </c>
      <c r="D4757" s="7" t="n">
        <v>2025</v>
      </c>
      <c r="E4757" s="7" t="inlineStr">
        <is>
          <t>East</t>
        </is>
      </c>
      <c r="F4757" s="7" t="inlineStr">
        <is>
          <t>Technology</t>
        </is>
      </c>
      <c r="G4757" s="7" t="inlineStr">
        <is>
          <t>Keyboard</t>
        </is>
      </c>
      <c r="H4757" s="7" t="inlineStr">
        <is>
          <t>Home Office</t>
        </is>
      </c>
      <c r="I4757" s="7" t="n">
        <v>1</v>
      </c>
      <c r="J4757" s="10" t="n">
        <v>44.58</v>
      </c>
      <c r="K4757" s="11" t="n">
        <v>0.1</v>
      </c>
      <c r="L4757" s="10">
        <f>I4757*J4757*(1-K4757)</f>
        <v/>
      </c>
      <c r="M4757" s="10" t="n">
        <v>24.75</v>
      </c>
      <c r="N4757" s="10">
        <f>L4757-M4757</f>
        <v/>
      </c>
    </row>
    <row r="4758">
      <c r="A4758" s="7" t="inlineStr">
        <is>
          <t>ORD-03591</t>
        </is>
      </c>
      <c r="B4758" s="8" t="n">
        <v>45871</v>
      </c>
      <c r="C4758" s="9" t="n">
        <v>45870</v>
      </c>
      <c r="D4758" s="7" t="n">
        <v>2025</v>
      </c>
      <c r="E4758" s="7" t="inlineStr">
        <is>
          <t>South</t>
        </is>
      </c>
      <c r="F4758" s="7" t="inlineStr">
        <is>
          <t>Furniture</t>
        </is>
      </c>
      <c r="G4758" s="7" t="inlineStr">
        <is>
          <t>Sofa</t>
        </is>
      </c>
      <c r="H4758" s="7" t="inlineStr">
        <is>
          <t>Corporate</t>
        </is>
      </c>
      <c r="I4758" s="7" t="n">
        <v>3</v>
      </c>
      <c r="J4758" s="10" t="n">
        <v>720.98</v>
      </c>
      <c r="K4758" s="11" t="n">
        <v>0.3</v>
      </c>
      <c r="L4758" s="10">
        <f>I4758*J4758*(1-K4758)</f>
        <v/>
      </c>
      <c r="M4758" s="10" t="n">
        <v>1848</v>
      </c>
      <c r="N4758" s="10">
        <f>L4758-M4758</f>
        <v/>
      </c>
    </row>
    <row r="4759">
      <c r="A4759" s="7" t="inlineStr">
        <is>
          <t>ORD-00046</t>
        </is>
      </c>
      <c r="B4759" s="8" t="n">
        <v>45871</v>
      </c>
      <c r="C4759" s="9" t="n">
        <v>45870</v>
      </c>
      <c r="D4759" s="7" t="n">
        <v>2025</v>
      </c>
      <c r="E4759" s="7" t="inlineStr">
        <is>
          <t>East</t>
        </is>
      </c>
      <c r="F4759" s="7" t="inlineStr">
        <is>
          <t>Technology</t>
        </is>
      </c>
      <c r="G4759" s="7" t="inlineStr">
        <is>
          <t>Monitor</t>
        </is>
      </c>
      <c r="H4759" s="7" t="inlineStr">
        <is>
          <t>Corporate</t>
        </is>
      </c>
      <c r="I4759" s="7" t="n">
        <v>2</v>
      </c>
      <c r="J4759" s="10" t="n">
        <v>257.83</v>
      </c>
      <c r="K4759" s="11" t="n">
        <v>0</v>
      </c>
      <c r="L4759" s="10">
        <f>I4759*J4759*(1-K4759)</f>
        <v/>
      </c>
      <c r="M4759" s="10" t="n">
        <v>360</v>
      </c>
      <c r="N4759" s="10">
        <f>L4759-M4759</f>
        <v/>
      </c>
    </row>
    <row r="4760">
      <c r="A4760" s="7" t="inlineStr">
        <is>
          <t>ORD-00327</t>
        </is>
      </c>
      <c r="B4760" s="8" t="n">
        <v>45871</v>
      </c>
      <c r="C4760" s="9" t="n">
        <v>45870</v>
      </c>
      <c r="D4760" s="7" t="n">
        <v>2025</v>
      </c>
      <c r="E4760" s="7" t="inlineStr">
        <is>
          <t>North</t>
        </is>
      </c>
      <c r="F4760" s="7" t="inlineStr">
        <is>
          <t>Furniture</t>
        </is>
      </c>
      <c r="G4760" s="7" t="inlineStr">
        <is>
          <t>Bookcase</t>
        </is>
      </c>
      <c r="H4760" s="7" t="inlineStr">
        <is>
          <t>Corporate</t>
        </is>
      </c>
      <c r="I4760" s="7" t="n">
        <v>2</v>
      </c>
      <c r="J4760" s="10" t="n">
        <v>175.52</v>
      </c>
      <c r="K4760" s="11" t="n">
        <v>0</v>
      </c>
      <c r="L4760" s="10">
        <f>I4760*J4760*(1-K4760)</f>
        <v/>
      </c>
      <c r="M4760" s="10" t="n">
        <v>288</v>
      </c>
      <c r="N4760" s="10">
        <f>L4760-M4760</f>
        <v/>
      </c>
    </row>
    <row r="4761">
      <c r="A4761" s="7" t="inlineStr">
        <is>
          <t>ORD-03639</t>
        </is>
      </c>
      <c r="B4761" s="8" t="n">
        <v>45871</v>
      </c>
      <c r="C4761" s="9" t="n">
        <v>45870</v>
      </c>
      <c r="D4761" s="7" t="n">
        <v>2025</v>
      </c>
      <c r="E4761" s="7" t="inlineStr">
        <is>
          <t>South</t>
        </is>
      </c>
      <c r="F4761" s="7" t="inlineStr">
        <is>
          <t>Office Supplies</t>
        </is>
      </c>
      <c r="G4761" s="7" t="inlineStr">
        <is>
          <t>Printer Ink</t>
        </is>
      </c>
      <c r="H4761" s="7" t="inlineStr">
        <is>
          <t>Consumer</t>
        </is>
      </c>
      <c r="I4761" s="7" t="n">
        <v>4</v>
      </c>
      <c r="J4761" s="10" t="n">
        <v>62.04</v>
      </c>
      <c r="K4761" s="11" t="n">
        <v>0</v>
      </c>
      <c r="L4761" s="10">
        <f>I4761*J4761*(1-K4761)</f>
        <v/>
      </c>
      <c r="M4761" s="10" t="n">
        <v>144</v>
      </c>
      <c r="N4761" s="10">
        <f>L4761-M4761</f>
        <v/>
      </c>
    </row>
    <row r="4762">
      <c r="A4762" s="7" t="inlineStr">
        <is>
          <t>ORD-02666</t>
        </is>
      </c>
      <c r="B4762" s="8" t="n">
        <v>45872</v>
      </c>
      <c r="C4762" s="9" t="n">
        <v>45870</v>
      </c>
      <c r="D4762" s="7" t="n">
        <v>2025</v>
      </c>
      <c r="E4762" s="7" t="inlineStr">
        <is>
          <t>South</t>
        </is>
      </c>
      <c r="F4762" s="7" t="inlineStr">
        <is>
          <t>Office Supplies</t>
        </is>
      </c>
      <c r="G4762" s="7" t="inlineStr">
        <is>
          <t>Pens</t>
        </is>
      </c>
      <c r="H4762" s="7" t="inlineStr">
        <is>
          <t>Consumer</t>
        </is>
      </c>
      <c r="I4762" s="7" t="n">
        <v>15</v>
      </c>
      <c r="J4762" s="10" t="n">
        <v>12.15</v>
      </c>
      <c r="K4762" s="11" t="n">
        <v>0.2</v>
      </c>
      <c r="L4762" s="10">
        <f>I4762*J4762*(1-K4762)</f>
        <v/>
      </c>
      <c r="M4762" s="10" t="n">
        <v>81</v>
      </c>
      <c r="N4762" s="10">
        <f>L4762-M4762</f>
        <v/>
      </c>
    </row>
    <row r="4763">
      <c r="A4763" s="7" t="inlineStr">
        <is>
          <t>ORD-04853</t>
        </is>
      </c>
      <c r="B4763" s="8" t="n">
        <v>45872</v>
      </c>
      <c r="C4763" s="9" t="n">
        <v>45870</v>
      </c>
      <c r="D4763" s="7" t="n">
        <v>2025</v>
      </c>
      <c r="E4763" s="7" t="inlineStr">
        <is>
          <t>South</t>
        </is>
      </c>
      <c r="F4763" s="7" t="inlineStr">
        <is>
          <t>Office Supplies</t>
        </is>
      </c>
      <c r="G4763" s="7" t="inlineStr">
        <is>
          <t>Paper</t>
        </is>
      </c>
      <c r="H4763" s="7" t="inlineStr">
        <is>
          <t>Consumer</t>
        </is>
      </c>
      <c r="I4763" s="7" t="n">
        <v>8</v>
      </c>
      <c r="J4763" s="10" t="n">
        <v>24.87</v>
      </c>
      <c r="K4763" s="11" t="n">
        <v>0.1</v>
      </c>
      <c r="L4763" s="10">
        <f>I4763*J4763*(1-K4763)</f>
        <v/>
      </c>
      <c r="M4763" s="10" t="n">
        <v>100</v>
      </c>
      <c r="N4763" s="10">
        <f>L4763-M4763</f>
        <v/>
      </c>
    </row>
    <row r="4764">
      <c r="A4764" s="7" t="inlineStr">
        <is>
          <t>ORD-02405</t>
        </is>
      </c>
      <c r="B4764" s="8" t="n">
        <v>45872</v>
      </c>
      <c r="C4764" s="9" t="n">
        <v>45870</v>
      </c>
      <c r="D4764" s="7" t="n">
        <v>2025</v>
      </c>
      <c r="E4764" s="7" t="inlineStr">
        <is>
          <t>North</t>
        </is>
      </c>
      <c r="F4764" s="7" t="inlineStr">
        <is>
          <t>Furniture</t>
        </is>
      </c>
      <c r="G4764" s="7" t="inlineStr">
        <is>
          <t>Office Chair</t>
        </is>
      </c>
      <c r="H4764" s="7" t="inlineStr">
        <is>
          <t>Home Office</t>
        </is>
      </c>
      <c r="I4764" s="7" t="n">
        <v>4</v>
      </c>
      <c r="J4764" s="10" t="n">
        <v>229.26</v>
      </c>
      <c r="K4764" s="11" t="n">
        <v>0.3</v>
      </c>
      <c r="L4764" s="10">
        <f>I4764*J4764*(1-K4764)</f>
        <v/>
      </c>
      <c r="M4764" s="10" t="n">
        <v>721.6</v>
      </c>
      <c r="N4764" s="10">
        <f>L4764-M4764</f>
        <v/>
      </c>
    </row>
    <row r="4765">
      <c r="A4765" s="7" t="inlineStr">
        <is>
          <t>ORD-01266</t>
        </is>
      </c>
      <c r="B4765" s="8" t="n">
        <v>45873</v>
      </c>
      <c r="C4765" s="9" t="n">
        <v>45870</v>
      </c>
      <c r="D4765" s="7" t="n">
        <v>2025</v>
      </c>
      <c r="E4765" s="7" t="inlineStr">
        <is>
          <t>West</t>
        </is>
      </c>
      <c r="F4765" s="7" t="inlineStr">
        <is>
          <t>Office Supplies</t>
        </is>
      </c>
      <c r="G4765" s="7" t="inlineStr">
        <is>
          <t>Printer Ink</t>
        </is>
      </c>
      <c r="H4765" s="7" t="inlineStr">
        <is>
          <t>Corporate</t>
        </is>
      </c>
      <c r="I4765" s="7" t="n">
        <v>9</v>
      </c>
      <c r="J4765" s="10" t="n">
        <v>61.19</v>
      </c>
      <c r="K4765" s="11" t="n">
        <v>0.05</v>
      </c>
      <c r="L4765" s="10">
        <f>I4765*J4765*(1-K4765)</f>
        <v/>
      </c>
      <c r="M4765" s="10" t="n">
        <v>324</v>
      </c>
      <c r="N4765" s="10">
        <f>L4765-M4765</f>
        <v/>
      </c>
    </row>
    <row r="4766">
      <c r="A4766" s="7" t="inlineStr">
        <is>
          <t>ORD-04202</t>
        </is>
      </c>
      <c r="B4766" s="8" t="n">
        <v>45873</v>
      </c>
      <c r="C4766" s="9" t="n">
        <v>45870</v>
      </c>
      <c r="D4766" s="7" t="n">
        <v>2025</v>
      </c>
      <c r="E4766" s="7" t="inlineStr">
        <is>
          <t>South</t>
        </is>
      </c>
      <c r="F4766" s="7" t="inlineStr">
        <is>
          <t>Office Supplies</t>
        </is>
      </c>
      <c r="G4766" s="7" t="inlineStr">
        <is>
          <t>Printer Ink</t>
        </is>
      </c>
      <c r="H4766" s="7" t="inlineStr">
        <is>
          <t>Corporate</t>
        </is>
      </c>
      <c r="I4766" s="7" t="n">
        <v>2</v>
      </c>
      <c r="J4766" s="10" t="n">
        <v>60.01</v>
      </c>
      <c r="K4766" s="11" t="n">
        <v>0</v>
      </c>
      <c r="L4766" s="10">
        <f>I4766*J4766*(1-K4766)</f>
        <v/>
      </c>
      <c r="M4766" s="10" t="n">
        <v>72</v>
      </c>
      <c r="N4766" s="10">
        <f>L4766-M4766</f>
        <v/>
      </c>
    </row>
    <row r="4767">
      <c r="A4767" s="7" t="inlineStr">
        <is>
          <t>ORD-04186</t>
        </is>
      </c>
      <c r="B4767" s="8" t="n">
        <v>45873</v>
      </c>
      <c r="C4767" s="9" t="n">
        <v>45870</v>
      </c>
      <c r="D4767" s="7" t="n">
        <v>2025</v>
      </c>
      <c r="E4767" s="7" t="inlineStr">
        <is>
          <t>West</t>
        </is>
      </c>
      <c r="F4767" s="7" t="inlineStr">
        <is>
          <t>Technology</t>
        </is>
      </c>
      <c r="G4767" s="7" t="inlineStr">
        <is>
          <t>Smartphone</t>
        </is>
      </c>
      <c r="H4767" s="7" t="inlineStr">
        <is>
          <t>Consumer</t>
        </is>
      </c>
      <c r="I4767" s="7" t="n">
        <v>3</v>
      </c>
      <c r="J4767" s="10" t="n">
        <v>611.41</v>
      </c>
      <c r="K4767" s="11" t="n">
        <v>0.1</v>
      </c>
      <c r="L4767" s="10">
        <f>I4767*J4767*(1-K4767)</f>
        <v/>
      </c>
      <c r="M4767" s="10" t="n">
        <v>1350</v>
      </c>
      <c r="N4767" s="10">
        <f>L4767-M4767</f>
        <v/>
      </c>
    </row>
    <row r="4768">
      <c r="A4768" s="7" t="inlineStr">
        <is>
          <t>ORD-03593</t>
        </is>
      </c>
      <c r="B4768" s="8" t="n">
        <v>45873</v>
      </c>
      <c r="C4768" s="9" t="n">
        <v>45870</v>
      </c>
      <c r="D4768" s="7" t="n">
        <v>2025</v>
      </c>
      <c r="E4768" s="7" t="inlineStr">
        <is>
          <t>North</t>
        </is>
      </c>
      <c r="F4768" s="7" t="inlineStr">
        <is>
          <t>Technology</t>
        </is>
      </c>
      <c r="G4768" s="7" t="inlineStr">
        <is>
          <t>Laptop</t>
        </is>
      </c>
      <c r="H4768" s="7" t="inlineStr">
        <is>
          <t>Corporate</t>
        </is>
      </c>
      <c r="I4768" s="7" t="n">
        <v>2</v>
      </c>
      <c r="J4768" s="10" t="n">
        <v>905.6</v>
      </c>
      <c r="K4768" s="11" t="n">
        <v>0</v>
      </c>
      <c r="L4768" s="10">
        <f>I4768*J4768*(1-K4768)</f>
        <v/>
      </c>
      <c r="M4768" s="10" t="n">
        <v>1404</v>
      </c>
      <c r="N4768" s="10">
        <f>L4768-M4768</f>
        <v/>
      </c>
    </row>
    <row r="4769">
      <c r="A4769" s="7" t="inlineStr">
        <is>
          <t>ORD-02144</t>
        </is>
      </c>
      <c r="B4769" s="8" t="n">
        <v>45873</v>
      </c>
      <c r="C4769" s="9" t="n">
        <v>45870</v>
      </c>
      <c r="D4769" s="7" t="n">
        <v>2025</v>
      </c>
      <c r="E4769" s="7" t="inlineStr">
        <is>
          <t>East</t>
        </is>
      </c>
      <c r="F4769" s="7" t="inlineStr">
        <is>
          <t>Office Supplies</t>
        </is>
      </c>
      <c r="G4769" s="7" t="inlineStr">
        <is>
          <t>Pens</t>
        </is>
      </c>
      <c r="H4769" s="7" t="inlineStr">
        <is>
          <t>Corporate</t>
        </is>
      </c>
      <c r="I4769" s="7" t="n">
        <v>6</v>
      </c>
      <c r="J4769" s="10" t="n">
        <v>11.91</v>
      </c>
      <c r="K4769" s="11" t="n">
        <v>0</v>
      </c>
      <c r="L4769" s="10">
        <f>I4769*J4769*(1-K4769)</f>
        <v/>
      </c>
      <c r="M4769" s="10" t="n">
        <v>32.4</v>
      </c>
      <c r="N4769" s="10">
        <f>L4769-M4769</f>
        <v/>
      </c>
    </row>
    <row r="4770">
      <c r="A4770" s="7" t="inlineStr">
        <is>
          <t>ORD-03226</t>
        </is>
      </c>
      <c r="B4770" s="8" t="n">
        <v>45874</v>
      </c>
      <c r="C4770" s="9" t="n">
        <v>45870</v>
      </c>
      <c r="D4770" s="7" t="n">
        <v>2025</v>
      </c>
      <c r="E4770" s="7" t="inlineStr">
        <is>
          <t>North</t>
        </is>
      </c>
      <c r="F4770" s="7" t="inlineStr">
        <is>
          <t>Technology</t>
        </is>
      </c>
      <c r="G4770" s="7" t="inlineStr">
        <is>
          <t>Smartphone</t>
        </is>
      </c>
      <c r="H4770" s="7" t="inlineStr">
        <is>
          <t>Consumer</t>
        </is>
      </c>
      <c r="I4770" s="7" t="n">
        <v>3</v>
      </c>
      <c r="J4770" s="10" t="n">
        <v>586.9299999999999</v>
      </c>
      <c r="K4770" s="11" t="n">
        <v>0.05</v>
      </c>
      <c r="L4770" s="10">
        <f>I4770*J4770*(1-K4770)</f>
        <v/>
      </c>
      <c r="M4770" s="10" t="n">
        <v>1350</v>
      </c>
      <c r="N4770" s="10">
        <f>L4770-M4770</f>
        <v/>
      </c>
    </row>
    <row r="4771">
      <c r="A4771" s="7" t="inlineStr">
        <is>
          <t>ORD-00667</t>
        </is>
      </c>
      <c r="B4771" s="8" t="n">
        <v>45874</v>
      </c>
      <c r="C4771" s="9" t="n">
        <v>45870</v>
      </c>
      <c r="D4771" s="7" t="n">
        <v>2025</v>
      </c>
      <c r="E4771" s="7" t="inlineStr">
        <is>
          <t>South</t>
        </is>
      </c>
      <c r="F4771" s="7" t="inlineStr">
        <is>
          <t>Furniture</t>
        </is>
      </c>
      <c r="G4771" s="7" t="inlineStr">
        <is>
          <t>Office Chair</t>
        </is>
      </c>
      <c r="H4771" s="7" t="inlineStr">
        <is>
          <t>Consumer</t>
        </is>
      </c>
      <c r="I4771" s="7" t="n">
        <v>2</v>
      </c>
      <c r="J4771" s="10" t="n">
        <v>212.2</v>
      </c>
      <c r="K4771" s="11" t="n">
        <v>0.2</v>
      </c>
      <c r="L4771" s="10">
        <f>I4771*J4771*(1-K4771)</f>
        <v/>
      </c>
      <c r="M4771" s="10" t="n">
        <v>360.8</v>
      </c>
      <c r="N4771" s="10">
        <f>L4771-M4771</f>
        <v/>
      </c>
    </row>
    <row r="4772">
      <c r="A4772" s="7" t="inlineStr">
        <is>
          <t>ORD-02103</t>
        </is>
      </c>
      <c r="B4772" s="8" t="n">
        <v>45874</v>
      </c>
      <c r="C4772" s="9" t="n">
        <v>45870</v>
      </c>
      <c r="D4772" s="7" t="n">
        <v>2025</v>
      </c>
      <c r="E4772" s="7" t="inlineStr">
        <is>
          <t>South</t>
        </is>
      </c>
      <c r="F4772" s="7" t="inlineStr">
        <is>
          <t>Furniture</t>
        </is>
      </c>
      <c r="G4772" s="7" t="inlineStr">
        <is>
          <t>Office Chair</t>
        </is>
      </c>
      <c r="H4772" s="7" t="inlineStr">
        <is>
          <t>Home Office</t>
        </is>
      </c>
      <c r="I4772" s="7" t="n">
        <v>2</v>
      </c>
      <c r="J4772" s="10" t="n">
        <v>221.72</v>
      </c>
      <c r="K4772" s="11" t="n">
        <v>0.2</v>
      </c>
      <c r="L4772" s="10">
        <f>I4772*J4772*(1-K4772)</f>
        <v/>
      </c>
      <c r="M4772" s="10" t="n">
        <v>360.8</v>
      </c>
      <c r="N4772" s="10">
        <f>L4772-M4772</f>
        <v/>
      </c>
    </row>
    <row r="4773">
      <c r="A4773" s="7" t="inlineStr">
        <is>
          <t>ORD-02722</t>
        </is>
      </c>
      <c r="B4773" s="8" t="n">
        <v>45874</v>
      </c>
      <c r="C4773" s="9" t="n">
        <v>45870</v>
      </c>
      <c r="D4773" s="7" t="n">
        <v>2025</v>
      </c>
      <c r="E4773" s="7" t="inlineStr">
        <is>
          <t>East</t>
        </is>
      </c>
      <c r="F4773" s="7" t="inlineStr">
        <is>
          <t>Office Supplies</t>
        </is>
      </c>
      <c r="G4773" s="7" t="inlineStr">
        <is>
          <t>Paper</t>
        </is>
      </c>
      <c r="H4773" s="7" t="inlineStr">
        <is>
          <t>Consumer</t>
        </is>
      </c>
      <c r="I4773" s="7" t="n">
        <v>12</v>
      </c>
      <c r="J4773" s="10" t="n">
        <v>24.65</v>
      </c>
      <c r="K4773" s="11" t="n">
        <v>0.3</v>
      </c>
      <c r="L4773" s="10">
        <f>I4773*J4773*(1-K4773)</f>
        <v/>
      </c>
      <c r="M4773" s="10" t="n">
        <v>150</v>
      </c>
      <c r="N4773" s="10">
        <f>L4773-M4773</f>
        <v/>
      </c>
    </row>
    <row r="4774">
      <c r="A4774" s="7" t="inlineStr">
        <is>
          <t>ORD-04273</t>
        </is>
      </c>
      <c r="B4774" s="8" t="n">
        <v>45874</v>
      </c>
      <c r="C4774" s="9" t="n">
        <v>45870</v>
      </c>
      <c r="D4774" s="7" t="n">
        <v>2025</v>
      </c>
      <c r="E4774" s="7" t="inlineStr">
        <is>
          <t>South</t>
        </is>
      </c>
      <c r="F4774" s="7" t="inlineStr">
        <is>
          <t>Furniture</t>
        </is>
      </c>
      <c r="G4774" s="7" t="inlineStr">
        <is>
          <t>Office Chair</t>
        </is>
      </c>
      <c r="H4774" s="7" t="inlineStr">
        <is>
          <t>Consumer</t>
        </is>
      </c>
      <c r="I4774" s="7" t="n">
        <v>1</v>
      </c>
      <c r="J4774" s="10" t="n">
        <v>209.73</v>
      </c>
      <c r="K4774" s="11" t="n">
        <v>0.3</v>
      </c>
      <c r="L4774" s="10">
        <f>I4774*J4774*(1-K4774)</f>
        <v/>
      </c>
      <c r="M4774" s="10" t="n">
        <v>180.4</v>
      </c>
      <c r="N4774" s="10">
        <f>L4774-M4774</f>
        <v/>
      </c>
    </row>
    <row r="4775">
      <c r="A4775" s="7" t="inlineStr">
        <is>
          <t>ORD-00168</t>
        </is>
      </c>
      <c r="B4775" s="8" t="n">
        <v>45875</v>
      </c>
      <c r="C4775" s="9" t="n">
        <v>45870</v>
      </c>
      <c r="D4775" s="7" t="n">
        <v>2025</v>
      </c>
      <c r="E4775" s="7" t="inlineStr">
        <is>
          <t>East</t>
        </is>
      </c>
      <c r="F4775" s="7" t="inlineStr">
        <is>
          <t>Office Supplies</t>
        </is>
      </c>
      <c r="G4775" s="7" t="inlineStr">
        <is>
          <t>Binder</t>
        </is>
      </c>
      <c r="H4775" s="7" t="inlineStr">
        <is>
          <t>Home Office</t>
        </is>
      </c>
      <c r="I4775" s="7" t="n">
        <v>2</v>
      </c>
      <c r="J4775" s="10" t="n">
        <v>8.029999999999999</v>
      </c>
      <c r="K4775" s="11" t="n">
        <v>0.2</v>
      </c>
      <c r="L4775" s="10">
        <f>I4775*J4775*(1-K4775)</f>
        <v/>
      </c>
      <c r="M4775" s="10" t="n">
        <v>6.4</v>
      </c>
      <c r="N4775" s="10">
        <f>L4775-M4775</f>
        <v/>
      </c>
    </row>
    <row r="4776">
      <c r="A4776" s="7" t="inlineStr">
        <is>
          <t>ORD-05466</t>
        </is>
      </c>
      <c r="B4776" s="8" t="n">
        <v>45876</v>
      </c>
      <c r="C4776" s="9" t="n">
        <v>45870</v>
      </c>
      <c r="D4776" s="7" t="n">
        <v>2025</v>
      </c>
      <c r="E4776" s="7" t="inlineStr">
        <is>
          <t>South</t>
        </is>
      </c>
      <c r="F4776" s="7" t="inlineStr">
        <is>
          <t>Office Supplies</t>
        </is>
      </c>
      <c r="G4776" s="7" t="inlineStr">
        <is>
          <t>Pens</t>
        </is>
      </c>
      <c r="H4776" s="7" t="inlineStr">
        <is>
          <t>Corporate</t>
        </is>
      </c>
      <c r="I4776" s="7" t="n">
        <v>5</v>
      </c>
      <c r="J4776" s="10" t="n">
        <v>11.55</v>
      </c>
      <c r="K4776" s="11" t="n">
        <v>0.1</v>
      </c>
      <c r="L4776" s="10">
        <f>I4776*J4776*(1-K4776)</f>
        <v/>
      </c>
      <c r="M4776" s="10" t="n">
        <v>27</v>
      </c>
      <c r="N4776" s="10">
        <f>L4776-M4776</f>
        <v/>
      </c>
    </row>
    <row r="4777">
      <c r="A4777" s="7" t="inlineStr">
        <is>
          <t>ORD-03508</t>
        </is>
      </c>
      <c r="B4777" s="8" t="n">
        <v>45876</v>
      </c>
      <c r="C4777" s="9" t="n">
        <v>45870</v>
      </c>
      <c r="D4777" s="7" t="n">
        <v>2025</v>
      </c>
      <c r="E4777" s="7" t="inlineStr">
        <is>
          <t>West</t>
        </is>
      </c>
      <c r="F4777" s="7" t="inlineStr">
        <is>
          <t>Office Supplies</t>
        </is>
      </c>
      <c r="G4777" s="7" t="inlineStr">
        <is>
          <t>Binder</t>
        </is>
      </c>
      <c r="H4777" s="7" t="inlineStr">
        <is>
          <t>Corporate</t>
        </is>
      </c>
      <c r="I4777" s="7" t="n">
        <v>7</v>
      </c>
      <c r="J4777" s="10" t="n">
        <v>7.85</v>
      </c>
      <c r="K4777" s="11" t="n">
        <v>0</v>
      </c>
      <c r="L4777" s="10">
        <f>I4777*J4777*(1-K4777)</f>
        <v/>
      </c>
      <c r="M4777" s="10" t="n">
        <v>22.4</v>
      </c>
      <c r="N4777" s="10">
        <f>L4777-M4777</f>
        <v/>
      </c>
    </row>
    <row r="4778">
      <c r="A4778" s="7" t="inlineStr">
        <is>
          <t>ORD-01374</t>
        </is>
      </c>
      <c r="B4778" s="8" t="n">
        <v>45876</v>
      </c>
      <c r="C4778" s="9" t="n">
        <v>45870</v>
      </c>
      <c r="D4778" s="7" t="n">
        <v>2025</v>
      </c>
      <c r="E4778" s="7" t="inlineStr">
        <is>
          <t>North</t>
        </is>
      </c>
      <c r="F4778" s="7" t="inlineStr">
        <is>
          <t>Office Supplies</t>
        </is>
      </c>
      <c r="G4778" s="7" t="inlineStr">
        <is>
          <t>Binder</t>
        </is>
      </c>
      <c r="H4778" s="7" t="inlineStr">
        <is>
          <t>Corporate</t>
        </is>
      </c>
      <c r="I4778" s="7" t="n">
        <v>12</v>
      </c>
      <c r="J4778" s="10" t="n">
        <v>8.380000000000001</v>
      </c>
      <c r="K4778" s="11" t="n">
        <v>0.05</v>
      </c>
      <c r="L4778" s="10">
        <f>I4778*J4778*(1-K4778)</f>
        <v/>
      </c>
      <c r="M4778" s="10" t="n">
        <v>38.4</v>
      </c>
      <c r="N4778" s="10">
        <f>L4778-M4778</f>
        <v/>
      </c>
    </row>
    <row r="4779">
      <c r="A4779" s="7" t="inlineStr">
        <is>
          <t>ORD-01623</t>
        </is>
      </c>
      <c r="B4779" s="8" t="n">
        <v>45876</v>
      </c>
      <c r="C4779" s="9" t="n">
        <v>45870</v>
      </c>
      <c r="D4779" s="7" t="n">
        <v>2025</v>
      </c>
      <c r="E4779" s="7" t="inlineStr">
        <is>
          <t>West</t>
        </is>
      </c>
      <c r="F4779" s="7" t="inlineStr">
        <is>
          <t>Office Supplies</t>
        </is>
      </c>
      <c r="G4779" s="7" t="inlineStr">
        <is>
          <t>Pens</t>
        </is>
      </c>
      <c r="H4779" s="7" t="inlineStr">
        <is>
          <t>Corporate</t>
        </is>
      </c>
      <c r="I4779" s="7" t="n">
        <v>14</v>
      </c>
      <c r="J4779" s="10" t="n">
        <v>11.78</v>
      </c>
      <c r="K4779" s="11" t="n">
        <v>0</v>
      </c>
      <c r="L4779" s="10">
        <f>I4779*J4779*(1-K4779)</f>
        <v/>
      </c>
      <c r="M4779" s="10" t="n">
        <v>75.59999999999999</v>
      </c>
      <c r="N4779" s="10">
        <f>L4779-M4779</f>
        <v/>
      </c>
    </row>
    <row r="4780">
      <c r="A4780" s="7" t="inlineStr">
        <is>
          <t>ORD-04295</t>
        </is>
      </c>
      <c r="B4780" s="8" t="n">
        <v>45876</v>
      </c>
      <c r="C4780" s="9" t="n">
        <v>45870</v>
      </c>
      <c r="D4780" s="7" t="n">
        <v>2025</v>
      </c>
      <c r="E4780" s="7" t="inlineStr">
        <is>
          <t>West</t>
        </is>
      </c>
      <c r="F4780" s="7" t="inlineStr">
        <is>
          <t>Furniture</t>
        </is>
      </c>
      <c r="G4780" s="7" t="inlineStr">
        <is>
          <t>Office Chair</t>
        </is>
      </c>
      <c r="H4780" s="7" t="inlineStr">
        <is>
          <t>Consumer</t>
        </is>
      </c>
      <c r="I4780" s="7" t="n">
        <v>4</v>
      </c>
      <c r="J4780" s="10" t="n">
        <v>227.06</v>
      </c>
      <c r="K4780" s="11" t="n">
        <v>0.2</v>
      </c>
      <c r="L4780" s="10">
        <f>I4780*J4780*(1-K4780)</f>
        <v/>
      </c>
      <c r="M4780" s="10" t="n">
        <v>721.6</v>
      </c>
      <c r="N4780" s="10">
        <f>L4780-M4780</f>
        <v/>
      </c>
    </row>
    <row r="4781">
      <c r="A4781" s="7" t="inlineStr">
        <is>
          <t>ORD-05530</t>
        </is>
      </c>
      <c r="B4781" s="8" t="n">
        <v>45877</v>
      </c>
      <c r="C4781" s="9" t="n">
        <v>45870</v>
      </c>
      <c r="D4781" s="7" t="n">
        <v>2025</v>
      </c>
      <c r="E4781" s="7" t="inlineStr">
        <is>
          <t>South</t>
        </is>
      </c>
      <c r="F4781" s="7" t="inlineStr">
        <is>
          <t>Office Supplies</t>
        </is>
      </c>
      <c r="G4781" s="7" t="inlineStr">
        <is>
          <t>Paper</t>
        </is>
      </c>
      <c r="H4781" s="7" t="inlineStr">
        <is>
          <t>Consumer</t>
        </is>
      </c>
      <c r="I4781" s="7" t="n">
        <v>4</v>
      </c>
      <c r="J4781" s="10" t="n">
        <v>24.03</v>
      </c>
      <c r="K4781" s="11" t="n">
        <v>0</v>
      </c>
      <c r="L4781" s="10">
        <f>I4781*J4781*(1-K4781)</f>
        <v/>
      </c>
      <c r="M4781" s="10" t="n">
        <v>50</v>
      </c>
      <c r="N4781" s="10">
        <f>L4781-M4781</f>
        <v/>
      </c>
    </row>
    <row r="4782">
      <c r="A4782" s="7" t="inlineStr">
        <is>
          <t>ORD-01342</t>
        </is>
      </c>
      <c r="B4782" s="8" t="n">
        <v>45877</v>
      </c>
      <c r="C4782" s="9" t="n">
        <v>45870</v>
      </c>
      <c r="D4782" s="7" t="n">
        <v>2025</v>
      </c>
      <c r="E4782" s="7" t="inlineStr">
        <is>
          <t>West</t>
        </is>
      </c>
      <c r="F4782" s="7" t="inlineStr">
        <is>
          <t>Office Supplies</t>
        </is>
      </c>
      <c r="G4782" s="7" t="inlineStr">
        <is>
          <t>Paper</t>
        </is>
      </c>
      <c r="H4782" s="7" t="inlineStr">
        <is>
          <t>Consumer</t>
        </is>
      </c>
      <c r="I4782" s="7" t="n">
        <v>12</v>
      </c>
      <c r="J4782" s="10" t="n">
        <v>24.71</v>
      </c>
      <c r="K4782" s="11" t="n">
        <v>0.1</v>
      </c>
      <c r="L4782" s="10">
        <f>I4782*J4782*(1-K4782)</f>
        <v/>
      </c>
      <c r="M4782" s="10" t="n">
        <v>150</v>
      </c>
      <c r="N4782" s="10">
        <f>L4782-M4782</f>
        <v/>
      </c>
    </row>
    <row r="4783">
      <c r="A4783" s="7" t="inlineStr">
        <is>
          <t>ORD-01934</t>
        </is>
      </c>
      <c r="B4783" s="8" t="n">
        <v>45877</v>
      </c>
      <c r="C4783" s="9" t="n">
        <v>45870</v>
      </c>
      <c r="D4783" s="7" t="n">
        <v>2025</v>
      </c>
      <c r="E4783" s="7" t="inlineStr">
        <is>
          <t>West</t>
        </is>
      </c>
      <c r="F4783" s="7" t="inlineStr">
        <is>
          <t>Technology</t>
        </is>
      </c>
      <c r="G4783" s="7" t="inlineStr">
        <is>
          <t>Monitor</t>
        </is>
      </c>
      <c r="H4783" s="7" t="inlineStr">
        <is>
          <t>Consumer</t>
        </is>
      </c>
      <c r="I4783" s="7" t="n">
        <v>1</v>
      </c>
      <c r="J4783" s="10" t="n">
        <v>254.28</v>
      </c>
      <c r="K4783" s="11" t="n">
        <v>0.1</v>
      </c>
      <c r="L4783" s="10">
        <f>I4783*J4783*(1-K4783)</f>
        <v/>
      </c>
      <c r="M4783" s="10" t="n">
        <v>180</v>
      </c>
      <c r="N4783" s="10">
        <f>L4783-M4783</f>
        <v/>
      </c>
    </row>
    <row r="4784">
      <c r="A4784" s="7" t="inlineStr">
        <is>
          <t>ORD-03902</t>
        </is>
      </c>
      <c r="B4784" s="8" t="n">
        <v>45877</v>
      </c>
      <c r="C4784" s="9" t="n">
        <v>45870</v>
      </c>
      <c r="D4784" s="7" t="n">
        <v>2025</v>
      </c>
      <c r="E4784" s="7" t="inlineStr">
        <is>
          <t>West</t>
        </is>
      </c>
      <c r="F4784" s="7" t="inlineStr">
        <is>
          <t>Technology</t>
        </is>
      </c>
      <c r="G4784" s="7" t="inlineStr">
        <is>
          <t>Headphones</t>
        </is>
      </c>
      <c r="H4784" s="7" t="inlineStr">
        <is>
          <t>Consumer</t>
        </is>
      </c>
      <c r="I4784" s="7" t="n">
        <v>2</v>
      </c>
      <c r="J4784" s="10" t="n">
        <v>115.88</v>
      </c>
      <c r="K4784" s="11" t="n">
        <v>0.1</v>
      </c>
      <c r="L4784" s="10">
        <f>I4784*J4784*(1-K4784)</f>
        <v/>
      </c>
      <c r="M4784" s="10" t="n">
        <v>144</v>
      </c>
      <c r="N4784" s="10">
        <f>L4784-M4784</f>
        <v/>
      </c>
    </row>
    <row r="4785">
      <c r="A4785" s="7" t="inlineStr">
        <is>
          <t>ORD-02027</t>
        </is>
      </c>
      <c r="B4785" s="8" t="n">
        <v>45877</v>
      </c>
      <c r="C4785" s="9" t="n">
        <v>45870</v>
      </c>
      <c r="D4785" s="7" t="n">
        <v>2025</v>
      </c>
      <c r="E4785" s="7" t="inlineStr">
        <is>
          <t>East</t>
        </is>
      </c>
      <c r="F4785" s="7" t="inlineStr">
        <is>
          <t>Furniture</t>
        </is>
      </c>
      <c r="G4785" s="7" t="inlineStr">
        <is>
          <t>Desk</t>
        </is>
      </c>
      <c r="H4785" s="7" t="inlineStr">
        <is>
          <t>Corporate</t>
        </is>
      </c>
      <c r="I4785" s="7" t="n">
        <v>4</v>
      </c>
      <c r="J4785" s="10" t="n">
        <v>468.58</v>
      </c>
      <c r="K4785" s="11" t="n">
        <v>0.3</v>
      </c>
      <c r="L4785" s="10">
        <f>I4785*J4785*(1-K4785)</f>
        <v/>
      </c>
      <c r="M4785" s="10" t="n">
        <v>1530</v>
      </c>
      <c r="N4785" s="10">
        <f>L4785-M4785</f>
        <v/>
      </c>
    </row>
    <row r="4786">
      <c r="A4786" s="7" t="inlineStr">
        <is>
          <t>ORD-04667</t>
        </is>
      </c>
      <c r="B4786" s="8" t="n">
        <v>45877</v>
      </c>
      <c r="C4786" s="9" t="n">
        <v>45870</v>
      </c>
      <c r="D4786" s="7" t="n">
        <v>2025</v>
      </c>
      <c r="E4786" s="7" t="inlineStr">
        <is>
          <t>West</t>
        </is>
      </c>
      <c r="F4786" s="7" t="inlineStr">
        <is>
          <t>Office Supplies</t>
        </is>
      </c>
      <c r="G4786" s="7" t="inlineStr">
        <is>
          <t>Paper</t>
        </is>
      </c>
      <c r="H4786" s="7" t="inlineStr">
        <is>
          <t>Corporate</t>
        </is>
      </c>
      <c r="I4786" s="7" t="n">
        <v>12</v>
      </c>
      <c r="J4786" s="10" t="n">
        <v>23.97</v>
      </c>
      <c r="K4786" s="11" t="n">
        <v>0</v>
      </c>
      <c r="L4786" s="10">
        <f>I4786*J4786*(1-K4786)</f>
        <v/>
      </c>
      <c r="M4786" s="10" t="n">
        <v>150</v>
      </c>
      <c r="N4786" s="10">
        <f>L4786-M4786</f>
        <v/>
      </c>
    </row>
    <row r="4787">
      <c r="A4787" s="7" t="inlineStr">
        <is>
          <t>ORD-05442</t>
        </is>
      </c>
      <c r="B4787" s="8" t="n">
        <v>45878</v>
      </c>
      <c r="C4787" s="9" t="n">
        <v>45870</v>
      </c>
      <c r="D4787" s="7" t="n">
        <v>2025</v>
      </c>
      <c r="E4787" s="7" t="inlineStr">
        <is>
          <t>West</t>
        </is>
      </c>
      <c r="F4787" s="7" t="inlineStr">
        <is>
          <t>Technology</t>
        </is>
      </c>
      <c r="G4787" s="7" t="inlineStr">
        <is>
          <t>Keyboard</t>
        </is>
      </c>
      <c r="H4787" s="7" t="inlineStr">
        <is>
          <t>Consumer</t>
        </is>
      </c>
      <c r="I4787" s="7" t="n">
        <v>3</v>
      </c>
      <c r="J4787" s="10" t="n">
        <v>45.24</v>
      </c>
      <c r="K4787" s="11" t="n">
        <v>0.1</v>
      </c>
      <c r="L4787" s="10">
        <f>I4787*J4787*(1-K4787)</f>
        <v/>
      </c>
      <c r="M4787" s="10" t="n">
        <v>74.25</v>
      </c>
      <c r="N4787" s="10">
        <f>L4787-M4787</f>
        <v/>
      </c>
    </row>
    <row r="4788">
      <c r="A4788" s="7" t="inlineStr">
        <is>
          <t>ORD-01599</t>
        </is>
      </c>
      <c r="B4788" s="8" t="n">
        <v>45878</v>
      </c>
      <c r="C4788" s="9" t="n">
        <v>45870</v>
      </c>
      <c r="D4788" s="7" t="n">
        <v>2025</v>
      </c>
      <c r="E4788" s="7" t="inlineStr">
        <is>
          <t>East</t>
        </is>
      </c>
      <c r="F4788" s="7" t="inlineStr">
        <is>
          <t>Office Supplies</t>
        </is>
      </c>
      <c r="G4788" s="7" t="inlineStr">
        <is>
          <t>Paper</t>
        </is>
      </c>
      <c r="H4788" s="7" t="inlineStr">
        <is>
          <t>Consumer</t>
        </is>
      </c>
      <c r="I4788" s="7" t="n">
        <v>14</v>
      </c>
      <c r="J4788" s="10" t="n">
        <v>24.05</v>
      </c>
      <c r="K4788" s="11" t="n">
        <v>0.05</v>
      </c>
      <c r="L4788" s="10">
        <f>I4788*J4788*(1-K4788)</f>
        <v/>
      </c>
      <c r="M4788" s="10" t="n">
        <v>175</v>
      </c>
      <c r="N4788" s="10">
        <f>L4788-M4788</f>
        <v/>
      </c>
    </row>
    <row r="4789">
      <c r="A4789" s="7" t="inlineStr">
        <is>
          <t>ORD-04979</t>
        </is>
      </c>
      <c r="B4789" s="8" t="n">
        <v>45878</v>
      </c>
      <c r="C4789" s="9" t="n">
        <v>45870</v>
      </c>
      <c r="D4789" s="7" t="n">
        <v>2025</v>
      </c>
      <c r="E4789" s="7" t="inlineStr">
        <is>
          <t>East</t>
        </is>
      </c>
      <c r="F4789" s="7" t="inlineStr">
        <is>
          <t>Technology</t>
        </is>
      </c>
      <c r="G4789" s="7" t="inlineStr">
        <is>
          <t>Smartphone</t>
        </is>
      </c>
      <c r="H4789" s="7" t="inlineStr">
        <is>
          <t>Home Office</t>
        </is>
      </c>
      <c r="I4789" s="7" t="n">
        <v>1</v>
      </c>
      <c r="J4789" s="10" t="n">
        <v>591.87</v>
      </c>
      <c r="K4789" s="11" t="n">
        <v>0.05</v>
      </c>
      <c r="L4789" s="10">
        <f>I4789*J4789*(1-K4789)</f>
        <v/>
      </c>
      <c r="M4789" s="10" t="n">
        <v>450</v>
      </c>
      <c r="N4789" s="10">
        <f>L4789-M4789</f>
        <v/>
      </c>
    </row>
    <row r="4790">
      <c r="A4790" s="7" t="inlineStr">
        <is>
          <t>ORD-03222</t>
        </is>
      </c>
      <c r="B4790" s="8" t="n">
        <v>45878</v>
      </c>
      <c r="C4790" s="9" t="n">
        <v>45870</v>
      </c>
      <c r="D4790" s="7" t="n">
        <v>2025</v>
      </c>
      <c r="E4790" s="7" t="inlineStr">
        <is>
          <t>East</t>
        </is>
      </c>
      <c r="F4790" s="7" t="inlineStr">
        <is>
          <t>Furniture</t>
        </is>
      </c>
      <c r="G4790" s="7" t="inlineStr">
        <is>
          <t>Office Chair</t>
        </is>
      </c>
      <c r="H4790" s="7" t="inlineStr">
        <is>
          <t>Corporate</t>
        </is>
      </c>
      <c r="I4790" s="7" t="n">
        <v>4</v>
      </c>
      <c r="J4790" s="10" t="n">
        <v>215.57</v>
      </c>
      <c r="K4790" s="11" t="n">
        <v>0.2</v>
      </c>
      <c r="L4790" s="10">
        <f>I4790*J4790*(1-K4790)</f>
        <v/>
      </c>
      <c r="M4790" s="10" t="n">
        <v>721.6</v>
      </c>
      <c r="N4790" s="10">
        <f>L4790-M4790</f>
        <v/>
      </c>
    </row>
    <row r="4791">
      <c r="A4791" s="7" t="inlineStr">
        <is>
          <t>ORD-05789</t>
        </is>
      </c>
      <c r="B4791" s="8" t="n">
        <v>45878</v>
      </c>
      <c r="C4791" s="9" t="n">
        <v>45870</v>
      </c>
      <c r="D4791" s="7" t="n">
        <v>2025</v>
      </c>
      <c r="E4791" s="7" t="inlineStr">
        <is>
          <t>South</t>
        </is>
      </c>
      <c r="F4791" s="7" t="inlineStr">
        <is>
          <t>Technology</t>
        </is>
      </c>
      <c r="G4791" s="7" t="inlineStr">
        <is>
          <t>Monitor</t>
        </is>
      </c>
      <c r="H4791" s="7" t="inlineStr">
        <is>
          <t>Home Office</t>
        </is>
      </c>
      <c r="I4791" s="7" t="n">
        <v>3</v>
      </c>
      <c r="J4791" s="10" t="n">
        <v>262.38</v>
      </c>
      <c r="K4791" s="11" t="n">
        <v>0.2</v>
      </c>
      <c r="L4791" s="10">
        <f>I4791*J4791*(1-K4791)</f>
        <v/>
      </c>
      <c r="M4791" s="10" t="n">
        <v>540</v>
      </c>
      <c r="N4791" s="10">
        <f>L4791-M4791</f>
        <v/>
      </c>
    </row>
    <row r="4792">
      <c r="A4792" s="7" t="inlineStr">
        <is>
          <t>ORD-01754</t>
        </is>
      </c>
      <c r="B4792" s="8" t="n">
        <v>45878</v>
      </c>
      <c r="C4792" s="9" t="n">
        <v>45870</v>
      </c>
      <c r="D4792" s="7" t="n">
        <v>2025</v>
      </c>
      <c r="E4792" s="7" t="inlineStr">
        <is>
          <t>North</t>
        </is>
      </c>
      <c r="F4792" s="7" t="inlineStr">
        <is>
          <t>Office Supplies</t>
        </is>
      </c>
      <c r="G4792" s="7" t="inlineStr">
        <is>
          <t>Printer Ink</t>
        </is>
      </c>
      <c r="H4792" s="7" t="inlineStr">
        <is>
          <t>Consumer</t>
        </is>
      </c>
      <c r="I4792" s="7" t="n">
        <v>3</v>
      </c>
      <c r="J4792" s="10" t="n">
        <v>58.9</v>
      </c>
      <c r="K4792" s="11" t="n">
        <v>0.05</v>
      </c>
      <c r="L4792" s="10">
        <f>I4792*J4792*(1-K4792)</f>
        <v/>
      </c>
      <c r="M4792" s="10" t="n">
        <v>108</v>
      </c>
      <c r="N4792" s="10">
        <f>L4792-M4792</f>
        <v/>
      </c>
    </row>
    <row r="4793">
      <c r="A4793" s="7" t="inlineStr">
        <is>
          <t>ORD-04340</t>
        </is>
      </c>
      <c r="B4793" s="8" t="n">
        <v>45878</v>
      </c>
      <c r="C4793" s="9" t="n">
        <v>45870</v>
      </c>
      <c r="D4793" s="7" t="n">
        <v>2025</v>
      </c>
      <c r="E4793" s="7" t="inlineStr">
        <is>
          <t>South</t>
        </is>
      </c>
      <c r="F4793" s="7" t="inlineStr">
        <is>
          <t>Office Supplies</t>
        </is>
      </c>
      <c r="G4793" s="7" t="inlineStr">
        <is>
          <t>Paper</t>
        </is>
      </c>
      <c r="H4793" s="7" t="inlineStr">
        <is>
          <t>Consumer</t>
        </is>
      </c>
      <c r="I4793" s="7" t="n">
        <v>12</v>
      </c>
      <c r="J4793" s="10" t="n">
        <v>24.77</v>
      </c>
      <c r="K4793" s="11" t="n">
        <v>0.2</v>
      </c>
      <c r="L4793" s="10">
        <f>I4793*J4793*(1-K4793)</f>
        <v/>
      </c>
      <c r="M4793" s="10" t="n">
        <v>150</v>
      </c>
      <c r="N4793" s="10">
        <f>L4793-M4793</f>
        <v/>
      </c>
    </row>
    <row r="4794">
      <c r="A4794" s="7" t="inlineStr">
        <is>
          <t>ORD-01505</t>
        </is>
      </c>
      <c r="B4794" s="8" t="n">
        <v>45879</v>
      </c>
      <c r="C4794" s="9" t="n">
        <v>45870</v>
      </c>
      <c r="D4794" s="7" t="n">
        <v>2025</v>
      </c>
      <c r="E4794" s="7" t="inlineStr">
        <is>
          <t>East</t>
        </is>
      </c>
      <c r="F4794" s="7" t="inlineStr">
        <is>
          <t>Office Supplies</t>
        </is>
      </c>
      <c r="G4794" s="7" t="inlineStr">
        <is>
          <t>Printer Ink</t>
        </is>
      </c>
      <c r="H4794" s="7" t="inlineStr">
        <is>
          <t>Consumer</t>
        </is>
      </c>
      <c r="I4794" s="7" t="n">
        <v>3</v>
      </c>
      <c r="J4794" s="10" t="n">
        <v>62.2</v>
      </c>
      <c r="K4794" s="11" t="n">
        <v>0</v>
      </c>
      <c r="L4794" s="10">
        <f>I4794*J4794*(1-K4794)</f>
        <v/>
      </c>
      <c r="M4794" s="10" t="n">
        <v>108</v>
      </c>
      <c r="N4794" s="10">
        <f>L4794-M4794</f>
        <v/>
      </c>
    </row>
    <row r="4795">
      <c r="A4795" s="7" t="inlineStr">
        <is>
          <t>ORD-02829</t>
        </is>
      </c>
      <c r="B4795" s="8" t="n">
        <v>45879</v>
      </c>
      <c r="C4795" s="9" t="n">
        <v>45870</v>
      </c>
      <c r="D4795" s="7" t="n">
        <v>2025</v>
      </c>
      <c r="E4795" s="7" t="inlineStr">
        <is>
          <t>West</t>
        </is>
      </c>
      <c r="F4795" s="7" t="inlineStr">
        <is>
          <t>Furniture</t>
        </is>
      </c>
      <c r="G4795" s="7" t="inlineStr">
        <is>
          <t>Bookcase</t>
        </is>
      </c>
      <c r="H4795" s="7" t="inlineStr">
        <is>
          <t>Consumer</t>
        </is>
      </c>
      <c r="I4795" s="7" t="n">
        <v>2</v>
      </c>
      <c r="J4795" s="10" t="n">
        <v>178.17</v>
      </c>
      <c r="K4795" s="11" t="n">
        <v>0.2</v>
      </c>
      <c r="L4795" s="10">
        <f>I4795*J4795*(1-K4795)</f>
        <v/>
      </c>
      <c r="M4795" s="10" t="n">
        <v>288</v>
      </c>
      <c r="N4795" s="10">
        <f>L4795-M4795</f>
        <v/>
      </c>
    </row>
    <row r="4796">
      <c r="A4796" s="7" t="inlineStr">
        <is>
          <t>ORD-03406</t>
        </is>
      </c>
      <c r="B4796" s="8" t="n">
        <v>45879</v>
      </c>
      <c r="C4796" s="9" t="n">
        <v>45870</v>
      </c>
      <c r="D4796" s="7" t="n">
        <v>2025</v>
      </c>
      <c r="E4796" s="7" t="inlineStr">
        <is>
          <t>South</t>
        </is>
      </c>
      <c r="F4796" s="7" t="inlineStr">
        <is>
          <t>Technology</t>
        </is>
      </c>
      <c r="G4796" s="7" t="inlineStr">
        <is>
          <t>Laptop</t>
        </is>
      </c>
      <c r="H4796" s="7" t="inlineStr">
        <is>
          <t>Home Office</t>
        </is>
      </c>
      <c r="I4796" s="7" t="n">
        <v>3</v>
      </c>
      <c r="J4796" s="10" t="n">
        <v>855.16</v>
      </c>
      <c r="K4796" s="11" t="n">
        <v>0</v>
      </c>
      <c r="L4796" s="10">
        <f>I4796*J4796*(1-K4796)</f>
        <v/>
      </c>
      <c r="M4796" s="10" t="n">
        <v>2106</v>
      </c>
      <c r="N4796" s="10">
        <f>L4796-M4796</f>
        <v/>
      </c>
    </row>
    <row r="4797">
      <c r="A4797" s="7" t="inlineStr">
        <is>
          <t>ORD-02704</t>
        </is>
      </c>
      <c r="B4797" s="8" t="n">
        <v>45879</v>
      </c>
      <c r="C4797" s="9" t="n">
        <v>45870</v>
      </c>
      <c r="D4797" s="7" t="n">
        <v>2025</v>
      </c>
      <c r="E4797" s="7" t="inlineStr">
        <is>
          <t>East</t>
        </is>
      </c>
      <c r="F4797" s="7" t="inlineStr">
        <is>
          <t>Office Supplies</t>
        </is>
      </c>
      <c r="G4797" s="7" t="inlineStr">
        <is>
          <t>Binder</t>
        </is>
      </c>
      <c r="H4797" s="7" t="inlineStr">
        <is>
          <t>Consumer</t>
        </is>
      </c>
      <c r="I4797" s="7" t="n">
        <v>3</v>
      </c>
      <c r="J4797" s="10" t="n">
        <v>7.6</v>
      </c>
      <c r="K4797" s="11" t="n">
        <v>0.05</v>
      </c>
      <c r="L4797" s="10">
        <f>I4797*J4797*(1-K4797)</f>
        <v/>
      </c>
      <c r="M4797" s="10" t="n">
        <v>9.6</v>
      </c>
      <c r="N4797" s="10">
        <f>L4797-M4797</f>
        <v/>
      </c>
    </row>
    <row r="4798">
      <c r="A4798" s="7" t="inlineStr">
        <is>
          <t>ORD-03907</t>
        </is>
      </c>
      <c r="B4798" s="8" t="n">
        <v>45879</v>
      </c>
      <c r="C4798" s="9" t="n">
        <v>45870</v>
      </c>
      <c r="D4798" s="7" t="n">
        <v>2025</v>
      </c>
      <c r="E4798" s="7" t="inlineStr">
        <is>
          <t>East</t>
        </is>
      </c>
      <c r="F4798" s="7" t="inlineStr">
        <is>
          <t>Technology</t>
        </is>
      </c>
      <c r="G4798" s="7" t="inlineStr">
        <is>
          <t>Headphones</t>
        </is>
      </c>
      <c r="H4798" s="7" t="inlineStr">
        <is>
          <t>Corporate</t>
        </is>
      </c>
      <c r="I4798" s="7" t="n">
        <v>2</v>
      </c>
      <c r="J4798" s="10" t="n">
        <v>122.22</v>
      </c>
      <c r="K4798" s="11" t="n">
        <v>0</v>
      </c>
      <c r="L4798" s="10">
        <f>I4798*J4798*(1-K4798)</f>
        <v/>
      </c>
      <c r="M4798" s="10" t="n">
        <v>144</v>
      </c>
      <c r="N4798" s="10">
        <f>L4798-M4798</f>
        <v/>
      </c>
    </row>
    <row r="4799">
      <c r="A4799" s="7" t="inlineStr">
        <is>
          <t>ORD-03566</t>
        </is>
      </c>
      <c r="B4799" s="8" t="n">
        <v>45879</v>
      </c>
      <c r="C4799" s="9" t="n">
        <v>45870</v>
      </c>
      <c r="D4799" s="7" t="n">
        <v>2025</v>
      </c>
      <c r="E4799" s="7" t="inlineStr">
        <is>
          <t>East</t>
        </is>
      </c>
      <c r="F4799" s="7" t="inlineStr">
        <is>
          <t>Office Supplies</t>
        </is>
      </c>
      <c r="G4799" s="7" t="inlineStr">
        <is>
          <t>Binder</t>
        </is>
      </c>
      <c r="H4799" s="7" t="inlineStr">
        <is>
          <t>Home Office</t>
        </is>
      </c>
      <c r="I4799" s="7" t="n">
        <v>3</v>
      </c>
      <c r="J4799" s="10" t="n">
        <v>7.96</v>
      </c>
      <c r="K4799" s="11" t="n">
        <v>0</v>
      </c>
      <c r="L4799" s="10">
        <f>I4799*J4799*(1-K4799)</f>
        <v/>
      </c>
      <c r="M4799" s="10" t="n">
        <v>9.6</v>
      </c>
      <c r="N4799" s="10">
        <f>L4799-M4799</f>
        <v/>
      </c>
    </row>
    <row r="4800">
      <c r="A4800" s="7" t="inlineStr">
        <is>
          <t>ORD-04564</t>
        </is>
      </c>
      <c r="B4800" s="8" t="n">
        <v>45880</v>
      </c>
      <c r="C4800" s="9" t="n">
        <v>45870</v>
      </c>
      <c r="D4800" s="7" t="n">
        <v>2025</v>
      </c>
      <c r="E4800" s="7" t="inlineStr">
        <is>
          <t>West</t>
        </is>
      </c>
      <c r="F4800" s="7" t="inlineStr">
        <is>
          <t>Technology</t>
        </is>
      </c>
      <c r="G4800" s="7" t="inlineStr">
        <is>
          <t>Monitor</t>
        </is>
      </c>
      <c r="H4800" s="7" t="inlineStr">
        <is>
          <t>Corporate</t>
        </is>
      </c>
      <c r="I4800" s="7" t="n">
        <v>1</v>
      </c>
      <c r="J4800" s="10" t="n">
        <v>261.01</v>
      </c>
      <c r="K4800" s="11" t="n">
        <v>0</v>
      </c>
      <c r="L4800" s="10">
        <f>I4800*J4800*(1-K4800)</f>
        <v/>
      </c>
      <c r="M4800" s="10" t="n">
        <v>180</v>
      </c>
      <c r="N4800" s="10">
        <f>L4800-M4800</f>
        <v/>
      </c>
    </row>
    <row r="4801">
      <c r="A4801" s="7" t="inlineStr">
        <is>
          <t>ORD-00083</t>
        </is>
      </c>
      <c r="B4801" s="8" t="n">
        <v>45880</v>
      </c>
      <c r="C4801" s="9" t="n">
        <v>45870</v>
      </c>
      <c r="D4801" s="7" t="n">
        <v>2025</v>
      </c>
      <c r="E4801" s="7" t="inlineStr">
        <is>
          <t>East</t>
        </is>
      </c>
      <c r="F4801" s="7" t="inlineStr">
        <is>
          <t>Office Supplies</t>
        </is>
      </c>
      <c r="G4801" s="7" t="inlineStr">
        <is>
          <t>Stapler</t>
        </is>
      </c>
      <c r="H4801" s="7" t="inlineStr">
        <is>
          <t>Consumer</t>
        </is>
      </c>
      <c r="I4801" s="7" t="n">
        <v>7</v>
      </c>
      <c r="J4801" s="10" t="n">
        <v>15.5</v>
      </c>
      <c r="K4801" s="11" t="n">
        <v>0</v>
      </c>
      <c r="L4801" s="10">
        <f>I4801*J4801*(1-K4801)</f>
        <v/>
      </c>
      <c r="M4801" s="10" t="n">
        <v>52.5</v>
      </c>
      <c r="N4801" s="10">
        <f>L4801-M4801</f>
        <v/>
      </c>
    </row>
    <row r="4802">
      <c r="A4802" s="7" t="inlineStr">
        <is>
          <t>ORD-02653</t>
        </is>
      </c>
      <c r="B4802" s="8" t="n">
        <v>45880</v>
      </c>
      <c r="C4802" s="9" t="n">
        <v>45870</v>
      </c>
      <c r="D4802" s="7" t="n">
        <v>2025</v>
      </c>
      <c r="E4802" s="7" t="inlineStr">
        <is>
          <t>North</t>
        </is>
      </c>
      <c r="F4802" s="7" t="inlineStr">
        <is>
          <t>Office Supplies</t>
        </is>
      </c>
      <c r="G4802" s="7" t="inlineStr">
        <is>
          <t>Stapler</t>
        </is>
      </c>
      <c r="H4802" s="7" t="inlineStr">
        <is>
          <t>Consumer</t>
        </is>
      </c>
      <c r="I4802" s="7" t="n">
        <v>12</v>
      </c>
      <c r="J4802" s="10" t="n">
        <v>14.87</v>
      </c>
      <c r="K4802" s="11" t="n">
        <v>0.3</v>
      </c>
      <c r="L4802" s="10">
        <f>I4802*J4802*(1-K4802)</f>
        <v/>
      </c>
      <c r="M4802" s="10" t="n">
        <v>90</v>
      </c>
      <c r="N4802" s="10">
        <f>L4802-M4802</f>
        <v/>
      </c>
    </row>
    <row r="4803">
      <c r="A4803" s="7" t="inlineStr">
        <is>
          <t>ORD-04805</t>
        </is>
      </c>
      <c r="B4803" s="8" t="n">
        <v>45881</v>
      </c>
      <c r="C4803" s="9" t="n">
        <v>45870</v>
      </c>
      <c r="D4803" s="7" t="n">
        <v>2025</v>
      </c>
      <c r="E4803" s="7" t="inlineStr">
        <is>
          <t>East</t>
        </is>
      </c>
      <c r="F4803" s="7" t="inlineStr">
        <is>
          <t>Technology</t>
        </is>
      </c>
      <c r="G4803" s="7" t="inlineStr">
        <is>
          <t>Headphones</t>
        </is>
      </c>
      <c r="H4803" s="7" t="inlineStr">
        <is>
          <t>Consumer</t>
        </is>
      </c>
      <c r="I4803" s="7" t="n">
        <v>2</v>
      </c>
      <c r="J4803" s="10" t="n">
        <v>118.17</v>
      </c>
      <c r="K4803" s="11" t="n">
        <v>0.05</v>
      </c>
      <c r="L4803" s="10">
        <f>I4803*J4803*(1-K4803)</f>
        <v/>
      </c>
      <c r="M4803" s="10" t="n">
        <v>144</v>
      </c>
      <c r="N4803" s="10">
        <f>L4803-M4803</f>
        <v/>
      </c>
    </row>
    <row r="4804">
      <c r="A4804" s="7" t="inlineStr">
        <is>
          <t>ORD-01604</t>
        </is>
      </c>
      <c r="B4804" s="8" t="n">
        <v>45881</v>
      </c>
      <c r="C4804" s="9" t="n">
        <v>45870</v>
      </c>
      <c r="D4804" s="7" t="n">
        <v>2025</v>
      </c>
      <c r="E4804" s="7" t="inlineStr">
        <is>
          <t>East</t>
        </is>
      </c>
      <c r="F4804" s="7" t="inlineStr">
        <is>
          <t>Office Supplies</t>
        </is>
      </c>
      <c r="G4804" s="7" t="inlineStr">
        <is>
          <t>Paper</t>
        </is>
      </c>
      <c r="H4804" s="7" t="inlineStr">
        <is>
          <t>Consumer</t>
        </is>
      </c>
      <c r="I4804" s="7" t="n">
        <v>7</v>
      </c>
      <c r="J4804" s="10" t="n">
        <v>24.01</v>
      </c>
      <c r="K4804" s="11" t="n">
        <v>0</v>
      </c>
      <c r="L4804" s="10">
        <f>I4804*J4804*(1-K4804)</f>
        <v/>
      </c>
      <c r="M4804" s="10" t="n">
        <v>87.5</v>
      </c>
      <c r="N4804" s="10">
        <f>L4804-M4804</f>
        <v/>
      </c>
    </row>
    <row r="4805">
      <c r="A4805" s="7" t="inlineStr">
        <is>
          <t>ORD-02943</t>
        </is>
      </c>
      <c r="B4805" s="8" t="n">
        <v>45881</v>
      </c>
      <c r="C4805" s="9" t="n">
        <v>45870</v>
      </c>
      <c r="D4805" s="7" t="n">
        <v>2025</v>
      </c>
      <c r="E4805" s="7" t="inlineStr">
        <is>
          <t>West</t>
        </is>
      </c>
      <c r="F4805" s="7" t="inlineStr">
        <is>
          <t>Office Supplies</t>
        </is>
      </c>
      <c r="G4805" s="7" t="inlineStr">
        <is>
          <t>Stapler</t>
        </is>
      </c>
      <c r="H4805" s="7" t="inlineStr">
        <is>
          <t>Corporate</t>
        </is>
      </c>
      <c r="I4805" s="7" t="n">
        <v>10</v>
      </c>
      <c r="J4805" s="10" t="n">
        <v>15.56</v>
      </c>
      <c r="K4805" s="11" t="n">
        <v>0.2</v>
      </c>
      <c r="L4805" s="10">
        <f>I4805*J4805*(1-K4805)</f>
        <v/>
      </c>
      <c r="M4805" s="10" t="n">
        <v>75</v>
      </c>
      <c r="N4805" s="10">
        <f>L4805-M4805</f>
        <v/>
      </c>
    </row>
    <row r="4806">
      <c r="A4806" s="7" t="inlineStr">
        <is>
          <t>ORD-05788</t>
        </is>
      </c>
      <c r="B4806" s="8" t="n">
        <v>45881</v>
      </c>
      <c r="C4806" s="9" t="n">
        <v>45870</v>
      </c>
      <c r="D4806" s="7" t="n">
        <v>2025</v>
      </c>
      <c r="E4806" s="7" t="inlineStr">
        <is>
          <t>East</t>
        </is>
      </c>
      <c r="F4806" s="7" t="inlineStr">
        <is>
          <t>Office Supplies</t>
        </is>
      </c>
      <c r="G4806" s="7" t="inlineStr">
        <is>
          <t>Stapler</t>
        </is>
      </c>
      <c r="H4806" s="7" t="inlineStr">
        <is>
          <t>Consumer</t>
        </is>
      </c>
      <c r="I4806" s="7" t="n">
        <v>11</v>
      </c>
      <c r="J4806" s="10" t="n">
        <v>14.85</v>
      </c>
      <c r="K4806" s="11" t="n">
        <v>0.05</v>
      </c>
      <c r="L4806" s="10">
        <f>I4806*J4806*(1-K4806)</f>
        <v/>
      </c>
      <c r="M4806" s="10" t="n">
        <v>82.5</v>
      </c>
      <c r="N4806" s="10">
        <f>L4806-M4806</f>
        <v/>
      </c>
    </row>
    <row r="4807">
      <c r="A4807" s="7" t="inlineStr">
        <is>
          <t>ORD-00713</t>
        </is>
      </c>
      <c r="B4807" s="8" t="n">
        <v>45881</v>
      </c>
      <c r="C4807" s="9" t="n">
        <v>45870</v>
      </c>
      <c r="D4807" s="7" t="n">
        <v>2025</v>
      </c>
      <c r="E4807" s="7" t="inlineStr">
        <is>
          <t>West</t>
        </is>
      </c>
      <c r="F4807" s="7" t="inlineStr">
        <is>
          <t>Technology</t>
        </is>
      </c>
      <c r="G4807" s="7" t="inlineStr">
        <is>
          <t>Laptop</t>
        </is>
      </c>
      <c r="H4807" s="7" t="inlineStr">
        <is>
          <t>Corporate</t>
        </is>
      </c>
      <c r="I4807" s="7" t="n">
        <v>2</v>
      </c>
      <c r="J4807" s="10" t="n">
        <v>887.5700000000001</v>
      </c>
      <c r="K4807" s="11" t="n">
        <v>0.2</v>
      </c>
      <c r="L4807" s="10">
        <f>I4807*J4807*(1-K4807)</f>
        <v/>
      </c>
      <c r="M4807" s="10" t="n">
        <v>1404</v>
      </c>
      <c r="N4807" s="10">
        <f>L4807-M4807</f>
        <v/>
      </c>
    </row>
    <row r="4808">
      <c r="A4808" s="7" t="inlineStr">
        <is>
          <t>ORD-03643</t>
        </is>
      </c>
      <c r="B4808" s="8" t="n">
        <v>45882</v>
      </c>
      <c r="C4808" s="9" t="n">
        <v>45870</v>
      </c>
      <c r="D4808" s="7" t="n">
        <v>2025</v>
      </c>
      <c r="E4808" s="7" t="inlineStr">
        <is>
          <t>North</t>
        </is>
      </c>
      <c r="F4808" s="7" t="inlineStr">
        <is>
          <t>Office Supplies</t>
        </is>
      </c>
      <c r="G4808" s="7" t="inlineStr">
        <is>
          <t>Paper</t>
        </is>
      </c>
      <c r="H4808" s="7" t="inlineStr">
        <is>
          <t>Consumer</t>
        </is>
      </c>
      <c r="I4808" s="7" t="n">
        <v>6</v>
      </c>
      <c r="J4808" s="10" t="n">
        <v>24.59</v>
      </c>
      <c r="K4808" s="11" t="n">
        <v>0.3</v>
      </c>
      <c r="L4808" s="10">
        <f>I4808*J4808*(1-K4808)</f>
        <v/>
      </c>
      <c r="M4808" s="10" t="n">
        <v>75</v>
      </c>
      <c r="N4808" s="10">
        <f>L4808-M4808</f>
        <v/>
      </c>
    </row>
    <row r="4809">
      <c r="A4809" s="7" t="inlineStr">
        <is>
          <t>ORD-03073</t>
        </is>
      </c>
      <c r="B4809" s="8" t="n">
        <v>45882</v>
      </c>
      <c r="C4809" s="9" t="n">
        <v>45870</v>
      </c>
      <c r="D4809" s="7" t="n">
        <v>2025</v>
      </c>
      <c r="E4809" s="7" t="inlineStr">
        <is>
          <t>South</t>
        </is>
      </c>
      <c r="F4809" s="7" t="inlineStr">
        <is>
          <t>Office Supplies</t>
        </is>
      </c>
      <c r="G4809" s="7" t="inlineStr">
        <is>
          <t>Pens</t>
        </is>
      </c>
      <c r="H4809" s="7" t="inlineStr">
        <is>
          <t>Consumer</t>
        </is>
      </c>
      <c r="I4809" s="7" t="n">
        <v>12</v>
      </c>
      <c r="J4809" s="10" t="n">
        <v>12.46</v>
      </c>
      <c r="K4809" s="11" t="n">
        <v>0</v>
      </c>
      <c r="L4809" s="10">
        <f>I4809*J4809*(1-K4809)</f>
        <v/>
      </c>
      <c r="M4809" s="10" t="n">
        <v>64.8</v>
      </c>
      <c r="N4809" s="10">
        <f>L4809-M4809</f>
        <v/>
      </c>
    </row>
    <row r="4810">
      <c r="A4810" s="7" t="inlineStr">
        <is>
          <t>ORD-02853</t>
        </is>
      </c>
      <c r="B4810" s="8" t="n">
        <v>45882</v>
      </c>
      <c r="C4810" s="9" t="n">
        <v>45870</v>
      </c>
      <c r="D4810" s="7" t="n">
        <v>2025</v>
      </c>
      <c r="E4810" s="7" t="inlineStr">
        <is>
          <t>West</t>
        </is>
      </c>
      <c r="F4810" s="7" t="inlineStr">
        <is>
          <t>Office Supplies</t>
        </is>
      </c>
      <c r="G4810" s="7" t="inlineStr">
        <is>
          <t>Binder</t>
        </is>
      </c>
      <c r="H4810" s="7" t="inlineStr">
        <is>
          <t>Corporate</t>
        </is>
      </c>
      <c r="I4810" s="7" t="n">
        <v>11</v>
      </c>
      <c r="J4810" s="10" t="n">
        <v>8.32</v>
      </c>
      <c r="K4810" s="11" t="n">
        <v>0</v>
      </c>
      <c r="L4810" s="10">
        <f>I4810*J4810*(1-K4810)</f>
        <v/>
      </c>
      <c r="M4810" s="10" t="n">
        <v>35.2</v>
      </c>
      <c r="N4810" s="10">
        <f>L4810-M4810</f>
        <v/>
      </c>
    </row>
    <row r="4811">
      <c r="A4811" s="7" t="inlineStr">
        <is>
          <t>ORD-02485</t>
        </is>
      </c>
      <c r="B4811" s="8" t="n">
        <v>45882</v>
      </c>
      <c r="C4811" s="9" t="n">
        <v>45870</v>
      </c>
      <c r="D4811" s="7" t="n">
        <v>2025</v>
      </c>
      <c r="E4811" s="7" t="inlineStr">
        <is>
          <t>South</t>
        </is>
      </c>
      <c r="F4811" s="7" t="inlineStr">
        <is>
          <t>Office Supplies</t>
        </is>
      </c>
      <c r="G4811" s="7" t="inlineStr">
        <is>
          <t>Pens</t>
        </is>
      </c>
      <c r="H4811" s="7" t="inlineStr">
        <is>
          <t>Corporate</t>
        </is>
      </c>
      <c r="I4811" s="7" t="n">
        <v>7</v>
      </c>
      <c r="J4811" s="10" t="n">
        <v>12.16</v>
      </c>
      <c r="K4811" s="11" t="n">
        <v>0.3</v>
      </c>
      <c r="L4811" s="10">
        <f>I4811*J4811*(1-K4811)</f>
        <v/>
      </c>
      <c r="M4811" s="10" t="n">
        <v>37.8</v>
      </c>
      <c r="N4811" s="10">
        <f>L4811-M4811</f>
        <v/>
      </c>
    </row>
    <row r="4812">
      <c r="A4812" s="7" t="inlineStr">
        <is>
          <t>ORD-04268</t>
        </is>
      </c>
      <c r="B4812" s="8" t="n">
        <v>45882</v>
      </c>
      <c r="C4812" s="9" t="n">
        <v>45870</v>
      </c>
      <c r="D4812" s="7" t="n">
        <v>2025</v>
      </c>
      <c r="E4812" s="7" t="inlineStr">
        <is>
          <t>West</t>
        </is>
      </c>
      <c r="F4812" s="7" t="inlineStr">
        <is>
          <t>Technology</t>
        </is>
      </c>
      <c r="G4812" s="7" t="inlineStr">
        <is>
          <t>Keyboard</t>
        </is>
      </c>
      <c r="H4812" s="7" t="inlineStr">
        <is>
          <t>Consumer</t>
        </is>
      </c>
      <c r="I4812" s="7" t="n">
        <v>3</v>
      </c>
      <c r="J4812" s="10" t="n">
        <v>44.03</v>
      </c>
      <c r="K4812" s="11" t="n">
        <v>0.3</v>
      </c>
      <c r="L4812" s="10">
        <f>I4812*J4812*(1-K4812)</f>
        <v/>
      </c>
      <c r="M4812" s="10" t="n">
        <v>74.25</v>
      </c>
      <c r="N4812" s="10">
        <f>L4812-M4812</f>
        <v/>
      </c>
    </row>
    <row r="4813">
      <c r="A4813" s="7" t="inlineStr">
        <is>
          <t>ORD-05998</t>
        </is>
      </c>
      <c r="B4813" s="8" t="n">
        <v>45882</v>
      </c>
      <c r="C4813" s="9" t="n">
        <v>45870</v>
      </c>
      <c r="D4813" s="7" t="n">
        <v>2025</v>
      </c>
      <c r="E4813" s="7" t="inlineStr">
        <is>
          <t>East</t>
        </is>
      </c>
      <c r="F4813" s="7" t="inlineStr">
        <is>
          <t>Office Supplies</t>
        </is>
      </c>
      <c r="G4813" s="7" t="inlineStr">
        <is>
          <t>Pens</t>
        </is>
      </c>
      <c r="H4813" s="7" t="inlineStr">
        <is>
          <t>Corporate</t>
        </is>
      </c>
      <c r="I4813" s="7" t="n">
        <v>3</v>
      </c>
      <c r="J4813" s="10" t="n">
        <v>12.28</v>
      </c>
      <c r="K4813" s="11" t="n">
        <v>0</v>
      </c>
      <c r="L4813" s="10">
        <f>I4813*J4813*(1-K4813)</f>
        <v/>
      </c>
      <c r="M4813" s="10" t="n">
        <v>16.2</v>
      </c>
      <c r="N4813" s="10">
        <f>L4813-M4813</f>
        <v/>
      </c>
    </row>
    <row r="4814">
      <c r="A4814" s="7" t="inlineStr">
        <is>
          <t>ORD-02196</t>
        </is>
      </c>
      <c r="B4814" s="8" t="n">
        <v>45882</v>
      </c>
      <c r="C4814" s="9" t="n">
        <v>45870</v>
      </c>
      <c r="D4814" s="7" t="n">
        <v>2025</v>
      </c>
      <c r="E4814" s="7" t="inlineStr">
        <is>
          <t>East</t>
        </is>
      </c>
      <c r="F4814" s="7" t="inlineStr">
        <is>
          <t>Office Supplies</t>
        </is>
      </c>
      <c r="G4814" s="7" t="inlineStr">
        <is>
          <t>Binder</t>
        </is>
      </c>
      <c r="H4814" s="7" t="inlineStr">
        <is>
          <t>Corporate</t>
        </is>
      </c>
      <c r="I4814" s="7" t="n">
        <v>7</v>
      </c>
      <c r="J4814" s="10" t="n">
        <v>8.279999999999999</v>
      </c>
      <c r="K4814" s="11" t="n">
        <v>0.2</v>
      </c>
      <c r="L4814" s="10">
        <f>I4814*J4814*(1-K4814)</f>
        <v/>
      </c>
      <c r="M4814" s="10" t="n">
        <v>22.4</v>
      </c>
      <c r="N4814" s="10">
        <f>L4814-M4814</f>
        <v/>
      </c>
    </row>
    <row r="4815">
      <c r="A4815" s="7" t="inlineStr">
        <is>
          <t>ORD-01539</t>
        </is>
      </c>
      <c r="B4815" s="8" t="n">
        <v>45882</v>
      </c>
      <c r="C4815" s="9" t="n">
        <v>45870</v>
      </c>
      <c r="D4815" s="7" t="n">
        <v>2025</v>
      </c>
      <c r="E4815" s="7" t="inlineStr">
        <is>
          <t>West</t>
        </is>
      </c>
      <c r="F4815" s="7" t="inlineStr">
        <is>
          <t>Technology</t>
        </is>
      </c>
      <c r="G4815" s="7" t="inlineStr">
        <is>
          <t>Laptop</t>
        </is>
      </c>
      <c r="H4815" s="7" t="inlineStr">
        <is>
          <t>Consumer</t>
        </is>
      </c>
      <c r="I4815" s="7" t="n">
        <v>2</v>
      </c>
      <c r="J4815" s="10" t="n">
        <v>909.71</v>
      </c>
      <c r="K4815" s="11" t="n">
        <v>0</v>
      </c>
      <c r="L4815" s="10">
        <f>I4815*J4815*(1-K4815)</f>
        <v/>
      </c>
      <c r="M4815" s="10" t="n">
        <v>1404</v>
      </c>
      <c r="N4815" s="10">
        <f>L4815-M4815</f>
        <v/>
      </c>
    </row>
    <row r="4816">
      <c r="A4816" s="7" t="inlineStr">
        <is>
          <t>ORD-01098</t>
        </is>
      </c>
      <c r="B4816" s="8" t="n">
        <v>45883</v>
      </c>
      <c r="C4816" s="9" t="n">
        <v>45870</v>
      </c>
      <c r="D4816" s="7" t="n">
        <v>2025</v>
      </c>
      <c r="E4816" s="7" t="inlineStr">
        <is>
          <t>East</t>
        </is>
      </c>
      <c r="F4816" s="7" t="inlineStr">
        <is>
          <t>Office Supplies</t>
        </is>
      </c>
      <c r="G4816" s="7" t="inlineStr">
        <is>
          <t>Paper</t>
        </is>
      </c>
      <c r="H4816" s="7" t="inlineStr">
        <is>
          <t>Consumer</t>
        </is>
      </c>
      <c r="I4816" s="7" t="n">
        <v>12</v>
      </c>
      <c r="J4816" s="10" t="n">
        <v>26.07</v>
      </c>
      <c r="K4816" s="11" t="n">
        <v>0</v>
      </c>
      <c r="L4816" s="10">
        <f>I4816*J4816*(1-K4816)</f>
        <v/>
      </c>
      <c r="M4816" s="10" t="n">
        <v>150</v>
      </c>
      <c r="N4816" s="10">
        <f>L4816-M4816</f>
        <v/>
      </c>
    </row>
    <row r="4817">
      <c r="A4817" s="7" t="inlineStr">
        <is>
          <t>ORD-03496</t>
        </is>
      </c>
      <c r="B4817" s="8" t="n">
        <v>45883</v>
      </c>
      <c r="C4817" s="9" t="n">
        <v>45870</v>
      </c>
      <c r="D4817" s="7" t="n">
        <v>2025</v>
      </c>
      <c r="E4817" s="7" t="inlineStr">
        <is>
          <t>West</t>
        </is>
      </c>
      <c r="F4817" s="7" t="inlineStr">
        <is>
          <t>Technology</t>
        </is>
      </c>
      <c r="G4817" s="7" t="inlineStr">
        <is>
          <t>Keyboard</t>
        </is>
      </c>
      <c r="H4817" s="7" t="inlineStr">
        <is>
          <t>Corporate</t>
        </is>
      </c>
      <c r="I4817" s="7" t="n">
        <v>3</v>
      </c>
      <c r="J4817" s="10" t="n">
        <v>43.11</v>
      </c>
      <c r="K4817" s="11" t="n">
        <v>0.05</v>
      </c>
      <c r="L4817" s="10">
        <f>I4817*J4817*(1-K4817)</f>
        <v/>
      </c>
      <c r="M4817" s="10" t="n">
        <v>74.25</v>
      </c>
      <c r="N4817" s="10">
        <f>L4817-M4817</f>
        <v/>
      </c>
    </row>
    <row r="4818">
      <c r="A4818" s="7" t="inlineStr">
        <is>
          <t>ORD-05944</t>
        </is>
      </c>
      <c r="B4818" s="8" t="n">
        <v>45883</v>
      </c>
      <c r="C4818" s="9" t="n">
        <v>45870</v>
      </c>
      <c r="D4818" s="7" t="n">
        <v>2025</v>
      </c>
      <c r="E4818" s="7" t="inlineStr">
        <is>
          <t>West</t>
        </is>
      </c>
      <c r="F4818" s="7" t="inlineStr">
        <is>
          <t>Technology</t>
        </is>
      </c>
      <c r="G4818" s="7" t="inlineStr">
        <is>
          <t>Keyboard</t>
        </is>
      </c>
      <c r="H4818" s="7" t="inlineStr">
        <is>
          <t>Consumer</t>
        </is>
      </c>
      <c r="I4818" s="7" t="n">
        <v>3</v>
      </c>
      <c r="J4818" s="10" t="n">
        <v>45.65</v>
      </c>
      <c r="K4818" s="11" t="n">
        <v>0</v>
      </c>
      <c r="L4818" s="10">
        <f>I4818*J4818*(1-K4818)</f>
        <v/>
      </c>
      <c r="M4818" s="10" t="n">
        <v>74.25</v>
      </c>
      <c r="N4818" s="10">
        <f>L4818-M4818</f>
        <v/>
      </c>
    </row>
    <row r="4819">
      <c r="A4819" s="7" t="inlineStr">
        <is>
          <t>ORD-04264</t>
        </is>
      </c>
      <c r="B4819" s="8" t="n">
        <v>45883</v>
      </c>
      <c r="C4819" s="9" t="n">
        <v>45870</v>
      </c>
      <c r="D4819" s="7" t="n">
        <v>2025</v>
      </c>
      <c r="E4819" s="7" t="inlineStr">
        <is>
          <t>West</t>
        </is>
      </c>
      <c r="F4819" s="7" t="inlineStr">
        <is>
          <t>Office Supplies</t>
        </is>
      </c>
      <c r="G4819" s="7" t="inlineStr">
        <is>
          <t>Pens</t>
        </is>
      </c>
      <c r="H4819" s="7" t="inlineStr">
        <is>
          <t>Consumer</t>
        </is>
      </c>
      <c r="I4819" s="7" t="n">
        <v>15</v>
      </c>
      <c r="J4819" s="10" t="n">
        <v>11.64</v>
      </c>
      <c r="K4819" s="11" t="n">
        <v>0</v>
      </c>
      <c r="L4819" s="10">
        <f>I4819*J4819*(1-K4819)</f>
        <v/>
      </c>
      <c r="M4819" s="10" t="n">
        <v>81</v>
      </c>
      <c r="N4819" s="10">
        <f>L4819-M4819</f>
        <v/>
      </c>
    </row>
    <row r="4820">
      <c r="A4820" s="7" t="inlineStr">
        <is>
          <t>ORD-05055</t>
        </is>
      </c>
      <c r="B4820" s="8" t="n">
        <v>45883</v>
      </c>
      <c r="C4820" s="9" t="n">
        <v>45870</v>
      </c>
      <c r="D4820" s="7" t="n">
        <v>2025</v>
      </c>
      <c r="E4820" s="7" t="inlineStr">
        <is>
          <t>West</t>
        </is>
      </c>
      <c r="F4820" s="7" t="inlineStr">
        <is>
          <t>Furniture</t>
        </is>
      </c>
      <c r="G4820" s="7" t="inlineStr">
        <is>
          <t>Sofa</t>
        </is>
      </c>
      <c r="H4820" s="7" t="inlineStr">
        <is>
          <t>Consumer</t>
        </is>
      </c>
      <c r="I4820" s="7" t="n">
        <v>4</v>
      </c>
      <c r="J4820" s="10" t="n">
        <v>721.86</v>
      </c>
      <c r="K4820" s="11" t="n">
        <v>0</v>
      </c>
      <c r="L4820" s="10">
        <f>I4820*J4820*(1-K4820)</f>
        <v/>
      </c>
      <c r="M4820" s="10" t="n">
        <v>2464</v>
      </c>
      <c r="N4820" s="10">
        <f>L4820-M4820</f>
        <v/>
      </c>
    </row>
    <row r="4821">
      <c r="A4821" s="7" t="inlineStr">
        <is>
          <t>ORD-00257</t>
        </is>
      </c>
      <c r="B4821" s="8" t="n">
        <v>45883</v>
      </c>
      <c r="C4821" s="9" t="n">
        <v>45870</v>
      </c>
      <c r="D4821" s="7" t="n">
        <v>2025</v>
      </c>
      <c r="E4821" s="7" t="inlineStr">
        <is>
          <t>South</t>
        </is>
      </c>
      <c r="F4821" s="7" t="inlineStr">
        <is>
          <t>Office Supplies</t>
        </is>
      </c>
      <c r="G4821" s="7" t="inlineStr">
        <is>
          <t>Paper</t>
        </is>
      </c>
      <c r="H4821" s="7" t="inlineStr">
        <is>
          <t>Corporate</t>
        </is>
      </c>
      <c r="I4821" s="7" t="n">
        <v>11</v>
      </c>
      <c r="J4821" s="10" t="n">
        <v>25.64</v>
      </c>
      <c r="K4821" s="11" t="n">
        <v>0.05</v>
      </c>
      <c r="L4821" s="10">
        <f>I4821*J4821*(1-K4821)</f>
        <v/>
      </c>
      <c r="M4821" s="10" t="n">
        <v>137.5</v>
      </c>
      <c r="N4821" s="10">
        <f>L4821-M4821</f>
        <v/>
      </c>
    </row>
    <row r="4822">
      <c r="A4822" s="7" t="inlineStr">
        <is>
          <t>ORD-05928</t>
        </is>
      </c>
      <c r="B4822" s="8" t="n">
        <v>45884</v>
      </c>
      <c r="C4822" s="9" t="n">
        <v>45870</v>
      </c>
      <c r="D4822" s="7" t="n">
        <v>2025</v>
      </c>
      <c r="E4822" s="7" t="inlineStr">
        <is>
          <t>South</t>
        </is>
      </c>
      <c r="F4822" s="7" t="inlineStr">
        <is>
          <t>Office Supplies</t>
        </is>
      </c>
      <c r="G4822" s="7" t="inlineStr">
        <is>
          <t>Printer Ink</t>
        </is>
      </c>
      <c r="H4822" s="7" t="inlineStr">
        <is>
          <t>Home Office</t>
        </is>
      </c>
      <c r="I4822" s="7" t="n">
        <v>10</v>
      </c>
      <c r="J4822" s="10" t="n">
        <v>58.3</v>
      </c>
      <c r="K4822" s="11" t="n">
        <v>0</v>
      </c>
      <c r="L4822" s="10">
        <f>I4822*J4822*(1-K4822)</f>
        <v/>
      </c>
      <c r="M4822" s="10" t="n">
        <v>360</v>
      </c>
      <c r="N4822" s="10">
        <f>L4822-M4822</f>
        <v/>
      </c>
    </row>
    <row r="4823">
      <c r="A4823" s="7" t="inlineStr">
        <is>
          <t>ORD-03774</t>
        </is>
      </c>
      <c r="B4823" s="8" t="n">
        <v>45884</v>
      </c>
      <c r="C4823" s="9" t="n">
        <v>45870</v>
      </c>
      <c r="D4823" s="7" t="n">
        <v>2025</v>
      </c>
      <c r="E4823" s="7" t="inlineStr">
        <is>
          <t>East</t>
        </is>
      </c>
      <c r="F4823" s="7" t="inlineStr">
        <is>
          <t>Technology</t>
        </is>
      </c>
      <c r="G4823" s="7" t="inlineStr">
        <is>
          <t>Keyboard</t>
        </is>
      </c>
      <c r="H4823" s="7" t="inlineStr">
        <is>
          <t>Consumer</t>
        </is>
      </c>
      <c r="I4823" s="7" t="n">
        <v>2</v>
      </c>
      <c r="J4823" s="10" t="n">
        <v>43.25</v>
      </c>
      <c r="K4823" s="11" t="n">
        <v>0.1</v>
      </c>
      <c r="L4823" s="10">
        <f>I4823*J4823*(1-K4823)</f>
        <v/>
      </c>
      <c r="M4823" s="10" t="n">
        <v>49.5</v>
      </c>
      <c r="N4823" s="10">
        <f>L4823-M4823</f>
        <v/>
      </c>
    </row>
    <row r="4824">
      <c r="A4824" s="7" t="inlineStr">
        <is>
          <t>ORD-05428</t>
        </is>
      </c>
      <c r="B4824" s="8" t="n">
        <v>45884</v>
      </c>
      <c r="C4824" s="9" t="n">
        <v>45870</v>
      </c>
      <c r="D4824" s="7" t="n">
        <v>2025</v>
      </c>
      <c r="E4824" s="7" t="inlineStr">
        <is>
          <t>West</t>
        </is>
      </c>
      <c r="F4824" s="7" t="inlineStr">
        <is>
          <t>Technology</t>
        </is>
      </c>
      <c r="G4824" s="7" t="inlineStr">
        <is>
          <t>Laptop</t>
        </is>
      </c>
      <c r="H4824" s="7" t="inlineStr">
        <is>
          <t>Consumer</t>
        </is>
      </c>
      <c r="I4824" s="7" t="n">
        <v>3</v>
      </c>
      <c r="J4824" s="10" t="n">
        <v>931.01</v>
      </c>
      <c r="K4824" s="11" t="n">
        <v>0</v>
      </c>
      <c r="L4824" s="10">
        <f>I4824*J4824*(1-K4824)</f>
        <v/>
      </c>
      <c r="M4824" s="10" t="n">
        <v>2106</v>
      </c>
      <c r="N4824" s="10">
        <f>L4824-M4824</f>
        <v/>
      </c>
    </row>
    <row r="4825">
      <c r="A4825" s="7" t="inlineStr">
        <is>
          <t>ORD-00982</t>
        </is>
      </c>
      <c r="B4825" s="8" t="n">
        <v>45885</v>
      </c>
      <c r="C4825" s="9" t="n">
        <v>45870</v>
      </c>
      <c r="D4825" s="7" t="n">
        <v>2025</v>
      </c>
      <c r="E4825" s="7" t="inlineStr">
        <is>
          <t>North</t>
        </is>
      </c>
      <c r="F4825" s="7" t="inlineStr">
        <is>
          <t>Office Supplies</t>
        </is>
      </c>
      <c r="G4825" s="7" t="inlineStr">
        <is>
          <t>Paper</t>
        </is>
      </c>
      <c r="H4825" s="7" t="inlineStr">
        <is>
          <t>Consumer</t>
        </is>
      </c>
      <c r="I4825" s="7" t="n">
        <v>10</v>
      </c>
      <c r="J4825" s="10" t="n">
        <v>24.64</v>
      </c>
      <c r="K4825" s="11" t="n">
        <v>0.05</v>
      </c>
      <c r="L4825" s="10">
        <f>I4825*J4825*(1-K4825)</f>
        <v/>
      </c>
      <c r="M4825" s="10" t="n">
        <v>125</v>
      </c>
      <c r="N4825" s="10">
        <f>L4825-M4825</f>
        <v/>
      </c>
    </row>
    <row r="4826">
      <c r="A4826" s="7" t="inlineStr">
        <is>
          <t>ORD-05360</t>
        </is>
      </c>
      <c r="B4826" s="8" t="n">
        <v>45885</v>
      </c>
      <c r="C4826" s="9" t="n">
        <v>45870</v>
      </c>
      <c r="D4826" s="7" t="n">
        <v>2025</v>
      </c>
      <c r="E4826" s="7" t="inlineStr">
        <is>
          <t>West</t>
        </is>
      </c>
      <c r="F4826" s="7" t="inlineStr">
        <is>
          <t>Furniture</t>
        </is>
      </c>
      <c r="G4826" s="7" t="inlineStr">
        <is>
          <t>Bookcase</t>
        </is>
      </c>
      <c r="H4826" s="7" t="inlineStr">
        <is>
          <t>Home Office</t>
        </is>
      </c>
      <c r="I4826" s="7" t="n">
        <v>4</v>
      </c>
      <c r="J4826" s="10" t="n">
        <v>173.69</v>
      </c>
      <c r="K4826" s="11" t="n">
        <v>0.05</v>
      </c>
      <c r="L4826" s="10">
        <f>I4826*J4826*(1-K4826)</f>
        <v/>
      </c>
      <c r="M4826" s="10" t="n">
        <v>576</v>
      </c>
      <c r="N4826" s="10">
        <f>L4826-M4826</f>
        <v/>
      </c>
    </row>
    <row r="4827">
      <c r="A4827" s="7" t="inlineStr">
        <is>
          <t>ORD-05410</t>
        </is>
      </c>
      <c r="B4827" s="8" t="n">
        <v>45885</v>
      </c>
      <c r="C4827" s="9" t="n">
        <v>45870</v>
      </c>
      <c r="D4827" s="7" t="n">
        <v>2025</v>
      </c>
      <c r="E4827" s="7" t="inlineStr">
        <is>
          <t>West</t>
        </is>
      </c>
      <c r="F4827" s="7" t="inlineStr">
        <is>
          <t>Office Supplies</t>
        </is>
      </c>
      <c r="G4827" s="7" t="inlineStr">
        <is>
          <t>Printer Ink</t>
        </is>
      </c>
      <c r="H4827" s="7" t="inlineStr">
        <is>
          <t>Corporate</t>
        </is>
      </c>
      <c r="I4827" s="7" t="n">
        <v>11</v>
      </c>
      <c r="J4827" s="10" t="n">
        <v>61.68</v>
      </c>
      <c r="K4827" s="11" t="n">
        <v>0</v>
      </c>
      <c r="L4827" s="10">
        <f>I4827*J4827*(1-K4827)</f>
        <v/>
      </c>
      <c r="M4827" s="10" t="n">
        <v>396</v>
      </c>
      <c r="N4827" s="10">
        <f>L4827-M4827</f>
        <v/>
      </c>
    </row>
    <row r="4828">
      <c r="A4828" s="7" t="inlineStr">
        <is>
          <t>ORD-02187</t>
        </is>
      </c>
      <c r="B4828" s="8" t="n">
        <v>45885</v>
      </c>
      <c r="C4828" s="9" t="n">
        <v>45870</v>
      </c>
      <c r="D4828" s="7" t="n">
        <v>2025</v>
      </c>
      <c r="E4828" s="7" t="inlineStr">
        <is>
          <t>East</t>
        </is>
      </c>
      <c r="F4828" s="7" t="inlineStr">
        <is>
          <t>Technology</t>
        </is>
      </c>
      <c r="G4828" s="7" t="inlineStr">
        <is>
          <t>Monitor</t>
        </is>
      </c>
      <c r="H4828" s="7" t="inlineStr">
        <is>
          <t>Consumer</t>
        </is>
      </c>
      <c r="I4828" s="7" t="n">
        <v>1</v>
      </c>
      <c r="J4828" s="10" t="n">
        <v>252.59</v>
      </c>
      <c r="K4828" s="11" t="n">
        <v>0</v>
      </c>
      <c r="L4828" s="10">
        <f>I4828*J4828*(1-K4828)</f>
        <v/>
      </c>
      <c r="M4828" s="10" t="n">
        <v>180</v>
      </c>
      <c r="N4828" s="10">
        <f>L4828-M4828</f>
        <v/>
      </c>
    </row>
    <row r="4829">
      <c r="A4829" s="7" t="inlineStr">
        <is>
          <t>ORD-06000</t>
        </is>
      </c>
      <c r="B4829" s="8" t="n">
        <v>45885</v>
      </c>
      <c r="C4829" s="9" t="n">
        <v>45870</v>
      </c>
      <c r="D4829" s="7" t="n">
        <v>2025</v>
      </c>
      <c r="E4829" s="7" t="inlineStr">
        <is>
          <t>South</t>
        </is>
      </c>
      <c r="F4829" s="7" t="inlineStr">
        <is>
          <t>Office Supplies</t>
        </is>
      </c>
      <c r="G4829" s="7" t="inlineStr">
        <is>
          <t>Paper</t>
        </is>
      </c>
      <c r="H4829" s="7" t="inlineStr">
        <is>
          <t>Consumer</t>
        </is>
      </c>
      <c r="I4829" s="7" t="n">
        <v>14</v>
      </c>
      <c r="J4829" s="10" t="n">
        <v>24.05</v>
      </c>
      <c r="K4829" s="11" t="n">
        <v>0.3</v>
      </c>
      <c r="L4829" s="10">
        <f>I4829*J4829*(1-K4829)</f>
        <v/>
      </c>
      <c r="M4829" s="10" t="n">
        <v>175</v>
      </c>
      <c r="N4829" s="10">
        <f>L4829-M4829</f>
        <v/>
      </c>
    </row>
    <row r="4830">
      <c r="A4830" s="7" t="inlineStr">
        <is>
          <t>ORD-05443</t>
        </is>
      </c>
      <c r="B4830" s="8" t="n">
        <v>45885</v>
      </c>
      <c r="C4830" s="9" t="n">
        <v>45870</v>
      </c>
      <c r="D4830" s="7" t="n">
        <v>2025</v>
      </c>
      <c r="E4830" s="7" t="inlineStr">
        <is>
          <t>West</t>
        </is>
      </c>
      <c r="F4830" s="7" t="inlineStr">
        <is>
          <t>Office Supplies</t>
        </is>
      </c>
      <c r="G4830" s="7" t="inlineStr">
        <is>
          <t>Stapler</t>
        </is>
      </c>
      <c r="H4830" s="7" t="inlineStr">
        <is>
          <t>Corporate</t>
        </is>
      </c>
      <c r="I4830" s="7" t="n">
        <v>3</v>
      </c>
      <c r="J4830" s="10" t="n">
        <v>15.14</v>
      </c>
      <c r="K4830" s="11" t="n">
        <v>0</v>
      </c>
      <c r="L4830" s="10">
        <f>I4830*J4830*(1-K4830)</f>
        <v/>
      </c>
      <c r="M4830" s="10" t="n">
        <v>22.5</v>
      </c>
      <c r="N4830" s="10">
        <f>L4830-M4830</f>
        <v/>
      </c>
    </row>
    <row r="4831">
      <c r="A4831" s="7" t="inlineStr">
        <is>
          <t>ORD-03910</t>
        </is>
      </c>
      <c r="B4831" s="8" t="n">
        <v>45886</v>
      </c>
      <c r="C4831" s="9" t="n">
        <v>45870</v>
      </c>
      <c r="D4831" s="7" t="n">
        <v>2025</v>
      </c>
      <c r="E4831" s="7" t="inlineStr">
        <is>
          <t>North</t>
        </is>
      </c>
      <c r="F4831" s="7" t="inlineStr">
        <is>
          <t>Technology</t>
        </is>
      </c>
      <c r="G4831" s="7" t="inlineStr">
        <is>
          <t>Laptop</t>
        </is>
      </c>
      <c r="H4831" s="7" t="inlineStr">
        <is>
          <t>Consumer</t>
        </is>
      </c>
      <c r="I4831" s="7" t="n">
        <v>1</v>
      </c>
      <c r="J4831" s="10" t="n">
        <v>862.21</v>
      </c>
      <c r="K4831" s="11" t="n">
        <v>0</v>
      </c>
      <c r="L4831" s="10">
        <f>I4831*J4831*(1-K4831)</f>
        <v/>
      </c>
      <c r="M4831" s="10" t="n">
        <v>702</v>
      </c>
      <c r="N4831" s="10">
        <f>L4831-M4831</f>
        <v/>
      </c>
    </row>
    <row r="4832">
      <c r="A4832" s="7" t="inlineStr">
        <is>
          <t>ORD-03276</t>
        </is>
      </c>
      <c r="B4832" s="8" t="n">
        <v>45886</v>
      </c>
      <c r="C4832" s="9" t="n">
        <v>45870</v>
      </c>
      <c r="D4832" s="7" t="n">
        <v>2025</v>
      </c>
      <c r="E4832" s="7" t="inlineStr">
        <is>
          <t>West</t>
        </is>
      </c>
      <c r="F4832" s="7" t="inlineStr">
        <is>
          <t>Office Supplies</t>
        </is>
      </c>
      <c r="G4832" s="7" t="inlineStr">
        <is>
          <t>Pens</t>
        </is>
      </c>
      <c r="H4832" s="7" t="inlineStr">
        <is>
          <t>Home Office</t>
        </is>
      </c>
      <c r="I4832" s="7" t="n">
        <v>8</v>
      </c>
      <c r="J4832" s="10" t="n">
        <v>12.51</v>
      </c>
      <c r="K4832" s="11" t="n">
        <v>0.05</v>
      </c>
      <c r="L4832" s="10">
        <f>I4832*J4832*(1-K4832)</f>
        <v/>
      </c>
      <c r="M4832" s="10" t="n">
        <v>43.2</v>
      </c>
      <c r="N4832" s="10">
        <f>L4832-M4832</f>
        <v/>
      </c>
    </row>
    <row r="4833">
      <c r="A4833" s="7" t="inlineStr">
        <is>
          <t>ORD-02976</t>
        </is>
      </c>
      <c r="B4833" s="8" t="n">
        <v>45886</v>
      </c>
      <c r="C4833" s="9" t="n">
        <v>45870</v>
      </c>
      <c r="D4833" s="7" t="n">
        <v>2025</v>
      </c>
      <c r="E4833" s="7" t="inlineStr">
        <is>
          <t>West</t>
        </is>
      </c>
      <c r="F4833" s="7" t="inlineStr">
        <is>
          <t>Office Supplies</t>
        </is>
      </c>
      <c r="G4833" s="7" t="inlineStr">
        <is>
          <t>Pens</t>
        </is>
      </c>
      <c r="H4833" s="7" t="inlineStr">
        <is>
          <t>Corporate</t>
        </is>
      </c>
      <c r="I4833" s="7" t="n">
        <v>2</v>
      </c>
      <c r="J4833" s="10" t="n">
        <v>11.99</v>
      </c>
      <c r="K4833" s="11" t="n">
        <v>0</v>
      </c>
      <c r="L4833" s="10">
        <f>I4833*J4833*(1-K4833)</f>
        <v/>
      </c>
      <c r="M4833" s="10" t="n">
        <v>10.8</v>
      </c>
      <c r="N4833" s="10">
        <f>L4833-M4833</f>
        <v/>
      </c>
    </row>
    <row r="4834">
      <c r="A4834" s="7" t="inlineStr">
        <is>
          <t>ORD-03725</t>
        </is>
      </c>
      <c r="B4834" s="8" t="n">
        <v>45886</v>
      </c>
      <c r="C4834" s="9" t="n">
        <v>45870</v>
      </c>
      <c r="D4834" s="7" t="n">
        <v>2025</v>
      </c>
      <c r="E4834" s="7" t="inlineStr">
        <is>
          <t>South</t>
        </is>
      </c>
      <c r="F4834" s="7" t="inlineStr">
        <is>
          <t>Technology</t>
        </is>
      </c>
      <c r="G4834" s="7" t="inlineStr">
        <is>
          <t>Keyboard</t>
        </is>
      </c>
      <c r="H4834" s="7" t="inlineStr">
        <is>
          <t>Home Office</t>
        </is>
      </c>
      <c r="I4834" s="7" t="n">
        <v>2</v>
      </c>
      <c r="J4834" s="10" t="n">
        <v>46.78</v>
      </c>
      <c r="K4834" s="11" t="n">
        <v>0.1</v>
      </c>
      <c r="L4834" s="10">
        <f>I4834*J4834*(1-K4834)</f>
        <v/>
      </c>
      <c r="M4834" s="10" t="n">
        <v>49.5</v>
      </c>
      <c r="N4834" s="10">
        <f>L4834-M4834</f>
        <v/>
      </c>
    </row>
    <row r="4835">
      <c r="A4835" s="7" t="inlineStr">
        <is>
          <t>ORD-05927</t>
        </is>
      </c>
      <c r="B4835" s="8" t="n">
        <v>45886</v>
      </c>
      <c r="C4835" s="9" t="n">
        <v>45870</v>
      </c>
      <c r="D4835" s="7" t="n">
        <v>2025</v>
      </c>
      <c r="E4835" s="7" t="inlineStr">
        <is>
          <t>East</t>
        </is>
      </c>
      <c r="F4835" s="7" t="inlineStr">
        <is>
          <t>Office Supplies</t>
        </is>
      </c>
      <c r="G4835" s="7" t="inlineStr">
        <is>
          <t>Pens</t>
        </is>
      </c>
      <c r="H4835" s="7" t="inlineStr">
        <is>
          <t>Consumer</t>
        </is>
      </c>
      <c r="I4835" s="7" t="n">
        <v>10</v>
      </c>
      <c r="J4835" s="10" t="n">
        <v>12.38</v>
      </c>
      <c r="K4835" s="11" t="n">
        <v>0</v>
      </c>
      <c r="L4835" s="10">
        <f>I4835*J4835*(1-K4835)</f>
        <v/>
      </c>
      <c r="M4835" s="10" t="n">
        <v>54</v>
      </c>
      <c r="N4835" s="10">
        <f>L4835-M4835</f>
        <v/>
      </c>
    </row>
    <row r="4836">
      <c r="A4836" s="7" t="inlineStr">
        <is>
          <t>ORD-02499</t>
        </is>
      </c>
      <c r="B4836" s="8" t="n">
        <v>45886</v>
      </c>
      <c r="C4836" s="9" t="n">
        <v>45870</v>
      </c>
      <c r="D4836" s="7" t="n">
        <v>2025</v>
      </c>
      <c r="E4836" s="7" t="inlineStr">
        <is>
          <t>East</t>
        </is>
      </c>
      <c r="F4836" s="7" t="inlineStr">
        <is>
          <t>Technology</t>
        </is>
      </c>
      <c r="G4836" s="7" t="inlineStr">
        <is>
          <t>Keyboard</t>
        </is>
      </c>
      <c r="H4836" s="7" t="inlineStr">
        <is>
          <t>Consumer</t>
        </is>
      </c>
      <c r="I4836" s="7" t="n">
        <v>3</v>
      </c>
      <c r="J4836" s="10" t="n">
        <v>45.35</v>
      </c>
      <c r="K4836" s="11" t="n">
        <v>0</v>
      </c>
      <c r="L4836" s="10">
        <f>I4836*J4836*(1-K4836)</f>
        <v/>
      </c>
      <c r="M4836" s="10" t="n">
        <v>74.25</v>
      </c>
      <c r="N4836" s="10">
        <f>L4836-M4836</f>
        <v/>
      </c>
    </row>
    <row r="4837">
      <c r="A4837" s="7" t="inlineStr">
        <is>
          <t>ORD-05791</t>
        </is>
      </c>
      <c r="B4837" s="8" t="n">
        <v>45886</v>
      </c>
      <c r="C4837" s="9" t="n">
        <v>45870</v>
      </c>
      <c r="D4837" s="7" t="n">
        <v>2025</v>
      </c>
      <c r="E4837" s="7" t="inlineStr">
        <is>
          <t>South</t>
        </is>
      </c>
      <c r="F4837" s="7" t="inlineStr">
        <is>
          <t>Office Supplies</t>
        </is>
      </c>
      <c r="G4837" s="7" t="inlineStr">
        <is>
          <t>Pens</t>
        </is>
      </c>
      <c r="H4837" s="7" t="inlineStr">
        <is>
          <t>Home Office</t>
        </is>
      </c>
      <c r="I4837" s="7" t="n">
        <v>3</v>
      </c>
      <c r="J4837" s="10" t="n">
        <v>12.07</v>
      </c>
      <c r="K4837" s="11" t="n">
        <v>0</v>
      </c>
      <c r="L4837" s="10">
        <f>I4837*J4837*(1-K4837)</f>
        <v/>
      </c>
      <c r="M4837" s="10" t="n">
        <v>16.2</v>
      </c>
      <c r="N4837" s="10">
        <f>L4837-M4837</f>
        <v/>
      </c>
    </row>
    <row r="4838">
      <c r="A4838" s="7" t="inlineStr">
        <is>
          <t>ORD-01258</t>
        </is>
      </c>
      <c r="B4838" s="8" t="n">
        <v>45886</v>
      </c>
      <c r="C4838" s="9" t="n">
        <v>45870</v>
      </c>
      <c r="D4838" s="7" t="n">
        <v>2025</v>
      </c>
      <c r="E4838" s="7" t="inlineStr">
        <is>
          <t>North</t>
        </is>
      </c>
      <c r="F4838" s="7" t="inlineStr">
        <is>
          <t>Office Supplies</t>
        </is>
      </c>
      <c r="G4838" s="7" t="inlineStr">
        <is>
          <t>Paper</t>
        </is>
      </c>
      <c r="H4838" s="7" t="inlineStr">
        <is>
          <t>Corporate</t>
        </is>
      </c>
      <c r="I4838" s="7" t="n">
        <v>10</v>
      </c>
      <c r="J4838" s="10" t="n">
        <v>23.92</v>
      </c>
      <c r="K4838" s="11" t="n">
        <v>0</v>
      </c>
      <c r="L4838" s="10">
        <f>I4838*J4838*(1-K4838)</f>
        <v/>
      </c>
      <c r="M4838" s="10" t="n">
        <v>125</v>
      </c>
      <c r="N4838" s="10">
        <f>L4838-M4838</f>
        <v/>
      </c>
    </row>
    <row r="4839">
      <c r="A4839" s="7" t="inlineStr">
        <is>
          <t>ORD-03577</t>
        </is>
      </c>
      <c r="B4839" s="8" t="n">
        <v>45886</v>
      </c>
      <c r="C4839" s="9" t="n">
        <v>45870</v>
      </c>
      <c r="D4839" s="7" t="n">
        <v>2025</v>
      </c>
      <c r="E4839" s="7" t="inlineStr">
        <is>
          <t>West</t>
        </is>
      </c>
      <c r="F4839" s="7" t="inlineStr">
        <is>
          <t>Office Supplies</t>
        </is>
      </c>
      <c r="G4839" s="7" t="inlineStr">
        <is>
          <t>Paper</t>
        </is>
      </c>
      <c r="H4839" s="7" t="inlineStr">
        <is>
          <t>Home Office</t>
        </is>
      </c>
      <c r="I4839" s="7" t="n">
        <v>12</v>
      </c>
      <c r="J4839" s="10" t="n">
        <v>24.91</v>
      </c>
      <c r="K4839" s="11" t="n">
        <v>0.05</v>
      </c>
      <c r="L4839" s="10">
        <f>I4839*J4839*(1-K4839)</f>
        <v/>
      </c>
      <c r="M4839" s="10" t="n">
        <v>150</v>
      </c>
      <c r="N4839" s="10">
        <f>L4839-M4839</f>
        <v/>
      </c>
    </row>
    <row r="4840">
      <c r="A4840" s="7" t="inlineStr">
        <is>
          <t>ORD-02697</t>
        </is>
      </c>
      <c r="B4840" s="8" t="n">
        <v>45886</v>
      </c>
      <c r="C4840" s="9" t="n">
        <v>45870</v>
      </c>
      <c r="D4840" s="7" t="n">
        <v>2025</v>
      </c>
      <c r="E4840" s="7" t="inlineStr">
        <is>
          <t>West</t>
        </is>
      </c>
      <c r="F4840" s="7" t="inlineStr">
        <is>
          <t>Furniture</t>
        </is>
      </c>
      <c r="G4840" s="7" t="inlineStr">
        <is>
          <t>Bookcase</t>
        </is>
      </c>
      <c r="H4840" s="7" t="inlineStr">
        <is>
          <t>Consumer</t>
        </is>
      </c>
      <c r="I4840" s="7" t="n">
        <v>4</v>
      </c>
      <c r="J4840" s="10" t="n">
        <v>172.37</v>
      </c>
      <c r="K4840" s="11" t="n">
        <v>0</v>
      </c>
      <c r="L4840" s="10">
        <f>I4840*J4840*(1-K4840)</f>
        <v/>
      </c>
      <c r="M4840" s="10" t="n">
        <v>576</v>
      </c>
      <c r="N4840" s="10">
        <f>L4840-M4840</f>
        <v/>
      </c>
    </row>
    <row r="4841">
      <c r="A4841" s="7" t="inlineStr">
        <is>
          <t>ORD-02612</t>
        </is>
      </c>
      <c r="B4841" s="8" t="n">
        <v>45886</v>
      </c>
      <c r="C4841" s="9" t="n">
        <v>45870</v>
      </c>
      <c r="D4841" s="7" t="n">
        <v>2025</v>
      </c>
      <c r="E4841" s="7" t="inlineStr">
        <is>
          <t>South</t>
        </is>
      </c>
      <c r="F4841" s="7" t="inlineStr">
        <is>
          <t>Office Supplies</t>
        </is>
      </c>
      <c r="G4841" s="7" t="inlineStr">
        <is>
          <t>Printer Ink</t>
        </is>
      </c>
      <c r="H4841" s="7" t="inlineStr">
        <is>
          <t>Consumer</t>
        </is>
      </c>
      <c r="I4841" s="7" t="n">
        <v>12</v>
      </c>
      <c r="J4841" s="10" t="n">
        <v>60.84</v>
      </c>
      <c r="K4841" s="11" t="n">
        <v>0</v>
      </c>
      <c r="L4841" s="10">
        <f>I4841*J4841*(1-K4841)</f>
        <v/>
      </c>
      <c r="M4841" s="10" t="n">
        <v>432</v>
      </c>
      <c r="N4841" s="10">
        <f>L4841-M4841</f>
        <v/>
      </c>
    </row>
    <row r="4842">
      <c r="A4842" s="7" t="inlineStr">
        <is>
          <t>ORD-01169</t>
        </is>
      </c>
      <c r="B4842" s="8" t="n">
        <v>45886</v>
      </c>
      <c r="C4842" s="9" t="n">
        <v>45870</v>
      </c>
      <c r="D4842" s="7" t="n">
        <v>2025</v>
      </c>
      <c r="E4842" s="7" t="inlineStr">
        <is>
          <t>East</t>
        </is>
      </c>
      <c r="F4842" s="7" t="inlineStr">
        <is>
          <t>Office Supplies</t>
        </is>
      </c>
      <c r="G4842" s="7" t="inlineStr">
        <is>
          <t>Pens</t>
        </is>
      </c>
      <c r="H4842" s="7" t="inlineStr">
        <is>
          <t>Consumer</t>
        </is>
      </c>
      <c r="I4842" s="7" t="n">
        <v>6</v>
      </c>
      <c r="J4842" s="10" t="n">
        <v>11.43</v>
      </c>
      <c r="K4842" s="11" t="n">
        <v>0</v>
      </c>
      <c r="L4842" s="10">
        <f>I4842*J4842*(1-K4842)</f>
        <v/>
      </c>
      <c r="M4842" s="10" t="n">
        <v>32.4</v>
      </c>
      <c r="N4842" s="10">
        <f>L4842-M4842</f>
        <v/>
      </c>
    </row>
    <row r="4843">
      <c r="A4843" s="7" t="inlineStr">
        <is>
          <t>ORD-04314</t>
        </is>
      </c>
      <c r="B4843" s="8" t="n">
        <v>45886</v>
      </c>
      <c r="C4843" s="9" t="n">
        <v>45870</v>
      </c>
      <c r="D4843" s="7" t="n">
        <v>2025</v>
      </c>
      <c r="E4843" s="7" t="inlineStr">
        <is>
          <t>North</t>
        </is>
      </c>
      <c r="F4843" s="7" t="inlineStr">
        <is>
          <t>Office Supplies</t>
        </is>
      </c>
      <c r="G4843" s="7" t="inlineStr">
        <is>
          <t>Pens</t>
        </is>
      </c>
      <c r="H4843" s="7" t="inlineStr">
        <is>
          <t>Home Office</t>
        </is>
      </c>
      <c r="I4843" s="7" t="n">
        <v>9</v>
      </c>
      <c r="J4843" s="10" t="n">
        <v>12.27</v>
      </c>
      <c r="K4843" s="11" t="n">
        <v>0.05</v>
      </c>
      <c r="L4843" s="10">
        <f>I4843*J4843*(1-K4843)</f>
        <v/>
      </c>
      <c r="M4843" s="10" t="n">
        <v>48.6</v>
      </c>
      <c r="N4843" s="10">
        <f>L4843-M4843</f>
        <v/>
      </c>
    </row>
    <row r="4844">
      <c r="A4844" s="7" t="inlineStr">
        <is>
          <t>ORD-01541</t>
        </is>
      </c>
      <c r="B4844" s="8" t="n">
        <v>45887</v>
      </c>
      <c r="C4844" s="9" t="n">
        <v>45870</v>
      </c>
      <c r="D4844" s="7" t="n">
        <v>2025</v>
      </c>
      <c r="E4844" s="7" t="inlineStr">
        <is>
          <t>North</t>
        </is>
      </c>
      <c r="F4844" s="7" t="inlineStr">
        <is>
          <t>Technology</t>
        </is>
      </c>
      <c r="G4844" s="7" t="inlineStr">
        <is>
          <t>Laptop</t>
        </is>
      </c>
      <c r="H4844" s="7" t="inlineStr">
        <is>
          <t>Consumer</t>
        </is>
      </c>
      <c r="I4844" s="7" t="n">
        <v>2</v>
      </c>
      <c r="J4844" s="10" t="n">
        <v>856.34</v>
      </c>
      <c r="K4844" s="11" t="n">
        <v>0</v>
      </c>
      <c r="L4844" s="10">
        <f>I4844*J4844*(1-K4844)</f>
        <v/>
      </c>
      <c r="M4844" s="10" t="n">
        <v>1404</v>
      </c>
      <c r="N4844" s="10">
        <f>L4844-M4844</f>
        <v/>
      </c>
    </row>
    <row r="4845">
      <c r="A4845" s="7" t="inlineStr">
        <is>
          <t>ORD-01682</t>
        </is>
      </c>
      <c r="B4845" s="8" t="n">
        <v>45887</v>
      </c>
      <c r="C4845" s="9" t="n">
        <v>45870</v>
      </c>
      <c r="D4845" s="7" t="n">
        <v>2025</v>
      </c>
      <c r="E4845" s="7" t="inlineStr">
        <is>
          <t>South</t>
        </is>
      </c>
      <c r="F4845" s="7" t="inlineStr">
        <is>
          <t>Office Supplies</t>
        </is>
      </c>
      <c r="G4845" s="7" t="inlineStr">
        <is>
          <t>Printer Ink</t>
        </is>
      </c>
      <c r="H4845" s="7" t="inlineStr">
        <is>
          <t>Consumer</t>
        </is>
      </c>
      <c r="I4845" s="7" t="n">
        <v>8</v>
      </c>
      <c r="J4845" s="10" t="n">
        <v>59.81</v>
      </c>
      <c r="K4845" s="11" t="n">
        <v>0.05</v>
      </c>
      <c r="L4845" s="10">
        <f>I4845*J4845*(1-K4845)</f>
        <v/>
      </c>
      <c r="M4845" s="10" t="n">
        <v>288</v>
      </c>
      <c r="N4845" s="10">
        <f>L4845-M4845</f>
        <v/>
      </c>
    </row>
    <row r="4846">
      <c r="A4846" s="7" t="inlineStr">
        <is>
          <t>ORD-05856</t>
        </is>
      </c>
      <c r="B4846" s="8" t="n">
        <v>45887</v>
      </c>
      <c r="C4846" s="9" t="n">
        <v>45870</v>
      </c>
      <c r="D4846" s="7" t="n">
        <v>2025</v>
      </c>
      <c r="E4846" s="7" t="inlineStr">
        <is>
          <t>West</t>
        </is>
      </c>
      <c r="F4846" s="7" t="inlineStr">
        <is>
          <t>Furniture</t>
        </is>
      </c>
      <c r="G4846" s="7" t="inlineStr">
        <is>
          <t>Bookcase</t>
        </is>
      </c>
      <c r="H4846" s="7" t="inlineStr">
        <is>
          <t>Consumer</t>
        </is>
      </c>
      <c r="I4846" s="7" t="n">
        <v>1</v>
      </c>
      <c r="J4846" s="10" t="n">
        <v>185.37</v>
      </c>
      <c r="K4846" s="11" t="n">
        <v>0.3</v>
      </c>
      <c r="L4846" s="10">
        <f>I4846*J4846*(1-K4846)</f>
        <v/>
      </c>
      <c r="M4846" s="10" t="n">
        <v>144</v>
      </c>
      <c r="N4846" s="10">
        <f>L4846-M4846</f>
        <v/>
      </c>
    </row>
    <row r="4847">
      <c r="A4847" s="7" t="inlineStr">
        <is>
          <t>ORD-05250</t>
        </is>
      </c>
      <c r="B4847" s="8" t="n">
        <v>45888</v>
      </c>
      <c r="C4847" s="9" t="n">
        <v>45870</v>
      </c>
      <c r="D4847" s="7" t="n">
        <v>2025</v>
      </c>
      <c r="E4847" s="7" t="inlineStr">
        <is>
          <t>East</t>
        </is>
      </c>
      <c r="F4847" s="7" t="inlineStr">
        <is>
          <t>Office Supplies</t>
        </is>
      </c>
      <c r="G4847" s="7" t="inlineStr">
        <is>
          <t>Pens</t>
        </is>
      </c>
      <c r="H4847" s="7" t="inlineStr">
        <is>
          <t>Home Office</t>
        </is>
      </c>
      <c r="I4847" s="7" t="n">
        <v>5</v>
      </c>
      <c r="J4847" s="10" t="n">
        <v>11.44</v>
      </c>
      <c r="K4847" s="11" t="n">
        <v>0.1</v>
      </c>
      <c r="L4847" s="10">
        <f>I4847*J4847*(1-K4847)</f>
        <v/>
      </c>
      <c r="M4847" s="10" t="n">
        <v>27</v>
      </c>
      <c r="N4847" s="10">
        <f>L4847-M4847</f>
        <v/>
      </c>
    </row>
    <row r="4848">
      <c r="A4848" s="7" t="inlineStr">
        <is>
          <t>ORD-03450</t>
        </is>
      </c>
      <c r="B4848" s="8" t="n">
        <v>45888</v>
      </c>
      <c r="C4848" s="9" t="n">
        <v>45870</v>
      </c>
      <c r="D4848" s="7" t="n">
        <v>2025</v>
      </c>
      <c r="E4848" s="7" t="inlineStr">
        <is>
          <t>East</t>
        </is>
      </c>
      <c r="F4848" s="7" t="inlineStr">
        <is>
          <t>Office Supplies</t>
        </is>
      </c>
      <c r="G4848" s="7" t="inlineStr">
        <is>
          <t>Paper</t>
        </is>
      </c>
      <c r="H4848" s="7" t="inlineStr">
        <is>
          <t>Consumer</t>
        </is>
      </c>
      <c r="I4848" s="7" t="n">
        <v>12</v>
      </c>
      <c r="J4848" s="10" t="n">
        <v>25.84</v>
      </c>
      <c r="K4848" s="11" t="n">
        <v>0.05</v>
      </c>
      <c r="L4848" s="10">
        <f>I4848*J4848*(1-K4848)</f>
        <v/>
      </c>
      <c r="M4848" s="10" t="n">
        <v>150</v>
      </c>
      <c r="N4848" s="10">
        <f>L4848-M4848</f>
        <v/>
      </c>
    </row>
    <row r="4849">
      <c r="A4849" s="7" t="inlineStr">
        <is>
          <t>ORD-04577</t>
        </is>
      </c>
      <c r="B4849" s="8" t="n">
        <v>45888</v>
      </c>
      <c r="C4849" s="9" t="n">
        <v>45870</v>
      </c>
      <c r="D4849" s="7" t="n">
        <v>2025</v>
      </c>
      <c r="E4849" s="7" t="inlineStr">
        <is>
          <t>South</t>
        </is>
      </c>
      <c r="F4849" s="7" t="inlineStr">
        <is>
          <t>Office Supplies</t>
        </is>
      </c>
      <c r="G4849" s="7" t="inlineStr">
        <is>
          <t>Paper</t>
        </is>
      </c>
      <c r="H4849" s="7" t="inlineStr">
        <is>
          <t>Consumer</t>
        </is>
      </c>
      <c r="I4849" s="7" t="n">
        <v>4</v>
      </c>
      <c r="J4849" s="10" t="n">
        <v>25.79</v>
      </c>
      <c r="K4849" s="11" t="n">
        <v>0.2</v>
      </c>
      <c r="L4849" s="10">
        <f>I4849*J4849*(1-K4849)</f>
        <v/>
      </c>
      <c r="M4849" s="10" t="n">
        <v>50</v>
      </c>
      <c r="N4849" s="10">
        <f>L4849-M4849</f>
        <v/>
      </c>
    </row>
    <row r="4850">
      <c r="A4850" s="7" t="inlineStr">
        <is>
          <t>ORD-03637</t>
        </is>
      </c>
      <c r="B4850" s="8" t="n">
        <v>45888</v>
      </c>
      <c r="C4850" s="9" t="n">
        <v>45870</v>
      </c>
      <c r="D4850" s="7" t="n">
        <v>2025</v>
      </c>
      <c r="E4850" s="7" t="inlineStr">
        <is>
          <t>East</t>
        </is>
      </c>
      <c r="F4850" s="7" t="inlineStr">
        <is>
          <t>Technology</t>
        </is>
      </c>
      <c r="G4850" s="7" t="inlineStr">
        <is>
          <t>Monitor</t>
        </is>
      </c>
      <c r="H4850" s="7" t="inlineStr">
        <is>
          <t>Corporate</t>
        </is>
      </c>
      <c r="I4850" s="7" t="n">
        <v>3</v>
      </c>
      <c r="J4850" s="10" t="n">
        <v>256.85</v>
      </c>
      <c r="K4850" s="11" t="n">
        <v>0.05</v>
      </c>
      <c r="L4850" s="10">
        <f>I4850*J4850*(1-K4850)</f>
        <v/>
      </c>
      <c r="M4850" s="10" t="n">
        <v>540</v>
      </c>
      <c r="N4850" s="10">
        <f>L4850-M4850</f>
        <v/>
      </c>
    </row>
    <row r="4851">
      <c r="A4851" s="7" t="inlineStr">
        <is>
          <t>ORD-01144</t>
        </is>
      </c>
      <c r="B4851" s="8" t="n">
        <v>45888</v>
      </c>
      <c r="C4851" s="9" t="n">
        <v>45870</v>
      </c>
      <c r="D4851" s="7" t="n">
        <v>2025</v>
      </c>
      <c r="E4851" s="7" t="inlineStr">
        <is>
          <t>West</t>
        </is>
      </c>
      <c r="F4851" s="7" t="inlineStr">
        <is>
          <t>Office Supplies</t>
        </is>
      </c>
      <c r="G4851" s="7" t="inlineStr">
        <is>
          <t>Pens</t>
        </is>
      </c>
      <c r="H4851" s="7" t="inlineStr">
        <is>
          <t>Corporate</t>
        </is>
      </c>
      <c r="I4851" s="7" t="n">
        <v>2</v>
      </c>
      <c r="J4851" s="10" t="n">
        <v>12.13</v>
      </c>
      <c r="K4851" s="11" t="n">
        <v>0</v>
      </c>
      <c r="L4851" s="10">
        <f>I4851*J4851*(1-K4851)</f>
        <v/>
      </c>
      <c r="M4851" s="10" t="n">
        <v>10.8</v>
      </c>
      <c r="N4851" s="10">
        <f>L4851-M4851</f>
        <v/>
      </c>
    </row>
    <row r="4852">
      <c r="A4852" s="7" t="inlineStr">
        <is>
          <t>ORD-03430</t>
        </is>
      </c>
      <c r="B4852" s="8" t="n">
        <v>45888</v>
      </c>
      <c r="C4852" s="9" t="n">
        <v>45870</v>
      </c>
      <c r="D4852" s="7" t="n">
        <v>2025</v>
      </c>
      <c r="E4852" s="7" t="inlineStr">
        <is>
          <t>North</t>
        </is>
      </c>
      <c r="F4852" s="7" t="inlineStr">
        <is>
          <t>Technology</t>
        </is>
      </c>
      <c r="G4852" s="7" t="inlineStr">
        <is>
          <t>Smartphone</t>
        </is>
      </c>
      <c r="H4852" s="7" t="inlineStr">
        <is>
          <t>Corporate</t>
        </is>
      </c>
      <c r="I4852" s="7" t="n">
        <v>2</v>
      </c>
      <c r="J4852" s="10" t="n">
        <v>577.48</v>
      </c>
      <c r="K4852" s="11" t="n">
        <v>0</v>
      </c>
      <c r="L4852" s="10">
        <f>I4852*J4852*(1-K4852)</f>
        <v/>
      </c>
      <c r="M4852" s="10" t="n">
        <v>900</v>
      </c>
      <c r="N4852" s="10">
        <f>L4852-M4852</f>
        <v/>
      </c>
    </row>
    <row r="4853">
      <c r="A4853" s="7" t="inlineStr">
        <is>
          <t>ORD-03342</t>
        </is>
      </c>
      <c r="B4853" s="8" t="n">
        <v>45888</v>
      </c>
      <c r="C4853" s="9" t="n">
        <v>45870</v>
      </c>
      <c r="D4853" s="7" t="n">
        <v>2025</v>
      </c>
      <c r="E4853" s="7" t="inlineStr">
        <is>
          <t>West</t>
        </is>
      </c>
      <c r="F4853" s="7" t="inlineStr">
        <is>
          <t>Technology</t>
        </is>
      </c>
      <c r="G4853" s="7" t="inlineStr">
        <is>
          <t>Headphones</t>
        </is>
      </c>
      <c r="H4853" s="7" t="inlineStr">
        <is>
          <t>Home Office</t>
        </is>
      </c>
      <c r="I4853" s="7" t="n">
        <v>1</v>
      </c>
      <c r="J4853" s="10" t="n">
        <v>122.55</v>
      </c>
      <c r="K4853" s="11" t="n">
        <v>0.05</v>
      </c>
      <c r="L4853" s="10">
        <f>I4853*J4853*(1-K4853)</f>
        <v/>
      </c>
      <c r="M4853" s="10" t="n">
        <v>72</v>
      </c>
      <c r="N4853" s="10">
        <f>L4853-M4853</f>
        <v/>
      </c>
    </row>
    <row r="4854">
      <c r="A4854" s="7" t="inlineStr">
        <is>
          <t>ORD-02992</t>
        </is>
      </c>
      <c r="B4854" s="8" t="n">
        <v>45888</v>
      </c>
      <c r="C4854" s="9" t="n">
        <v>45870</v>
      </c>
      <c r="D4854" s="7" t="n">
        <v>2025</v>
      </c>
      <c r="E4854" s="7" t="inlineStr">
        <is>
          <t>West</t>
        </is>
      </c>
      <c r="F4854" s="7" t="inlineStr">
        <is>
          <t>Office Supplies</t>
        </is>
      </c>
      <c r="G4854" s="7" t="inlineStr">
        <is>
          <t>Printer Ink</t>
        </is>
      </c>
      <c r="H4854" s="7" t="inlineStr">
        <is>
          <t>Consumer</t>
        </is>
      </c>
      <c r="I4854" s="7" t="n">
        <v>2</v>
      </c>
      <c r="J4854" s="10" t="n">
        <v>58.53</v>
      </c>
      <c r="K4854" s="11" t="n">
        <v>0.3</v>
      </c>
      <c r="L4854" s="10">
        <f>I4854*J4854*(1-K4854)</f>
        <v/>
      </c>
      <c r="M4854" s="10" t="n">
        <v>72</v>
      </c>
      <c r="N4854" s="10">
        <f>L4854-M4854</f>
        <v/>
      </c>
    </row>
    <row r="4855">
      <c r="A4855" s="7" t="inlineStr">
        <is>
          <t>ORD-04040</t>
        </is>
      </c>
      <c r="B4855" s="8" t="n">
        <v>45888</v>
      </c>
      <c r="C4855" s="9" t="n">
        <v>45870</v>
      </c>
      <c r="D4855" s="7" t="n">
        <v>2025</v>
      </c>
      <c r="E4855" s="7" t="inlineStr">
        <is>
          <t>East</t>
        </is>
      </c>
      <c r="F4855" s="7" t="inlineStr">
        <is>
          <t>Office Supplies</t>
        </is>
      </c>
      <c r="G4855" s="7" t="inlineStr">
        <is>
          <t>Printer Ink</t>
        </is>
      </c>
      <c r="H4855" s="7" t="inlineStr">
        <is>
          <t>Consumer</t>
        </is>
      </c>
      <c r="I4855" s="7" t="n">
        <v>4</v>
      </c>
      <c r="J4855" s="10" t="n">
        <v>62.22</v>
      </c>
      <c r="K4855" s="11" t="n">
        <v>0</v>
      </c>
      <c r="L4855" s="10">
        <f>I4855*J4855*(1-K4855)</f>
        <v/>
      </c>
      <c r="M4855" s="10" t="n">
        <v>144</v>
      </c>
      <c r="N4855" s="10">
        <f>L4855-M4855</f>
        <v/>
      </c>
    </row>
    <row r="4856">
      <c r="A4856" s="7" t="inlineStr">
        <is>
          <t>ORD-01186</t>
        </is>
      </c>
      <c r="B4856" s="8" t="n">
        <v>45889</v>
      </c>
      <c r="C4856" s="9" t="n">
        <v>45870</v>
      </c>
      <c r="D4856" s="7" t="n">
        <v>2025</v>
      </c>
      <c r="E4856" s="7" t="inlineStr">
        <is>
          <t>East</t>
        </is>
      </c>
      <c r="F4856" s="7" t="inlineStr">
        <is>
          <t>Office Supplies</t>
        </is>
      </c>
      <c r="G4856" s="7" t="inlineStr">
        <is>
          <t>Binder</t>
        </is>
      </c>
      <c r="H4856" s="7" t="inlineStr">
        <is>
          <t>Consumer</t>
        </is>
      </c>
      <c r="I4856" s="7" t="n">
        <v>9</v>
      </c>
      <c r="J4856" s="10" t="n">
        <v>8.1</v>
      </c>
      <c r="K4856" s="11" t="n">
        <v>0</v>
      </c>
      <c r="L4856" s="10">
        <f>I4856*J4856*(1-K4856)</f>
        <v/>
      </c>
      <c r="M4856" s="10" t="n">
        <v>28.8</v>
      </c>
      <c r="N4856" s="10">
        <f>L4856-M4856</f>
        <v/>
      </c>
    </row>
    <row r="4857">
      <c r="A4857" s="7" t="inlineStr">
        <is>
          <t>ORD-01492</t>
        </is>
      </c>
      <c r="B4857" s="8" t="n">
        <v>45889</v>
      </c>
      <c r="C4857" s="9" t="n">
        <v>45870</v>
      </c>
      <c r="D4857" s="7" t="n">
        <v>2025</v>
      </c>
      <c r="E4857" s="7" t="inlineStr">
        <is>
          <t>North</t>
        </is>
      </c>
      <c r="F4857" s="7" t="inlineStr">
        <is>
          <t>Office Supplies</t>
        </is>
      </c>
      <c r="G4857" s="7" t="inlineStr">
        <is>
          <t>Pens</t>
        </is>
      </c>
      <c r="H4857" s="7" t="inlineStr">
        <is>
          <t>Corporate</t>
        </is>
      </c>
      <c r="I4857" s="7" t="n">
        <v>12</v>
      </c>
      <c r="J4857" s="10" t="n">
        <v>11.91</v>
      </c>
      <c r="K4857" s="11" t="n">
        <v>0</v>
      </c>
      <c r="L4857" s="10">
        <f>I4857*J4857*(1-K4857)</f>
        <v/>
      </c>
      <c r="M4857" s="10" t="n">
        <v>64.8</v>
      </c>
      <c r="N4857" s="10">
        <f>L4857-M4857</f>
        <v/>
      </c>
    </row>
    <row r="4858">
      <c r="A4858" s="7" t="inlineStr">
        <is>
          <t>ORD-02619</t>
        </is>
      </c>
      <c r="B4858" s="8" t="n">
        <v>45889</v>
      </c>
      <c r="C4858" s="9" t="n">
        <v>45870</v>
      </c>
      <c r="D4858" s="7" t="n">
        <v>2025</v>
      </c>
      <c r="E4858" s="7" t="inlineStr">
        <is>
          <t>West</t>
        </is>
      </c>
      <c r="F4858" s="7" t="inlineStr">
        <is>
          <t>Office Supplies</t>
        </is>
      </c>
      <c r="G4858" s="7" t="inlineStr">
        <is>
          <t>Printer Ink</t>
        </is>
      </c>
      <c r="H4858" s="7" t="inlineStr">
        <is>
          <t>Consumer</t>
        </is>
      </c>
      <c r="I4858" s="7" t="n">
        <v>4</v>
      </c>
      <c r="J4858" s="10" t="n">
        <v>57.85</v>
      </c>
      <c r="K4858" s="11" t="n">
        <v>0.2</v>
      </c>
      <c r="L4858" s="10">
        <f>I4858*J4858*(1-K4858)</f>
        <v/>
      </c>
      <c r="M4858" s="10" t="n">
        <v>144</v>
      </c>
      <c r="N4858" s="10">
        <f>L4858-M4858</f>
        <v/>
      </c>
    </row>
    <row r="4859">
      <c r="A4859" s="7" t="inlineStr">
        <is>
          <t>ORD-00632</t>
        </is>
      </c>
      <c r="B4859" s="8" t="n">
        <v>45889</v>
      </c>
      <c r="C4859" s="9" t="n">
        <v>45870</v>
      </c>
      <c r="D4859" s="7" t="n">
        <v>2025</v>
      </c>
      <c r="E4859" s="7" t="inlineStr">
        <is>
          <t>West</t>
        </is>
      </c>
      <c r="F4859" s="7" t="inlineStr">
        <is>
          <t>Office Supplies</t>
        </is>
      </c>
      <c r="G4859" s="7" t="inlineStr">
        <is>
          <t>Pens</t>
        </is>
      </c>
      <c r="H4859" s="7" t="inlineStr">
        <is>
          <t>Corporate</t>
        </is>
      </c>
      <c r="I4859" s="7" t="n">
        <v>14</v>
      </c>
      <c r="J4859" s="10" t="n">
        <v>11.55</v>
      </c>
      <c r="K4859" s="11" t="n">
        <v>0</v>
      </c>
      <c r="L4859" s="10">
        <f>I4859*J4859*(1-K4859)</f>
        <v/>
      </c>
      <c r="M4859" s="10" t="n">
        <v>75.59999999999999</v>
      </c>
      <c r="N4859" s="10">
        <f>L4859-M4859</f>
        <v/>
      </c>
    </row>
    <row r="4860">
      <c r="A4860" s="7" t="inlineStr">
        <is>
          <t>ORD-01163</t>
        </is>
      </c>
      <c r="B4860" s="8" t="n">
        <v>45889</v>
      </c>
      <c r="C4860" s="9" t="n">
        <v>45870</v>
      </c>
      <c r="D4860" s="7" t="n">
        <v>2025</v>
      </c>
      <c r="E4860" s="7" t="inlineStr">
        <is>
          <t>East</t>
        </is>
      </c>
      <c r="F4860" s="7" t="inlineStr">
        <is>
          <t>Furniture</t>
        </is>
      </c>
      <c r="G4860" s="7" t="inlineStr">
        <is>
          <t>Office Chair</t>
        </is>
      </c>
      <c r="H4860" s="7" t="inlineStr">
        <is>
          <t>Home Office</t>
        </is>
      </c>
      <c r="I4860" s="7" t="n">
        <v>3</v>
      </c>
      <c r="J4860" s="10" t="n">
        <v>217.53</v>
      </c>
      <c r="K4860" s="11" t="n">
        <v>0.3</v>
      </c>
      <c r="L4860" s="10">
        <f>I4860*J4860*(1-K4860)</f>
        <v/>
      </c>
      <c r="M4860" s="10" t="n">
        <v>541.2</v>
      </c>
      <c r="N4860" s="10">
        <f>L4860-M4860</f>
        <v/>
      </c>
    </row>
    <row r="4861">
      <c r="A4861" s="7" t="inlineStr">
        <is>
          <t>ORD-00014</t>
        </is>
      </c>
      <c r="B4861" s="8" t="n">
        <v>45889</v>
      </c>
      <c r="C4861" s="9" t="n">
        <v>45870</v>
      </c>
      <c r="D4861" s="7" t="n">
        <v>2025</v>
      </c>
      <c r="E4861" s="7" t="inlineStr">
        <is>
          <t>South</t>
        </is>
      </c>
      <c r="F4861" s="7" t="inlineStr">
        <is>
          <t>Technology</t>
        </is>
      </c>
      <c r="G4861" s="7" t="inlineStr">
        <is>
          <t>Smartphone</t>
        </is>
      </c>
      <c r="H4861" s="7" t="inlineStr">
        <is>
          <t>Consumer</t>
        </is>
      </c>
      <c r="I4861" s="7" t="n">
        <v>1</v>
      </c>
      <c r="J4861" s="10" t="n">
        <v>594.1</v>
      </c>
      <c r="K4861" s="11" t="n">
        <v>0.2</v>
      </c>
      <c r="L4861" s="10">
        <f>I4861*J4861*(1-K4861)</f>
        <v/>
      </c>
      <c r="M4861" s="10" t="n">
        <v>450</v>
      </c>
      <c r="N4861" s="10">
        <f>L4861-M4861</f>
        <v/>
      </c>
    </row>
    <row r="4862">
      <c r="A4862" s="7" t="inlineStr">
        <is>
          <t>ORD-02639</t>
        </is>
      </c>
      <c r="B4862" s="8" t="n">
        <v>45889</v>
      </c>
      <c r="C4862" s="9" t="n">
        <v>45870</v>
      </c>
      <c r="D4862" s="7" t="n">
        <v>2025</v>
      </c>
      <c r="E4862" s="7" t="inlineStr">
        <is>
          <t>East</t>
        </is>
      </c>
      <c r="F4862" s="7" t="inlineStr">
        <is>
          <t>Technology</t>
        </is>
      </c>
      <c r="G4862" s="7" t="inlineStr">
        <is>
          <t>Headphones</t>
        </is>
      </c>
      <c r="H4862" s="7" t="inlineStr">
        <is>
          <t>Consumer</t>
        </is>
      </c>
      <c r="I4862" s="7" t="n">
        <v>2</v>
      </c>
      <c r="J4862" s="10" t="n">
        <v>115.08</v>
      </c>
      <c r="K4862" s="11" t="n">
        <v>0</v>
      </c>
      <c r="L4862" s="10">
        <f>I4862*J4862*(1-K4862)</f>
        <v/>
      </c>
      <c r="M4862" s="10" t="n">
        <v>144</v>
      </c>
      <c r="N4862" s="10">
        <f>L4862-M4862</f>
        <v/>
      </c>
    </row>
    <row r="4863">
      <c r="A4863" s="7" t="inlineStr">
        <is>
          <t>ORD-01167</t>
        </is>
      </c>
      <c r="B4863" s="8" t="n">
        <v>45889</v>
      </c>
      <c r="C4863" s="9" t="n">
        <v>45870</v>
      </c>
      <c r="D4863" s="7" t="n">
        <v>2025</v>
      </c>
      <c r="E4863" s="7" t="inlineStr">
        <is>
          <t>South</t>
        </is>
      </c>
      <c r="F4863" s="7" t="inlineStr">
        <is>
          <t>Office Supplies</t>
        </is>
      </c>
      <c r="G4863" s="7" t="inlineStr">
        <is>
          <t>Pens</t>
        </is>
      </c>
      <c r="H4863" s="7" t="inlineStr">
        <is>
          <t>Consumer</t>
        </is>
      </c>
      <c r="I4863" s="7" t="n">
        <v>8</v>
      </c>
      <c r="J4863" s="10" t="n">
        <v>12.39</v>
      </c>
      <c r="K4863" s="11" t="n">
        <v>0.05</v>
      </c>
      <c r="L4863" s="10">
        <f>I4863*J4863*(1-K4863)</f>
        <v/>
      </c>
      <c r="M4863" s="10" t="n">
        <v>43.2</v>
      </c>
      <c r="N4863" s="10">
        <f>L4863-M4863</f>
        <v/>
      </c>
    </row>
    <row r="4864">
      <c r="A4864" s="7" t="inlineStr">
        <is>
          <t>ORD-02178</t>
        </is>
      </c>
      <c r="B4864" s="8" t="n">
        <v>45890</v>
      </c>
      <c r="C4864" s="9" t="n">
        <v>45870</v>
      </c>
      <c r="D4864" s="7" t="n">
        <v>2025</v>
      </c>
      <c r="E4864" s="7" t="inlineStr">
        <is>
          <t>East</t>
        </is>
      </c>
      <c r="F4864" s="7" t="inlineStr">
        <is>
          <t>Office Supplies</t>
        </is>
      </c>
      <c r="G4864" s="7" t="inlineStr">
        <is>
          <t>Pens</t>
        </is>
      </c>
      <c r="H4864" s="7" t="inlineStr">
        <is>
          <t>Home Office</t>
        </is>
      </c>
      <c r="I4864" s="7" t="n">
        <v>4</v>
      </c>
      <c r="J4864" s="10" t="n">
        <v>12.29</v>
      </c>
      <c r="K4864" s="11" t="n">
        <v>0.05</v>
      </c>
      <c r="L4864" s="10">
        <f>I4864*J4864*(1-K4864)</f>
        <v/>
      </c>
      <c r="M4864" s="10" t="n">
        <v>21.6</v>
      </c>
      <c r="N4864" s="10">
        <f>L4864-M4864</f>
        <v/>
      </c>
    </row>
    <row r="4865">
      <c r="A4865" s="7" t="inlineStr">
        <is>
          <t>ORD-05701</t>
        </is>
      </c>
      <c r="B4865" s="8" t="n">
        <v>45890</v>
      </c>
      <c r="C4865" s="9" t="n">
        <v>45870</v>
      </c>
      <c r="D4865" s="7" t="n">
        <v>2025</v>
      </c>
      <c r="E4865" s="7" t="inlineStr">
        <is>
          <t>East</t>
        </is>
      </c>
      <c r="F4865" s="7" t="inlineStr">
        <is>
          <t>Furniture</t>
        </is>
      </c>
      <c r="G4865" s="7" t="inlineStr">
        <is>
          <t>Office Chair</t>
        </is>
      </c>
      <c r="H4865" s="7" t="inlineStr">
        <is>
          <t>Corporate</t>
        </is>
      </c>
      <c r="I4865" s="7" t="n">
        <v>3</v>
      </c>
      <c r="J4865" s="10" t="n">
        <v>220</v>
      </c>
      <c r="K4865" s="11" t="n">
        <v>0.05</v>
      </c>
      <c r="L4865" s="10">
        <f>I4865*J4865*(1-K4865)</f>
        <v/>
      </c>
      <c r="M4865" s="10" t="n">
        <v>541.2</v>
      </c>
      <c r="N4865" s="10">
        <f>L4865-M4865</f>
        <v/>
      </c>
    </row>
    <row r="4866">
      <c r="A4866" s="7" t="inlineStr">
        <is>
          <t>ORD-00262</t>
        </is>
      </c>
      <c r="B4866" s="8" t="n">
        <v>45891</v>
      </c>
      <c r="C4866" s="9" t="n">
        <v>45870</v>
      </c>
      <c r="D4866" s="7" t="n">
        <v>2025</v>
      </c>
      <c r="E4866" s="7" t="inlineStr">
        <is>
          <t>West</t>
        </is>
      </c>
      <c r="F4866" s="7" t="inlineStr">
        <is>
          <t>Office Supplies</t>
        </is>
      </c>
      <c r="G4866" s="7" t="inlineStr">
        <is>
          <t>Pens</t>
        </is>
      </c>
      <c r="H4866" s="7" t="inlineStr">
        <is>
          <t>Consumer</t>
        </is>
      </c>
      <c r="I4866" s="7" t="n">
        <v>14</v>
      </c>
      <c r="J4866" s="10" t="n">
        <v>12.33</v>
      </c>
      <c r="K4866" s="11" t="n">
        <v>0</v>
      </c>
      <c r="L4866" s="10">
        <f>I4866*J4866*(1-K4866)</f>
        <v/>
      </c>
      <c r="M4866" s="10" t="n">
        <v>75.59999999999999</v>
      </c>
      <c r="N4866" s="10">
        <f>L4866-M4866</f>
        <v/>
      </c>
    </row>
    <row r="4867">
      <c r="A4867" s="7" t="inlineStr">
        <is>
          <t>ORD-01945</t>
        </is>
      </c>
      <c r="B4867" s="8" t="n">
        <v>45891</v>
      </c>
      <c r="C4867" s="9" t="n">
        <v>45870</v>
      </c>
      <c r="D4867" s="7" t="n">
        <v>2025</v>
      </c>
      <c r="E4867" s="7" t="inlineStr">
        <is>
          <t>East</t>
        </is>
      </c>
      <c r="F4867" s="7" t="inlineStr">
        <is>
          <t>Technology</t>
        </is>
      </c>
      <c r="G4867" s="7" t="inlineStr">
        <is>
          <t>Laptop</t>
        </is>
      </c>
      <c r="H4867" s="7" t="inlineStr">
        <is>
          <t>Consumer</t>
        </is>
      </c>
      <c r="I4867" s="7" t="n">
        <v>3</v>
      </c>
      <c r="J4867" s="10" t="n">
        <v>939.96</v>
      </c>
      <c r="K4867" s="11" t="n">
        <v>0.05</v>
      </c>
      <c r="L4867" s="10">
        <f>I4867*J4867*(1-K4867)</f>
        <v/>
      </c>
      <c r="M4867" s="10" t="n">
        <v>2106</v>
      </c>
      <c r="N4867" s="10">
        <f>L4867-M4867</f>
        <v/>
      </c>
    </row>
    <row r="4868">
      <c r="A4868" s="7" t="inlineStr">
        <is>
          <t>ORD-04460</t>
        </is>
      </c>
      <c r="B4868" s="8" t="n">
        <v>45891</v>
      </c>
      <c r="C4868" s="9" t="n">
        <v>45870</v>
      </c>
      <c r="D4868" s="7" t="n">
        <v>2025</v>
      </c>
      <c r="E4868" s="7" t="inlineStr">
        <is>
          <t>South</t>
        </is>
      </c>
      <c r="F4868" s="7" t="inlineStr">
        <is>
          <t>Office Supplies</t>
        </is>
      </c>
      <c r="G4868" s="7" t="inlineStr">
        <is>
          <t>Stapler</t>
        </is>
      </c>
      <c r="H4868" s="7" t="inlineStr">
        <is>
          <t>Consumer</t>
        </is>
      </c>
      <c r="I4868" s="7" t="n">
        <v>13</v>
      </c>
      <c r="J4868" s="10" t="n">
        <v>14.35</v>
      </c>
      <c r="K4868" s="11" t="n">
        <v>0.1</v>
      </c>
      <c r="L4868" s="10">
        <f>I4868*J4868*(1-K4868)</f>
        <v/>
      </c>
      <c r="M4868" s="10" t="n">
        <v>97.5</v>
      </c>
      <c r="N4868" s="10">
        <f>L4868-M4868</f>
        <v/>
      </c>
    </row>
    <row r="4869">
      <c r="A4869" s="7" t="inlineStr">
        <is>
          <t>ORD-04321</t>
        </is>
      </c>
      <c r="B4869" s="8" t="n">
        <v>45891</v>
      </c>
      <c r="C4869" s="9" t="n">
        <v>45870</v>
      </c>
      <c r="D4869" s="7" t="n">
        <v>2025</v>
      </c>
      <c r="E4869" s="7" t="inlineStr">
        <is>
          <t>South</t>
        </is>
      </c>
      <c r="F4869" s="7" t="inlineStr">
        <is>
          <t>Office Supplies</t>
        </is>
      </c>
      <c r="G4869" s="7" t="inlineStr">
        <is>
          <t>Pens</t>
        </is>
      </c>
      <c r="H4869" s="7" t="inlineStr">
        <is>
          <t>Home Office</t>
        </is>
      </c>
      <c r="I4869" s="7" t="n">
        <v>9</v>
      </c>
      <c r="J4869" s="10" t="n">
        <v>12.45</v>
      </c>
      <c r="K4869" s="11" t="n">
        <v>0.1</v>
      </c>
      <c r="L4869" s="10">
        <f>I4869*J4869*(1-K4869)</f>
        <v/>
      </c>
      <c r="M4869" s="10" t="n">
        <v>48.6</v>
      </c>
      <c r="N4869" s="10">
        <f>L4869-M4869</f>
        <v/>
      </c>
    </row>
    <row r="4870">
      <c r="A4870" s="7" t="inlineStr">
        <is>
          <t>ORD-05273</t>
        </is>
      </c>
      <c r="B4870" s="8" t="n">
        <v>45892</v>
      </c>
      <c r="C4870" s="9" t="n">
        <v>45870</v>
      </c>
      <c r="D4870" s="7" t="n">
        <v>2025</v>
      </c>
      <c r="E4870" s="7" t="inlineStr">
        <is>
          <t>North</t>
        </is>
      </c>
      <c r="F4870" s="7" t="inlineStr">
        <is>
          <t>Office Supplies</t>
        </is>
      </c>
      <c r="G4870" s="7" t="inlineStr">
        <is>
          <t>Pens</t>
        </is>
      </c>
      <c r="H4870" s="7" t="inlineStr">
        <is>
          <t>Consumer</t>
        </is>
      </c>
      <c r="I4870" s="7" t="n">
        <v>2</v>
      </c>
      <c r="J4870" s="10" t="n">
        <v>12.02</v>
      </c>
      <c r="K4870" s="11" t="n">
        <v>0.2</v>
      </c>
      <c r="L4870" s="10">
        <f>I4870*J4870*(1-K4870)</f>
        <v/>
      </c>
      <c r="M4870" s="10" t="n">
        <v>10.8</v>
      </c>
      <c r="N4870" s="10">
        <f>L4870-M4870</f>
        <v/>
      </c>
    </row>
    <row r="4871">
      <c r="A4871" s="7" t="inlineStr">
        <is>
          <t>ORD-05105</t>
        </is>
      </c>
      <c r="B4871" s="8" t="n">
        <v>45892</v>
      </c>
      <c r="C4871" s="9" t="n">
        <v>45870</v>
      </c>
      <c r="D4871" s="7" t="n">
        <v>2025</v>
      </c>
      <c r="E4871" s="7" t="inlineStr">
        <is>
          <t>North</t>
        </is>
      </c>
      <c r="F4871" s="7" t="inlineStr">
        <is>
          <t>Technology</t>
        </is>
      </c>
      <c r="G4871" s="7" t="inlineStr">
        <is>
          <t>Monitor</t>
        </is>
      </c>
      <c r="H4871" s="7" t="inlineStr">
        <is>
          <t>Consumer</t>
        </is>
      </c>
      <c r="I4871" s="7" t="n">
        <v>3</v>
      </c>
      <c r="J4871" s="10" t="n">
        <v>261.32</v>
      </c>
      <c r="K4871" s="11" t="n">
        <v>0.1</v>
      </c>
      <c r="L4871" s="10">
        <f>I4871*J4871*(1-K4871)</f>
        <v/>
      </c>
      <c r="M4871" s="10" t="n">
        <v>540</v>
      </c>
      <c r="N4871" s="10">
        <f>L4871-M4871</f>
        <v/>
      </c>
    </row>
    <row r="4872">
      <c r="A4872" s="7" t="inlineStr">
        <is>
          <t>ORD-00397</t>
        </is>
      </c>
      <c r="B4872" s="8" t="n">
        <v>45892</v>
      </c>
      <c r="C4872" s="9" t="n">
        <v>45870</v>
      </c>
      <c r="D4872" s="7" t="n">
        <v>2025</v>
      </c>
      <c r="E4872" s="7" t="inlineStr">
        <is>
          <t>South</t>
        </is>
      </c>
      <c r="F4872" s="7" t="inlineStr">
        <is>
          <t>Office Supplies</t>
        </is>
      </c>
      <c r="G4872" s="7" t="inlineStr">
        <is>
          <t>Paper</t>
        </is>
      </c>
      <c r="H4872" s="7" t="inlineStr">
        <is>
          <t>Consumer</t>
        </is>
      </c>
      <c r="I4872" s="7" t="n">
        <v>14</v>
      </c>
      <c r="J4872" s="10" t="n">
        <v>25.92</v>
      </c>
      <c r="K4872" s="11" t="n">
        <v>0.3</v>
      </c>
      <c r="L4872" s="10">
        <f>I4872*J4872*(1-K4872)</f>
        <v/>
      </c>
      <c r="M4872" s="10" t="n">
        <v>175</v>
      </c>
      <c r="N4872" s="10">
        <f>L4872-M4872</f>
        <v/>
      </c>
    </row>
    <row r="4873">
      <c r="A4873" s="7" t="inlineStr">
        <is>
          <t>ORD-02834</t>
        </is>
      </c>
      <c r="B4873" s="8" t="n">
        <v>45893</v>
      </c>
      <c r="C4873" s="9" t="n">
        <v>45870</v>
      </c>
      <c r="D4873" s="7" t="n">
        <v>2025</v>
      </c>
      <c r="E4873" s="7" t="inlineStr">
        <is>
          <t>East</t>
        </is>
      </c>
      <c r="F4873" s="7" t="inlineStr">
        <is>
          <t>Office Supplies</t>
        </is>
      </c>
      <c r="G4873" s="7" t="inlineStr">
        <is>
          <t>Paper</t>
        </is>
      </c>
      <c r="H4873" s="7" t="inlineStr">
        <is>
          <t>Consumer</t>
        </is>
      </c>
      <c r="I4873" s="7" t="n">
        <v>9</v>
      </c>
      <c r="J4873" s="10" t="n">
        <v>25.84</v>
      </c>
      <c r="K4873" s="11" t="n">
        <v>0</v>
      </c>
      <c r="L4873" s="10">
        <f>I4873*J4873*(1-K4873)</f>
        <v/>
      </c>
      <c r="M4873" s="10" t="n">
        <v>112.5</v>
      </c>
      <c r="N4873" s="10">
        <f>L4873-M4873</f>
        <v/>
      </c>
    </row>
    <row r="4874">
      <c r="A4874" s="7" t="inlineStr">
        <is>
          <t>ORD-02574</t>
        </is>
      </c>
      <c r="B4874" s="8" t="n">
        <v>45893</v>
      </c>
      <c r="C4874" s="9" t="n">
        <v>45870</v>
      </c>
      <c r="D4874" s="7" t="n">
        <v>2025</v>
      </c>
      <c r="E4874" s="7" t="inlineStr">
        <is>
          <t>East</t>
        </is>
      </c>
      <c r="F4874" s="7" t="inlineStr">
        <is>
          <t>Office Supplies</t>
        </is>
      </c>
      <c r="G4874" s="7" t="inlineStr">
        <is>
          <t>Pens</t>
        </is>
      </c>
      <c r="H4874" s="7" t="inlineStr">
        <is>
          <t>Consumer</t>
        </is>
      </c>
      <c r="I4874" s="7" t="n">
        <v>11</v>
      </c>
      <c r="J4874" s="10" t="n">
        <v>11.73</v>
      </c>
      <c r="K4874" s="11" t="n">
        <v>0.05</v>
      </c>
      <c r="L4874" s="10">
        <f>I4874*J4874*(1-K4874)</f>
        <v/>
      </c>
      <c r="M4874" s="10" t="n">
        <v>59.4</v>
      </c>
      <c r="N4874" s="10">
        <f>L4874-M4874</f>
        <v/>
      </c>
    </row>
    <row r="4875">
      <c r="A4875" s="7" t="inlineStr">
        <is>
          <t>ORD-03145</t>
        </is>
      </c>
      <c r="B4875" s="8" t="n">
        <v>45893</v>
      </c>
      <c r="C4875" s="9" t="n">
        <v>45870</v>
      </c>
      <c r="D4875" s="7" t="n">
        <v>2025</v>
      </c>
      <c r="E4875" s="7" t="inlineStr">
        <is>
          <t>West</t>
        </is>
      </c>
      <c r="F4875" s="7" t="inlineStr">
        <is>
          <t>Office Supplies</t>
        </is>
      </c>
      <c r="G4875" s="7" t="inlineStr">
        <is>
          <t>Pens</t>
        </is>
      </c>
      <c r="H4875" s="7" t="inlineStr">
        <is>
          <t>Consumer</t>
        </is>
      </c>
      <c r="I4875" s="7" t="n">
        <v>4</v>
      </c>
      <c r="J4875" s="10" t="n">
        <v>11.69</v>
      </c>
      <c r="K4875" s="11" t="n">
        <v>0.2</v>
      </c>
      <c r="L4875" s="10">
        <f>I4875*J4875*(1-K4875)</f>
        <v/>
      </c>
      <c r="M4875" s="10" t="n">
        <v>21.6</v>
      </c>
      <c r="N4875" s="10">
        <f>L4875-M4875</f>
        <v/>
      </c>
    </row>
    <row r="4876">
      <c r="A4876" s="7" t="inlineStr">
        <is>
          <t>ORD-02333</t>
        </is>
      </c>
      <c r="B4876" s="8" t="n">
        <v>45893</v>
      </c>
      <c r="C4876" s="9" t="n">
        <v>45870</v>
      </c>
      <c r="D4876" s="7" t="n">
        <v>2025</v>
      </c>
      <c r="E4876" s="7" t="inlineStr">
        <is>
          <t>West</t>
        </is>
      </c>
      <c r="F4876" s="7" t="inlineStr">
        <is>
          <t>Furniture</t>
        </is>
      </c>
      <c r="G4876" s="7" t="inlineStr">
        <is>
          <t>Sofa</t>
        </is>
      </c>
      <c r="H4876" s="7" t="inlineStr">
        <is>
          <t>Consumer</t>
        </is>
      </c>
      <c r="I4876" s="7" t="n">
        <v>4</v>
      </c>
      <c r="J4876" s="10" t="n">
        <v>670.2</v>
      </c>
      <c r="K4876" s="11" t="n">
        <v>0.1</v>
      </c>
      <c r="L4876" s="10">
        <f>I4876*J4876*(1-K4876)</f>
        <v/>
      </c>
      <c r="M4876" s="10" t="n">
        <v>2464</v>
      </c>
      <c r="N4876" s="10">
        <f>L4876-M4876</f>
        <v/>
      </c>
    </row>
    <row r="4877">
      <c r="A4877" s="7" t="inlineStr">
        <is>
          <t>ORD-01212</t>
        </is>
      </c>
      <c r="B4877" s="8" t="n">
        <v>45893</v>
      </c>
      <c r="C4877" s="9" t="n">
        <v>45870</v>
      </c>
      <c r="D4877" s="7" t="n">
        <v>2025</v>
      </c>
      <c r="E4877" s="7" t="inlineStr">
        <is>
          <t>South</t>
        </is>
      </c>
      <c r="F4877" s="7" t="inlineStr">
        <is>
          <t>Technology</t>
        </is>
      </c>
      <c r="G4877" s="7" t="inlineStr">
        <is>
          <t>Keyboard</t>
        </is>
      </c>
      <c r="H4877" s="7" t="inlineStr">
        <is>
          <t>Consumer</t>
        </is>
      </c>
      <c r="I4877" s="7" t="n">
        <v>1</v>
      </c>
      <c r="J4877" s="10" t="n">
        <v>42.82</v>
      </c>
      <c r="K4877" s="11" t="n">
        <v>0</v>
      </c>
      <c r="L4877" s="10">
        <f>I4877*J4877*(1-K4877)</f>
        <v/>
      </c>
      <c r="M4877" s="10" t="n">
        <v>24.75</v>
      </c>
      <c r="N4877" s="10">
        <f>L4877-M4877</f>
        <v/>
      </c>
    </row>
    <row r="4878">
      <c r="A4878" s="7" t="inlineStr">
        <is>
          <t>ORD-00520</t>
        </is>
      </c>
      <c r="B4878" s="8" t="n">
        <v>45893</v>
      </c>
      <c r="C4878" s="9" t="n">
        <v>45870</v>
      </c>
      <c r="D4878" s="7" t="n">
        <v>2025</v>
      </c>
      <c r="E4878" s="7" t="inlineStr">
        <is>
          <t>West</t>
        </is>
      </c>
      <c r="F4878" s="7" t="inlineStr">
        <is>
          <t>Furniture</t>
        </is>
      </c>
      <c r="G4878" s="7" t="inlineStr">
        <is>
          <t>Office Chair</t>
        </is>
      </c>
      <c r="H4878" s="7" t="inlineStr">
        <is>
          <t>Consumer</t>
        </is>
      </c>
      <c r="I4878" s="7" t="n">
        <v>1</v>
      </c>
      <c r="J4878" s="10" t="n">
        <v>222.93</v>
      </c>
      <c r="K4878" s="11" t="n">
        <v>0.3</v>
      </c>
      <c r="L4878" s="10">
        <f>I4878*J4878*(1-K4878)</f>
        <v/>
      </c>
      <c r="M4878" s="10" t="n">
        <v>180.4</v>
      </c>
      <c r="N4878" s="10">
        <f>L4878-M4878</f>
        <v/>
      </c>
    </row>
    <row r="4879">
      <c r="A4879" s="7" t="inlineStr">
        <is>
          <t>ORD-04836</t>
        </is>
      </c>
      <c r="B4879" s="8" t="n">
        <v>45893</v>
      </c>
      <c r="C4879" s="9" t="n">
        <v>45870</v>
      </c>
      <c r="D4879" s="7" t="n">
        <v>2025</v>
      </c>
      <c r="E4879" s="7" t="inlineStr">
        <is>
          <t>West</t>
        </is>
      </c>
      <c r="F4879" s="7" t="inlineStr">
        <is>
          <t>Furniture</t>
        </is>
      </c>
      <c r="G4879" s="7" t="inlineStr">
        <is>
          <t>Office Chair</t>
        </is>
      </c>
      <c r="H4879" s="7" t="inlineStr">
        <is>
          <t>Consumer</t>
        </is>
      </c>
      <c r="I4879" s="7" t="n">
        <v>1</v>
      </c>
      <c r="J4879" s="10" t="n">
        <v>227.93</v>
      </c>
      <c r="K4879" s="11" t="n">
        <v>0</v>
      </c>
      <c r="L4879" s="10">
        <f>I4879*J4879*(1-K4879)</f>
        <v/>
      </c>
      <c r="M4879" s="10" t="n">
        <v>180.4</v>
      </c>
      <c r="N4879" s="10">
        <f>L4879-M4879</f>
        <v/>
      </c>
    </row>
    <row r="4880">
      <c r="A4880" s="7" t="inlineStr">
        <is>
          <t>ORD-03477</t>
        </is>
      </c>
      <c r="B4880" s="8" t="n">
        <v>45893</v>
      </c>
      <c r="C4880" s="9" t="n">
        <v>45870</v>
      </c>
      <c r="D4880" s="7" t="n">
        <v>2025</v>
      </c>
      <c r="E4880" s="7" t="inlineStr">
        <is>
          <t>East</t>
        </is>
      </c>
      <c r="F4880" s="7" t="inlineStr">
        <is>
          <t>Office Supplies</t>
        </is>
      </c>
      <c r="G4880" s="7" t="inlineStr">
        <is>
          <t>Pens</t>
        </is>
      </c>
      <c r="H4880" s="7" t="inlineStr">
        <is>
          <t>Consumer</t>
        </is>
      </c>
      <c r="I4880" s="7" t="n">
        <v>6</v>
      </c>
      <c r="J4880" s="10" t="n">
        <v>12.27</v>
      </c>
      <c r="K4880" s="11" t="n">
        <v>0</v>
      </c>
      <c r="L4880" s="10">
        <f>I4880*J4880*(1-K4880)</f>
        <v/>
      </c>
      <c r="M4880" s="10" t="n">
        <v>32.4</v>
      </c>
      <c r="N4880" s="10">
        <f>L4880-M4880</f>
        <v/>
      </c>
    </row>
    <row r="4881">
      <c r="A4881" s="7" t="inlineStr">
        <is>
          <t>ORD-00151</t>
        </is>
      </c>
      <c r="B4881" s="8" t="n">
        <v>45893</v>
      </c>
      <c r="C4881" s="9" t="n">
        <v>45870</v>
      </c>
      <c r="D4881" s="7" t="n">
        <v>2025</v>
      </c>
      <c r="E4881" s="7" t="inlineStr">
        <is>
          <t>South</t>
        </is>
      </c>
      <c r="F4881" s="7" t="inlineStr">
        <is>
          <t>Office Supplies</t>
        </is>
      </c>
      <c r="G4881" s="7" t="inlineStr">
        <is>
          <t>Binder</t>
        </is>
      </c>
      <c r="H4881" s="7" t="inlineStr">
        <is>
          <t>Consumer</t>
        </is>
      </c>
      <c r="I4881" s="7" t="n">
        <v>8</v>
      </c>
      <c r="J4881" s="10" t="n">
        <v>7.92</v>
      </c>
      <c r="K4881" s="11" t="n">
        <v>0.05</v>
      </c>
      <c r="L4881" s="10">
        <f>I4881*J4881*(1-K4881)</f>
        <v/>
      </c>
      <c r="M4881" s="10" t="n">
        <v>25.6</v>
      </c>
      <c r="N4881" s="10">
        <f>L4881-M4881</f>
        <v/>
      </c>
    </row>
    <row r="4882">
      <c r="A4882" s="7" t="inlineStr">
        <is>
          <t>ORD-05717</t>
        </is>
      </c>
      <c r="B4882" s="8" t="n">
        <v>45893</v>
      </c>
      <c r="C4882" s="9" t="n">
        <v>45870</v>
      </c>
      <c r="D4882" s="7" t="n">
        <v>2025</v>
      </c>
      <c r="E4882" s="7" t="inlineStr">
        <is>
          <t>West</t>
        </is>
      </c>
      <c r="F4882" s="7" t="inlineStr">
        <is>
          <t>Technology</t>
        </is>
      </c>
      <c r="G4882" s="7" t="inlineStr">
        <is>
          <t>Headphones</t>
        </is>
      </c>
      <c r="H4882" s="7" t="inlineStr">
        <is>
          <t>Consumer</t>
        </is>
      </c>
      <c r="I4882" s="7" t="n">
        <v>2</v>
      </c>
      <c r="J4882" s="10" t="n">
        <v>115.61</v>
      </c>
      <c r="K4882" s="11" t="n">
        <v>0.2</v>
      </c>
      <c r="L4882" s="10">
        <f>I4882*J4882*(1-K4882)</f>
        <v/>
      </c>
      <c r="M4882" s="10" t="n">
        <v>144</v>
      </c>
      <c r="N4882" s="10">
        <f>L4882-M4882</f>
        <v/>
      </c>
    </row>
    <row r="4883">
      <c r="A4883" s="7" t="inlineStr">
        <is>
          <t>ORD-01305</t>
        </is>
      </c>
      <c r="B4883" s="8" t="n">
        <v>45893</v>
      </c>
      <c r="C4883" s="9" t="n">
        <v>45870</v>
      </c>
      <c r="D4883" s="7" t="n">
        <v>2025</v>
      </c>
      <c r="E4883" s="7" t="inlineStr">
        <is>
          <t>East</t>
        </is>
      </c>
      <c r="F4883" s="7" t="inlineStr">
        <is>
          <t>Office Supplies</t>
        </is>
      </c>
      <c r="G4883" s="7" t="inlineStr">
        <is>
          <t>Stapler</t>
        </is>
      </c>
      <c r="H4883" s="7" t="inlineStr">
        <is>
          <t>Corporate</t>
        </is>
      </c>
      <c r="I4883" s="7" t="n">
        <v>7</v>
      </c>
      <c r="J4883" s="10" t="n">
        <v>15.36</v>
      </c>
      <c r="K4883" s="11" t="n">
        <v>0.05</v>
      </c>
      <c r="L4883" s="10">
        <f>I4883*J4883*(1-K4883)</f>
        <v/>
      </c>
      <c r="M4883" s="10" t="n">
        <v>52.5</v>
      </c>
      <c r="N4883" s="10">
        <f>L4883-M4883</f>
        <v/>
      </c>
    </row>
    <row r="4884">
      <c r="A4884" s="7" t="inlineStr">
        <is>
          <t>ORD-05447</t>
        </is>
      </c>
      <c r="B4884" s="8" t="n">
        <v>45893</v>
      </c>
      <c r="C4884" s="9" t="n">
        <v>45870</v>
      </c>
      <c r="D4884" s="7" t="n">
        <v>2025</v>
      </c>
      <c r="E4884" s="7" t="inlineStr">
        <is>
          <t>South</t>
        </is>
      </c>
      <c r="F4884" s="7" t="inlineStr">
        <is>
          <t>Furniture</t>
        </is>
      </c>
      <c r="G4884" s="7" t="inlineStr">
        <is>
          <t>Office Chair</t>
        </is>
      </c>
      <c r="H4884" s="7" t="inlineStr">
        <is>
          <t>Consumer</t>
        </is>
      </c>
      <c r="I4884" s="7" t="n">
        <v>2</v>
      </c>
      <c r="J4884" s="10" t="n">
        <v>218.63</v>
      </c>
      <c r="K4884" s="11" t="n">
        <v>0</v>
      </c>
      <c r="L4884" s="10">
        <f>I4884*J4884*(1-K4884)</f>
        <v/>
      </c>
      <c r="M4884" s="10" t="n">
        <v>360.8</v>
      </c>
      <c r="N4884" s="10">
        <f>L4884-M4884</f>
        <v/>
      </c>
    </row>
    <row r="4885">
      <c r="A4885" s="7" t="inlineStr">
        <is>
          <t>ORD-05867</t>
        </is>
      </c>
      <c r="B4885" s="8" t="n">
        <v>45893</v>
      </c>
      <c r="C4885" s="9" t="n">
        <v>45870</v>
      </c>
      <c r="D4885" s="7" t="n">
        <v>2025</v>
      </c>
      <c r="E4885" s="7" t="inlineStr">
        <is>
          <t>East</t>
        </is>
      </c>
      <c r="F4885" s="7" t="inlineStr">
        <is>
          <t>Office Supplies</t>
        </is>
      </c>
      <c r="G4885" s="7" t="inlineStr">
        <is>
          <t>Binder</t>
        </is>
      </c>
      <c r="H4885" s="7" t="inlineStr">
        <is>
          <t>Consumer</t>
        </is>
      </c>
      <c r="I4885" s="7" t="n">
        <v>3</v>
      </c>
      <c r="J4885" s="10" t="n">
        <v>8</v>
      </c>
      <c r="K4885" s="11" t="n">
        <v>0.05</v>
      </c>
      <c r="L4885" s="10">
        <f>I4885*J4885*(1-K4885)</f>
        <v/>
      </c>
      <c r="M4885" s="10" t="n">
        <v>9.6</v>
      </c>
      <c r="N4885" s="10">
        <f>L4885-M4885</f>
        <v/>
      </c>
    </row>
    <row r="4886">
      <c r="A4886" s="7" t="inlineStr">
        <is>
          <t>ORD-04112</t>
        </is>
      </c>
      <c r="B4886" s="8" t="n">
        <v>45894</v>
      </c>
      <c r="C4886" s="9" t="n">
        <v>45870</v>
      </c>
      <c r="D4886" s="7" t="n">
        <v>2025</v>
      </c>
      <c r="E4886" s="7" t="inlineStr">
        <is>
          <t>West</t>
        </is>
      </c>
      <c r="F4886" s="7" t="inlineStr">
        <is>
          <t>Office Supplies</t>
        </is>
      </c>
      <c r="G4886" s="7" t="inlineStr">
        <is>
          <t>Pens</t>
        </is>
      </c>
      <c r="H4886" s="7" t="inlineStr">
        <is>
          <t>Corporate</t>
        </is>
      </c>
      <c r="I4886" s="7" t="n">
        <v>2</v>
      </c>
      <c r="J4886" s="10" t="n">
        <v>11.45</v>
      </c>
      <c r="K4886" s="11" t="n">
        <v>0</v>
      </c>
      <c r="L4886" s="10">
        <f>I4886*J4886*(1-K4886)</f>
        <v/>
      </c>
      <c r="M4886" s="10" t="n">
        <v>10.8</v>
      </c>
      <c r="N4886" s="10">
        <f>L4886-M4886</f>
        <v/>
      </c>
    </row>
    <row r="4887">
      <c r="A4887" s="7" t="inlineStr">
        <is>
          <t>ORD-05369</t>
        </is>
      </c>
      <c r="B4887" s="8" t="n">
        <v>45894</v>
      </c>
      <c r="C4887" s="9" t="n">
        <v>45870</v>
      </c>
      <c r="D4887" s="7" t="n">
        <v>2025</v>
      </c>
      <c r="E4887" s="7" t="inlineStr">
        <is>
          <t>South</t>
        </is>
      </c>
      <c r="F4887" s="7" t="inlineStr">
        <is>
          <t>Office Supplies</t>
        </is>
      </c>
      <c r="G4887" s="7" t="inlineStr">
        <is>
          <t>Printer Ink</t>
        </is>
      </c>
      <c r="H4887" s="7" t="inlineStr">
        <is>
          <t>Corporate</t>
        </is>
      </c>
      <c r="I4887" s="7" t="n">
        <v>9</v>
      </c>
      <c r="J4887" s="10" t="n">
        <v>57.94</v>
      </c>
      <c r="K4887" s="11" t="n">
        <v>0.2</v>
      </c>
      <c r="L4887" s="10">
        <f>I4887*J4887*(1-K4887)</f>
        <v/>
      </c>
      <c r="M4887" s="10" t="n">
        <v>324</v>
      </c>
      <c r="N4887" s="10">
        <f>L4887-M4887</f>
        <v/>
      </c>
    </row>
    <row r="4888">
      <c r="A4888" s="7" t="inlineStr">
        <is>
          <t>ORD-04055</t>
        </is>
      </c>
      <c r="B4888" s="8" t="n">
        <v>45894</v>
      </c>
      <c r="C4888" s="9" t="n">
        <v>45870</v>
      </c>
      <c r="D4888" s="7" t="n">
        <v>2025</v>
      </c>
      <c r="E4888" s="7" t="inlineStr">
        <is>
          <t>North</t>
        </is>
      </c>
      <c r="F4888" s="7" t="inlineStr">
        <is>
          <t>Office Supplies</t>
        </is>
      </c>
      <c r="G4888" s="7" t="inlineStr">
        <is>
          <t>Printer Ink</t>
        </is>
      </c>
      <c r="H4888" s="7" t="inlineStr">
        <is>
          <t>Consumer</t>
        </is>
      </c>
      <c r="I4888" s="7" t="n">
        <v>10</v>
      </c>
      <c r="J4888" s="10" t="n">
        <v>58.76</v>
      </c>
      <c r="K4888" s="11" t="n">
        <v>0.1</v>
      </c>
      <c r="L4888" s="10">
        <f>I4888*J4888*(1-K4888)</f>
        <v/>
      </c>
      <c r="M4888" s="10" t="n">
        <v>360</v>
      </c>
      <c r="N4888" s="10">
        <f>L4888-M4888</f>
        <v/>
      </c>
    </row>
    <row r="4889">
      <c r="A4889" s="7" t="inlineStr">
        <is>
          <t>ORD-05983</t>
        </is>
      </c>
      <c r="B4889" s="8" t="n">
        <v>45894</v>
      </c>
      <c r="C4889" s="9" t="n">
        <v>45870</v>
      </c>
      <c r="D4889" s="7" t="n">
        <v>2025</v>
      </c>
      <c r="E4889" s="7" t="inlineStr">
        <is>
          <t>East</t>
        </is>
      </c>
      <c r="F4889" s="7" t="inlineStr">
        <is>
          <t>Office Supplies</t>
        </is>
      </c>
      <c r="G4889" s="7" t="inlineStr">
        <is>
          <t>Paper</t>
        </is>
      </c>
      <c r="H4889" s="7" t="inlineStr">
        <is>
          <t>Home Office</t>
        </is>
      </c>
      <c r="I4889" s="7" t="n">
        <v>15</v>
      </c>
      <c r="J4889" s="10" t="n">
        <v>25.15</v>
      </c>
      <c r="K4889" s="11" t="n">
        <v>0</v>
      </c>
      <c r="L4889" s="10">
        <f>I4889*J4889*(1-K4889)</f>
        <v/>
      </c>
      <c r="M4889" s="10" t="n">
        <v>187.5</v>
      </c>
      <c r="N4889" s="10">
        <f>L4889-M4889</f>
        <v/>
      </c>
    </row>
    <row r="4890">
      <c r="A4890" s="7" t="inlineStr">
        <is>
          <t>ORD-02431</t>
        </is>
      </c>
      <c r="B4890" s="8" t="n">
        <v>45894</v>
      </c>
      <c r="C4890" s="9" t="n">
        <v>45870</v>
      </c>
      <c r="D4890" s="7" t="n">
        <v>2025</v>
      </c>
      <c r="E4890" s="7" t="inlineStr">
        <is>
          <t>West</t>
        </is>
      </c>
      <c r="F4890" s="7" t="inlineStr">
        <is>
          <t>Furniture</t>
        </is>
      </c>
      <c r="G4890" s="7" t="inlineStr">
        <is>
          <t>Office Chair</t>
        </is>
      </c>
      <c r="H4890" s="7" t="inlineStr">
        <is>
          <t>Consumer</t>
        </is>
      </c>
      <c r="I4890" s="7" t="n">
        <v>1</v>
      </c>
      <c r="J4890" s="10" t="n">
        <v>215.23</v>
      </c>
      <c r="K4890" s="11" t="n">
        <v>0</v>
      </c>
      <c r="L4890" s="10">
        <f>I4890*J4890*(1-K4890)</f>
        <v/>
      </c>
      <c r="M4890" s="10" t="n">
        <v>180.4</v>
      </c>
      <c r="N4890" s="10">
        <f>L4890-M4890</f>
        <v/>
      </c>
    </row>
    <row r="4891">
      <c r="A4891" s="7" t="inlineStr">
        <is>
          <t>ORD-05099</t>
        </is>
      </c>
      <c r="B4891" s="8" t="n">
        <v>45894</v>
      </c>
      <c r="C4891" s="9" t="n">
        <v>45870</v>
      </c>
      <c r="D4891" s="7" t="n">
        <v>2025</v>
      </c>
      <c r="E4891" s="7" t="inlineStr">
        <is>
          <t>West</t>
        </is>
      </c>
      <c r="F4891" s="7" t="inlineStr">
        <is>
          <t>Office Supplies</t>
        </is>
      </c>
      <c r="G4891" s="7" t="inlineStr">
        <is>
          <t>Binder</t>
        </is>
      </c>
      <c r="H4891" s="7" t="inlineStr">
        <is>
          <t>Home Office</t>
        </is>
      </c>
      <c r="I4891" s="7" t="n">
        <v>2</v>
      </c>
      <c r="J4891" s="10" t="n">
        <v>7.71</v>
      </c>
      <c r="K4891" s="11" t="n">
        <v>0</v>
      </c>
      <c r="L4891" s="10">
        <f>I4891*J4891*(1-K4891)</f>
        <v/>
      </c>
      <c r="M4891" s="10" t="n">
        <v>6.4</v>
      </c>
      <c r="N4891" s="10">
        <f>L4891-M4891</f>
        <v/>
      </c>
    </row>
    <row r="4892">
      <c r="A4892" s="7" t="inlineStr">
        <is>
          <t>ORD-00019</t>
        </is>
      </c>
      <c r="B4892" s="8" t="n">
        <v>45894</v>
      </c>
      <c r="C4892" s="9" t="n">
        <v>45870</v>
      </c>
      <c r="D4892" s="7" t="n">
        <v>2025</v>
      </c>
      <c r="E4892" s="7" t="inlineStr">
        <is>
          <t>South</t>
        </is>
      </c>
      <c r="F4892" s="7" t="inlineStr">
        <is>
          <t>Office Supplies</t>
        </is>
      </c>
      <c r="G4892" s="7" t="inlineStr">
        <is>
          <t>Binder</t>
        </is>
      </c>
      <c r="H4892" s="7" t="inlineStr">
        <is>
          <t>Corporate</t>
        </is>
      </c>
      <c r="I4892" s="7" t="n">
        <v>15</v>
      </c>
      <c r="J4892" s="10" t="n">
        <v>7.96</v>
      </c>
      <c r="K4892" s="11" t="n">
        <v>0.3</v>
      </c>
      <c r="L4892" s="10">
        <f>I4892*J4892*(1-K4892)</f>
        <v/>
      </c>
      <c r="M4892" s="10" t="n">
        <v>48</v>
      </c>
      <c r="N4892" s="10">
        <f>L4892-M4892</f>
        <v/>
      </c>
    </row>
    <row r="4893">
      <c r="A4893" s="7" t="inlineStr">
        <is>
          <t>ORD-02467</t>
        </is>
      </c>
      <c r="B4893" s="8" t="n">
        <v>45894</v>
      </c>
      <c r="C4893" s="9" t="n">
        <v>45870</v>
      </c>
      <c r="D4893" s="7" t="n">
        <v>2025</v>
      </c>
      <c r="E4893" s="7" t="inlineStr">
        <is>
          <t>East</t>
        </is>
      </c>
      <c r="F4893" s="7" t="inlineStr">
        <is>
          <t>Office Supplies</t>
        </is>
      </c>
      <c r="G4893" s="7" t="inlineStr">
        <is>
          <t>Binder</t>
        </is>
      </c>
      <c r="H4893" s="7" t="inlineStr">
        <is>
          <t>Consumer</t>
        </is>
      </c>
      <c r="I4893" s="7" t="n">
        <v>14</v>
      </c>
      <c r="J4893" s="10" t="n">
        <v>8.199999999999999</v>
      </c>
      <c r="K4893" s="11" t="n">
        <v>0.05</v>
      </c>
      <c r="L4893" s="10">
        <f>I4893*J4893*(1-K4893)</f>
        <v/>
      </c>
      <c r="M4893" s="10" t="n">
        <v>44.8</v>
      </c>
      <c r="N4893" s="10">
        <f>L4893-M4893</f>
        <v/>
      </c>
    </row>
    <row r="4894">
      <c r="A4894" s="7" t="inlineStr">
        <is>
          <t>ORD-01770</t>
        </is>
      </c>
      <c r="B4894" s="8" t="n">
        <v>45894</v>
      </c>
      <c r="C4894" s="9" t="n">
        <v>45870</v>
      </c>
      <c r="D4894" s="7" t="n">
        <v>2025</v>
      </c>
      <c r="E4894" s="7" t="inlineStr">
        <is>
          <t>South</t>
        </is>
      </c>
      <c r="F4894" s="7" t="inlineStr">
        <is>
          <t>Technology</t>
        </is>
      </c>
      <c r="G4894" s="7" t="inlineStr">
        <is>
          <t>Laptop</t>
        </is>
      </c>
      <c r="H4894" s="7" t="inlineStr">
        <is>
          <t>Consumer</t>
        </is>
      </c>
      <c r="I4894" s="7" t="n">
        <v>3</v>
      </c>
      <c r="J4894" s="10" t="n">
        <v>918.03</v>
      </c>
      <c r="K4894" s="11" t="n">
        <v>0.05</v>
      </c>
      <c r="L4894" s="10">
        <f>I4894*J4894*(1-K4894)</f>
        <v/>
      </c>
      <c r="M4894" s="10" t="n">
        <v>2106</v>
      </c>
      <c r="N4894" s="10">
        <f>L4894-M4894</f>
        <v/>
      </c>
    </row>
    <row r="4895">
      <c r="A4895" s="7" t="inlineStr">
        <is>
          <t>ORD-04242</t>
        </is>
      </c>
      <c r="B4895" s="8" t="n">
        <v>45894</v>
      </c>
      <c r="C4895" s="9" t="n">
        <v>45870</v>
      </c>
      <c r="D4895" s="7" t="n">
        <v>2025</v>
      </c>
      <c r="E4895" s="7" t="inlineStr">
        <is>
          <t>West</t>
        </is>
      </c>
      <c r="F4895" s="7" t="inlineStr">
        <is>
          <t>Office Supplies</t>
        </is>
      </c>
      <c r="G4895" s="7" t="inlineStr">
        <is>
          <t>Binder</t>
        </is>
      </c>
      <c r="H4895" s="7" t="inlineStr">
        <is>
          <t>Home Office</t>
        </is>
      </c>
      <c r="I4895" s="7" t="n">
        <v>14</v>
      </c>
      <c r="J4895" s="10" t="n">
        <v>7.76</v>
      </c>
      <c r="K4895" s="11" t="n">
        <v>0</v>
      </c>
      <c r="L4895" s="10">
        <f>I4895*J4895*(1-K4895)</f>
        <v/>
      </c>
      <c r="M4895" s="10" t="n">
        <v>44.8</v>
      </c>
      <c r="N4895" s="10">
        <f>L4895-M4895</f>
        <v/>
      </c>
    </row>
    <row r="4896">
      <c r="A4896" s="7" t="inlineStr">
        <is>
          <t>ORD-02504</t>
        </is>
      </c>
      <c r="B4896" s="8" t="n">
        <v>45895</v>
      </c>
      <c r="C4896" s="9" t="n">
        <v>45870</v>
      </c>
      <c r="D4896" s="7" t="n">
        <v>2025</v>
      </c>
      <c r="E4896" s="7" t="inlineStr">
        <is>
          <t>East</t>
        </is>
      </c>
      <c r="F4896" s="7" t="inlineStr">
        <is>
          <t>Office Supplies</t>
        </is>
      </c>
      <c r="G4896" s="7" t="inlineStr">
        <is>
          <t>Stapler</t>
        </is>
      </c>
      <c r="H4896" s="7" t="inlineStr">
        <is>
          <t>Home Office</t>
        </is>
      </c>
      <c r="I4896" s="7" t="n">
        <v>11</v>
      </c>
      <c r="J4896" s="10" t="n">
        <v>15.47</v>
      </c>
      <c r="K4896" s="11" t="n">
        <v>0</v>
      </c>
      <c r="L4896" s="10">
        <f>I4896*J4896*(1-K4896)</f>
        <v/>
      </c>
      <c r="M4896" s="10" t="n">
        <v>82.5</v>
      </c>
      <c r="N4896" s="10">
        <f>L4896-M4896</f>
        <v/>
      </c>
    </row>
    <row r="4897">
      <c r="A4897" s="7" t="inlineStr">
        <is>
          <t>ORD-02529</t>
        </is>
      </c>
      <c r="B4897" s="8" t="n">
        <v>45895</v>
      </c>
      <c r="C4897" s="9" t="n">
        <v>45870</v>
      </c>
      <c r="D4897" s="7" t="n">
        <v>2025</v>
      </c>
      <c r="E4897" s="7" t="inlineStr">
        <is>
          <t>South</t>
        </is>
      </c>
      <c r="F4897" s="7" t="inlineStr">
        <is>
          <t>Furniture</t>
        </is>
      </c>
      <c r="G4897" s="7" t="inlineStr">
        <is>
          <t>Bookcase</t>
        </is>
      </c>
      <c r="H4897" s="7" t="inlineStr">
        <is>
          <t>Consumer</t>
        </is>
      </c>
      <c r="I4897" s="7" t="n">
        <v>2</v>
      </c>
      <c r="J4897" s="10" t="n">
        <v>186.57</v>
      </c>
      <c r="K4897" s="11" t="n">
        <v>0.3</v>
      </c>
      <c r="L4897" s="10">
        <f>I4897*J4897*(1-K4897)</f>
        <v/>
      </c>
      <c r="M4897" s="10" t="n">
        <v>288</v>
      </c>
      <c r="N4897" s="10">
        <f>L4897-M4897</f>
        <v/>
      </c>
    </row>
    <row r="4898">
      <c r="A4898" s="7" t="inlineStr">
        <is>
          <t>ORD-01203</t>
        </is>
      </c>
      <c r="B4898" s="8" t="n">
        <v>45895</v>
      </c>
      <c r="C4898" s="9" t="n">
        <v>45870</v>
      </c>
      <c r="D4898" s="7" t="n">
        <v>2025</v>
      </c>
      <c r="E4898" s="7" t="inlineStr">
        <is>
          <t>West</t>
        </is>
      </c>
      <c r="F4898" s="7" t="inlineStr">
        <is>
          <t>Furniture</t>
        </is>
      </c>
      <c r="G4898" s="7" t="inlineStr">
        <is>
          <t>Office Chair</t>
        </is>
      </c>
      <c r="H4898" s="7" t="inlineStr">
        <is>
          <t>Corporate</t>
        </is>
      </c>
      <c r="I4898" s="7" t="n">
        <v>4</v>
      </c>
      <c r="J4898" s="10" t="n">
        <v>215.78</v>
      </c>
      <c r="K4898" s="11" t="n">
        <v>0.2</v>
      </c>
      <c r="L4898" s="10">
        <f>I4898*J4898*(1-K4898)</f>
        <v/>
      </c>
      <c r="M4898" s="10" t="n">
        <v>721.6</v>
      </c>
      <c r="N4898" s="10">
        <f>L4898-M4898</f>
        <v/>
      </c>
    </row>
    <row r="4899">
      <c r="A4899" s="7" t="inlineStr">
        <is>
          <t>ORD-03001</t>
        </is>
      </c>
      <c r="B4899" s="8" t="n">
        <v>45895</v>
      </c>
      <c r="C4899" s="9" t="n">
        <v>45870</v>
      </c>
      <c r="D4899" s="7" t="n">
        <v>2025</v>
      </c>
      <c r="E4899" s="7" t="inlineStr">
        <is>
          <t>North</t>
        </is>
      </c>
      <c r="F4899" s="7" t="inlineStr">
        <is>
          <t>Furniture</t>
        </is>
      </c>
      <c r="G4899" s="7" t="inlineStr">
        <is>
          <t>Desk</t>
        </is>
      </c>
      <c r="H4899" s="7" t="inlineStr">
        <is>
          <t>Consumer</t>
        </is>
      </c>
      <c r="I4899" s="7" t="n">
        <v>3</v>
      </c>
      <c r="J4899" s="10" t="n">
        <v>463.6</v>
      </c>
      <c r="K4899" s="11" t="n">
        <v>0.05</v>
      </c>
      <c r="L4899" s="10">
        <f>I4899*J4899*(1-K4899)</f>
        <v/>
      </c>
      <c r="M4899" s="10" t="n">
        <v>1147.5</v>
      </c>
      <c r="N4899" s="10">
        <f>L4899-M4899</f>
        <v/>
      </c>
    </row>
    <row r="4900">
      <c r="A4900" s="7" t="inlineStr">
        <is>
          <t>ORD-03928</t>
        </is>
      </c>
      <c r="B4900" s="8" t="n">
        <v>45895</v>
      </c>
      <c r="C4900" s="9" t="n">
        <v>45870</v>
      </c>
      <c r="D4900" s="7" t="n">
        <v>2025</v>
      </c>
      <c r="E4900" s="7" t="inlineStr">
        <is>
          <t>West</t>
        </is>
      </c>
      <c r="F4900" s="7" t="inlineStr">
        <is>
          <t>Technology</t>
        </is>
      </c>
      <c r="G4900" s="7" t="inlineStr">
        <is>
          <t>Keyboard</t>
        </is>
      </c>
      <c r="H4900" s="7" t="inlineStr">
        <is>
          <t>Corporate</t>
        </is>
      </c>
      <c r="I4900" s="7" t="n">
        <v>1</v>
      </c>
      <c r="J4900" s="10" t="n">
        <v>44.86</v>
      </c>
      <c r="K4900" s="11" t="n">
        <v>0.05</v>
      </c>
      <c r="L4900" s="10">
        <f>I4900*J4900*(1-K4900)</f>
        <v/>
      </c>
      <c r="M4900" s="10" t="n">
        <v>24.75</v>
      </c>
      <c r="N4900" s="10">
        <f>L4900-M4900</f>
        <v/>
      </c>
    </row>
    <row r="4901">
      <c r="A4901" s="7" t="inlineStr">
        <is>
          <t>ORD-05380</t>
        </is>
      </c>
      <c r="B4901" s="8" t="n">
        <v>45895</v>
      </c>
      <c r="C4901" s="9" t="n">
        <v>45870</v>
      </c>
      <c r="D4901" s="7" t="n">
        <v>2025</v>
      </c>
      <c r="E4901" s="7" t="inlineStr">
        <is>
          <t>West</t>
        </is>
      </c>
      <c r="F4901" s="7" t="inlineStr">
        <is>
          <t>Office Supplies</t>
        </is>
      </c>
      <c r="G4901" s="7" t="inlineStr">
        <is>
          <t>Binder</t>
        </is>
      </c>
      <c r="H4901" s="7" t="inlineStr">
        <is>
          <t>Consumer</t>
        </is>
      </c>
      <c r="I4901" s="7" t="n">
        <v>11</v>
      </c>
      <c r="J4901" s="10" t="n">
        <v>7.97</v>
      </c>
      <c r="K4901" s="11" t="n">
        <v>0</v>
      </c>
      <c r="L4901" s="10">
        <f>I4901*J4901*(1-K4901)</f>
        <v/>
      </c>
      <c r="M4901" s="10" t="n">
        <v>35.2</v>
      </c>
      <c r="N4901" s="10">
        <f>L4901-M4901</f>
        <v/>
      </c>
    </row>
    <row r="4902">
      <c r="A4902" s="7" t="inlineStr">
        <is>
          <t>ORD-04479</t>
        </is>
      </c>
      <c r="B4902" s="8" t="n">
        <v>45895</v>
      </c>
      <c r="C4902" s="9" t="n">
        <v>45870</v>
      </c>
      <c r="D4902" s="7" t="n">
        <v>2025</v>
      </c>
      <c r="E4902" s="7" t="inlineStr">
        <is>
          <t>West</t>
        </is>
      </c>
      <c r="F4902" s="7" t="inlineStr">
        <is>
          <t>Furniture</t>
        </is>
      </c>
      <c r="G4902" s="7" t="inlineStr">
        <is>
          <t>Sofa</t>
        </is>
      </c>
      <c r="H4902" s="7" t="inlineStr">
        <is>
          <t>Corporate</t>
        </is>
      </c>
      <c r="I4902" s="7" t="n">
        <v>2</v>
      </c>
      <c r="J4902" s="10" t="n">
        <v>694.63</v>
      </c>
      <c r="K4902" s="11" t="n">
        <v>0.3</v>
      </c>
      <c r="L4902" s="10">
        <f>I4902*J4902*(1-K4902)</f>
        <v/>
      </c>
      <c r="M4902" s="10" t="n">
        <v>1232</v>
      </c>
      <c r="N4902" s="10">
        <f>L4902-M4902</f>
        <v/>
      </c>
    </row>
    <row r="4903">
      <c r="A4903" s="7" t="inlineStr">
        <is>
          <t>ORD-01720</t>
        </is>
      </c>
      <c r="B4903" s="8" t="n">
        <v>45896</v>
      </c>
      <c r="C4903" s="9" t="n">
        <v>45870</v>
      </c>
      <c r="D4903" s="7" t="n">
        <v>2025</v>
      </c>
      <c r="E4903" s="7" t="inlineStr">
        <is>
          <t>East</t>
        </is>
      </c>
      <c r="F4903" s="7" t="inlineStr">
        <is>
          <t>Furniture</t>
        </is>
      </c>
      <c r="G4903" s="7" t="inlineStr">
        <is>
          <t>Office Chair</t>
        </is>
      </c>
      <c r="H4903" s="7" t="inlineStr">
        <is>
          <t>Consumer</t>
        </is>
      </c>
      <c r="I4903" s="7" t="n">
        <v>1</v>
      </c>
      <c r="J4903" s="10" t="n">
        <v>212.28</v>
      </c>
      <c r="K4903" s="11" t="n">
        <v>0.1</v>
      </c>
      <c r="L4903" s="10">
        <f>I4903*J4903*(1-K4903)</f>
        <v/>
      </c>
      <c r="M4903" s="10" t="n">
        <v>180.4</v>
      </c>
      <c r="N4903" s="10">
        <f>L4903-M4903</f>
        <v/>
      </c>
    </row>
    <row r="4904">
      <c r="A4904" s="7" t="inlineStr">
        <is>
          <t>ORD-00241</t>
        </is>
      </c>
      <c r="B4904" s="8" t="n">
        <v>45896</v>
      </c>
      <c r="C4904" s="9" t="n">
        <v>45870</v>
      </c>
      <c r="D4904" s="7" t="n">
        <v>2025</v>
      </c>
      <c r="E4904" s="7" t="inlineStr">
        <is>
          <t>South</t>
        </is>
      </c>
      <c r="F4904" s="7" t="inlineStr">
        <is>
          <t>Office Supplies</t>
        </is>
      </c>
      <c r="G4904" s="7" t="inlineStr">
        <is>
          <t>Paper</t>
        </is>
      </c>
      <c r="H4904" s="7" t="inlineStr">
        <is>
          <t>Corporate</t>
        </is>
      </c>
      <c r="I4904" s="7" t="n">
        <v>2</v>
      </c>
      <c r="J4904" s="10" t="n">
        <v>25.61</v>
      </c>
      <c r="K4904" s="11" t="n">
        <v>0.1</v>
      </c>
      <c r="L4904" s="10">
        <f>I4904*J4904*(1-K4904)</f>
        <v/>
      </c>
      <c r="M4904" s="10" t="n">
        <v>25</v>
      </c>
      <c r="N4904" s="10">
        <f>L4904-M4904</f>
        <v/>
      </c>
    </row>
    <row r="4905">
      <c r="A4905" s="7" t="inlineStr">
        <is>
          <t>ORD-05339</t>
        </is>
      </c>
      <c r="B4905" s="8" t="n">
        <v>45896</v>
      </c>
      <c r="C4905" s="9" t="n">
        <v>45870</v>
      </c>
      <c r="D4905" s="7" t="n">
        <v>2025</v>
      </c>
      <c r="E4905" s="7" t="inlineStr">
        <is>
          <t>East</t>
        </is>
      </c>
      <c r="F4905" s="7" t="inlineStr">
        <is>
          <t>Office Supplies</t>
        </is>
      </c>
      <c r="G4905" s="7" t="inlineStr">
        <is>
          <t>Pens</t>
        </is>
      </c>
      <c r="H4905" s="7" t="inlineStr">
        <is>
          <t>Corporate</t>
        </is>
      </c>
      <c r="I4905" s="7" t="n">
        <v>4</v>
      </c>
      <c r="J4905" s="10" t="n">
        <v>12.37</v>
      </c>
      <c r="K4905" s="11" t="n">
        <v>0.2</v>
      </c>
      <c r="L4905" s="10">
        <f>I4905*J4905*(1-K4905)</f>
        <v/>
      </c>
      <c r="M4905" s="10" t="n">
        <v>21.6</v>
      </c>
      <c r="N4905" s="10">
        <f>L4905-M4905</f>
        <v/>
      </c>
    </row>
    <row r="4906">
      <c r="A4906" s="7" t="inlineStr">
        <is>
          <t>ORD-05437</t>
        </is>
      </c>
      <c r="B4906" s="8" t="n">
        <v>45896</v>
      </c>
      <c r="C4906" s="9" t="n">
        <v>45870</v>
      </c>
      <c r="D4906" s="7" t="n">
        <v>2025</v>
      </c>
      <c r="E4906" s="7" t="inlineStr">
        <is>
          <t>East</t>
        </is>
      </c>
      <c r="F4906" s="7" t="inlineStr">
        <is>
          <t>Technology</t>
        </is>
      </c>
      <c r="G4906" s="7" t="inlineStr">
        <is>
          <t>Smartphone</t>
        </is>
      </c>
      <c r="H4906" s="7" t="inlineStr">
        <is>
          <t>Consumer</t>
        </is>
      </c>
      <c r="I4906" s="7" t="n">
        <v>1</v>
      </c>
      <c r="J4906" s="10" t="n">
        <v>572.51</v>
      </c>
      <c r="K4906" s="11" t="n">
        <v>0</v>
      </c>
      <c r="L4906" s="10">
        <f>I4906*J4906*(1-K4906)</f>
        <v/>
      </c>
      <c r="M4906" s="10" t="n">
        <v>450</v>
      </c>
      <c r="N4906" s="10">
        <f>L4906-M4906</f>
        <v/>
      </c>
    </row>
    <row r="4907">
      <c r="A4907" s="7" t="inlineStr">
        <is>
          <t>ORD-00167</t>
        </is>
      </c>
      <c r="B4907" s="8" t="n">
        <v>45896</v>
      </c>
      <c r="C4907" s="9" t="n">
        <v>45870</v>
      </c>
      <c r="D4907" s="7" t="n">
        <v>2025</v>
      </c>
      <c r="E4907" s="7" t="inlineStr">
        <is>
          <t>South</t>
        </is>
      </c>
      <c r="F4907" s="7" t="inlineStr">
        <is>
          <t>Office Supplies</t>
        </is>
      </c>
      <c r="G4907" s="7" t="inlineStr">
        <is>
          <t>Stapler</t>
        </is>
      </c>
      <c r="H4907" s="7" t="inlineStr">
        <is>
          <t>Consumer</t>
        </is>
      </c>
      <c r="I4907" s="7" t="n">
        <v>2</v>
      </c>
      <c r="J4907" s="10" t="n">
        <v>14.66</v>
      </c>
      <c r="K4907" s="11" t="n">
        <v>0.05</v>
      </c>
      <c r="L4907" s="10">
        <f>I4907*J4907*(1-K4907)</f>
        <v/>
      </c>
      <c r="M4907" s="10" t="n">
        <v>15</v>
      </c>
      <c r="N4907" s="10">
        <f>L4907-M4907</f>
        <v/>
      </c>
    </row>
    <row r="4908">
      <c r="A4908" s="7" t="inlineStr">
        <is>
          <t>ORD-01815</t>
        </is>
      </c>
      <c r="B4908" s="8" t="n">
        <v>45896</v>
      </c>
      <c r="C4908" s="9" t="n">
        <v>45870</v>
      </c>
      <c r="D4908" s="7" t="n">
        <v>2025</v>
      </c>
      <c r="E4908" s="7" t="inlineStr">
        <is>
          <t>East</t>
        </is>
      </c>
      <c r="F4908" s="7" t="inlineStr">
        <is>
          <t>Office Supplies</t>
        </is>
      </c>
      <c r="G4908" s="7" t="inlineStr">
        <is>
          <t>Binder</t>
        </is>
      </c>
      <c r="H4908" s="7" t="inlineStr">
        <is>
          <t>Corporate</t>
        </is>
      </c>
      <c r="I4908" s="7" t="n">
        <v>10</v>
      </c>
      <c r="J4908" s="10" t="n">
        <v>8.25</v>
      </c>
      <c r="K4908" s="11" t="n">
        <v>0.05</v>
      </c>
      <c r="L4908" s="10">
        <f>I4908*J4908*(1-K4908)</f>
        <v/>
      </c>
      <c r="M4908" s="10" t="n">
        <v>32</v>
      </c>
      <c r="N4908" s="10">
        <f>L4908-M4908</f>
        <v/>
      </c>
    </row>
    <row r="4909">
      <c r="A4909" s="7" t="inlineStr">
        <is>
          <t>ORD-01411</t>
        </is>
      </c>
      <c r="B4909" s="8" t="n">
        <v>45896</v>
      </c>
      <c r="C4909" s="9" t="n">
        <v>45870</v>
      </c>
      <c r="D4909" s="7" t="n">
        <v>2025</v>
      </c>
      <c r="E4909" s="7" t="inlineStr">
        <is>
          <t>South</t>
        </is>
      </c>
      <c r="F4909" s="7" t="inlineStr">
        <is>
          <t>Office Supplies</t>
        </is>
      </c>
      <c r="G4909" s="7" t="inlineStr">
        <is>
          <t>Pens</t>
        </is>
      </c>
      <c r="H4909" s="7" t="inlineStr">
        <is>
          <t>Home Office</t>
        </is>
      </c>
      <c r="I4909" s="7" t="n">
        <v>15</v>
      </c>
      <c r="J4909" s="10" t="n">
        <v>11.7</v>
      </c>
      <c r="K4909" s="11" t="n">
        <v>0.2</v>
      </c>
      <c r="L4909" s="10">
        <f>I4909*J4909*(1-K4909)</f>
        <v/>
      </c>
      <c r="M4909" s="10" t="n">
        <v>81</v>
      </c>
      <c r="N4909" s="10">
        <f>L4909-M4909</f>
        <v/>
      </c>
    </row>
    <row r="4910">
      <c r="A4910" s="7" t="inlineStr">
        <is>
          <t>ORD-05048</t>
        </is>
      </c>
      <c r="B4910" s="8" t="n">
        <v>45897</v>
      </c>
      <c r="C4910" s="9" t="n">
        <v>45870</v>
      </c>
      <c r="D4910" s="7" t="n">
        <v>2025</v>
      </c>
      <c r="E4910" s="7" t="inlineStr">
        <is>
          <t>East</t>
        </is>
      </c>
      <c r="F4910" s="7" t="inlineStr">
        <is>
          <t>Furniture</t>
        </is>
      </c>
      <c r="G4910" s="7" t="inlineStr">
        <is>
          <t>Bookcase</t>
        </is>
      </c>
      <c r="H4910" s="7" t="inlineStr">
        <is>
          <t>Home Office</t>
        </is>
      </c>
      <c r="I4910" s="7" t="n">
        <v>4</v>
      </c>
      <c r="J4910" s="10" t="n">
        <v>180.38</v>
      </c>
      <c r="K4910" s="11" t="n">
        <v>0</v>
      </c>
      <c r="L4910" s="10">
        <f>I4910*J4910*(1-K4910)</f>
        <v/>
      </c>
      <c r="M4910" s="10" t="n">
        <v>576</v>
      </c>
      <c r="N4910" s="10">
        <f>L4910-M4910</f>
        <v/>
      </c>
    </row>
    <row r="4911">
      <c r="A4911" s="7" t="inlineStr">
        <is>
          <t>ORD-02361</t>
        </is>
      </c>
      <c r="B4911" s="8" t="n">
        <v>45897</v>
      </c>
      <c r="C4911" s="9" t="n">
        <v>45870</v>
      </c>
      <c r="D4911" s="7" t="n">
        <v>2025</v>
      </c>
      <c r="E4911" s="7" t="inlineStr">
        <is>
          <t>West</t>
        </is>
      </c>
      <c r="F4911" s="7" t="inlineStr">
        <is>
          <t>Technology</t>
        </is>
      </c>
      <c r="G4911" s="7" t="inlineStr">
        <is>
          <t>Laptop</t>
        </is>
      </c>
      <c r="H4911" s="7" t="inlineStr">
        <is>
          <t>Consumer</t>
        </is>
      </c>
      <c r="I4911" s="7" t="n">
        <v>1</v>
      </c>
      <c r="J4911" s="10" t="n">
        <v>904.6</v>
      </c>
      <c r="K4911" s="11" t="n">
        <v>0.1</v>
      </c>
      <c r="L4911" s="10">
        <f>I4911*J4911*(1-K4911)</f>
        <v/>
      </c>
      <c r="M4911" s="10" t="n">
        <v>702</v>
      </c>
      <c r="N4911" s="10">
        <f>L4911-M4911</f>
        <v/>
      </c>
    </row>
    <row r="4912">
      <c r="A4912" s="7" t="inlineStr">
        <is>
          <t>ORD-05808</t>
        </is>
      </c>
      <c r="B4912" s="8" t="n">
        <v>45897</v>
      </c>
      <c r="C4912" s="9" t="n">
        <v>45870</v>
      </c>
      <c r="D4912" s="7" t="n">
        <v>2025</v>
      </c>
      <c r="E4912" s="7" t="inlineStr">
        <is>
          <t>East</t>
        </is>
      </c>
      <c r="F4912" s="7" t="inlineStr">
        <is>
          <t>Furniture</t>
        </is>
      </c>
      <c r="G4912" s="7" t="inlineStr">
        <is>
          <t>Bookcase</t>
        </is>
      </c>
      <c r="H4912" s="7" t="inlineStr">
        <is>
          <t>Home Office</t>
        </is>
      </c>
      <c r="I4912" s="7" t="n">
        <v>1</v>
      </c>
      <c r="J4912" s="10" t="n">
        <v>188.45</v>
      </c>
      <c r="K4912" s="11" t="n">
        <v>0.2</v>
      </c>
      <c r="L4912" s="10">
        <f>I4912*J4912*(1-K4912)</f>
        <v/>
      </c>
      <c r="M4912" s="10" t="n">
        <v>144</v>
      </c>
      <c r="N4912" s="10">
        <f>L4912-M4912</f>
        <v/>
      </c>
    </row>
    <row r="4913">
      <c r="A4913" s="7" t="inlineStr">
        <is>
          <t>ORD-00194</t>
        </is>
      </c>
      <c r="B4913" s="8" t="n">
        <v>45897</v>
      </c>
      <c r="C4913" s="9" t="n">
        <v>45870</v>
      </c>
      <c r="D4913" s="7" t="n">
        <v>2025</v>
      </c>
      <c r="E4913" s="7" t="inlineStr">
        <is>
          <t>East</t>
        </is>
      </c>
      <c r="F4913" s="7" t="inlineStr">
        <is>
          <t>Furniture</t>
        </is>
      </c>
      <c r="G4913" s="7" t="inlineStr">
        <is>
          <t>Bookcase</t>
        </is>
      </c>
      <c r="H4913" s="7" t="inlineStr">
        <is>
          <t>Consumer</t>
        </is>
      </c>
      <c r="I4913" s="7" t="n">
        <v>4</v>
      </c>
      <c r="J4913" s="10" t="n">
        <v>172.31</v>
      </c>
      <c r="K4913" s="11" t="n">
        <v>0</v>
      </c>
      <c r="L4913" s="10">
        <f>I4913*J4913*(1-K4913)</f>
        <v/>
      </c>
      <c r="M4913" s="10" t="n">
        <v>576</v>
      </c>
      <c r="N4913" s="10">
        <f>L4913-M4913</f>
        <v/>
      </c>
    </row>
    <row r="4914">
      <c r="A4914" s="7" t="inlineStr">
        <is>
          <t>ORD-04433</t>
        </is>
      </c>
      <c r="B4914" s="8" t="n">
        <v>45898</v>
      </c>
      <c r="C4914" s="9" t="n">
        <v>45870</v>
      </c>
      <c r="D4914" s="7" t="n">
        <v>2025</v>
      </c>
      <c r="E4914" s="7" t="inlineStr">
        <is>
          <t>West</t>
        </is>
      </c>
      <c r="F4914" s="7" t="inlineStr">
        <is>
          <t>Office Supplies</t>
        </is>
      </c>
      <c r="G4914" s="7" t="inlineStr">
        <is>
          <t>Printer Ink</t>
        </is>
      </c>
      <c r="H4914" s="7" t="inlineStr">
        <is>
          <t>Home Office</t>
        </is>
      </c>
      <c r="I4914" s="7" t="n">
        <v>8</v>
      </c>
      <c r="J4914" s="10" t="n">
        <v>58.4</v>
      </c>
      <c r="K4914" s="11" t="n">
        <v>0.3</v>
      </c>
      <c r="L4914" s="10">
        <f>I4914*J4914*(1-K4914)</f>
        <v/>
      </c>
      <c r="M4914" s="10" t="n">
        <v>288</v>
      </c>
      <c r="N4914" s="10">
        <f>L4914-M4914</f>
        <v/>
      </c>
    </row>
    <row r="4915">
      <c r="A4915" s="7" t="inlineStr">
        <is>
          <t>ORD-05670</t>
        </is>
      </c>
      <c r="B4915" s="8" t="n">
        <v>45898</v>
      </c>
      <c r="C4915" s="9" t="n">
        <v>45870</v>
      </c>
      <c r="D4915" s="7" t="n">
        <v>2025</v>
      </c>
      <c r="E4915" s="7" t="inlineStr">
        <is>
          <t>South</t>
        </is>
      </c>
      <c r="F4915" s="7" t="inlineStr">
        <is>
          <t>Furniture</t>
        </is>
      </c>
      <c r="G4915" s="7" t="inlineStr">
        <is>
          <t>Office Chair</t>
        </is>
      </c>
      <c r="H4915" s="7" t="inlineStr">
        <is>
          <t>Corporate</t>
        </is>
      </c>
      <c r="I4915" s="7" t="n">
        <v>2</v>
      </c>
      <c r="J4915" s="10" t="n">
        <v>223.83</v>
      </c>
      <c r="K4915" s="11" t="n">
        <v>0.1</v>
      </c>
      <c r="L4915" s="10">
        <f>I4915*J4915*(1-K4915)</f>
        <v/>
      </c>
      <c r="M4915" s="10" t="n">
        <v>360.8</v>
      </c>
      <c r="N4915" s="10">
        <f>L4915-M4915</f>
        <v/>
      </c>
    </row>
    <row r="4916">
      <c r="A4916" s="7" t="inlineStr">
        <is>
          <t>ORD-00045</t>
        </is>
      </c>
      <c r="B4916" s="8" t="n">
        <v>45898</v>
      </c>
      <c r="C4916" s="9" t="n">
        <v>45870</v>
      </c>
      <c r="D4916" s="7" t="n">
        <v>2025</v>
      </c>
      <c r="E4916" s="7" t="inlineStr">
        <is>
          <t>East</t>
        </is>
      </c>
      <c r="F4916" s="7" t="inlineStr">
        <is>
          <t>Office Supplies</t>
        </is>
      </c>
      <c r="G4916" s="7" t="inlineStr">
        <is>
          <t>Printer Ink</t>
        </is>
      </c>
      <c r="H4916" s="7" t="inlineStr">
        <is>
          <t>Consumer</t>
        </is>
      </c>
      <c r="I4916" s="7" t="n">
        <v>10</v>
      </c>
      <c r="J4916" s="10" t="n">
        <v>57.74</v>
      </c>
      <c r="K4916" s="11" t="n">
        <v>0.1</v>
      </c>
      <c r="L4916" s="10">
        <f>I4916*J4916*(1-K4916)</f>
        <v/>
      </c>
      <c r="M4916" s="10" t="n">
        <v>360</v>
      </c>
      <c r="N4916" s="10">
        <f>L4916-M4916</f>
        <v/>
      </c>
    </row>
    <row r="4917">
      <c r="A4917" s="7" t="inlineStr">
        <is>
          <t>ORD-01143</t>
        </is>
      </c>
      <c r="B4917" s="8" t="n">
        <v>45898</v>
      </c>
      <c r="C4917" s="9" t="n">
        <v>45870</v>
      </c>
      <c r="D4917" s="7" t="n">
        <v>2025</v>
      </c>
      <c r="E4917" s="7" t="inlineStr">
        <is>
          <t>South</t>
        </is>
      </c>
      <c r="F4917" s="7" t="inlineStr">
        <is>
          <t>Technology</t>
        </is>
      </c>
      <c r="G4917" s="7" t="inlineStr">
        <is>
          <t>Keyboard</t>
        </is>
      </c>
      <c r="H4917" s="7" t="inlineStr">
        <is>
          <t>Consumer</t>
        </is>
      </c>
      <c r="I4917" s="7" t="n">
        <v>1</v>
      </c>
      <c r="J4917" s="10" t="n">
        <v>45.44</v>
      </c>
      <c r="K4917" s="11" t="n">
        <v>0.1</v>
      </c>
      <c r="L4917" s="10">
        <f>I4917*J4917*(1-K4917)</f>
        <v/>
      </c>
      <c r="M4917" s="10" t="n">
        <v>24.75</v>
      </c>
      <c r="N4917" s="10">
        <f>L4917-M4917</f>
        <v/>
      </c>
    </row>
    <row r="4918">
      <c r="A4918" s="7" t="inlineStr">
        <is>
          <t>ORD-01870</t>
        </is>
      </c>
      <c r="B4918" s="8" t="n">
        <v>45899</v>
      </c>
      <c r="C4918" s="9" t="n">
        <v>45870</v>
      </c>
      <c r="D4918" s="7" t="n">
        <v>2025</v>
      </c>
      <c r="E4918" s="7" t="inlineStr">
        <is>
          <t>South</t>
        </is>
      </c>
      <c r="F4918" s="7" t="inlineStr">
        <is>
          <t>Office Supplies</t>
        </is>
      </c>
      <c r="G4918" s="7" t="inlineStr">
        <is>
          <t>Paper</t>
        </is>
      </c>
      <c r="H4918" s="7" t="inlineStr">
        <is>
          <t>Home Office</t>
        </is>
      </c>
      <c r="I4918" s="7" t="n">
        <v>14</v>
      </c>
      <c r="J4918" s="10" t="n">
        <v>24.25</v>
      </c>
      <c r="K4918" s="11" t="n">
        <v>0</v>
      </c>
      <c r="L4918" s="10">
        <f>I4918*J4918*(1-K4918)</f>
        <v/>
      </c>
      <c r="M4918" s="10" t="n">
        <v>175</v>
      </c>
      <c r="N4918" s="10">
        <f>L4918-M4918</f>
        <v/>
      </c>
    </row>
    <row r="4919">
      <c r="A4919" s="7" t="inlineStr">
        <is>
          <t>ORD-03716</t>
        </is>
      </c>
      <c r="B4919" s="8" t="n">
        <v>45899</v>
      </c>
      <c r="C4919" s="9" t="n">
        <v>45870</v>
      </c>
      <c r="D4919" s="7" t="n">
        <v>2025</v>
      </c>
      <c r="E4919" s="7" t="inlineStr">
        <is>
          <t>East</t>
        </is>
      </c>
      <c r="F4919" s="7" t="inlineStr">
        <is>
          <t>Office Supplies</t>
        </is>
      </c>
      <c r="G4919" s="7" t="inlineStr">
        <is>
          <t>Paper</t>
        </is>
      </c>
      <c r="H4919" s="7" t="inlineStr">
        <is>
          <t>Consumer</t>
        </is>
      </c>
      <c r="I4919" s="7" t="n">
        <v>2</v>
      </c>
      <c r="J4919" s="10" t="n">
        <v>25.16</v>
      </c>
      <c r="K4919" s="11" t="n">
        <v>0</v>
      </c>
      <c r="L4919" s="10">
        <f>I4919*J4919*(1-K4919)</f>
        <v/>
      </c>
      <c r="M4919" s="10" t="n">
        <v>25</v>
      </c>
      <c r="N4919" s="10">
        <f>L4919-M4919</f>
        <v/>
      </c>
    </row>
    <row r="4920">
      <c r="A4920" s="7" t="inlineStr">
        <is>
          <t>ORD-01123</t>
        </is>
      </c>
      <c r="B4920" s="8" t="n">
        <v>45899</v>
      </c>
      <c r="C4920" s="9" t="n">
        <v>45870</v>
      </c>
      <c r="D4920" s="7" t="n">
        <v>2025</v>
      </c>
      <c r="E4920" s="7" t="inlineStr">
        <is>
          <t>North</t>
        </is>
      </c>
      <c r="F4920" s="7" t="inlineStr">
        <is>
          <t>Office Supplies</t>
        </is>
      </c>
      <c r="G4920" s="7" t="inlineStr">
        <is>
          <t>Stapler</t>
        </is>
      </c>
      <c r="H4920" s="7" t="inlineStr">
        <is>
          <t>Consumer</t>
        </is>
      </c>
      <c r="I4920" s="7" t="n">
        <v>5</v>
      </c>
      <c r="J4920" s="10" t="n">
        <v>14.73</v>
      </c>
      <c r="K4920" s="11" t="n">
        <v>0</v>
      </c>
      <c r="L4920" s="10">
        <f>I4920*J4920*(1-K4920)</f>
        <v/>
      </c>
      <c r="M4920" s="10" t="n">
        <v>37.5</v>
      </c>
      <c r="N4920" s="10">
        <f>L4920-M4920</f>
        <v/>
      </c>
    </row>
    <row r="4921">
      <c r="A4921" s="7" t="inlineStr">
        <is>
          <t>ORD-00042</t>
        </is>
      </c>
      <c r="B4921" s="8" t="n">
        <v>45899</v>
      </c>
      <c r="C4921" s="9" t="n">
        <v>45870</v>
      </c>
      <c r="D4921" s="7" t="n">
        <v>2025</v>
      </c>
      <c r="E4921" s="7" t="inlineStr">
        <is>
          <t>West</t>
        </is>
      </c>
      <c r="F4921" s="7" t="inlineStr">
        <is>
          <t>Office Supplies</t>
        </is>
      </c>
      <c r="G4921" s="7" t="inlineStr">
        <is>
          <t>Printer Ink</t>
        </is>
      </c>
      <c r="H4921" s="7" t="inlineStr">
        <is>
          <t>Home Office</t>
        </is>
      </c>
      <c r="I4921" s="7" t="n">
        <v>15</v>
      </c>
      <c r="J4921" s="10" t="n">
        <v>60.37</v>
      </c>
      <c r="K4921" s="11" t="n">
        <v>0</v>
      </c>
      <c r="L4921" s="10">
        <f>I4921*J4921*(1-K4921)</f>
        <v/>
      </c>
      <c r="M4921" s="10" t="n">
        <v>540</v>
      </c>
      <c r="N4921" s="10">
        <f>L4921-M4921</f>
        <v/>
      </c>
    </row>
    <row r="4922">
      <c r="A4922" s="7" t="inlineStr">
        <is>
          <t>ORD-05901</t>
        </is>
      </c>
      <c r="B4922" s="8" t="n">
        <v>45899</v>
      </c>
      <c r="C4922" s="9" t="n">
        <v>45870</v>
      </c>
      <c r="D4922" s="7" t="n">
        <v>2025</v>
      </c>
      <c r="E4922" s="7" t="inlineStr">
        <is>
          <t>West</t>
        </is>
      </c>
      <c r="F4922" s="7" t="inlineStr">
        <is>
          <t>Technology</t>
        </is>
      </c>
      <c r="G4922" s="7" t="inlineStr">
        <is>
          <t>Smartphone</t>
        </is>
      </c>
      <c r="H4922" s="7" t="inlineStr">
        <is>
          <t>Consumer</t>
        </is>
      </c>
      <c r="I4922" s="7" t="n">
        <v>2</v>
      </c>
      <c r="J4922" s="10" t="n">
        <v>610.75</v>
      </c>
      <c r="K4922" s="11" t="n">
        <v>0</v>
      </c>
      <c r="L4922" s="10">
        <f>I4922*J4922*(1-K4922)</f>
        <v/>
      </c>
      <c r="M4922" s="10" t="n">
        <v>900</v>
      </c>
      <c r="N4922" s="10">
        <f>L4922-M4922</f>
        <v/>
      </c>
    </row>
    <row r="4923">
      <c r="A4923" s="7" t="inlineStr">
        <is>
          <t>ORD-04350</t>
        </is>
      </c>
      <c r="B4923" s="8" t="n">
        <v>45899</v>
      </c>
      <c r="C4923" s="9" t="n">
        <v>45870</v>
      </c>
      <c r="D4923" s="7" t="n">
        <v>2025</v>
      </c>
      <c r="E4923" s="7" t="inlineStr">
        <is>
          <t>North</t>
        </is>
      </c>
      <c r="F4923" s="7" t="inlineStr">
        <is>
          <t>Office Supplies</t>
        </is>
      </c>
      <c r="G4923" s="7" t="inlineStr">
        <is>
          <t>Binder</t>
        </is>
      </c>
      <c r="H4923" s="7" t="inlineStr">
        <is>
          <t>Consumer</t>
        </is>
      </c>
      <c r="I4923" s="7" t="n">
        <v>11</v>
      </c>
      <c r="J4923" s="10" t="n">
        <v>7.76</v>
      </c>
      <c r="K4923" s="11" t="n">
        <v>0</v>
      </c>
      <c r="L4923" s="10">
        <f>I4923*J4923*(1-K4923)</f>
        <v/>
      </c>
      <c r="M4923" s="10" t="n">
        <v>35.2</v>
      </c>
      <c r="N4923" s="10">
        <f>L4923-M4923</f>
        <v/>
      </c>
    </row>
    <row r="4924">
      <c r="A4924" s="7" t="inlineStr">
        <is>
          <t>ORD-00291</t>
        </is>
      </c>
      <c r="B4924" s="8" t="n">
        <v>45900</v>
      </c>
      <c r="C4924" s="9" t="n">
        <v>45870</v>
      </c>
      <c r="D4924" s="7" t="n">
        <v>2025</v>
      </c>
      <c r="E4924" s="7" t="inlineStr">
        <is>
          <t>South</t>
        </is>
      </c>
      <c r="F4924" s="7" t="inlineStr">
        <is>
          <t>Office Supplies</t>
        </is>
      </c>
      <c r="G4924" s="7" t="inlineStr">
        <is>
          <t>Paper</t>
        </is>
      </c>
      <c r="H4924" s="7" t="inlineStr">
        <is>
          <t>Corporate</t>
        </is>
      </c>
      <c r="I4924" s="7" t="n">
        <v>6</v>
      </c>
      <c r="J4924" s="10" t="n">
        <v>25.08</v>
      </c>
      <c r="K4924" s="11" t="n">
        <v>0.05</v>
      </c>
      <c r="L4924" s="10">
        <f>I4924*J4924*(1-K4924)</f>
        <v/>
      </c>
      <c r="M4924" s="10" t="n">
        <v>75</v>
      </c>
      <c r="N4924" s="10">
        <f>L4924-M4924</f>
        <v/>
      </c>
    </row>
    <row r="4925">
      <c r="A4925" s="7" t="inlineStr">
        <is>
          <t>ORD-01595</t>
        </is>
      </c>
      <c r="B4925" s="8" t="n">
        <v>45900</v>
      </c>
      <c r="C4925" s="9" t="n">
        <v>45870</v>
      </c>
      <c r="D4925" s="7" t="n">
        <v>2025</v>
      </c>
      <c r="E4925" s="7" t="inlineStr">
        <is>
          <t>South</t>
        </is>
      </c>
      <c r="F4925" s="7" t="inlineStr">
        <is>
          <t>Office Supplies</t>
        </is>
      </c>
      <c r="G4925" s="7" t="inlineStr">
        <is>
          <t>Paper</t>
        </is>
      </c>
      <c r="H4925" s="7" t="inlineStr">
        <is>
          <t>Corporate</t>
        </is>
      </c>
      <c r="I4925" s="7" t="n">
        <v>6</v>
      </c>
      <c r="J4925" s="10" t="n">
        <v>24.46</v>
      </c>
      <c r="K4925" s="11" t="n">
        <v>0.05</v>
      </c>
      <c r="L4925" s="10">
        <f>I4925*J4925*(1-K4925)</f>
        <v/>
      </c>
      <c r="M4925" s="10" t="n">
        <v>75</v>
      </c>
      <c r="N4925" s="10">
        <f>L4925-M4925</f>
        <v/>
      </c>
    </row>
    <row r="4926">
      <c r="A4926" s="7" t="inlineStr">
        <is>
          <t>ORD-03402</t>
        </is>
      </c>
      <c r="B4926" s="8" t="n">
        <v>45901</v>
      </c>
      <c r="C4926" s="9" t="n">
        <v>45901</v>
      </c>
      <c r="D4926" s="7" t="n">
        <v>2025</v>
      </c>
      <c r="E4926" s="7" t="inlineStr">
        <is>
          <t>South</t>
        </is>
      </c>
      <c r="F4926" s="7" t="inlineStr">
        <is>
          <t>Office Supplies</t>
        </is>
      </c>
      <c r="G4926" s="7" t="inlineStr">
        <is>
          <t>Paper</t>
        </is>
      </c>
      <c r="H4926" s="7" t="inlineStr">
        <is>
          <t>Consumer</t>
        </is>
      </c>
      <c r="I4926" s="7" t="n">
        <v>11</v>
      </c>
      <c r="J4926" s="10" t="n">
        <v>25.65</v>
      </c>
      <c r="K4926" s="11" t="n">
        <v>0.2</v>
      </c>
      <c r="L4926" s="10">
        <f>I4926*J4926*(1-K4926)</f>
        <v/>
      </c>
      <c r="M4926" s="10" t="n">
        <v>137.5</v>
      </c>
      <c r="N4926" s="10">
        <f>L4926-M4926</f>
        <v/>
      </c>
    </row>
    <row r="4927">
      <c r="A4927" s="7" t="inlineStr">
        <is>
          <t>ORD-05146</t>
        </is>
      </c>
      <c r="B4927" s="8" t="n">
        <v>45901</v>
      </c>
      <c r="C4927" s="9" t="n">
        <v>45901</v>
      </c>
      <c r="D4927" s="7" t="n">
        <v>2025</v>
      </c>
      <c r="E4927" s="7" t="inlineStr">
        <is>
          <t>South</t>
        </is>
      </c>
      <c r="F4927" s="7" t="inlineStr">
        <is>
          <t>Technology</t>
        </is>
      </c>
      <c r="G4927" s="7" t="inlineStr">
        <is>
          <t>Monitor</t>
        </is>
      </c>
      <c r="H4927" s="7" t="inlineStr">
        <is>
          <t>Home Office</t>
        </is>
      </c>
      <c r="I4927" s="7" t="n">
        <v>1</v>
      </c>
      <c r="J4927" s="10" t="n">
        <v>257.91</v>
      </c>
      <c r="K4927" s="11" t="n">
        <v>0</v>
      </c>
      <c r="L4927" s="10">
        <f>I4927*J4927*(1-K4927)</f>
        <v/>
      </c>
      <c r="M4927" s="10" t="n">
        <v>180</v>
      </c>
      <c r="N4927" s="10">
        <f>L4927-M4927</f>
        <v/>
      </c>
    </row>
    <row r="4928">
      <c r="A4928" s="7" t="inlineStr">
        <is>
          <t>ORD-01395</t>
        </is>
      </c>
      <c r="B4928" s="8" t="n">
        <v>45901</v>
      </c>
      <c r="C4928" s="9" t="n">
        <v>45901</v>
      </c>
      <c r="D4928" s="7" t="n">
        <v>2025</v>
      </c>
      <c r="E4928" s="7" t="inlineStr">
        <is>
          <t>North</t>
        </is>
      </c>
      <c r="F4928" s="7" t="inlineStr">
        <is>
          <t>Furniture</t>
        </is>
      </c>
      <c r="G4928" s="7" t="inlineStr">
        <is>
          <t>Sofa</t>
        </is>
      </c>
      <c r="H4928" s="7" t="inlineStr">
        <is>
          <t>Consumer</t>
        </is>
      </c>
      <c r="I4928" s="7" t="n">
        <v>1</v>
      </c>
      <c r="J4928" s="10" t="n">
        <v>723.41</v>
      </c>
      <c r="K4928" s="11" t="n">
        <v>0.2</v>
      </c>
      <c r="L4928" s="10">
        <f>I4928*J4928*(1-K4928)</f>
        <v/>
      </c>
      <c r="M4928" s="10" t="n">
        <v>616</v>
      </c>
      <c r="N4928" s="10">
        <f>L4928-M4928</f>
        <v/>
      </c>
    </row>
    <row r="4929">
      <c r="A4929" s="7" t="inlineStr">
        <is>
          <t>ORD-01615</t>
        </is>
      </c>
      <c r="B4929" s="8" t="n">
        <v>45901</v>
      </c>
      <c r="C4929" s="9" t="n">
        <v>45901</v>
      </c>
      <c r="D4929" s="7" t="n">
        <v>2025</v>
      </c>
      <c r="E4929" s="7" t="inlineStr">
        <is>
          <t>East</t>
        </is>
      </c>
      <c r="F4929" s="7" t="inlineStr">
        <is>
          <t>Furniture</t>
        </is>
      </c>
      <c r="G4929" s="7" t="inlineStr">
        <is>
          <t>Office Chair</t>
        </is>
      </c>
      <c r="H4929" s="7" t="inlineStr">
        <is>
          <t>Home Office</t>
        </is>
      </c>
      <c r="I4929" s="7" t="n">
        <v>1</v>
      </c>
      <c r="J4929" s="10" t="n">
        <v>215.71</v>
      </c>
      <c r="K4929" s="11" t="n">
        <v>0.3</v>
      </c>
      <c r="L4929" s="10">
        <f>I4929*J4929*(1-K4929)</f>
        <v/>
      </c>
      <c r="M4929" s="10" t="n">
        <v>180.4</v>
      </c>
      <c r="N4929" s="10">
        <f>L4929-M4929</f>
        <v/>
      </c>
    </row>
    <row r="4930">
      <c r="A4930" s="7" t="inlineStr">
        <is>
          <t>ORD-02582</t>
        </is>
      </c>
      <c r="B4930" s="8" t="n">
        <v>45902</v>
      </c>
      <c r="C4930" s="9" t="n">
        <v>45901</v>
      </c>
      <c r="D4930" s="7" t="n">
        <v>2025</v>
      </c>
      <c r="E4930" s="7" t="inlineStr">
        <is>
          <t>East</t>
        </is>
      </c>
      <c r="F4930" s="7" t="inlineStr">
        <is>
          <t>Office Supplies</t>
        </is>
      </c>
      <c r="G4930" s="7" t="inlineStr">
        <is>
          <t>Paper</t>
        </is>
      </c>
      <c r="H4930" s="7" t="inlineStr">
        <is>
          <t>Consumer</t>
        </is>
      </c>
      <c r="I4930" s="7" t="n">
        <v>10</v>
      </c>
      <c r="J4930" s="10" t="n">
        <v>26.02</v>
      </c>
      <c r="K4930" s="11" t="n">
        <v>0.05</v>
      </c>
      <c r="L4930" s="10">
        <f>I4930*J4930*(1-K4930)</f>
        <v/>
      </c>
      <c r="M4930" s="10" t="n">
        <v>125</v>
      </c>
      <c r="N4930" s="10">
        <f>L4930-M4930</f>
        <v/>
      </c>
    </row>
    <row r="4931">
      <c r="A4931" s="7" t="inlineStr">
        <is>
          <t>ORD-03782</t>
        </is>
      </c>
      <c r="B4931" s="8" t="n">
        <v>45902</v>
      </c>
      <c r="C4931" s="9" t="n">
        <v>45901</v>
      </c>
      <c r="D4931" s="7" t="n">
        <v>2025</v>
      </c>
      <c r="E4931" s="7" t="inlineStr">
        <is>
          <t>East</t>
        </is>
      </c>
      <c r="F4931" s="7" t="inlineStr">
        <is>
          <t>Office Supplies</t>
        </is>
      </c>
      <c r="G4931" s="7" t="inlineStr">
        <is>
          <t>Paper</t>
        </is>
      </c>
      <c r="H4931" s="7" t="inlineStr">
        <is>
          <t>Corporate</t>
        </is>
      </c>
      <c r="I4931" s="7" t="n">
        <v>14</v>
      </c>
      <c r="J4931" s="10" t="n">
        <v>25.8</v>
      </c>
      <c r="K4931" s="11" t="n">
        <v>0.05</v>
      </c>
      <c r="L4931" s="10">
        <f>I4931*J4931*(1-K4931)</f>
        <v/>
      </c>
      <c r="M4931" s="10" t="n">
        <v>175</v>
      </c>
      <c r="N4931" s="10">
        <f>L4931-M4931</f>
        <v/>
      </c>
    </row>
    <row r="4932">
      <c r="A4932" s="7" t="inlineStr">
        <is>
          <t>ORD-00825</t>
        </is>
      </c>
      <c r="B4932" s="8" t="n">
        <v>45902</v>
      </c>
      <c r="C4932" s="9" t="n">
        <v>45901</v>
      </c>
      <c r="D4932" s="7" t="n">
        <v>2025</v>
      </c>
      <c r="E4932" s="7" t="inlineStr">
        <is>
          <t>East</t>
        </is>
      </c>
      <c r="F4932" s="7" t="inlineStr">
        <is>
          <t>Technology</t>
        </is>
      </c>
      <c r="G4932" s="7" t="inlineStr">
        <is>
          <t>Headphones</t>
        </is>
      </c>
      <c r="H4932" s="7" t="inlineStr">
        <is>
          <t>Corporate</t>
        </is>
      </c>
      <c r="I4932" s="7" t="n">
        <v>3</v>
      </c>
      <c r="J4932" s="10" t="n">
        <v>120.89</v>
      </c>
      <c r="K4932" s="11" t="n">
        <v>0.3</v>
      </c>
      <c r="L4932" s="10">
        <f>I4932*J4932*(1-K4932)</f>
        <v/>
      </c>
      <c r="M4932" s="10" t="n">
        <v>216</v>
      </c>
      <c r="N4932" s="10">
        <f>L4932-M4932</f>
        <v/>
      </c>
    </row>
    <row r="4933">
      <c r="A4933" s="7" t="inlineStr">
        <is>
          <t>ORD-05940</t>
        </is>
      </c>
      <c r="B4933" s="8" t="n">
        <v>45902</v>
      </c>
      <c r="C4933" s="9" t="n">
        <v>45901</v>
      </c>
      <c r="D4933" s="7" t="n">
        <v>2025</v>
      </c>
      <c r="E4933" s="7" t="inlineStr">
        <is>
          <t>South</t>
        </is>
      </c>
      <c r="F4933" s="7" t="inlineStr">
        <is>
          <t>Furniture</t>
        </is>
      </c>
      <c r="G4933" s="7" t="inlineStr">
        <is>
          <t>Desk</t>
        </is>
      </c>
      <c r="H4933" s="7" t="inlineStr">
        <is>
          <t>Corporate</t>
        </is>
      </c>
      <c r="I4933" s="7" t="n">
        <v>2</v>
      </c>
      <c r="J4933" s="10" t="n">
        <v>468.75</v>
      </c>
      <c r="K4933" s="11" t="n">
        <v>0.3</v>
      </c>
      <c r="L4933" s="10">
        <f>I4933*J4933*(1-K4933)</f>
        <v/>
      </c>
      <c r="M4933" s="10" t="n">
        <v>765</v>
      </c>
      <c r="N4933" s="10">
        <f>L4933-M4933</f>
        <v/>
      </c>
    </row>
    <row r="4934">
      <c r="A4934" s="7" t="inlineStr">
        <is>
          <t>ORD-02348</t>
        </is>
      </c>
      <c r="B4934" s="8" t="n">
        <v>45902</v>
      </c>
      <c r="C4934" s="9" t="n">
        <v>45901</v>
      </c>
      <c r="D4934" s="7" t="n">
        <v>2025</v>
      </c>
      <c r="E4934" s="7" t="inlineStr">
        <is>
          <t>West</t>
        </is>
      </c>
      <c r="F4934" s="7" t="inlineStr">
        <is>
          <t>Office Supplies</t>
        </is>
      </c>
      <c r="G4934" s="7" t="inlineStr">
        <is>
          <t>Stapler</t>
        </is>
      </c>
      <c r="H4934" s="7" t="inlineStr">
        <is>
          <t>Home Office</t>
        </is>
      </c>
      <c r="I4934" s="7" t="n">
        <v>15</v>
      </c>
      <c r="J4934" s="10" t="n">
        <v>15.38</v>
      </c>
      <c r="K4934" s="11" t="n">
        <v>0</v>
      </c>
      <c r="L4934" s="10">
        <f>I4934*J4934*(1-K4934)</f>
        <v/>
      </c>
      <c r="M4934" s="10" t="n">
        <v>112.5</v>
      </c>
      <c r="N4934" s="10">
        <f>L4934-M4934</f>
        <v/>
      </c>
    </row>
    <row r="4935">
      <c r="A4935" s="7" t="inlineStr">
        <is>
          <t>ORD-00540</t>
        </is>
      </c>
      <c r="B4935" s="8" t="n">
        <v>45902</v>
      </c>
      <c r="C4935" s="9" t="n">
        <v>45901</v>
      </c>
      <c r="D4935" s="7" t="n">
        <v>2025</v>
      </c>
      <c r="E4935" s="7" t="inlineStr">
        <is>
          <t>South</t>
        </is>
      </c>
      <c r="F4935" s="7" t="inlineStr">
        <is>
          <t>Technology</t>
        </is>
      </c>
      <c r="G4935" s="7" t="inlineStr">
        <is>
          <t>Keyboard</t>
        </is>
      </c>
      <c r="H4935" s="7" t="inlineStr">
        <is>
          <t>Corporate</t>
        </is>
      </c>
      <c r="I4935" s="7" t="n">
        <v>2</v>
      </c>
      <c r="J4935" s="10" t="n">
        <v>42.9</v>
      </c>
      <c r="K4935" s="11" t="n">
        <v>0</v>
      </c>
      <c r="L4935" s="10">
        <f>I4935*J4935*(1-K4935)</f>
        <v/>
      </c>
      <c r="M4935" s="10" t="n">
        <v>49.5</v>
      </c>
      <c r="N4935" s="10">
        <f>L4935-M4935</f>
        <v/>
      </c>
    </row>
    <row r="4936">
      <c r="A4936" s="7" t="inlineStr">
        <is>
          <t>ORD-04093</t>
        </is>
      </c>
      <c r="B4936" s="8" t="n">
        <v>45902</v>
      </c>
      <c r="C4936" s="9" t="n">
        <v>45901</v>
      </c>
      <c r="D4936" s="7" t="n">
        <v>2025</v>
      </c>
      <c r="E4936" s="7" t="inlineStr">
        <is>
          <t>West</t>
        </is>
      </c>
      <c r="F4936" s="7" t="inlineStr">
        <is>
          <t>Office Supplies</t>
        </is>
      </c>
      <c r="G4936" s="7" t="inlineStr">
        <is>
          <t>Pens</t>
        </is>
      </c>
      <c r="H4936" s="7" t="inlineStr">
        <is>
          <t>Consumer</t>
        </is>
      </c>
      <c r="I4936" s="7" t="n">
        <v>12</v>
      </c>
      <c r="J4936" s="10" t="n">
        <v>11.92</v>
      </c>
      <c r="K4936" s="11" t="n">
        <v>0.1</v>
      </c>
      <c r="L4936" s="10">
        <f>I4936*J4936*(1-K4936)</f>
        <v/>
      </c>
      <c r="M4936" s="10" t="n">
        <v>64.8</v>
      </c>
      <c r="N4936" s="10">
        <f>L4936-M4936</f>
        <v/>
      </c>
    </row>
    <row r="4937">
      <c r="A4937" s="7" t="inlineStr">
        <is>
          <t>ORD-02791</t>
        </is>
      </c>
      <c r="B4937" s="8" t="n">
        <v>45902</v>
      </c>
      <c r="C4937" s="9" t="n">
        <v>45901</v>
      </c>
      <c r="D4937" s="7" t="n">
        <v>2025</v>
      </c>
      <c r="E4937" s="7" t="inlineStr">
        <is>
          <t>North</t>
        </is>
      </c>
      <c r="F4937" s="7" t="inlineStr">
        <is>
          <t>Office Supplies</t>
        </is>
      </c>
      <c r="G4937" s="7" t="inlineStr">
        <is>
          <t>Binder</t>
        </is>
      </c>
      <c r="H4937" s="7" t="inlineStr">
        <is>
          <t>Corporate</t>
        </is>
      </c>
      <c r="I4937" s="7" t="n">
        <v>2</v>
      </c>
      <c r="J4937" s="10" t="n">
        <v>8.119999999999999</v>
      </c>
      <c r="K4937" s="11" t="n">
        <v>0</v>
      </c>
      <c r="L4937" s="10">
        <f>I4937*J4937*(1-K4937)</f>
        <v/>
      </c>
      <c r="M4937" s="10" t="n">
        <v>6.4</v>
      </c>
      <c r="N4937" s="10">
        <f>L4937-M4937</f>
        <v/>
      </c>
    </row>
    <row r="4938">
      <c r="A4938" s="7" t="inlineStr">
        <is>
          <t>ORD-04194</t>
        </is>
      </c>
      <c r="B4938" s="8" t="n">
        <v>45902</v>
      </c>
      <c r="C4938" s="9" t="n">
        <v>45901</v>
      </c>
      <c r="D4938" s="7" t="n">
        <v>2025</v>
      </c>
      <c r="E4938" s="7" t="inlineStr">
        <is>
          <t>East</t>
        </is>
      </c>
      <c r="F4938" s="7" t="inlineStr">
        <is>
          <t>Technology</t>
        </is>
      </c>
      <c r="G4938" s="7" t="inlineStr">
        <is>
          <t>Smartphone</t>
        </is>
      </c>
      <c r="H4938" s="7" t="inlineStr">
        <is>
          <t>Corporate</t>
        </is>
      </c>
      <c r="I4938" s="7" t="n">
        <v>3</v>
      </c>
      <c r="J4938" s="10" t="n">
        <v>589.24</v>
      </c>
      <c r="K4938" s="11" t="n">
        <v>0.3</v>
      </c>
      <c r="L4938" s="10">
        <f>I4938*J4938*(1-K4938)</f>
        <v/>
      </c>
      <c r="M4938" s="10" t="n">
        <v>1350</v>
      </c>
      <c r="N4938" s="10">
        <f>L4938-M4938</f>
        <v/>
      </c>
    </row>
    <row r="4939">
      <c r="A4939" s="7" t="inlineStr">
        <is>
          <t>ORD-03624</t>
        </is>
      </c>
      <c r="B4939" s="8" t="n">
        <v>45902</v>
      </c>
      <c r="C4939" s="9" t="n">
        <v>45901</v>
      </c>
      <c r="D4939" s="7" t="n">
        <v>2025</v>
      </c>
      <c r="E4939" s="7" t="inlineStr">
        <is>
          <t>South</t>
        </is>
      </c>
      <c r="F4939" s="7" t="inlineStr">
        <is>
          <t>Office Supplies</t>
        </is>
      </c>
      <c r="G4939" s="7" t="inlineStr">
        <is>
          <t>Stapler</t>
        </is>
      </c>
      <c r="H4939" s="7" t="inlineStr">
        <is>
          <t>Corporate</t>
        </is>
      </c>
      <c r="I4939" s="7" t="n">
        <v>2</v>
      </c>
      <c r="J4939" s="10" t="n">
        <v>15.7</v>
      </c>
      <c r="K4939" s="11" t="n">
        <v>0.05</v>
      </c>
      <c r="L4939" s="10">
        <f>I4939*J4939*(1-K4939)</f>
        <v/>
      </c>
      <c r="M4939" s="10" t="n">
        <v>15</v>
      </c>
      <c r="N4939" s="10">
        <f>L4939-M4939</f>
        <v/>
      </c>
    </row>
    <row r="4940">
      <c r="A4940" s="7" t="inlineStr">
        <is>
          <t>ORD-05618</t>
        </is>
      </c>
      <c r="B4940" s="8" t="n">
        <v>45902</v>
      </c>
      <c r="C4940" s="9" t="n">
        <v>45901</v>
      </c>
      <c r="D4940" s="7" t="n">
        <v>2025</v>
      </c>
      <c r="E4940" s="7" t="inlineStr">
        <is>
          <t>West</t>
        </is>
      </c>
      <c r="F4940" s="7" t="inlineStr">
        <is>
          <t>Office Supplies</t>
        </is>
      </c>
      <c r="G4940" s="7" t="inlineStr">
        <is>
          <t>Printer Ink</t>
        </is>
      </c>
      <c r="H4940" s="7" t="inlineStr">
        <is>
          <t>Consumer</t>
        </is>
      </c>
      <c r="I4940" s="7" t="n">
        <v>7</v>
      </c>
      <c r="J4940" s="10" t="n">
        <v>58.58</v>
      </c>
      <c r="K4940" s="11" t="n">
        <v>0</v>
      </c>
      <c r="L4940" s="10">
        <f>I4940*J4940*(1-K4940)</f>
        <v/>
      </c>
      <c r="M4940" s="10" t="n">
        <v>252</v>
      </c>
      <c r="N4940" s="10">
        <f>L4940-M4940</f>
        <v/>
      </c>
    </row>
    <row r="4941">
      <c r="A4941" s="7" t="inlineStr">
        <is>
          <t>ORD-05110</t>
        </is>
      </c>
      <c r="B4941" s="8" t="n">
        <v>45903</v>
      </c>
      <c r="C4941" s="9" t="n">
        <v>45901</v>
      </c>
      <c r="D4941" s="7" t="n">
        <v>2025</v>
      </c>
      <c r="E4941" s="7" t="inlineStr">
        <is>
          <t>East</t>
        </is>
      </c>
      <c r="F4941" s="7" t="inlineStr">
        <is>
          <t>Technology</t>
        </is>
      </c>
      <c r="G4941" s="7" t="inlineStr">
        <is>
          <t>Smartphone</t>
        </is>
      </c>
      <c r="H4941" s="7" t="inlineStr">
        <is>
          <t>Corporate</t>
        </is>
      </c>
      <c r="I4941" s="7" t="n">
        <v>1</v>
      </c>
      <c r="J4941" s="10" t="n">
        <v>589.55</v>
      </c>
      <c r="K4941" s="11" t="n">
        <v>0</v>
      </c>
      <c r="L4941" s="10">
        <f>I4941*J4941*(1-K4941)</f>
        <v/>
      </c>
      <c r="M4941" s="10" t="n">
        <v>450</v>
      </c>
      <c r="N4941" s="10">
        <f>L4941-M4941</f>
        <v/>
      </c>
    </row>
    <row r="4942">
      <c r="A4942" s="7" t="inlineStr">
        <is>
          <t>ORD-03529</t>
        </is>
      </c>
      <c r="B4942" s="8" t="n">
        <v>45903</v>
      </c>
      <c r="C4942" s="9" t="n">
        <v>45901</v>
      </c>
      <c r="D4942" s="7" t="n">
        <v>2025</v>
      </c>
      <c r="E4942" s="7" t="inlineStr">
        <is>
          <t>South</t>
        </is>
      </c>
      <c r="F4942" s="7" t="inlineStr">
        <is>
          <t>Office Supplies</t>
        </is>
      </c>
      <c r="G4942" s="7" t="inlineStr">
        <is>
          <t>Pens</t>
        </is>
      </c>
      <c r="H4942" s="7" t="inlineStr">
        <is>
          <t>Corporate</t>
        </is>
      </c>
      <c r="I4942" s="7" t="n">
        <v>9</v>
      </c>
      <c r="J4942" s="10" t="n">
        <v>11.59</v>
      </c>
      <c r="K4942" s="11" t="n">
        <v>0.3</v>
      </c>
      <c r="L4942" s="10">
        <f>I4942*J4942*(1-K4942)</f>
        <v/>
      </c>
      <c r="M4942" s="10" t="n">
        <v>48.6</v>
      </c>
      <c r="N4942" s="10">
        <f>L4942-M4942</f>
        <v/>
      </c>
    </row>
    <row r="4943">
      <c r="A4943" s="7" t="inlineStr">
        <is>
          <t>ORD-03569</t>
        </is>
      </c>
      <c r="B4943" s="8" t="n">
        <v>45903</v>
      </c>
      <c r="C4943" s="9" t="n">
        <v>45901</v>
      </c>
      <c r="D4943" s="7" t="n">
        <v>2025</v>
      </c>
      <c r="E4943" s="7" t="inlineStr">
        <is>
          <t>West</t>
        </is>
      </c>
      <c r="F4943" s="7" t="inlineStr">
        <is>
          <t>Office Supplies</t>
        </is>
      </c>
      <c r="G4943" s="7" t="inlineStr">
        <is>
          <t>Binder</t>
        </is>
      </c>
      <c r="H4943" s="7" t="inlineStr">
        <is>
          <t>Consumer</t>
        </is>
      </c>
      <c r="I4943" s="7" t="n">
        <v>2</v>
      </c>
      <c r="J4943" s="10" t="n">
        <v>7.97</v>
      </c>
      <c r="K4943" s="11" t="n">
        <v>0.1</v>
      </c>
      <c r="L4943" s="10">
        <f>I4943*J4943*(1-K4943)</f>
        <v/>
      </c>
      <c r="M4943" s="10" t="n">
        <v>6.4</v>
      </c>
      <c r="N4943" s="10">
        <f>L4943-M4943</f>
        <v/>
      </c>
    </row>
    <row r="4944">
      <c r="A4944" s="7" t="inlineStr">
        <is>
          <t>ORD-02753</t>
        </is>
      </c>
      <c r="B4944" s="8" t="n">
        <v>45903</v>
      </c>
      <c r="C4944" s="9" t="n">
        <v>45901</v>
      </c>
      <c r="D4944" s="7" t="n">
        <v>2025</v>
      </c>
      <c r="E4944" s="7" t="inlineStr">
        <is>
          <t>South</t>
        </is>
      </c>
      <c r="F4944" s="7" t="inlineStr">
        <is>
          <t>Technology</t>
        </is>
      </c>
      <c r="G4944" s="7" t="inlineStr">
        <is>
          <t>Laptop</t>
        </is>
      </c>
      <c r="H4944" s="7" t="inlineStr">
        <is>
          <t>Consumer</t>
        </is>
      </c>
      <c r="I4944" s="7" t="n">
        <v>2</v>
      </c>
      <c r="J4944" s="10" t="n">
        <v>930.12</v>
      </c>
      <c r="K4944" s="11" t="n">
        <v>0.1</v>
      </c>
      <c r="L4944" s="10">
        <f>I4944*J4944*(1-K4944)</f>
        <v/>
      </c>
      <c r="M4944" s="10" t="n">
        <v>1404</v>
      </c>
      <c r="N4944" s="10">
        <f>L4944-M4944</f>
        <v/>
      </c>
    </row>
    <row r="4945">
      <c r="A4945" s="7" t="inlineStr">
        <is>
          <t>ORD-02516</t>
        </is>
      </c>
      <c r="B4945" s="8" t="n">
        <v>45903</v>
      </c>
      <c r="C4945" s="9" t="n">
        <v>45901</v>
      </c>
      <c r="D4945" s="7" t="n">
        <v>2025</v>
      </c>
      <c r="E4945" s="7" t="inlineStr">
        <is>
          <t>East</t>
        </is>
      </c>
      <c r="F4945" s="7" t="inlineStr">
        <is>
          <t>Furniture</t>
        </is>
      </c>
      <c r="G4945" s="7" t="inlineStr">
        <is>
          <t>Office Chair</t>
        </is>
      </c>
      <c r="H4945" s="7" t="inlineStr">
        <is>
          <t>Corporate</t>
        </is>
      </c>
      <c r="I4945" s="7" t="n">
        <v>1</v>
      </c>
      <c r="J4945" s="10" t="n">
        <v>219.77</v>
      </c>
      <c r="K4945" s="11" t="n">
        <v>0.3</v>
      </c>
      <c r="L4945" s="10">
        <f>I4945*J4945*(1-K4945)</f>
        <v/>
      </c>
      <c r="M4945" s="10" t="n">
        <v>180.4</v>
      </c>
      <c r="N4945" s="10">
        <f>L4945-M4945</f>
        <v/>
      </c>
    </row>
    <row r="4946">
      <c r="A4946" s="7" t="inlineStr">
        <is>
          <t>ORD-01574</t>
        </is>
      </c>
      <c r="B4946" s="8" t="n">
        <v>45903</v>
      </c>
      <c r="C4946" s="9" t="n">
        <v>45901</v>
      </c>
      <c r="D4946" s="7" t="n">
        <v>2025</v>
      </c>
      <c r="E4946" s="7" t="inlineStr">
        <is>
          <t>East</t>
        </is>
      </c>
      <c r="F4946" s="7" t="inlineStr">
        <is>
          <t>Office Supplies</t>
        </is>
      </c>
      <c r="G4946" s="7" t="inlineStr">
        <is>
          <t>Binder</t>
        </is>
      </c>
      <c r="H4946" s="7" t="inlineStr">
        <is>
          <t>Corporate</t>
        </is>
      </c>
      <c r="I4946" s="7" t="n">
        <v>6</v>
      </c>
      <c r="J4946" s="10" t="n">
        <v>7.91</v>
      </c>
      <c r="K4946" s="11" t="n">
        <v>0.2</v>
      </c>
      <c r="L4946" s="10">
        <f>I4946*J4946*(1-K4946)</f>
        <v/>
      </c>
      <c r="M4946" s="10" t="n">
        <v>19.2</v>
      </c>
      <c r="N4946" s="10">
        <f>L4946-M4946</f>
        <v/>
      </c>
    </row>
    <row r="4947">
      <c r="A4947" s="7" t="inlineStr">
        <is>
          <t>ORD-00508</t>
        </is>
      </c>
      <c r="B4947" s="8" t="n">
        <v>45903</v>
      </c>
      <c r="C4947" s="9" t="n">
        <v>45901</v>
      </c>
      <c r="D4947" s="7" t="n">
        <v>2025</v>
      </c>
      <c r="E4947" s="7" t="inlineStr">
        <is>
          <t>West</t>
        </is>
      </c>
      <c r="F4947" s="7" t="inlineStr">
        <is>
          <t>Furniture</t>
        </is>
      </c>
      <c r="G4947" s="7" t="inlineStr">
        <is>
          <t>Office Chair</t>
        </is>
      </c>
      <c r="H4947" s="7" t="inlineStr">
        <is>
          <t>Corporate</t>
        </is>
      </c>
      <c r="I4947" s="7" t="n">
        <v>2</v>
      </c>
      <c r="J4947" s="10" t="n">
        <v>219.7</v>
      </c>
      <c r="K4947" s="11" t="n">
        <v>0.2</v>
      </c>
      <c r="L4947" s="10">
        <f>I4947*J4947*(1-K4947)</f>
        <v/>
      </c>
      <c r="M4947" s="10" t="n">
        <v>360.8</v>
      </c>
      <c r="N4947" s="10">
        <f>L4947-M4947</f>
        <v/>
      </c>
    </row>
    <row r="4948">
      <c r="A4948" s="7" t="inlineStr">
        <is>
          <t>ORD-00408</t>
        </is>
      </c>
      <c r="B4948" s="8" t="n">
        <v>45903</v>
      </c>
      <c r="C4948" s="9" t="n">
        <v>45901</v>
      </c>
      <c r="D4948" s="7" t="n">
        <v>2025</v>
      </c>
      <c r="E4948" s="7" t="inlineStr">
        <is>
          <t>West</t>
        </is>
      </c>
      <c r="F4948" s="7" t="inlineStr">
        <is>
          <t>Office Supplies</t>
        </is>
      </c>
      <c r="G4948" s="7" t="inlineStr">
        <is>
          <t>Paper</t>
        </is>
      </c>
      <c r="H4948" s="7" t="inlineStr">
        <is>
          <t>Consumer</t>
        </is>
      </c>
      <c r="I4948" s="7" t="n">
        <v>2</v>
      </c>
      <c r="J4948" s="10" t="n">
        <v>23.86</v>
      </c>
      <c r="K4948" s="11" t="n">
        <v>0</v>
      </c>
      <c r="L4948" s="10">
        <f>I4948*J4948*(1-K4948)</f>
        <v/>
      </c>
      <c r="M4948" s="10" t="n">
        <v>25</v>
      </c>
      <c r="N4948" s="10">
        <f>L4948-M4948</f>
        <v/>
      </c>
    </row>
    <row r="4949">
      <c r="A4949" s="7" t="inlineStr">
        <is>
          <t>ORD-05173</t>
        </is>
      </c>
      <c r="B4949" s="8" t="n">
        <v>45903</v>
      </c>
      <c r="C4949" s="9" t="n">
        <v>45901</v>
      </c>
      <c r="D4949" s="7" t="n">
        <v>2025</v>
      </c>
      <c r="E4949" s="7" t="inlineStr">
        <is>
          <t>South</t>
        </is>
      </c>
      <c r="F4949" s="7" t="inlineStr">
        <is>
          <t>Office Supplies</t>
        </is>
      </c>
      <c r="G4949" s="7" t="inlineStr">
        <is>
          <t>Pens</t>
        </is>
      </c>
      <c r="H4949" s="7" t="inlineStr">
        <is>
          <t>Consumer</t>
        </is>
      </c>
      <c r="I4949" s="7" t="n">
        <v>13</v>
      </c>
      <c r="J4949" s="10" t="n">
        <v>11.99</v>
      </c>
      <c r="K4949" s="11" t="n">
        <v>0.05</v>
      </c>
      <c r="L4949" s="10">
        <f>I4949*J4949*(1-K4949)</f>
        <v/>
      </c>
      <c r="M4949" s="10" t="n">
        <v>70.2</v>
      </c>
      <c r="N4949" s="10">
        <f>L4949-M4949</f>
        <v/>
      </c>
    </row>
    <row r="4950">
      <c r="A4950" s="7" t="inlineStr">
        <is>
          <t>ORD-01392</t>
        </is>
      </c>
      <c r="B4950" s="8" t="n">
        <v>45903</v>
      </c>
      <c r="C4950" s="9" t="n">
        <v>45901</v>
      </c>
      <c r="D4950" s="7" t="n">
        <v>2025</v>
      </c>
      <c r="E4950" s="7" t="inlineStr">
        <is>
          <t>West</t>
        </is>
      </c>
      <c r="F4950" s="7" t="inlineStr">
        <is>
          <t>Technology</t>
        </is>
      </c>
      <c r="G4950" s="7" t="inlineStr">
        <is>
          <t>Monitor</t>
        </is>
      </c>
      <c r="H4950" s="7" t="inlineStr">
        <is>
          <t>Home Office</t>
        </is>
      </c>
      <c r="I4950" s="7" t="n">
        <v>1</v>
      </c>
      <c r="J4950" s="10" t="n">
        <v>237.92</v>
      </c>
      <c r="K4950" s="11" t="n">
        <v>0</v>
      </c>
      <c r="L4950" s="10">
        <f>I4950*J4950*(1-K4950)</f>
        <v/>
      </c>
      <c r="M4950" s="10" t="n">
        <v>180</v>
      </c>
      <c r="N4950" s="10">
        <f>L4950-M4950</f>
        <v/>
      </c>
    </row>
    <row r="4951">
      <c r="A4951" s="7" t="inlineStr">
        <is>
          <t>ORD-02183</t>
        </is>
      </c>
      <c r="B4951" s="8" t="n">
        <v>45904</v>
      </c>
      <c r="C4951" s="9" t="n">
        <v>45901</v>
      </c>
      <c r="D4951" s="7" t="n">
        <v>2025</v>
      </c>
      <c r="E4951" s="7" t="inlineStr">
        <is>
          <t>East</t>
        </is>
      </c>
      <c r="F4951" s="7" t="inlineStr">
        <is>
          <t>Office Supplies</t>
        </is>
      </c>
      <c r="G4951" s="7" t="inlineStr">
        <is>
          <t>Printer Ink</t>
        </is>
      </c>
      <c r="H4951" s="7" t="inlineStr">
        <is>
          <t>Corporate</t>
        </is>
      </c>
      <c r="I4951" s="7" t="n">
        <v>8</v>
      </c>
      <c r="J4951" s="10" t="n">
        <v>61.5</v>
      </c>
      <c r="K4951" s="11" t="n">
        <v>0</v>
      </c>
      <c r="L4951" s="10">
        <f>I4951*J4951*(1-K4951)</f>
        <v/>
      </c>
      <c r="M4951" s="10" t="n">
        <v>288</v>
      </c>
      <c r="N4951" s="10">
        <f>L4951-M4951</f>
        <v/>
      </c>
    </row>
    <row r="4952">
      <c r="A4952" s="7" t="inlineStr">
        <is>
          <t>ORD-01352</t>
        </is>
      </c>
      <c r="B4952" s="8" t="n">
        <v>45904</v>
      </c>
      <c r="C4952" s="9" t="n">
        <v>45901</v>
      </c>
      <c r="D4952" s="7" t="n">
        <v>2025</v>
      </c>
      <c r="E4952" s="7" t="inlineStr">
        <is>
          <t>West</t>
        </is>
      </c>
      <c r="F4952" s="7" t="inlineStr">
        <is>
          <t>Technology</t>
        </is>
      </c>
      <c r="G4952" s="7" t="inlineStr">
        <is>
          <t>Laptop</t>
        </is>
      </c>
      <c r="H4952" s="7" t="inlineStr">
        <is>
          <t>Home Office</t>
        </is>
      </c>
      <c r="I4952" s="7" t="n">
        <v>1</v>
      </c>
      <c r="J4952" s="10" t="n">
        <v>919.05</v>
      </c>
      <c r="K4952" s="11" t="n">
        <v>0</v>
      </c>
      <c r="L4952" s="10">
        <f>I4952*J4952*(1-K4952)</f>
        <v/>
      </c>
      <c r="M4952" s="10" t="n">
        <v>702</v>
      </c>
      <c r="N4952" s="10">
        <f>L4952-M4952</f>
        <v/>
      </c>
    </row>
    <row r="4953">
      <c r="A4953" s="7" t="inlineStr">
        <is>
          <t>ORD-00434</t>
        </is>
      </c>
      <c r="B4953" s="8" t="n">
        <v>45904</v>
      </c>
      <c r="C4953" s="9" t="n">
        <v>45901</v>
      </c>
      <c r="D4953" s="7" t="n">
        <v>2025</v>
      </c>
      <c r="E4953" s="7" t="inlineStr">
        <is>
          <t>North</t>
        </is>
      </c>
      <c r="F4953" s="7" t="inlineStr">
        <is>
          <t>Office Supplies</t>
        </is>
      </c>
      <c r="G4953" s="7" t="inlineStr">
        <is>
          <t>Paper</t>
        </is>
      </c>
      <c r="H4953" s="7" t="inlineStr">
        <is>
          <t>Home Office</t>
        </is>
      </c>
      <c r="I4953" s="7" t="n">
        <v>7</v>
      </c>
      <c r="J4953" s="10" t="n">
        <v>24.65</v>
      </c>
      <c r="K4953" s="11" t="n">
        <v>0.2</v>
      </c>
      <c r="L4953" s="10">
        <f>I4953*J4953*(1-K4953)</f>
        <v/>
      </c>
      <c r="M4953" s="10" t="n">
        <v>87.5</v>
      </c>
      <c r="N4953" s="10">
        <f>L4953-M4953</f>
        <v/>
      </c>
    </row>
    <row r="4954">
      <c r="A4954" s="7" t="inlineStr">
        <is>
          <t>ORD-03483</t>
        </is>
      </c>
      <c r="B4954" s="8" t="n">
        <v>45904</v>
      </c>
      <c r="C4954" s="9" t="n">
        <v>45901</v>
      </c>
      <c r="D4954" s="7" t="n">
        <v>2025</v>
      </c>
      <c r="E4954" s="7" t="inlineStr">
        <is>
          <t>North</t>
        </is>
      </c>
      <c r="F4954" s="7" t="inlineStr">
        <is>
          <t>Technology</t>
        </is>
      </c>
      <c r="G4954" s="7" t="inlineStr">
        <is>
          <t>Keyboard</t>
        </is>
      </c>
      <c r="H4954" s="7" t="inlineStr">
        <is>
          <t>Corporate</t>
        </is>
      </c>
      <c r="I4954" s="7" t="n">
        <v>3</v>
      </c>
      <c r="J4954" s="10" t="n">
        <v>45.26</v>
      </c>
      <c r="K4954" s="11" t="n">
        <v>0</v>
      </c>
      <c r="L4954" s="10">
        <f>I4954*J4954*(1-K4954)</f>
        <v/>
      </c>
      <c r="M4954" s="10" t="n">
        <v>74.25</v>
      </c>
      <c r="N4954" s="10">
        <f>L4954-M4954</f>
        <v/>
      </c>
    </row>
    <row r="4955">
      <c r="A4955" s="7" t="inlineStr">
        <is>
          <t>ORD-05708</t>
        </is>
      </c>
      <c r="B4955" s="8" t="n">
        <v>45905</v>
      </c>
      <c r="C4955" s="9" t="n">
        <v>45901</v>
      </c>
      <c r="D4955" s="7" t="n">
        <v>2025</v>
      </c>
      <c r="E4955" s="7" t="inlineStr">
        <is>
          <t>West</t>
        </is>
      </c>
      <c r="F4955" s="7" t="inlineStr">
        <is>
          <t>Technology</t>
        </is>
      </c>
      <c r="G4955" s="7" t="inlineStr">
        <is>
          <t>Headphones</t>
        </is>
      </c>
      <c r="H4955" s="7" t="inlineStr">
        <is>
          <t>Consumer</t>
        </is>
      </c>
      <c r="I4955" s="7" t="n">
        <v>3</v>
      </c>
      <c r="J4955" s="10" t="n">
        <v>119.96</v>
      </c>
      <c r="K4955" s="11" t="n">
        <v>0</v>
      </c>
      <c r="L4955" s="10">
        <f>I4955*J4955*(1-K4955)</f>
        <v/>
      </c>
      <c r="M4955" s="10" t="n">
        <v>216</v>
      </c>
      <c r="N4955" s="10">
        <f>L4955-M4955</f>
        <v/>
      </c>
    </row>
    <row r="4956">
      <c r="A4956" s="7" t="inlineStr">
        <is>
          <t>ORD-01104</t>
        </is>
      </c>
      <c r="B4956" s="8" t="n">
        <v>45905</v>
      </c>
      <c r="C4956" s="9" t="n">
        <v>45901</v>
      </c>
      <c r="D4956" s="7" t="n">
        <v>2025</v>
      </c>
      <c r="E4956" s="7" t="inlineStr">
        <is>
          <t>West</t>
        </is>
      </c>
      <c r="F4956" s="7" t="inlineStr">
        <is>
          <t>Office Supplies</t>
        </is>
      </c>
      <c r="G4956" s="7" t="inlineStr">
        <is>
          <t>Binder</t>
        </is>
      </c>
      <c r="H4956" s="7" t="inlineStr">
        <is>
          <t>Corporate</t>
        </is>
      </c>
      <c r="I4956" s="7" t="n">
        <v>3</v>
      </c>
      <c r="J4956" s="10" t="n">
        <v>7.7</v>
      </c>
      <c r="K4956" s="11" t="n">
        <v>0</v>
      </c>
      <c r="L4956" s="10">
        <f>I4956*J4956*(1-K4956)</f>
        <v/>
      </c>
      <c r="M4956" s="10" t="n">
        <v>9.6</v>
      </c>
      <c r="N4956" s="10">
        <f>L4956-M4956</f>
        <v/>
      </c>
    </row>
    <row r="4957">
      <c r="A4957" s="7" t="inlineStr">
        <is>
          <t>ORD-00543</t>
        </is>
      </c>
      <c r="B4957" s="8" t="n">
        <v>45905</v>
      </c>
      <c r="C4957" s="9" t="n">
        <v>45901</v>
      </c>
      <c r="D4957" s="7" t="n">
        <v>2025</v>
      </c>
      <c r="E4957" s="7" t="inlineStr">
        <is>
          <t>North</t>
        </is>
      </c>
      <c r="F4957" s="7" t="inlineStr">
        <is>
          <t>Office Supplies</t>
        </is>
      </c>
      <c r="G4957" s="7" t="inlineStr">
        <is>
          <t>Pens</t>
        </is>
      </c>
      <c r="H4957" s="7" t="inlineStr">
        <is>
          <t>Consumer</t>
        </is>
      </c>
      <c r="I4957" s="7" t="n">
        <v>2</v>
      </c>
      <c r="J4957" s="10" t="n">
        <v>11.57</v>
      </c>
      <c r="K4957" s="11" t="n">
        <v>0.05</v>
      </c>
      <c r="L4957" s="10">
        <f>I4957*J4957*(1-K4957)</f>
        <v/>
      </c>
      <c r="M4957" s="10" t="n">
        <v>10.8</v>
      </c>
      <c r="N4957" s="10">
        <f>L4957-M4957</f>
        <v/>
      </c>
    </row>
    <row r="4958">
      <c r="A4958" s="7" t="inlineStr">
        <is>
          <t>ORD-05535</t>
        </is>
      </c>
      <c r="B4958" s="8" t="n">
        <v>45905</v>
      </c>
      <c r="C4958" s="9" t="n">
        <v>45901</v>
      </c>
      <c r="D4958" s="7" t="n">
        <v>2025</v>
      </c>
      <c r="E4958" s="7" t="inlineStr">
        <is>
          <t>West</t>
        </is>
      </c>
      <c r="F4958" s="7" t="inlineStr">
        <is>
          <t>Office Supplies</t>
        </is>
      </c>
      <c r="G4958" s="7" t="inlineStr">
        <is>
          <t>Printer Ink</t>
        </is>
      </c>
      <c r="H4958" s="7" t="inlineStr">
        <is>
          <t>Consumer</t>
        </is>
      </c>
      <c r="I4958" s="7" t="n">
        <v>12</v>
      </c>
      <c r="J4958" s="10" t="n">
        <v>62.33</v>
      </c>
      <c r="K4958" s="11" t="n">
        <v>0</v>
      </c>
      <c r="L4958" s="10">
        <f>I4958*J4958*(1-K4958)</f>
        <v/>
      </c>
      <c r="M4958" s="10" t="n">
        <v>432</v>
      </c>
      <c r="N4958" s="10">
        <f>L4958-M4958</f>
        <v/>
      </c>
    </row>
    <row r="4959">
      <c r="A4959" s="7" t="inlineStr">
        <is>
          <t>ORD-05898</t>
        </is>
      </c>
      <c r="B4959" s="8" t="n">
        <v>45906</v>
      </c>
      <c r="C4959" s="9" t="n">
        <v>45901</v>
      </c>
      <c r="D4959" s="7" t="n">
        <v>2025</v>
      </c>
      <c r="E4959" s="7" t="inlineStr">
        <is>
          <t>West</t>
        </is>
      </c>
      <c r="F4959" s="7" t="inlineStr">
        <is>
          <t>Office Supplies</t>
        </is>
      </c>
      <c r="G4959" s="7" t="inlineStr">
        <is>
          <t>Printer Ink</t>
        </is>
      </c>
      <c r="H4959" s="7" t="inlineStr">
        <is>
          <t>Consumer</t>
        </is>
      </c>
      <c r="I4959" s="7" t="n">
        <v>6</v>
      </c>
      <c r="J4959" s="10" t="n">
        <v>62.66</v>
      </c>
      <c r="K4959" s="11" t="n">
        <v>0</v>
      </c>
      <c r="L4959" s="10">
        <f>I4959*J4959*(1-K4959)</f>
        <v/>
      </c>
      <c r="M4959" s="10" t="n">
        <v>216</v>
      </c>
      <c r="N4959" s="10">
        <f>L4959-M4959</f>
        <v/>
      </c>
    </row>
    <row r="4960">
      <c r="A4960" s="7" t="inlineStr">
        <is>
          <t>ORD-03820</t>
        </is>
      </c>
      <c r="B4960" s="8" t="n">
        <v>45906</v>
      </c>
      <c r="C4960" s="9" t="n">
        <v>45901</v>
      </c>
      <c r="D4960" s="7" t="n">
        <v>2025</v>
      </c>
      <c r="E4960" s="7" t="inlineStr">
        <is>
          <t>North</t>
        </is>
      </c>
      <c r="F4960" s="7" t="inlineStr">
        <is>
          <t>Office Supplies</t>
        </is>
      </c>
      <c r="G4960" s="7" t="inlineStr">
        <is>
          <t>Stapler</t>
        </is>
      </c>
      <c r="H4960" s="7" t="inlineStr">
        <is>
          <t>Corporate</t>
        </is>
      </c>
      <c r="I4960" s="7" t="n">
        <v>15</v>
      </c>
      <c r="J4960" s="10" t="n">
        <v>14.73</v>
      </c>
      <c r="K4960" s="11" t="n">
        <v>0.2</v>
      </c>
      <c r="L4960" s="10">
        <f>I4960*J4960*(1-K4960)</f>
        <v/>
      </c>
      <c r="M4960" s="10" t="n">
        <v>112.5</v>
      </c>
      <c r="N4960" s="10">
        <f>L4960-M4960</f>
        <v/>
      </c>
    </row>
    <row r="4961">
      <c r="A4961" s="7" t="inlineStr">
        <is>
          <t>ORD-04335</t>
        </is>
      </c>
      <c r="B4961" s="8" t="n">
        <v>45906</v>
      </c>
      <c r="C4961" s="9" t="n">
        <v>45901</v>
      </c>
      <c r="D4961" s="7" t="n">
        <v>2025</v>
      </c>
      <c r="E4961" s="7" t="inlineStr">
        <is>
          <t>West</t>
        </is>
      </c>
      <c r="F4961" s="7" t="inlineStr">
        <is>
          <t>Office Supplies</t>
        </is>
      </c>
      <c r="G4961" s="7" t="inlineStr">
        <is>
          <t>Paper</t>
        </is>
      </c>
      <c r="H4961" s="7" t="inlineStr">
        <is>
          <t>Corporate</t>
        </is>
      </c>
      <c r="I4961" s="7" t="n">
        <v>12</v>
      </c>
      <c r="J4961" s="10" t="n">
        <v>24.25</v>
      </c>
      <c r="K4961" s="11" t="n">
        <v>0.1</v>
      </c>
      <c r="L4961" s="10">
        <f>I4961*J4961*(1-K4961)</f>
        <v/>
      </c>
      <c r="M4961" s="10" t="n">
        <v>150</v>
      </c>
      <c r="N4961" s="10">
        <f>L4961-M4961</f>
        <v/>
      </c>
    </row>
    <row r="4962">
      <c r="A4962" s="7" t="inlineStr">
        <is>
          <t>ORD-02661</t>
        </is>
      </c>
      <c r="B4962" s="8" t="n">
        <v>45906</v>
      </c>
      <c r="C4962" s="9" t="n">
        <v>45901</v>
      </c>
      <c r="D4962" s="7" t="n">
        <v>2025</v>
      </c>
      <c r="E4962" s="7" t="inlineStr">
        <is>
          <t>West</t>
        </is>
      </c>
      <c r="F4962" s="7" t="inlineStr">
        <is>
          <t>Furniture</t>
        </is>
      </c>
      <c r="G4962" s="7" t="inlineStr">
        <is>
          <t>Office Chair</t>
        </is>
      </c>
      <c r="H4962" s="7" t="inlineStr">
        <is>
          <t>Corporate</t>
        </is>
      </c>
      <c r="I4962" s="7" t="n">
        <v>2</v>
      </c>
      <c r="J4962" s="10" t="n">
        <v>220.86</v>
      </c>
      <c r="K4962" s="11" t="n">
        <v>0</v>
      </c>
      <c r="L4962" s="10">
        <f>I4962*J4962*(1-K4962)</f>
        <v/>
      </c>
      <c r="M4962" s="10" t="n">
        <v>360.8</v>
      </c>
      <c r="N4962" s="10">
        <f>L4962-M4962</f>
        <v/>
      </c>
    </row>
    <row r="4963">
      <c r="A4963" s="7" t="inlineStr">
        <is>
          <t>ORD-05022</t>
        </is>
      </c>
      <c r="B4963" s="8" t="n">
        <v>45906</v>
      </c>
      <c r="C4963" s="9" t="n">
        <v>45901</v>
      </c>
      <c r="D4963" s="7" t="n">
        <v>2025</v>
      </c>
      <c r="E4963" s="7" t="inlineStr">
        <is>
          <t>North</t>
        </is>
      </c>
      <c r="F4963" s="7" t="inlineStr">
        <is>
          <t>Office Supplies</t>
        </is>
      </c>
      <c r="G4963" s="7" t="inlineStr">
        <is>
          <t>Paper</t>
        </is>
      </c>
      <c r="H4963" s="7" t="inlineStr">
        <is>
          <t>Consumer</t>
        </is>
      </c>
      <c r="I4963" s="7" t="n">
        <v>12</v>
      </c>
      <c r="J4963" s="10" t="n">
        <v>24.43</v>
      </c>
      <c r="K4963" s="11" t="n">
        <v>0.1</v>
      </c>
      <c r="L4963" s="10">
        <f>I4963*J4963*(1-K4963)</f>
        <v/>
      </c>
      <c r="M4963" s="10" t="n">
        <v>150</v>
      </c>
      <c r="N4963" s="10">
        <f>L4963-M4963</f>
        <v/>
      </c>
    </row>
    <row r="4964">
      <c r="A4964" s="7" t="inlineStr">
        <is>
          <t>ORD-04329</t>
        </is>
      </c>
      <c r="B4964" s="8" t="n">
        <v>45906</v>
      </c>
      <c r="C4964" s="9" t="n">
        <v>45901</v>
      </c>
      <c r="D4964" s="7" t="n">
        <v>2025</v>
      </c>
      <c r="E4964" s="7" t="inlineStr">
        <is>
          <t>East</t>
        </is>
      </c>
      <c r="F4964" s="7" t="inlineStr">
        <is>
          <t>Office Supplies</t>
        </is>
      </c>
      <c r="G4964" s="7" t="inlineStr">
        <is>
          <t>Binder</t>
        </is>
      </c>
      <c r="H4964" s="7" t="inlineStr">
        <is>
          <t>Consumer</t>
        </is>
      </c>
      <c r="I4964" s="7" t="n">
        <v>6</v>
      </c>
      <c r="J4964" s="10" t="n">
        <v>7.97</v>
      </c>
      <c r="K4964" s="11" t="n">
        <v>0.1</v>
      </c>
      <c r="L4964" s="10">
        <f>I4964*J4964*(1-K4964)</f>
        <v/>
      </c>
      <c r="M4964" s="10" t="n">
        <v>19.2</v>
      </c>
      <c r="N4964" s="10">
        <f>L4964-M4964</f>
        <v/>
      </c>
    </row>
    <row r="4965">
      <c r="A4965" s="7" t="inlineStr">
        <is>
          <t>ORD-02769</t>
        </is>
      </c>
      <c r="B4965" s="8" t="n">
        <v>45907</v>
      </c>
      <c r="C4965" s="9" t="n">
        <v>45901</v>
      </c>
      <c r="D4965" s="7" t="n">
        <v>2025</v>
      </c>
      <c r="E4965" s="7" t="inlineStr">
        <is>
          <t>East</t>
        </is>
      </c>
      <c r="F4965" s="7" t="inlineStr">
        <is>
          <t>Technology</t>
        </is>
      </c>
      <c r="G4965" s="7" t="inlineStr">
        <is>
          <t>Smartphone</t>
        </is>
      </c>
      <c r="H4965" s="7" t="inlineStr">
        <is>
          <t>Consumer</t>
        </is>
      </c>
      <c r="I4965" s="7" t="n">
        <v>1</v>
      </c>
      <c r="J4965" s="10" t="n">
        <v>575.25</v>
      </c>
      <c r="K4965" s="11" t="n">
        <v>0</v>
      </c>
      <c r="L4965" s="10">
        <f>I4965*J4965*(1-K4965)</f>
        <v/>
      </c>
      <c r="M4965" s="10" t="n">
        <v>450</v>
      </c>
      <c r="N4965" s="10">
        <f>L4965-M4965</f>
        <v/>
      </c>
    </row>
    <row r="4966">
      <c r="A4966" s="7" t="inlineStr">
        <is>
          <t>ORD-00512</t>
        </is>
      </c>
      <c r="B4966" s="8" t="n">
        <v>45907</v>
      </c>
      <c r="C4966" s="9" t="n">
        <v>45901</v>
      </c>
      <c r="D4966" s="7" t="n">
        <v>2025</v>
      </c>
      <c r="E4966" s="7" t="inlineStr">
        <is>
          <t>West</t>
        </is>
      </c>
      <c r="F4966" s="7" t="inlineStr">
        <is>
          <t>Office Supplies</t>
        </is>
      </c>
      <c r="G4966" s="7" t="inlineStr">
        <is>
          <t>Paper</t>
        </is>
      </c>
      <c r="H4966" s="7" t="inlineStr">
        <is>
          <t>Consumer</t>
        </is>
      </c>
      <c r="I4966" s="7" t="n">
        <v>9</v>
      </c>
      <c r="J4966" s="10" t="n">
        <v>24.16</v>
      </c>
      <c r="K4966" s="11" t="n">
        <v>0.1</v>
      </c>
      <c r="L4966" s="10">
        <f>I4966*J4966*(1-K4966)</f>
        <v/>
      </c>
      <c r="M4966" s="10" t="n">
        <v>112.5</v>
      </c>
      <c r="N4966" s="10">
        <f>L4966-M4966</f>
        <v/>
      </c>
    </row>
    <row r="4967">
      <c r="A4967" s="7" t="inlineStr">
        <is>
          <t>ORD-01786</t>
        </is>
      </c>
      <c r="B4967" s="8" t="n">
        <v>45907</v>
      </c>
      <c r="C4967" s="9" t="n">
        <v>45901</v>
      </c>
      <c r="D4967" s="7" t="n">
        <v>2025</v>
      </c>
      <c r="E4967" s="7" t="inlineStr">
        <is>
          <t>North</t>
        </is>
      </c>
      <c r="F4967" s="7" t="inlineStr">
        <is>
          <t>Furniture</t>
        </is>
      </c>
      <c r="G4967" s="7" t="inlineStr">
        <is>
          <t>Desk</t>
        </is>
      </c>
      <c r="H4967" s="7" t="inlineStr">
        <is>
          <t>Corporate</t>
        </is>
      </c>
      <c r="I4967" s="7" t="n">
        <v>3</v>
      </c>
      <c r="J4967" s="10" t="n">
        <v>459.61</v>
      </c>
      <c r="K4967" s="11" t="n">
        <v>0</v>
      </c>
      <c r="L4967" s="10">
        <f>I4967*J4967*(1-K4967)</f>
        <v/>
      </c>
      <c r="M4967" s="10" t="n">
        <v>1147.5</v>
      </c>
      <c r="N4967" s="10">
        <f>L4967-M4967</f>
        <v/>
      </c>
    </row>
    <row r="4968">
      <c r="A4968" s="7" t="inlineStr">
        <is>
          <t>ORD-00750</t>
        </is>
      </c>
      <c r="B4968" s="8" t="n">
        <v>45907</v>
      </c>
      <c r="C4968" s="9" t="n">
        <v>45901</v>
      </c>
      <c r="D4968" s="7" t="n">
        <v>2025</v>
      </c>
      <c r="E4968" s="7" t="inlineStr">
        <is>
          <t>South</t>
        </is>
      </c>
      <c r="F4968" s="7" t="inlineStr">
        <is>
          <t>Furniture</t>
        </is>
      </c>
      <c r="G4968" s="7" t="inlineStr">
        <is>
          <t>Desk</t>
        </is>
      </c>
      <c r="H4968" s="7" t="inlineStr">
        <is>
          <t>Consumer</t>
        </is>
      </c>
      <c r="I4968" s="7" t="n">
        <v>4</v>
      </c>
      <c r="J4968" s="10" t="n">
        <v>465.85</v>
      </c>
      <c r="K4968" s="11" t="n">
        <v>0.3</v>
      </c>
      <c r="L4968" s="10">
        <f>I4968*J4968*(1-K4968)</f>
        <v/>
      </c>
      <c r="M4968" s="10" t="n">
        <v>1530</v>
      </c>
      <c r="N4968" s="10">
        <f>L4968-M4968</f>
        <v/>
      </c>
    </row>
    <row r="4969">
      <c r="A4969" s="7" t="inlineStr">
        <is>
          <t>ORD-05532</t>
        </is>
      </c>
      <c r="B4969" s="8" t="n">
        <v>45907</v>
      </c>
      <c r="C4969" s="9" t="n">
        <v>45901</v>
      </c>
      <c r="D4969" s="7" t="n">
        <v>2025</v>
      </c>
      <c r="E4969" s="7" t="inlineStr">
        <is>
          <t>West</t>
        </is>
      </c>
      <c r="F4969" s="7" t="inlineStr">
        <is>
          <t>Office Supplies</t>
        </is>
      </c>
      <c r="G4969" s="7" t="inlineStr">
        <is>
          <t>Printer Ink</t>
        </is>
      </c>
      <c r="H4969" s="7" t="inlineStr">
        <is>
          <t>Corporate</t>
        </is>
      </c>
      <c r="I4969" s="7" t="n">
        <v>11</v>
      </c>
      <c r="J4969" s="10" t="n">
        <v>57.15</v>
      </c>
      <c r="K4969" s="11" t="n">
        <v>0</v>
      </c>
      <c r="L4969" s="10">
        <f>I4969*J4969*(1-K4969)</f>
        <v/>
      </c>
      <c r="M4969" s="10" t="n">
        <v>396</v>
      </c>
      <c r="N4969" s="10">
        <f>L4969-M4969</f>
        <v/>
      </c>
    </row>
    <row r="4970">
      <c r="A4970" s="7" t="inlineStr">
        <is>
          <t>ORD-04385</t>
        </is>
      </c>
      <c r="B4970" s="8" t="n">
        <v>45907</v>
      </c>
      <c r="C4970" s="9" t="n">
        <v>45901</v>
      </c>
      <c r="D4970" s="7" t="n">
        <v>2025</v>
      </c>
      <c r="E4970" s="7" t="inlineStr">
        <is>
          <t>South</t>
        </is>
      </c>
      <c r="F4970" s="7" t="inlineStr">
        <is>
          <t>Office Supplies</t>
        </is>
      </c>
      <c r="G4970" s="7" t="inlineStr">
        <is>
          <t>Stapler</t>
        </is>
      </c>
      <c r="H4970" s="7" t="inlineStr">
        <is>
          <t>Consumer</t>
        </is>
      </c>
      <c r="I4970" s="7" t="n">
        <v>12</v>
      </c>
      <c r="J4970" s="10" t="n">
        <v>14.93</v>
      </c>
      <c r="K4970" s="11" t="n">
        <v>0</v>
      </c>
      <c r="L4970" s="10">
        <f>I4970*J4970*(1-K4970)</f>
        <v/>
      </c>
      <c r="M4970" s="10" t="n">
        <v>90</v>
      </c>
      <c r="N4970" s="10">
        <f>L4970-M4970</f>
        <v/>
      </c>
    </row>
    <row r="4971">
      <c r="A4971" s="7" t="inlineStr">
        <is>
          <t>ORD-02054</t>
        </is>
      </c>
      <c r="B4971" s="8" t="n">
        <v>45908</v>
      </c>
      <c r="C4971" s="9" t="n">
        <v>45901</v>
      </c>
      <c r="D4971" s="7" t="n">
        <v>2025</v>
      </c>
      <c r="E4971" s="7" t="inlineStr">
        <is>
          <t>South</t>
        </is>
      </c>
      <c r="F4971" s="7" t="inlineStr">
        <is>
          <t>Technology</t>
        </is>
      </c>
      <c r="G4971" s="7" t="inlineStr">
        <is>
          <t>Smartphone</t>
        </is>
      </c>
      <c r="H4971" s="7" t="inlineStr">
        <is>
          <t>Home Office</t>
        </is>
      </c>
      <c r="I4971" s="7" t="n">
        <v>3</v>
      </c>
      <c r="J4971" s="10" t="n">
        <v>591.03</v>
      </c>
      <c r="K4971" s="11" t="n">
        <v>0.3</v>
      </c>
      <c r="L4971" s="10">
        <f>I4971*J4971*(1-K4971)</f>
        <v/>
      </c>
      <c r="M4971" s="10" t="n">
        <v>1350</v>
      </c>
      <c r="N4971" s="10">
        <f>L4971-M4971</f>
        <v/>
      </c>
    </row>
    <row r="4972">
      <c r="A4972" s="7" t="inlineStr">
        <is>
          <t>ORD-05889</t>
        </is>
      </c>
      <c r="B4972" s="8" t="n">
        <v>45908</v>
      </c>
      <c r="C4972" s="9" t="n">
        <v>45901</v>
      </c>
      <c r="D4972" s="7" t="n">
        <v>2025</v>
      </c>
      <c r="E4972" s="7" t="inlineStr">
        <is>
          <t>South</t>
        </is>
      </c>
      <c r="F4972" s="7" t="inlineStr">
        <is>
          <t>Office Supplies</t>
        </is>
      </c>
      <c r="G4972" s="7" t="inlineStr">
        <is>
          <t>Binder</t>
        </is>
      </c>
      <c r="H4972" s="7" t="inlineStr">
        <is>
          <t>Home Office</t>
        </is>
      </c>
      <c r="I4972" s="7" t="n">
        <v>9</v>
      </c>
      <c r="J4972" s="10" t="n">
        <v>8.07</v>
      </c>
      <c r="K4972" s="11" t="n">
        <v>0</v>
      </c>
      <c r="L4972" s="10">
        <f>I4972*J4972*(1-K4972)</f>
        <v/>
      </c>
      <c r="M4972" s="10" t="n">
        <v>28.8</v>
      </c>
      <c r="N4972" s="10">
        <f>L4972-M4972</f>
        <v/>
      </c>
    </row>
    <row r="4973">
      <c r="A4973" s="7" t="inlineStr">
        <is>
          <t>ORD-04799</t>
        </is>
      </c>
      <c r="B4973" s="8" t="n">
        <v>45908</v>
      </c>
      <c r="C4973" s="9" t="n">
        <v>45901</v>
      </c>
      <c r="D4973" s="7" t="n">
        <v>2025</v>
      </c>
      <c r="E4973" s="7" t="inlineStr">
        <is>
          <t>North</t>
        </is>
      </c>
      <c r="F4973" s="7" t="inlineStr">
        <is>
          <t>Technology</t>
        </is>
      </c>
      <c r="G4973" s="7" t="inlineStr">
        <is>
          <t>Keyboard</t>
        </is>
      </c>
      <c r="H4973" s="7" t="inlineStr">
        <is>
          <t>Consumer</t>
        </is>
      </c>
      <c r="I4973" s="7" t="n">
        <v>3</v>
      </c>
      <c r="J4973" s="10" t="n">
        <v>45.9</v>
      </c>
      <c r="K4973" s="11" t="n">
        <v>0.1</v>
      </c>
      <c r="L4973" s="10">
        <f>I4973*J4973*(1-K4973)</f>
        <v/>
      </c>
      <c r="M4973" s="10" t="n">
        <v>74.25</v>
      </c>
      <c r="N4973" s="10">
        <f>L4973-M4973</f>
        <v/>
      </c>
    </row>
    <row r="4974">
      <c r="A4974" s="7" t="inlineStr">
        <is>
          <t>ORD-02274</t>
        </is>
      </c>
      <c r="B4974" s="8" t="n">
        <v>45908</v>
      </c>
      <c r="C4974" s="9" t="n">
        <v>45901</v>
      </c>
      <c r="D4974" s="7" t="n">
        <v>2025</v>
      </c>
      <c r="E4974" s="7" t="inlineStr">
        <is>
          <t>South</t>
        </is>
      </c>
      <c r="F4974" s="7" t="inlineStr">
        <is>
          <t>Technology</t>
        </is>
      </c>
      <c r="G4974" s="7" t="inlineStr">
        <is>
          <t>Headphones</t>
        </is>
      </c>
      <c r="H4974" s="7" t="inlineStr">
        <is>
          <t>Home Office</t>
        </is>
      </c>
      <c r="I4974" s="7" t="n">
        <v>3</v>
      </c>
      <c r="J4974" s="10" t="n">
        <v>114.73</v>
      </c>
      <c r="K4974" s="11" t="n">
        <v>0.3</v>
      </c>
      <c r="L4974" s="10">
        <f>I4974*J4974*(1-K4974)</f>
        <v/>
      </c>
      <c r="M4974" s="10" t="n">
        <v>216</v>
      </c>
      <c r="N4974" s="10">
        <f>L4974-M4974</f>
        <v/>
      </c>
    </row>
    <row r="4975">
      <c r="A4975" s="7" t="inlineStr">
        <is>
          <t>ORD-03137</t>
        </is>
      </c>
      <c r="B4975" s="8" t="n">
        <v>45908</v>
      </c>
      <c r="C4975" s="9" t="n">
        <v>45901</v>
      </c>
      <c r="D4975" s="7" t="n">
        <v>2025</v>
      </c>
      <c r="E4975" s="7" t="inlineStr">
        <is>
          <t>East</t>
        </is>
      </c>
      <c r="F4975" s="7" t="inlineStr">
        <is>
          <t>Technology</t>
        </is>
      </c>
      <c r="G4975" s="7" t="inlineStr">
        <is>
          <t>Monitor</t>
        </is>
      </c>
      <c r="H4975" s="7" t="inlineStr">
        <is>
          <t>Consumer</t>
        </is>
      </c>
      <c r="I4975" s="7" t="n">
        <v>3</v>
      </c>
      <c r="J4975" s="10" t="n">
        <v>251.23</v>
      </c>
      <c r="K4975" s="11" t="n">
        <v>0.05</v>
      </c>
      <c r="L4975" s="10">
        <f>I4975*J4975*(1-K4975)</f>
        <v/>
      </c>
      <c r="M4975" s="10" t="n">
        <v>540</v>
      </c>
      <c r="N4975" s="10">
        <f>L4975-M4975</f>
        <v/>
      </c>
    </row>
    <row r="4976">
      <c r="A4976" s="7" t="inlineStr">
        <is>
          <t>ORD-01413</t>
        </is>
      </c>
      <c r="B4976" s="8" t="n">
        <v>45908</v>
      </c>
      <c r="C4976" s="9" t="n">
        <v>45901</v>
      </c>
      <c r="D4976" s="7" t="n">
        <v>2025</v>
      </c>
      <c r="E4976" s="7" t="inlineStr">
        <is>
          <t>West</t>
        </is>
      </c>
      <c r="F4976" s="7" t="inlineStr">
        <is>
          <t>Office Supplies</t>
        </is>
      </c>
      <c r="G4976" s="7" t="inlineStr">
        <is>
          <t>Paper</t>
        </is>
      </c>
      <c r="H4976" s="7" t="inlineStr">
        <is>
          <t>Corporate</t>
        </is>
      </c>
      <c r="I4976" s="7" t="n">
        <v>12</v>
      </c>
      <c r="J4976" s="10" t="n">
        <v>25.78</v>
      </c>
      <c r="K4976" s="11" t="n">
        <v>0</v>
      </c>
      <c r="L4976" s="10">
        <f>I4976*J4976*(1-K4976)</f>
        <v/>
      </c>
      <c r="M4976" s="10" t="n">
        <v>150</v>
      </c>
      <c r="N4976" s="10">
        <f>L4976-M4976</f>
        <v/>
      </c>
    </row>
    <row r="4977">
      <c r="A4977" s="7" t="inlineStr">
        <is>
          <t>ORD-02001</t>
        </is>
      </c>
      <c r="B4977" s="8" t="n">
        <v>45908</v>
      </c>
      <c r="C4977" s="9" t="n">
        <v>45901</v>
      </c>
      <c r="D4977" s="7" t="n">
        <v>2025</v>
      </c>
      <c r="E4977" s="7" t="inlineStr">
        <is>
          <t>East</t>
        </is>
      </c>
      <c r="F4977" s="7" t="inlineStr">
        <is>
          <t>Office Supplies</t>
        </is>
      </c>
      <c r="G4977" s="7" t="inlineStr">
        <is>
          <t>Pens</t>
        </is>
      </c>
      <c r="H4977" s="7" t="inlineStr">
        <is>
          <t>Corporate</t>
        </is>
      </c>
      <c r="I4977" s="7" t="n">
        <v>3</v>
      </c>
      <c r="J4977" s="10" t="n">
        <v>11.57</v>
      </c>
      <c r="K4977" s="11" t="n">
        <v>0.1</v>
      </c>
      <c r="L4977" s="10">
        <f>I4977*J4977*(1-K4977)</f>
        <v/>
      </c>
      <c r="M4977" s="10" t="n">
        <v>16.2</v>
      </c>
      <c r="N4977" s="10">
        <f>L4977-M4977</f>
        <v/>
      </c>
    </row>
    <row r="4978">
      <c r="A4978" s="7" t="inlineStr">
        <is>
          <t>ORD-05140</t>
        </is>
      </c>
      <c r="B4978" s="8" t="n">
        <v>45908</v>
      </c>
      <c r="C4978" s="9" t="n">
        <v>45901</v>
      </c>
      <c r="D4978" s="7" t="n">
        <v>2025</v>
      </c>
      <c r="E4978" s="7" t="inlineStr">
        <is>
          <t>West</t>
        </is>
      </c>
      <c r="F4978" s="7" t="inlineStr">
        <is>
          <t>Technology</t>
        </is>
      </c>
      <c r="G4978" s="7" t="inlineStr">
        <is>
          <t>Monitor</t>
        </is>
      </c>
      <c r="H4978" s="7" t="inlineStr">
        <is>
          <t>Consumer</t>
        </is>
      </c>
      <c r="I4978" s="7" t="n">
        <v>1</v>
      </c>
      <c r="J4978" s="10" t="n">
        <v>240.86</v>
      </c>
      <c r="K4978" s="11" t="n">
        <v>0</v>
      </c>
      <c r="L4978" s="10">
        <f>I4978*J4978*(1-K4978)</f>
        <v/>
      </c>
      <c r="M4978" s="10" t="n">
        <v>180</v>
      </c>
      <c r="N4978" s="10">
        <f>L4978-M4978</f>
        <v/>
      </c>
    </row>
    <row r="4979">
      <c r="A4979" s="7" t="inlineStr">
        <is>
          <t>ORD-04451</t>
        </is>
      </c>
      <c r="B4979" s="8" t="n">
        <v>45908</v>
      </c>
      <c r="C4979" s="9" t="n">
        <v>45901</v>
      </c>
      <c r="D4979" s="7" t="n">
        <v>2025</v>
      </c>
      <c r="E4979" s="7" t="inlineStr">
        <is>
          <t>East</t>
        </is>
      </c>
      <c r="F4979" s="7" t="inlineStr">
        <is>
          <t>Technology</t>
        </is>
      </c>
      <c r="G4979" s="7" t="inlineStr">
        <is>
          <t>Keyboard</t>
        </is>
      </c>
      <c r="H4979" s="7" t="inlineStr">
        <is>
          <t>Corporate</t>
        </is>
      </c>
      <c r="I4979" s="7" t="n">
        <v>3</v>
      </c>
      <c r="J4979" s="10" t="n">
        <v>44.25</v>
      </c>
      <c r="K4979" s="11" t="n">
        <v>0.05</v>
      </c>
      <c r="L4979" s="10">
        <f>I4979*J4979*(1-K4979)</f>
        <v/>
      </c>
      <c r="M4979" s="10" t="n">
        <v>74.25</v>
      </c>
      <c r="N4979" s="10">
        <f>L4979-M4979</f>
        <v/>
      </c>
    </row>
    <row r="4980">
      <c r="A4980" s="7" t="inlineStr">
        <is>
          <t>ORD-00295</t>
        </is>
      </c>
      <c r="B4980" s="8" t="n">
        <v>45909</v>
      </c>
      <c r="C4980" s="9" t="n">
        <v>45901</v>
      </c>
      <c r="D4980" s="7" t="n">
        <v>2025</v>
      </c>
      <c r="E4980" s="7" t="inlineStr">
        <is>
          <t>West</t>
        </is>
      </c>
      <c r="F4980" s="7" t="inlineStr">
        <is>
          <t>Office Supplies</t>
        </is>
      </c>
      <c r="G4980" s="7" t="inlineStr">
        <is>
          <t>Stapler</t>
        </is>
      </c>
      <c r="H4980" s="7" t="inlineStr">
        <is>
          <t>Corporate</t>
        </is>
      </c>
      <c r="I4980" s="7" t="n">
        <v>5</v>
      </c>
      <c r="J4980" s="10" t="n">
        <v>15.28</v>
      </c>
      <c r="K4980" s="11" t="n">
        <v>0.05</v>
      </c>
      <c r="L4980" s="10">
        <f>I4980*J4980*(1-K4980)</f>
        <v/>
      </c>
      <c r="M4980" s="10" t="n">
        <v>37.5</v>
      </c>
      <c r="N4980" s="10">
        <f>L4980-M4980</f>
        <v/>
      </c>
    </row>
    <row r="4981">
      <c r="A4981" s="7" t="inlineStr">
        <is>
          <t>ORD-02140</t>
        </is>
      </c>
      <c r="B4981" s="8" t="n">
        <v>45909</v>
      </c>
      <c r="C4981" s="9" t="n">
        <v>45901</v>
      </c>
      <c r="D4981" s="7" t="n">
        <v>2025</v>
      </c>
      <c r="E4981" s="7" t="inlineStr">
        <is>
          <t>East</t>
        </is>
      </c>
      <c r="F4981" s="7" t="inlineStr">
        <is>
          <t>Office Supplies</t>
        </is>
      </c>
      <c r="G4981" s="7" t="inlineStr">
        <is>
          <t>Paper</t>
        </is>
      </c>
      <c r="H4981" s="7" t="inlineStr">
        <is>
          <t>Corporate</t>
        </is>
      </c>
      <c r="I4981" s="7" t="n">
        <v>4</v>
      </c>
      <c r="J4981" s="10" t="n">
        <v>25.61</v>
      </c>
      <c r="K4981" s="11" t="n">
        <v>0</v>
      </c>
      <c r="L4981" s="10">
        <f>I4981*J4981*(1-K4981)</f>
        <v/>
      </c>
      <c r="M4981" s="10" t="n">
        <v>50</v>
      </c>
      <c r="N4981" s="10">
        <f>L4981-M4981</f>
        <v/>
      </c>
    </row>
    <row r="4982">
      <c r="A4982" s="7" t="inlineStr">
        <is>
          <t>ORD-00563</t>
        </is>
      </c>
      <c r="B4982" s="8" t="n">
        <v>45909</v>
      </c>
      <c r="C4982" s="9" t="n">
        <v>45901</v>
      </c>
      <c r="D4982" s="7" t="n">
        <v>2025</v>
      </c>
      <c r="E4982" s="7" t="inlineStr">
        <is>
          <t>West</t>
        </is>
      </c>
      <c r="F4982" s="7" t="inlineStr">
        <is>
          <t>Furniture</t>
        </is>
      </c>
      <c r="G4982" s="7" t="inlineStr">
        <is>
          <t>Office Chair</t>
        </is>
      </c>
      <c r="H4982" s="7" t="inlineStr">
        <is>
          <t>Corporate</t>
        </is>
      </c>
      <c r="I4982" s="7" t="n">
        <v>1</v>
      </c>
      <c r="J4982" s="10" t="n">
        <v>224.6</v>
      </c>
      <c r="K4982" s="11" t="n">
        <v>0.2</v>
      </c>
      <c r="L4982" s="10">
        <f>I4982*J4982*(1-K4982)</f>
        <v/>
      </c>
      <c r="M4982" s="10" t="n">
        <v>180.4</v>
      </c>
      <c r="N4982" s="10">
        <f>L4982-M4982</f>
        <v/>
      </c>
    </row>
    <row r="4983">
      <c r="A4983" s="7" t="inlineStr">
        <is>
          <t>ORD-02742</t>
        </is>
      </c>
      <c r="B4983" s="8" t="n">
        <v>45910</v>
      </c>
      <c r="C4983" s="9" t="n">
        <v>45901</v>
      </c>
      <c r="D4983" s="7" t="n">
        <v>2025</v>
      </c>
      <c r="E4983" s="7" t="inlineStr">
        <is>
          <t>South</t>
        </is>
      </c>
      <c r="F4983" s="7" t="inlineStr">
        <is>
          <t>Office Supplies</t>
        </is>
      </c>
      <c r="G4983" s="7" t="inlineStr">
        <is>
          <t>Stapler</t>
        </is>
      </c>
      <c r="H4983" s="7" t="inlineStr">
        <is>
          <t>Corporate</t>
        </is>
      </c>
      <c r="I4983" s="7" t="n">
        <v>13</v>
      </c>
      <c r="J4983" s="10" t="n">
        <v>15.01</v>
      </c>
      <c r="K4983" s="11" t="n">
        <v>0.1</v>
      </c>
      <c r="L4983" s="10">
        <f>I4983*J4983*(1-K4983)</f>
        <v/>
      </c>
      <c r="M4983" s="10" t="n">
        <v>97.5</v>
      </c>
      <c r="N4983" s="10">
        <f>L4983-M4983</f>
        <v/>
      </c>
    </row>
    <row r="4984">
      <c r="A4984" s="7" t="inlineStr">
        <is>
          <t>ORD-04886</t>
        </is>
      </c>
      <c r="B4984" s="8" t="n">
        <v>45910</v>
      </c>
      <c r="C4984" s="9" t="n">
        <v>45901</v>
      </c>
      <c r="D4984" s="7" t="n">
        <v>2025</v>
      </c>
      <c r="E4984" s="7" t="inlineStr">
        <is>
          <t>West</t>
        </is>
      </c>
      <c r="F4984" s="7" t="inlineStr">
        <is>
          <t>Office Supplies</t>
        </is>
      </c>
      <c r="G4984" s="7" t="inlineStr">
        <is>
          <t>Paper</t>
        </is>
      </c>
      <c r="H4984" s="7" t="inlineStr">
        <is>
          <t>Consumer</t>
        </is>
      </c>
      <c r="I4984" s="7" t="n">
        <v>13</v>
      </c>
      <c r="J4984" s="10" t="n">
        <v>24.7</v>
      </c>
      <c r="K4984" s="11" t="n">
        <v>0.1</v>
      </c>
      <c r="L4984" s="10">
        <f>I4984*J4984*(1-K4984)</f>
        <v/>
      </c>
      <c r="M4984" s="10" t="n">
        <v>162.5</v>
      </c>
      <c r="N4984" s="10">
        <f>L4984-M4984</f>
        <v/>
      </c>
    </row>
    <row r="4985">
      <c r="A4985" s="7" t="inlineStr">
        <is>
          <t>ORD-04651</t>
        </is>
      </c>
      <c r="B4985" s="8" t="n">
        <v>45910</v>
      </c>
      <c r="C4985" s="9" t="n">
        <v>45901</v>
      </c>
      <c r="D4985" s="7" t="n">
        <v>2025</v>
      </c>
      <c r="E4985" s="7" t="inlineStr">
        <is>
          <t>South</t>
        </is>
      </c>
      <c r="F4985" s="7" t="inlineStr">
        <is>
          <t>Office Supplies</t>
        </is>
      </c>
      <c r="G4985" s="7" t="inlineStr">
        <is>
          <t>Pens</t>
        </is>
      </c>
      <c r="H4985" s="7" t="inlineStr">
        <is>
          <t>Consumer</t>
        </is>
      </c>
      <c r="I4985" s="7" t="n">
        <v>2</v>
      </c>
      <c r="J4985" s="10" t="n">
        <v>11.96</v>
      </c>
      <c r="K4985" s="11" t="n">
        <v>0</v>
      </c>
      <c r="L4985" s="10">
        <f>I4985*J4985*(1-K4985)</f>
        <v/>
      </c>
      <c r="M4985" s="10" t="n">
        <v>10.8</v>
      </c>
      <c r="N4985" s="10">
        <f>L4985-M4985</f>
        <v/>
      </c>
    </row>
    <row r="4986">
      <c r="A4986" s="7" t="inlineStr">
        <is>
          <t>ORD-00942</t>
        </is>
      </c>
      <c r="B4986" s="8" t="n">
        <v>45911</v>
      </c>
      <c r="C4986" s="9" t="n">
        <v>45901</v>
      </c>
      <c r="D4986" s="7" t="n">
        <v>2025</v>
      </c>
      <c r="E4986" s="7" t="inlineStr">
        <is>
          <t>East</t>
        </is>
      </c>
      <c r="F4986" s="7" t="inlineStr">
        <is>
          <t>Technology</t>
        </is>
      </c>
      <c r="G4986" s="7" t="inlineStr">
        <is>
          <t>Monitor</t>
        </is>
      </c>
      <c r="H4986" s="7" t="inlineStr">
        <is>
          <t>Consumer</t>
        </is>
      </c>
      <c r="I4986" s="7" t="n">
        <v>1</v>
      </c>
      <c r="J4986" s="10" t="n">
        <v>248.07</v>
      </c>
      <c r="K4986" s="11" t="n">
        <v>0</v>
      </c>
      <c r="L4986" s="10">
        <f>I4986*J4986*(1-K4986)</f>
        <v/>
      </c>
      <c r="M4986" s="10" t="n">
        <v>180</v>
      </c>
      <c r="N4986" s="10">
        <f>L4986-M4986</f>
        <v/>
      </c>
    </row>
    <row r="4987">
      <c r="A4987" s="7" t="inlineStr">
        <is>
          <t>ORD-02650</t>
        </is>
      </c>
      <c r="B4987" s="8" t="n">
        <v>45911</v>
      </c>
      <c r="C4987" s="9" t="n">
        <v>45901</v>
      </c>
      <c r="D4987" s="7" t="n">
        <v>2025</v>
      </c>
      <c r="E4987" s="7" t="inlineStr">
        <is>
          <t>South</t>
        </is>
      </c>
      <c r="F4987" s="7" t="inlineStr">
        <is>
          <t>Technology</t>
        </is>
      </c>
      <c r="G4987" s="7" t="inlineStr">
        <is>
          <t>Laptop</t>
        </is>
      </c>
      <c r="H4987" s="7" t="inlineStr">
        <is>
          <t>Corporate</t>
        </is>
      </c>
      <c r="I4987" s="7" t="n">
        <v>3</v>
      </c>
      <c r="J4987" s="10" t="n">
        <v>926.1799999999999</v>
      </c>
      <c r="K4987" s="11" t="n">
        <v>0.2</v>
      </c>
      <c r="L4987" s="10">
        <f>I4987*J4987*(1-K4987)</f>
        <v/>
      </c>
      <c r="M4987" s="10" t="n">
        <v>2106</v>
      </c>
      <c r="N4987" s="10">
        <f>L4987-M4987</f>
        <v/>
      </c>
    </row>
    <row r="4988">
      <c r="A4988" s="7" t="inlineStr">
        <is>
          <t>ORD-04255</t>
        </is>
      </c>
      <c r="B4988" s="8" t="n">
        <v>45911</v>
      </c>
      <c r="C4988" s="9" t="n">
        <v>45901</v>
      </c>
      <c r="D4988" s="7" t="n">
        <v>2025</v>
      </c>
      <c r="E4988" s="7" t="inlineStr">
        <is>
          <t>South</t>
        </is>
      </c>
      <c r="F4988" s="7" t="inlineStr">
        <is>
          <t>Office Supplies</t>
        </is>
      </c>
      <c r="G4988" s="7" t="inlineStr">
        <is>
          <t>Binder</t>
        </is>
      </c>
      <c r="H4988" s="7" t="inlineStr">
        <is>
          <t>Consumer</t>
        </is>
      </c>
      <c r="I4988" s="7" t="n">
        <v>3</v>
      </c>
      <c r="J4988" s="10" t="n">
        <v>8.24</v>
      </c>
      <c r="K4988" s="11" t="n">
        <v>0.2</v>
      </c>
      <c r="L4988" s="10">
        <f>I4988*J4988*(1-K4988)</f>
        <v/>
      </c>
      <c r="M4988" s="10" t="n">
        <v>9.6</v>
      </c>
      <c r="N4988" s="10">
        <f>L4988-M4988</f>
        <v/>
      </c>
    </row>
    <row r="4989">
      <c r="A4989" s="7" t="inlineStr">
        <is>
          <t>ORD-02795</t>
        </is>
      </c>
      <c r="B4989" s="8" t="n">
        <v>45911</v>
      </c>
      <c r="C4989" s="9" t="n">
        <v>45901</v>
      </c>
      <c r="D4989" s="7" t="n">
        <v>2025</v>
      </c>
      <c r="E4989" s="7" t="inlineStr">
        <is>
          <t>East</t>
        </is>
      </c>
      <c r="F4989" s="7" t="inlineStr">
        <is>
          <t>Technology</t>
        </is>
      </c>
      <c r="G4989" s="7" t="inlineStr">
        <is>
          <t>Smartphone</t>
        </is>
      </c>
      <c r="H4989" s="7" t="inlineStr">
        <is>
          <t>Consumer</t>
        </is>
      </c>
      <c r="I4989" s="7" t="n">
        <v>2</v>
      </c>
      <c r="J4989" s="10" t="n">
        <v>607.46</v>
      </c>
      <c r="K4989" s="11" t="n">
        <v>0.05</v>
      </c>
      <c r="L4989" s="10">
        <f>I4989*J4989*(1-K4989)</f>
        <v/>
      </c>
      <c r="M4989" s="10" t="n">
        <v>900</v>
      </c>
      <c r="N4989" s="10">
        <f>L4989-M4989</f>
        <v/>
      </c>
    </row>
    <row r="4990">
      <c r="A4990" s="7" t="inlineStr">
        <is>
          <t>ORD-01999</t>
        </is>
      </c>
      <c r="B4990" s="8" t="n">
        <v>45911</v>
      </c>
      <c r="C4990" s="9" t="n">
        <v>45901</v>
      </c>
      <c r="D4990" s="7" t="n">
        <v>2025</v>
      </c>
      <c r="E4990" s="7" t="inlineStr">
        <is>
          <t>West</t>
        </is>
      </c>
      <c r="F4990" s="7" t="inlineStr">
        <is>
          <t>Office Supplies</t>
        </is>
      </c>
      <c r="G4990" s="7" t="inlineStr">
        <is>
          <t>Binder</t>
        </is>
      </c>
      <c r="H4990" s="7" t="inlineStr">
        <is>
          <t>Consumer</t>
        </is>
      </c>
      <c r="I4990" s="7" t="n">
        <v>6</v>
      </c>
      <c r="J4990" s="10" t="n">
        <v>7.82</v>
      </c>
      <c r="K4990" s="11" t="n">
        <v>0.05</v>
      </c>
      <c r="L4990" s="10">
        <f>I4990*J4990*(1-K4990)</f>
        <v/>
      </c>
      <c r="M4990" s="10" t="n">
        <v>19.2</v>
      </c>
      <c r="N4990" s="10">
        <f>L4990-M4990</f>
        <v/>
      </c>
    </row>
    <row r="4991">
      <c r="A4991" s="7" t="inlineStr">
        <is>
          <t>ORD-01018</t>
        </is>
      </c>
      <c r="B4991" s="8" t="n">
        <v>45911</v>
      </c>
      <c r="C4991" s="9" t="n">
        <v>45901</v>
      </c>
      <c r="D4991" s="7" t="n">
        <v>2025</v>
      </c>
      <c r="E4991" s="7" t="inlineStr">
        <is>
          <t>West</t>
        </is>
      </c>
      <c r="F4991" s="7" t="inlineStr">
        <is>
          <t>Furniture</t>
        </is>
      </c>
      <c r="G4991" s="7" t="inlineStr">
        <is>
          <t>Office Chair</t>
        </is>
      </c>
      <c r="H4991" s="7" t="inlineStr">
        <is>
          <t>Consumer</t>
        </is>
      </c>
      <c r="I4991" s="7" t="n">
        <v>4</v>
      </c>
      <c r="J4991" s="10" t="n">
        <v>211.86</v>
      </c>
      <c r="K4991" s="11" t="n">
        <v>0</v>
      </c>
      <c r="L4991" s="10">
        <f>I4991*J4991*(1-K4991)</f>
        <v/>
      </c>
      <c r="M4991" s="10" t="n">
        <v>721.6</v>
      </c>
      <c r="N4991" s="10">
        <f>L4991-M4991</f>
        <v/>
      </c>
    </row>
    <row r="4992">
      <c r="A4992" s="7" t="inlineStr">
        <is>
          <t>ORD-05822</t>
        </is>
      </c>
      <c r="B4992" s="8" t="n">
        <v>45911</v>
      </c>
      <c r="C4992" s="9" t="n">
        <v>45901</v>
      </c>
      <c r="D4992" s="7" t="n">
        <v>2025</v>
      </c>
      <c r="E4992" s="7" t="inlineStr">
        <is>
          <t>East</t>
        </is>
      </c>
      <c r="F4992" s="7" t="inlineStr">
        <is>
          <t>Office Supplies</t>
        </is>
      </c>
      <c r="G4992" s="7" t="inlineStr">
        <is>
          <t>Paper</t>
        </is>
      </c>
      <c r="H4992" s="7" t="inlineStr">
        <is>
          <t>Consumer</t>
        </is>
      </c>
      <c r="I4992" s="7" t="n">
        <v>10</v>
      </c>
      <c r="J4992" s="10" t="n">
        <v>24.43</v>
      </c>
      <c r="K4992" s="11" t="n">
        <v>0</v>
      </c>
      <c r="L4992" s="10">
        <f>I4992*J4992*(1-K4992)</f>
        <v/>
      </c>
      <c r="M4992" s="10" t="n">
        <v>125</v>
      </c>
      <c r="N4992" s="10">
        <f>L4992-M4992</f>
        <v/>
      </c>
    </row>
    <row r="4993">
      <c r="A4993" s="7" t="inlineStr">
        <is>
          <t>ORD-00922</t>
        </is>
      </c>
      <c r="B4993" s="8" t="n">
        <v>45911</v>
      </c>
      <c r="C4993" s="9" t="n">
        <v>45901</v>
      </c>
      <c r="D4993" s="7" t="n">
        <v>2025</v>
      </c>
      <c r="E4993" s="7" t="inlineStr">
        <is>
          <t>South</t>
        </is>
      </c>
      <c r="F4993" s="7" t="inlineStr">
        <is>
          <t>Technology</t>
        </is>
      </c>
      <c r="G4993" s="7" t="inlineStr">
        <is>
          <t>Smartphone</t>
        </is>
      </c>
      <c r="H4993" s="7" t="inlineStr">
        <is>
          <t>Home Office</t>
        </is>
      </c>
      <c r="I4993" s="7" t="n">
        <v>2</v>
      </c>
      <c r="J4993" s="10" t="n">
        <v>622.52</v>
      </c>
      <c r="K4993" s="11" t="n">
        <v>0.2</v>
      </c>
      <c r="L4993" s="10">
        <f>I4993*J4993*(1-K4993)</f>
        <v/>
      </c>
      <c r="M4993" s="10" t="n">
        <v>900</v>
      </c>
      <c r="N4993" s="10">
        <f>L4993-M4993</f>
        <v/>
      </c>
    </row>
    <row r="4994">
      <c r="A4994" s="7" t="inlineStr">
        <is>
          <t>ORD-02381</t>
        </is>
      </c>
      <c r="B4994" s="8" t="n">
        <v>45912</v>
      </c>
      <c r="C4994" s="9" t="n">
        <v>45901</v>
      </c>
      <c r="D4994" s="7" t="n">
        <v>2025</v>
      </c>
      <c r="E4994" s="7" t="inlineStr">
        <is>
          <t>East</t>
        </is>
      </c>
      <c r="F4994" s="7" t="inlineStr">
        <is>
          <t>Office Supplies</t>
        </is>
      </c>
      <c r="G4994" s="7" t="inlineStr">
        <is>
          <t>Binder</t>
        </is>
      </c>
      <c r="H4994" s="7" t="inlineStr">
        <is>
          <t>Corporate</t>
        </is>
      </c>
      <c r="I4994" s="7" t="n">
        <v>15</v>
      </c>
      <c r="J4994" s="10" t="n">
        <v>7.93</v>
      </c>
      <c r="K4994" s="11" t="n">
        <v>0.05</v>
      </c>
      <c r="L4994" s="10">
        <f>I4994*J4994*(1-K4994)</f>
        <v/>
      </c>
      <c r="M4994" s="10" t="n">
        <v>48</v>
      </c>
      <c r="N4994" s="10">
        <f>L4994-M4994</f>
        <v/>
      </c>
    </row>
    <row r="4995">
      <c r="A4995" s="7" t="inlineStr">
        <is>
          <t>ORD-05894</t>
        </is>
      </c>
      <c r="B4995" s="8" t="n">
        <v>45912</v>
      </c>
      <c r="C4995" s="9" t="n">
        <v>45901</v>
      </c>
      <c r="D4995" s="7" t="n">
        <v>2025</v>
      </c>
      <c r="E4995" s="7" t="inlineStr">
        <is>
          <t>South</t>
        </is>
      </c>
      <c r="F4995" s="7" t="inlineStr">
        <is>
          <t>Office Supplies</t>
        </is>
      </c>
      <c r="G4995" s="7" t="inlineStr">
        <is>
          <t>Paper</t>
        </is>
      </c>
      <c r="H4995" s="7" t="inlineStr">
        <is>
          <t>Consumer</t>
        </is>
      </c>
      <c r="I4995" s="7" t="n">
        <v>7</v>
      </c>
      <c r="J4995" s="10" t="n">
        <v>25.67</v>
      </c>
      <c r="K4995" s="11" t="n">
        <v>0.3</v>
      </c>
      <c r="L4995" s="10">
        <f>I4995*J4995*(1-K4995)</f>
        <v/>
      </c>
      <c r="M4995" s="10" t="n">
        <v>87.5</v>
      </c>
      <c r="N4995" s="10">
        <f>L4995-M4995</f>
        <v/>
      </c>
    </row>
    <row r="4996">
      <c r="A4996" s="7" t="inlineStr">
        <is>
          <t>ORD-03326</t>
        </is>
      </c>
      <c r="B4996" s="8" t="n">
        <v>45912</v>
      </c>
      <c r="C4996" s="9" t="n">
        <v>45901</v>
      </c>
      <c r="D4996" s="7" t="n">
        <v>2025</v>
      </c>
      <c r="E4996" s="7" t="inlineStr">
        <is>
          <t>East</t>
        </is>
      </c>
      <c r="F4996" s="7" t="inlineStr">
        <is>
          <t>Office Supplies</t>
        </is>
      </c>
      <c r="G4996" s="7" t="inlineStr">
        <is>
          <t>Pens</t>
        </is>
      </c>
      <c r="H4996" s="7" t="inlineStr">
        <is>
          <t>Consumer</t>
        </is>
      </c>
      <c r="I4996" s="7" t="n">
        <v>11</v>
      </c>
      <c r="J4996" s="10" t="n">
        <v>11.75</v>
      </c>
      <c r="K4996" s="11" t="n">
        <v>0</v>
      </c>
      <c r="L4996" s="10">
        <f>I4996*J4996*(1-K4996)</f>
        <v/>
      </c>
      <c r="M4996" s="10" t="n">
        <v>59.4</v>
      </c>
      <c r="N4996" s="10">
        <f>L4996-M4996</f>
        <v/>
      </c>
    </row>
    <row r="4997">
      <c r="A4997" s="7" t="inlineStr">
        <is>
          <t>ORD-04038</t>
        </is>
      </c>
      <c r="B4997" s="8" t="n">
        <v>45912</v>
      </c>
      <c r="C4997" s="9" t="n">
        <v>45901</v>
      </c>
      <c r="D4997" s="7" t="n">
        <v>2025</v>
      </c>
      <c r="E4997" s="7" t="inlineStr">
        <is>
          <t>South</t>
        </is>
      </c>
      <c r="F4997" s="7" t="inlineStr">
        <is>
          <t>Office Supplies</t>
        </is>
      </c>
      <c r="G4997" s="7" t="inlineStr">
        <is>
          <t>Printer Ink</t>
        </is>
      </c>
      <c r="H4997" s="7" t="inlineStr">
        <is>
          <t>Consumer</t>
        </is>
      </c>
      <c r="I4997" s="7" t="n">
        <v>8</v>
      </c>
      <c r="J4997" s="10" t="n">
        <v>59.68</v>
      </c>
      <c r="K4997" s="11" t="n">
        <v>0</v>
      </c>
      <c r="L4997" s="10">
        <f>I4997*J4997*(1-K4997)</f>
        <v/>
      </c>
      <c r="M4997" s="10" t="n">
        <v>288</v>
      </c>
      <c r="N4997" s="10">
        <f>L4997-M4997</f>
        <v/>
      </c>
    </row>
    <row r="4998">
      <c r="A4998" s="7" t="inlineStr">
        <is>
          <t>ORD-01658</t>
        </is>
      </c>
      <c r="B4998" s="8" t="n">
        <v>45912</v>
      </c>
      <c r="C4998" s="9" t="n">
        <v>45901</v>
      </c>
      <c r="D4998" s="7" t="n">
        <v>2025</v>
      </c>
      <c r="E4998" s="7" t="inlineStr">
        <is>
          <t>South</t>
        </is>
      </c>
      <c r="F4998" s="7" t="inlineStr">
        <is>
          <t>Technology</t>
        </is>
      </c>
      <c r="G4998" s="7" t="inlineStr">
        <is>
          <t>Monitor</t>
        </is>
      </c>
      <c r="H4998" s="7" t="inlineStr">
        <is>
          <t>Consumer</t>
        </is>
      </c>
      <c r="I4998" s="7" t="n">
        <v>1</v>
      </c>
      <c r="J4998" s="10" t="n">
        <v>260.15</v>
      </c>
      <c r="K4998" s="11" t="n">
        <v>0.1</v>
      </c>
      <c r="L4998" s="10">
        <f>I4998*J4998*(1-K4998)</f>
        <v/>
      </c>
      <c r="M4998" s="10" t="n">
        <v>180</v>
      </c>
      <c r="N4998" s="10">
        <f>L4998-M4998</f>
        <v/>
      </c>
    </row>
    <row r="4999">
      <c r="A4999" s="7" t="inlineStr">
        <is>
          <t>ORD-03328</t>
        </is>
      </c>
      <c r="B4999" s="8" t="n">
        <v>45913</v>
      </c>
      <c r="C4999" s="9" t="n">
        <v>45901</v>
      </c>
      <c r="D4999" s="7" t="n">
        <v>2025</v>
      </c>
      <c r="E4999" s="7" t="inlineStr">
        <is>
          <t>West</t>
        </is>
      </c>
      <c r="F4999" s="7" t="inlineStr">
        <is>
          <t>Office Supplies</t>
        </is>
      </c>
      <c r="G4999" s="7" t="inlineStr">
        <is>
          <t>Pens</t>
        </is>
      </c>
      <c r="H4999" s="7" t="inlineStr">
        <is>
          <t>Consumer</t>
        </is>
      </c>
      <c r="I4999" s="7" t="n">
        <v>13</v>
      </c>
      <c r="J4999" s="10" t="n">
        <v>11.4</v>
      </c>
      <c r="K4999" s="11" t="n">
        <v>0.05</v>
      </c>
      <c r="L4999" s="10">
        <f>I4999*J4999*(1-K4999)</f>
        <v/>
      </c>
      <c r="M4999" s="10" t="n">
        <v>70.2</v>
      </c>
      <c r="N4999" s="10">
        <f>L4999-M4999</f>
        <v/>
      </c>
    </row>
    <row r="5000">
      <c r="A5000" s="7" t="inlineStr">
        <is>
          <t>ORD-04575</t>
        </is>
      </c>
      <c r="B5000" s="8" t="n">
        <v>45913</v>
      </c>
      <c r="C5000" s="9" t="n">
        <v>45901</v>
      </c>
      <c r="D5000" s="7" t="n">
        <v>2025</v>
      </c>
      <c r="E5000" s="7" t="inlineStr">
        <is>
          <t>South</t>
        </is>
      </c>
      <c r="F5000" s="7" t="inlineStr">
        <is>
          <t>Office Supplies</t>
        </is>
      </c>
      <c r="G5000" s="7" t="inlineStr">
        <is>
          <t>Pens</t>
        </is>
      </c>
      <c r="H5000" s="7" t="inlineStr">
        <is>
          <t>Home Office</t>
        </is>
      </c>
      <c r="I5000" s="7" t="n">
        <v>14</v>
      </c>
      <c r="J5000" s="10" t="n">
        <v>11.84</v>
      </c>
      <c r="K5000" s="11" t="n">
        <v>0</v>
      </c>
      <c r="L5000" s="10">
        <f>I5000*J5000*(1-K5000)</f>
        <v/>
      </c>
      <c r="M5000" s="10" t="n">
        <v>75.59999999999999</v>
      </c>
      <c r="N5000" s="10">
        <f>L5000-M5000</f>
        <v/>
      </c>
    </row>
    <row r="5001">
      <c r="A5001" s="7" t="inlineStr">
        <is>
          <t>ORD-01667</t>
        </is>
      </c>
      <c r="B5001" s="8" t="n">
        <v>45913</v>
      </c>
      <c r="C5001" s="9" t="n">
        <v>45901</v>
      </c>
      <c r="D5001" s="7" t="n">
        <v>2025</v>
      </c>
      <c r="E5001" s="7" t="inlineStr">
        <is>
          <t>South</t>
        </is>
      </c>
      <c r="F5001" s="7" t="inlineStr">
        <is>
          <t>Office Supplies</t>
        </is>
      </c>
      <c r="G5001" s="7" t="inlineStr">
        <is>
          <t>Stapler</t>
        </is>
      </c>
      <c r="H5001" s="7" t="inlineStr">
        <is>
          <t>Corporate</t>
        </is>
      </c>
      <c r="I5001" s="7" t="n">
        <v>4</v>
      </c>
      <c r="J5001" s="10" t="n">
        <v>14.45</v>
      </c>
      <c r="K5001" s="11" t="n">
        <v>0.05</v>
      </c>
      <c r="L5001" s="10">
        <f>I5001*J5001*(1-K5001)</f>
        <v/>
      </c>
      <c r="M5001" s="10" t="n">
        <v>30</v>
      </c>
      <c r="N5001" s="10">
        <f>L5001-M5001</f>
        <v/>
      </c>
    </row>
    <row r="5002">
      <c r="A5002" s="7" t="inlineStr">
        <is>
          <t>ORD-00325</t>
        </is>
      </c>
      <c r="B5002" s="8" t="n">
        <v>45913</v>
      </c>
      <c r="C5002" s="9" t="n">
        <v>45901</v>
      </c>
      <c r="D5002" s="7" t="n">
        <v>2025</v>
      </c>
      <c r="E5002" s="7" t="inlineStr">
        <is>
          <t>East</t>
        </is>
      </c>
      <c r="F5002" s="7" t="inlineStr">
        <is>
          <t>Furniture</t>
        </is>
      </c>
      <c r="G5002" s="7" t="inlineStr">
        <is>
          <t>Desk</t>
        </is>
      </c>
      <c r="H5002" s="7" t="inlineStr">
        <is>
          <t>Consumer</t>
        </is>
      </c>
      <c r="I5002" s="7" t="n">
        <v>4</v>
      </c>
      <c r="J5002" s="10" t="n">
        <v>444.66</v>
      </c>
      <c r="K5002" s="11" t="n">
        <v>0.3</v>
      </c>
      <c r="L5002" s="10">
        <f>I5002*J5002*(1-K5002)</f>
        <v/>
      </c>
      <c r="M5002" s="10" t="n">
        <v>1530</v>
      </c>
      <c r="N5002" s="10">
        <f>L5002-M5002</f>
        <v/>
      </c>
    </row>
    <row r="5003">
      <c r="A5003" s="7" t="inlineStr">
        <is>
          <t>ORD-01903</t>
        </is>
      </c>
      <c r="B5003" s="8" t="n">
        <v>45913</v>
      </c>
      <c r="C5003" s="9" t="n">
        <v>45901</v>
      </c>
      <c r="D5003" s="7" t="n">
        <v>2025</v>
      </c>
      <c r="E5003" s="7" t="inlineStr">
        <is>
          <t>North</t>
        </is>
      </c>
      <c r="F5003" s="7" t="inlineStr">
        <is>
          <t>Office Supplies</t>
        </is>
      </c>
      <c r="G5003" s="7" t="inlineStr">
        <is>
          <t>Stapler</t>
        </is>
      </c>
      <c r="H5003" s="7" t="inlineStr">
        <is>
          <t>Corporate</t>
        </is>
      </c>
      <c r="I5003" s="7" t="n">
        <v>10</v>
      </c>
      <c r="J5003" s="10" t="n">
        <v>14.4</v>
      </c>
      <c r="K5003" s="11" t="n">
        <v>0.05</v>
      </c>
      <c r="L5003" s="10">
        <f>I5003*J5003*(1-K5003)</f>
        <v/>
      </c>
      <c r="M5003" s="10" t="n">
        <v>75</v>
      </c>
      <c r="N5003" s="10">
        <f>L5003-M5003</f>
        <v/>
      </c>
    </row>
    <row r="5004">
      <c r="A5004" s="7" t="inlineStr">
        <is>
          <t>ORD-01968</t>
        </is>
      </c>
      <c r="B5004" s="8" t="n">
        <v>45914</v>
      </c>
      <c r="C5004" s="9" t="n">
        <v>45901</v>
      </c>
      <c r="D5004" s="7" t="n">
        <v>2025</v>
      </c>
      <c r="E5004" s="7" t="inlineStr">
        <is>
          <t>North</t>
        </is>
      </c>
      <c r="F5004" s="7" t="inlineStr">
        <is>
          <t>Technology</t>
        </is>
      </c>
      <c r="G5004" s="7" t="inlineStr">
        <is>
          <t>Laptop</t>
        </is>
      </c>
      <c r="H5004" s="7" t="inlineStr">
        <is>
          <t>Corporate</t>
        </is>
      </c>
      <c r="I5004" s="7" t="n">
        <v>2</v>
      </c>
      <c r="J5004" s="10" t="n">
        <v>909.74</v>
      </c>
      <c r="K5004" s="11" t="n">
        <v>0.1</v>
      </c>
      <c r="L5004" s="10">
        <f>I5004*J5004*(1-K5004)</f>
        <v/>
      </c>
      <c r="M5004" s="10" t="n">
        <v>1404</v>
      </c>
      <c r="N5004" s="10">
        <f>L5004-M5004</f>
        <v/>
      </c>
    </row>
    <row r="5005">
      <c r="A5005" s="7" t="inlineStr">
        <is>
          <t>ORD-01855</t>
        </is>
      </c>
      <c r="B5005" s="8" t="n">
        <v>45914</v>
      </c>
      <c r="C5005" s="9" t="n">
        <v>45901</v>
      </c>
      <c r="D5005" s="7" t="n">
        <v>2025</v>
      </c>
      <c r="E5005" s="7" t="inlineStr">
        <is>
          <t>West</t>
        </is>
      </c>
      <c r="F5005" s="7" t="inlineStr">
        <is>
          <t>Technology</t>
        </is>
      </c>
      <c r="G5005" s="7" t="inlineStr">
        <is>
          <t>Headphones</t>
        </is>
      </c>
      <c r="H5005" s="7" t="inlineStr">
        <is>
          <t>Consumer</t>
        </is>
      </c>
      <c r="I5005" s="7" t="n">
        <v>2</v>
      </c>
      <c r="J5005" s="10" t="n">
        <v>124.38</v>
      </c>
      <c r="K5005" s="11" t="n">
        <v>0</v>
      </c>
      <c r="L5005" s="10">
        <f>I5005*J5005*(1-K5005)</f>
        <v/>
      </c>
      <c r="M5005" s="10" t="n">
        <v>144</v>
      </c>
      <c r="N5005" s="10">
        <f>L5005-M5005</f>
        <v/>
      </c>
    </row>
    <row r="5006">
      <c r="A5006" s="7" t="inlineStr">
        <is>
          <t>ORD-04627</t>
        </is>
      </c>
      <c r="B5006" s="8" t="n">
        <v>45914</v>
      </c>
      <c r="C5006" s="9" t="n">
        <v>45901</v>
      </c>
      <c r="D5006" s="7" t="n">
        <v>2025</v>
      </c>
      <c r="E5006" s="7" t="inlineStr">
        <is>
          <t>West</t>
        </is>
      </c>
      <c r="F5006" s="7" t="inlineStr">
        <is>
          <t>Furniture</t>
        </is>
      </c>
      <c r="G5006" s="7" t="inlineStr">
        <is>
          <t>Sofa</t>
        </is>
      </c>
      <c r="H5006" s="7" t="inlineStr">
        <is>
          <t>Consumer</t>
        </is>
      </c>
      <c r="I5006" s="7" t="n">
        <v>1</v>
      </c>
      <c r="J5006" s="10" t="n">
        <v>703.17</v>
      </c>
      <c r="K5006" s="11" t="n">
        <v>0.3</v>
      </c>
      <c r="L5006" s="10">
        <f>I5006*J5006*(1-K5006)</f>
        <v/>
      </c>
      <c r="M5006" s="10" t="n">
        <v>616</v>
      </c>
      <c r="N5006" s="10">
        <f>L5006-M5006</f>
        <v/>
      </c>
    </row>
    <row r="5007">
      <c r="A5007" s="7" t="inlineStr">
        <is>
          <t>ORD-04583</t>
        </is>
      </c>
      <c r="B5007" s="8" t="n">
        <v>45914</v>
      </c>
      <c r="C5007" s="9" t="n">
        <v>45901</v>
      </c>
      <c r="D5007" s="7" t="n">
        <v>2025</v>
      </c>
      <c r="E5007" s="7" t="inlineStr">
        <is>
          <t>East</t>
        </is>
      </c>
      <c r="F5007" s="7" t="inlineStr">
        <is>
          <t>Office Supplies</t>
        </is>
      </c>
      <c r="G5007" s="7" t="inlineStr">
        <is>
          <t>Stapler</t>
        </is>
      </c>
      <c r="H5007" s="7" t="inlineStr">
        <is>
          <t>Consumer</t>
        </is>
      </c>
      <c r="I5007" s="7" t="n">
        <v>2</v>
      </c>
      <c r="J5007" s="10" t="n">
        <v>15.62</v>
      </c>
      <c r="K5007" s="11" t="n">
        <v>0</v>
      </c>
      <c r="L5007" s="10">
        <f>I5007*J5007*(1-K5007)</f>
        <v/>
      </c>
      <c r="M5007" s="10" t="n">
        <v>15</v>
      </c>
      <c r="N5007" s="10">
        <f>L5007-M5007</f>
        <v/>
      </c>
    </row>
    <row r="5008">
      <c r="A5008" s="7" t="inlineStr">
        <is>
          <t>ORD-03888</t>
        </is>
      </c>
      <c r="B5008" s="8" t="n">
        <v>45914</v>
      </c>
      <c r="C5008" s="9" t="n">
        <v>45901</v>
      </c>
      <c r="D5008" s="7" t="n">
        <v>2025</v>
      </c>
      <c r="E5008" s="7" t="inlineStr">
        <is>
          <t>South</t>
        </is>
      </c>
      <c r="F5008" s="7" t="inlineStr">
        <is>
          <t>Office Supplies</t>
        </is>
      </c>
      <c r="G5008" s="7" t="inlineStr">
        <is>
          <t>Binder</t>
        </is>
      </c>
      <c r="H5008" s="7" t="inlineStr">
        <is>
          <t>Consumer</t>
        </is>
      </c>
      <c r="I5008" s="7" t="n">
        <v>3</v>
      </c>
      <c r="J5008" s="10" t="n">
        <v>7.71</v>
      </c>
      <c r="K5008" s="11" t="n">
        <v>0</v>
      </c>
      <c r="L5008" s="10">
        <f>I5008*J5008*(1-K5008)</f>
        <v/>
      </c>
      <c r="M5008" s="10" t="n">
        <v>9.6</v>
      </c>
      <c r="N5008" s="10">
        <f>L5008-M5008</f>
        <v/>
      </c>
    </row>
    <row r="5009">
      <c r="A5009" s="7" t="inlineStr">
        <is>
          <t>ORD-00774</t>
        </is>
      </c>
      <c r="B5009" s="8" t="n">
        <v>45914</v>
      </c>
      <c r="C5009" s="9" t="n">
        <v>45901</v>
      </c>
      <c r="D5009" s="7" t="n">
        <v>2025</v>
      </c>
      <c r="E5009" s="7" t="inlineStr">
        <is>
          <t>North</t>
        </is>
      </c>
      <c r="F5009" s="7" t="inlineStr">
        <is>
          <t>Office Supplies</t>
        </is>
      </c>
      <c r="G5009" s="7" t="inlineStr">
        <is>
          <t>Paper</t>
        </is>
      </c>
      <c r="H5009" s="7" t="inlineStr">
        <is>
          <t>Consumer</t>
        </is>
      </c>
      <c r="I5009" s="7" t="n">
        <v>6</v>
      </c>
      <c r="J5009" s="10" t="n">
        <v>25.18</v>
      </c>
      <c r="K5009" s="11" t="n">
        <v>0</v>
      </c>
      <c r="L5009" s="10">
        <f>I5009*J5009*(1-K5009)</f>
        <v/>
      </c>
      <c r="M5009" s="10" t="n">
        <v>75</v>
      </c>
      <c r="N5009" s="10">
        <f>L5009-M5009</f>
        <v/>
      </c>
    </row>
    <row r="5010">
      <c r="A5010" s="7" t="inlineStr">
        <is>
          <t>ORD-00428</t>
        </is>
      </c>
      <c r="B5010" s="8" t="n">
        <v>45914</v>
      </c>
      <c r="C5010" s="9" t="n">
        <v>45901</v>
      </c>
      <c r="D5010" s="7" t="n">
        <v>2025</v>
      </c>
      <c r="E5010" s="7" t="inlineStr">
        <is>
          <t>East</t>
        </is>
      </c>
      <c r="F5010" s="7" t="inlineStr">
        <is>
          <t>Office Supplies</t>
        </is>
      </c>
      <c r="G5010" s="7" t="inlineStr">
        <is>
          <t>Stapler</t>
        </is>
      </c>
      <c r="H5010" s="7" t="inlineStr">
        <is>
          <t>Home Office</t>
        </is>
      </c>
      <c r="I5010" s="7" t="n">
        <v>6</v>
      </c>
      <c r="J5010" s="10" t="n">
        <v>15.44</v>
      </c>
      <c r="K5010" s="11" t="n">
        <v>0</v>
      </c>
      <c r="L5010" s="10">
        <f>I5010*J5010*(1-K5010)</f>
        <v/>
      </c>
      <c r="M5010" s="10" t="n">
        <v>45</v>
      </c>
      <c r="N5010" s="10">
        <f>L5010-M5010</f>
        <v/>
      </c>
    </row>
    <row r="5011">
      <c r="A5011" s="7" t="inlineStr">
        <is>
          <t>ORD-04056</t>
        </is>
      </c>
      <c r="B5011" s="8" t="n">
        <v>45914</v>
      </c>
      <c r="C5011" s="9" t="n">
        <v>45901</v>
      </c>
      <c r="D5011" s="7" t="n">
        <v>2025</v>
      </c>
      <c r="E5011" s="7" t="inlineStr">
        <is>
          <t>West</t>
        </is>
      </c>
      <c r="F5011" s="7" t="inlineStr">
        <is>
          <t>Technology</t>
        </is>
      </c>
      <c r="G5011" s="7" t="inlineStr">
        <is>
          <t>Monitor</t>
        </is>
      </c>
      <c r="H5011" s="7" t="inlineStr">
        <is>
          <t>Home Office</t>
        </is>
      </c>
      <c r="I5011" s="7" t="n">
        <v>1</v>
      </c>
      <c r="J5011" s="10" t="n">
        <v>242.09</v>
      </c>
      <c r="K5011" s="11" t="n">
        <v>0.05</v>
      </c>
      <c r="L5011" s="10">
        <f>I5011*J5011*(1-K5011)</f>
        <v/>
      </c>
      <c r="M5011" s="10" t="n">
        <v>180</v>
      </c>
      <c r="N5011" s="10">
        <f>L5011-M5011</f>
        <v/>
      </c>
    </row>
    <row r="5012">
      <c r="A5012" s="7" t="inlineStr">
        <is>
          <t>ORD-01959</t>
        </is>
      </c>
      <c r="B5012" s="8" t="n">
        <v>45914</v>
      </c>
      <c r="C5012" s="9" t="n">
        <v>45901</v>
      </c>
      <c r="D5012" s="7" t="n">
        <v>2025</v>
      </c>
      <c r="E5012" s="7" t="inlineStr">
        <is>
          <t>West</t>
        </is>
      </c>
      <c r="F5012" s="7" t="inlineStr">
        <is>
          <t>Technology</t>
        </is>
      </c>
      <c r="G5012" s="7" t="inlineStr">
        <is>
          <t>Laptop</t>
        </is>
      </c>
      <c r="H5012" s="7" t="inlineStr">
        <is>
          <t>Corporate</t>
        </is>
      </c>
      <c r="I5012" s="7" t="n">
        <v>1</v>
      </c>
      <c r="J5012" s="10" t="n">
        <v>864.71</v>
      </c>
      <c r="K5012" s="11" t="n">
        <v>0</v>
      </c>
      <c r="L5012" s="10">
        <f>I5012*J5012*(1-K5012)</f>
        <v/>
      </c>
      <c r="M5012" s="10" t="n">
        <v>702</v>
      </c>
      <c r="N5012" s="10">
        <f>L5012-M5012</f>
        <v/>
      </c>
    </row>
    <row r="5013">
      <c r="A5013" s="7" t="inlineStr">
        <is>
          <t>ORD-04492</t>
        </is>
      </c>
      <c r="B5013" s="8" t="n">
        <v>45915</v>
      </c>
      <c r="C5013" s="9" t="n">
        <v>45901</v>
      </c>
      <c r="D5013" s="7" t="n">
        <v>2025</v>
      </c>
      <c r="E5013" s="7" t="inlineStr">
        <is>
          <t>East</t>
        </is>
      </c>
      <c r="F5013" s="7" t="inlineStr">
        <is>
          <t>Technology</t>
        </is>
      </c>
      <c r="G5013" s="7" t="inlineStr">
        <is>
          <t>Laptop</t>
        </is>
      </c>
      <c r="H5013" s="7" t="inlineStr">
        <is>
          <t>Consumer</t>
        </is>
      </c>
      <c r="I5013" s="7" t="n">
        <v>1</v>
      </c>
      <c r="J5013" s="10" t="n">
        <v>902.95</v>
      </c>
      <c r="K5013" s="11" t="n">
        <v>0.2</v>
      </c>
      <c r="L5013" s="10">
        <f>I5013*J5013*(1-K5013)</f>
        <v/>
      </c>
      <c r="M5013" s="10" t="n">
        <v>702</v>
      </c>
      <c r="N5013" s="10">
        <f>L5013-M5013</f>
        <v/>
      </c>
    </row>
    <row r="5014">
      <c r="A5014" s="7" t="inlineStr">
        <is>
          <t>ORD-04524</t>
        </is>
      </c>
      <c r="B5014" s="8" t="n">
        <v>45915</v>
      </c>
      <c r="C5014" s="9" t="n">
        <v>45901</v>
      </c>
      <c r="D5014" s="7" t="n">
        <v>2025</v>
      </c>
      <c r="E5014" s="7" t="inlineStr">
        <is>
          <t>East</t>
        </is>
      </c>
      <c r="F5014" s="7" t="inlineStr">
        <is>
          <t>Technology</t>
        </is>
      </c>
      <c r="G5014" s="7" t="inlineStr">
        <is>
          <t>Headphones</t>
        </is>
      </c>
      <c r="H5014" s="7" t="inlineStr">
        <is>
          <t>Consumer</t>
        </is>
      </c>
      <c r="I5014" s="7" t="n">
        <v>2</v>
      </c>
      <c r="J5014" s="10" t="n">
        <v>123.39</v>
      </c>
      <c r="K5014" s="11" t="n">
        <v>0.05</v>
      </c>
      <c r="L5014" s="10">
        <f>I5014*J5014*(1-K5014)</f>
        <v/>
      </c>
      <c r="M5014" s="10" t="n">
        <v>144</v>
      </c>
      <c r="N5014" s="10">
        <f>L5014-M5014</f>
        <v/>
      </c>
    </row>
    <row r="5015">
      <c r="A5015" s="7" t="inlineStr">
        <is>
          <t>ORD-00390</t>
        </is>
      </c>
      <c r="B5015" s="8" t="n">
        <v>45915</v>
      </c>
      <c r="C5015" s="9" t="n">
        <v>45901</v>
      </c>
      <c r="D5015" s="7" t="n">
        <v>2025</v>
      </c>
      <c r="E5015" s="7" t="inlineStr">
        <is>
          <t>West</t>
        </is>
      </c>
      <c r="F5015" s="7" t="inlineStr">
        <is>
          <t>Office Supplies</t>
        </is>
      </c>
      <c r="G5015" s="7" t="inlineStr">
        <is>
          <t>Pens</t>
        </is>
      </c>
      <c r="H5015" s="7" t="inlineStr">
        <is>
          <t>Corporate</t>
        </is>
      </c>
      <c r="I5015" s="7" t="n">
        <v>7</v>
      </c>
      <c r="J5015" s="10" t="n">
        <v>12.51</v>
      </c>
      <c r="K5015" s="11" t="n">
        <v>0</v>
      </c>
      <c r="L5015" s="10">
        <f>I5015*J5015*(1-K5015)</f>
        <v/>
      </c>
      <c r="M5015" s="10" t="n">
        <v>37.8</v>
      </c>
      <c r="N5015" s="10">
        <f>L5015-M5015</f>
        <v/>
      </c>
    </row>
    <row r="5016">
      <c r="A5016" s="7" t="inlineStr">
        <is>
          <t>ORD-01889</t>
        </is>
      </c>
      <c r="B5016" s="8" t="n">
        <v>45915</v>
      </c>
      <c r="C5016" s="9" t="n">
        <v>45901</v>
      </c>
      <c r="D5016" s="7" t="n">
        <v>2025</v>
      </c>
      <c r="E5016" s="7" t="inlineStr">
        <is>
          <t>South</t>
        </is>
      </c>
      <c r="F5016" s="7" t="inlineStr">
        <is>
          <t>Furniture</t>
        </is>
      </c>
      <c r="G5016" s="7" t="inlineStr">
        <is>
          <t>Office Chair</t>
        </is>
      </c>
      <c r="H5016" s="7" t="inlineStr">
        <is>
          <t>Corporate</t>
        </is>
      </c>
      <c r="I5016" s="7" t="n">
        <v>2</v>
      </c>
      <c r="J5016" s="10" t="n">
        <v>229.71</v>
      </c>
      <c r="K5016" s="11" t="n">
        <v>0.2</v>
      </c>
      <c r="L5016" s="10">
        <f>I5016*J5016*(1-K5016)</f>
        <v/>
      </c>
      <c r="M5016" s="10" t="n">
        <v>360.8</v>
      </c>
      <c r="N5016" s="10">
        <f>L5016-M5016</f>
        <v/>
      </c>
    </row>
    <row r="5017">
      <c r="A5017" s="7" t="inlineStr">
        <is>
          <t>ORD-00579</t>
        </is>
      </c>
      <c r="B5017" s="8" t="n">
        <v>45915</v>
      </c>
      <c r="C5017" s="9" t="n">
        <v>45901</v>
      </c>
      <c r="D5017" s="7" t="n">
        <v>2025</v>
      </c>
      <c r="E5017" s="7" t="inlineStr">
        <is>
          <t>North</t>
        </is>
      </c>
      <c r="F5017" s="7" t="inlineStr">
        <is>
          <t>Office Supplies</t>
        </is>
      </c>
      <c r="G5017" s="7" t="inlineStr">
        <is>
          <t>Printer Ink</t>
        </is>
      </c>
      <c r="H5017" s="7" t="inlineStr">
        <is>
          <t>Consumer</t>
        </is>
      </c>
      <c r="I5017" s="7" t="n">
        <v>6</v>
      </c>
      <c r="J5017" s="10" t="n">
        <v>58.67</v>
      </c>
      <c r="K5017" s="11" t="n">
        <v>0.05</v>
      </c>
      <c r="L5017" s="10">
        <f>I5017*J5017*(1-K5017)</f>
        <v/>
      </c>
      <c r="M5017" s="10" t="n">
        <v>216</v>
      </c>
      <c r="N5017" s="10">
        <f>L5017-M5017</f>
        <v/>
      </c>
    </row>
    <row r="5018">
      <c r="A5018" s="7" t="inlineStr">
        <is>
          <t>ORD-01666</t>
        </is>
      </c>
      <c r="B5018" s="8" t="n">
        <v>45915</v>
      </c>
      <c r="C5018" s="9" t="n">
        <v>45901</v>
      </c>
      <c r="D5018" s="7" t="n">
        <v>2025</v>
      </c>
      <c r="E5018" s="7" t="inlineStr">
        <is>
          <t>East</t>
        </is>
      </c>
      <c r="F5018" s="7" t="inlineStr">
        <is>
          <t>Furniture</t>
        </is>
      </c>
      <c r="G5018" s="7" t="inlineStr">
        <is>
          <t>Office Chair</t>
        </is>
      </c>
      <c r="H5018" s="7" t="inlineStr">
        <is>
          <t>Consumer</t>
        </is>
      </c>
      <c r="I5018" s="7" t="n">
        <v>4</v>
      </c>
      <c r="J5018" s="10" t="n">
        <v>220.19</v>
      </c>
      <c r="K5018" s="11" t="n">
        <v>0.1</v>
      </c>
      <c r="L5018" s="10">
        <f>I5018*J5018*(1-K5018)</f>
        <v/>
      </c>
      <c r="M5018" s="10" t="n">
        <v>721.6</v>
      </c>
      <c r="N5018" s="10">
        <f>L5018-M5018</f>
        <v/>
      </c>
    </row>
    <row r="5019">
      <c r="A5019" s="7" t="inlineStr">
        <is>
          <t>ORD-03420</t>
        </is>
      </c>
      <c r="B5019" s="8" t="n">
        <v>45915</v>
      </c>
      <c r="C5019" s="9" t="n">
        <v>45901</v>
      </c>
      <c r="D5019" s="7" t="n">
        <v>2025</v>
      </c>
      <c r="E5019" s="7" t="inlineStr">
        <is>
          <t>North</t>
        </is>
      </c>
      <c r="F5019" s="7" t="inlineStr">
        <is>
          <t>Office Supplies</t>
        </is>
      </c>
      <c r="G5019" s="7" t="inlineStr">
        <is>
          <t>Stapler</t>
        </is>
      </c>
      <c r="H5019" s="7" t="inlineStr">
        <is>
          <t>Consumer</t>
        </is>
      </c>
      <c r="I5019" s="7" t="n">
        <v>13</v>
      </c>
      <c r="J5019" s="10" t="n">
        <v>15.68</v>
      </c>
      <c r="K5019" s="11" t="n">
        <v>0</v>
      </c>
      <c r="L5019" s="10">
        <f>I5019*J5019*(1-K5019)</f>
        <v/>
      </c>
      <c r="M5019" s="10" t="n">
        <v>97.5</v>
      </c>
      <c r="N5019" s="10">
        <f>L5019-M5019</f>
        <v/>
      </c>
    </row>
    <row r="5020">
      <c r="A5020" s="7" t="inlineStr">
        <is>
          <t>ORD-05579</t>
        </is>
      </c>
      <c r="B5020" s="8" t="n">
        <v>45915</v>
      </c>
      <c r="C5020" s="9" t="n">
        <v>45901</v>
      </c>
      <c r="D5020" s="7" t="n">
        <v>2025</v>
      </c>
      <c r="E5020" s="7" t="inlineStr">
        <is>
          <t>South</t>
        </is>
      </c>
      <c r="F5020" s="7" t="inlineStr">
        <is>
          <t>Furniture</t>
        </is>
      </c>
      <c r="G5020" s="7" t="inlineStr">
        <is>
          <t>Office Chair</t>
        </is>
      </c>
      <c r="H5020" s="7" t="inlineStr">
        <is>
          <t>Corporate</t>
        </is>
      </c>
      <c r="I5020" s="7" t="n">
        <v>1</v>
      </c>
      <c r="J5020" s="10" t="n">
        <v>223.52</v>
      </c>
      <c r="K5020" s="11" t="n">
        <v>0.05</v>
      </c>
      <c r="L5020" s="10">
        <f>I5020*J5020*(1-K5020)</f>
        <v/>
      </c>
      <c r="M5020" s="10" t="n">
        <v>180.4</v>
      </c>
      <c r="N5020" s="10">
        <f>L5020-M5020</f>
        <v/>
      </c>
    </row>
    <row r="5021">
      <c r="A5021" s="7" t="inlineStr">
        <is>
          <t>ORD-03093</t>
        </is>
      </c>
      <c r="B5021" s="8" t="n">
        <v>45915</v>
      </c>
      <c r="C5021" s="9" t="n">
        <v>45901</v>
      </c>
      <c r="D5021" s="7" t="n">
        <v>2025</v>
      </c>
      <c r="E5021" s="7" t="inlineStr">
        <is>
          <t>West</t>
        </is>
      </c>
      <c r="F5021" s="7" t="inlineStr">
        <is>
          <t>Office Supplies</t>
        </is>
      </c>
      <c r="G5021" s="7" t="inlineStr">
        <is>
          <t>Paper</t>
        </is>
      </c>
      <c r="H5021" s="7" t="inlineStr">
        <is>
          <t>Consumer</t>
        </is>
      </c>
      <c r="I5021" s="7" t="n">
        <v>8</v>
      </c>
      <c r="J5021" s="10" t="n">
        <v>25.03</v>
      </c>
      <c r="K5021" s="11" t="n">
        <v>0</v>
      </c>
      <c r="L5021" s="10">
        <f>I5021*J5021*(1-K5021)</f>
        <v/>
      </c>
      <c r="M5021" s="10" t="n">
        <v>100</v>
      </c>
      <c r="N5021" s="10">
        <f>L5021-M5021</f>
        <v/>
      </c>
    </row>
    <row r="5022">
      <c r="A5022" s="7" t="inlineStr">
        <is>
          <t>ORD-03723</t>
        </is>
      </c>
      <c r="B5022" s="8" t="n">
        <v>45915</v>
      </c>
      <c r="C5022" s="9" t="n">
        <v>45901</v>
      </c>
      <c r="D5022" s="7" t="n">
        <v>2025</v>
      </c>
      <c r="E5022" s="7" t="inlineStr">
        <is>
          <t>East</t>
        </is>
      </c>
      <c r="F5022" s="7" t="inlineStr">
        <is>
          <t>Furniture</t>
        </is>
      </c>
      <c r="G5022" s="7" t="inlineStr">
        <is>
          <t>Office Chair</t>
        </is>
      </c>
      <c r="H5022" s="7" t="inlineStr">
        <is>
          <t>Home Office</t>
        </is>
      </c>
      <c r="I5022" s="7" t="n">
        <v>4</v>
      </c>
      <c r="J5022" s="10" t="n">
        <v>224.62</v>
      </c>
      <c r="K5022" s="11" t="n">
        <v>0.05</v>
      </c>
      <c r="L5022" s="10">
        <f>I5022*J5022*(1-K5022)</f>
        <v/>
      </c>
      <c r="M5022" s="10" t="n">
        <v>721.6</v>
      </c>
      <c r="N5022" s="10">
        <f>L5022-M5022</f>
        <v/>
      </c>
    </row>
    <row r="5023">
      <c r="A5023" s="7" t="inlineStr">
        <is>
          <t>ORD-00441</t>
        </is>
      </c>
      <c r="B5023" s="8" t="n">
        <v>45916</v>
      </c>
      <c r="C5023" s="9" t="n">
        <v>45901</v>
      </c>
      <c r="D5023" s="7" t="n">
        <v>2025</v>
      </c>
      <c r="E5023" s="7" t="inlineStr">
        <is>
          <t>East</t>
        </is>
      </c>
      <c r="F5023" s="7" t="inlineStr">
        <is>
          <t>Office Supplies</t>
        </is>
      </c>
      <c r="G5023" s="7" t="inlineStr">
        <is>
          <t>Stapler</t>
        </is>
      </c>
      <c r="H5023" s="7" t="inlineStr">
        <is>
          <t>Home Office</t>
        </is>
      </c>
      <c r="I5023" s="7" t="n">
        <v>9</v>
      </c>
      <c r="J5023" s="10" t="n">
        <v>15.06</v>
      </c>
      <c r="K5023" s="11" t="n">
        <v>0.05</v>
      </c>
      <c r="L5023" s="10">
        <f>I5023*J5023*(1-K5023)</f>
        <v/>
      </c>
      <c r="M5023" s="10" t="n">
        <v>67.5</v>
      </c>
      <c r="N5023" s="10">
        <f>L5023-M5023</f>
        <v/>
      </c>
    </row>
    <row r="5024">
      <c r="A5024" s="7" t="inlineStr">
        <is>
          <t>ORD-03550</t>
        </is>
      </c>
      <c r="B5024" s="8" t="n">
        <v>45916</v>
      </c>
      <c r="C5024" s="9" t="n">
        <v>45901</v>
      </c>
      <c r="D5024" s="7" t="n">
        <v>2025</v>
      </c>
      <c r="E5024" s="7" t="inlineStr">
        <is>
          <t>West</t>
        </is>
      </c>
      <c r="F5024" s="7" t="inlineStr">
        <is>
          <t>Office Supplies</t>
        </is>
      </c>
      <c r="G5024" s="7" t="inlineStr">
        <is>
          <t>Paper</t>
        </is>
      </c>
      <c r="H5024" s="7" t="inlineStr">
        <is>
          <t>Corporate</t>
        </is>
      </c>
      <c r="I5024" s="7" t="n">
        <v>9</v>
      </c>
      <c r="J5024" s="10" t="n">
        <v>25.27</v>
      </c>
      <c r="K5024" s="11" t="n">
        <v>0.05</v>
      </c>
      <c r="L5024" s="10">
        <f>I5024*J5024*(1-K5024)</f>
        <v/>
      </c>
      <c r="M5024" s="10" t="n">
        <v>112.5</v>
      </c>
      <c r="N5024" s="10">
        <f>L5024-M5024</f>
        <v/>
      </c>
    </row>
    <row r="5025">
      <c r="A5025" s="7" t="inlineStr">
        <is>
          <t>ORD-00280</t>
        </is>
      </c>
      <c r="B5025" s="8" t="n">
        <v>45916</v>
      </c>
      <c r="C5025" s="9" t="n">
        <v>45901</v>
      </c>
      <c r="D5025" s="7" t="n">
        <v>2025</v>
      </c>
      <c r="E5025" s="7" t="inlineStr">
        <is>
          <t>West</t>
        </is>
      </c>
      <c r="F5025" s="7" t="inlineStr">
        <is>
          <t>Technology</t>
        </is>
      </c>
      <c r="G5025" s="7" t="inlineStr">
        <is>
          <t>Keyboard</t>
        </is>
      </c>
      <c r="H5025" s="7" t="inlineStr">
        <is>
          <t>Corporate</t>
        </is>
      </c>
      <c r="I5025" s="7" t="n">
        <v>3</v>
      </c>
      <c r="J5025" s="10" t="n">
        <v>45.09</v>
      </c>
      <c r="K5025" s="11" t="n">
        <v>0.05</v>
      </c>
      <c r="L5025" s="10">
        <f>I5025*J5025*(1-K5025)</f>
        <v/>
      </c>
      <c r="M5025" s="10" t="n">
        <v>74.25</v>
      </c>
      <c r="N5025" s="10">
        <f>L5025-M5025</f>
        <v/>
      </c>
    </row>
    <row r="5026">
      <c r="A5026" s="7" t="inlineStr">
        <is>
          <t>ORD-03715</t>
        </is>
      </c>
      <c r="B5026" s="8" t="n">
        <v>45916</v>
      </c>
      <c r="C5026" s="9" t="n">
        <v>45901</v>
      </c>
      <c r="D5026" s="7" t="n">
        <v>2025</v>
      </c>
      <c r="E5026" s="7" t="inlineStr">
        <is>
          <t>West</t>
        </is>
      </c>
      <c r="F5026" s="7" t="inlineStr">
        <is>
          <t>Office Supplies</t>
        </is>
      </c>
      <c r="G5026" s="7" t="inlineStr">
        <is>
          <t>Pens</t>
        </is>
      </c>
      <c r="H5026" s="7" t="inlineStr">
        <is>
          <t>Corporate</t>
        </is>
      </c>
      <c r="I5026" s="7" t="n">
        <v>15</v>
      </c>
      <c r="J5026" s="10" t="n">
        <v>12.13</v>
      </c>
      <c r="K5026" s="11" t="n">
        <v>0</v>
      </c>
      <c r="L5026" s="10">
        <f>I5026*J5026*(1-K5026)</f>
        <v/>
      </c>
      <c r="M5026" s="10" t="n">
        <v>81</v>
      </c>
      <c r="N5026" s="10">
        <f>L5026-M5026</f>
        <v/>
      </c>
    </row>
    <row r="5027">
      <c r="A5027" s="7" t="inlineStr">
        <is>
          <t>ORD-05032</t>
        </is>
      </c>
      <c r="B5027" s="8" t="n">
        <v>45916</v>
      </c>
      <c r="C5027" s="9" t="n">
        <v>45901</v>
      </c>
      <c r="D5027" s="7" t="n">
        <v>2025</v>
      </c>
      <c r="E5027" s="7" t="inlineStr">
        <is>
          <t>West</t>
        </is>
      </c>
      <c r="F5027" s="7" t="inlineStr">
        <is>
          <t>Office Supplies</t>
        </is>
      </c>
      <c r="G5027" s="7" t="inlineStr">
        <is>
          <t>Pens</t>
        </is>
      </c>
      <c r="H5027" s="7" t="inlineStr">
        <is>
          <t>Consumer</t>
        </is>
      </c>
      <c r="I5027" s="7" t="n">
        <v>4</v>
      </c>
      <c r="J5027" s="10" t="n">
        <v>12.33</v>
      </c>
      <c r="K5027" s="11" t="n">
        <v>0.05</v>
      </c>
      <c r="L5027" s="10">
        <f>I5027*J5027*(1-K5027)</f>
        <v/>
      </c>
      <c r="M5027" s="10" t="n">
        <v>21.6</v>
      </c>
      <c r="N5027" s="10">
        <f>L5027-M5027</f>
        <v/>
      </c>
    </row>
    <row r="5028">
      <c r="A5028" s="7" t="inlineStr">
        <is>
          <t>ORD-00948</t>
        </is>
      </c>
      <c r="B5028" s="8" t="n">
        <v>45916</v>
      </c>
      <c r="C5028" s="9" t="n">
        <v>45901</v>
      </c>
      <c r="D5028" s="7" t="n">
        <v>2025</v>
      </c>
      <c r="E5028" s="7" t="inlineStr">
        <is>
          <t>South</t>
        </is>
      </c>
      <c r="F5028" s="7" t="inlineStr">
        <is>
          <t>Technology</t>
        </is>
      </c>
      <c r="G5028" s="7" t="inlineStr">
        <is>
          <t>Keyboard</t>
        </is>
      </c>
      <c r="H5028" s="7" t="inlineStr">
        <is>
          <t>Corporate</t>
        </is>
      </c>
      <c r="I5028" s="7" t="n">
        <v>2</v>
      </c>
      <c r="J5028" s="10" t="n">
        <v>43.43</v>
      </c>
      <c r="K5028" s="11" t="n">
        <v>0.05</v>
      </c>
      <c r="L5028" s="10">
        <f>I5028*J5028*(1-K5028)</f>
        <v/>
      </c>
      <c r="M5028" s="10" t="n">
        <v>49.5</v>
      </c>
      <c r="N5028" s="10">
        <f>L5028-M5028</f>
        <v/>
      </c>
    </row>
    <row r="5029">
      <c r="A5029" s="7" t="inlineStr">
        <is>
          <t>ORD-01983</t>
        </is>
      </c>
      <c r="B5029" s="8" t="n">
        <v>45916</v>
      </c>
      <c r="C5029" s="9" t="n">
        <v>45901</v>
      </c>
      <c r="D5029" s="7" t="n">
        <v>2025</v>
      </c>
      <c r="E5029" s="7" t="inlineStr">
        <is>
          <t>North</t>
        </is>
      </c>
      <c r="F5029" s="7" t="inlineStr">
        <is>
          <t>Office Supplies</t>
        </is>
      </c>
      <c r="G5029" s="7" t="inlineStr">
        <is>
          <t>Binder</t>
        </is>
      </c>
      <c r="H5029" s="7" t="inlineStr">
        <is>
          <t>Home Office</t>
        </is>
      </c>
      <c r="I5029" s="7" t="n">
        <v>7</v>
      </c>
      <c r="J5029" s="10" t="n">
        <v>8.359999999999999</v>
      </c>
      <c r="K5029" s="11" t="n">
        <v>0.05</v>
      </c>
      <c r="L5029" s="10">
        <f>I5029*J5029*(1-K5029)</f>
        <v/>
      </c>
      <c r="M5029" s="10" t="n">
        <v>22.4</v>
      </c>
      <c r="N5029" s="10">
        <f>L5029-M5029</f>
        <v/>
      </c>
    </row>
    <row r="5030">
      <c r="A5030" s="7" t="inlineStr">
        <is>
          <t>ORD-01320</t>
        </is>
      </c>
      <c r="B5030" s="8" t="n">
        <v>45916</v>
      </c>
      <c r="C5030" s="9" t="n">
        <v>45901</v>
      </c>
      <c r="D5030" s="7" t="n">
        <v>2025</v>
      </c>
      <c r="E5030" s="7" t="inlineStr">
        <is>
          <t>East</t>
        </is>
      </c>
      <c r="F5030" s="7" t="inlineStr">
        <is>
          <t>Furniture</t>
        </is>
      </c>
      <c r="G5030" s="7" t="inlineStr">
        <is>
          <t>Office Chair</t>
        </is>
      </c>
      <c r="H5030" s="7" t="inlineStr">
        <is>
          <t>Consumer</t>
        </is>
      </c>
      <c r="I5030" s="7" t="n">
        <v>1</v>
      </c>
      <c r="J5030" s="10" t="n">
        <v>218.19</v>
      </c>
      <c r="K5030" s="11" t="n">
        <v>0.05</v>
      </c>
      <c r="L5030" s="10">
        <f>I5030*J5030*(1-K5030)</f>
        <v/>
      </c>
      <c r="M5030" s="10" t="n">
        <v>180.4</v>
      </c>
      <c r="N5030" s="10">
        <f>L5030-M5030</f>
        <v/>
      </c>
    </row>
    <row r="5031">
      <c r="A5031" s="7" t="inlineStr">
        <is>
          <t>ORD-04003</t>
        </is>
      </c>
      <c r="B5031" s="8" t="n">
        <v>45916</v>
      </c>
      <c r="C5031" s="9" t="n">
        <v>45901</v>
      </c>
      <c r="D5031" s="7" t="n">
        <v>2025</v>
      </c>
      <c r="E5031" s="7" t="inlineStr">
        <is>
          <t>West</t>
        </is>
      </c>
      <c r="F5031" s="7" t="inlineStr">
        <is>
          <t>Furniture</t>
        </is>
      </c>
      <c r="G5031" s="7" t="inlineStr">
        <is>
          <t>Office Chair</t>
        </is>
      </c>
      <c r="H5031" s="7" t="inlineStr">
        <is>
          <t>Consumer</t>
        </is>
      </c>
      <c r="I5031" s="7" t="n">
        <v>3</v>
      </c>
      <c r="J5031" s="10" t="n">
        <v>228.71</v>
      </c>
      <c r="K5031" s="11" t="n">
        <v>0.3</v>
      </c>
      <c r="L5031" s="10">
        <f>I5031*J5031*(1-K5031)</f>
        <v/>
      </c>
      <c r="M5031" s="10" t="n">
        <v>541.2</v>
      </c>
      <c r="N5031" s="10">
        <f>L5031-M5031</f>
        <v/>
      </c>
    </row>
    <row r="5032">
      <c r="A5032" s="7" t="inlineStr">
        <is>
          <t>ORD-00928</t>
        </is>
      </c>
      <c r="B5032" s="8" t="n">
        <v>45916</v>
      </c>
      <c r="C5032" s="9" t="n">
        <v>45901</v>
      </c>
      <c r="D5032" s="7" t="n">
        <v>2025</v>
      </c>
      <c r="E5032" s="7" t="inlineStr">
        <is>
          <t>North</t>
        </is>
      </c>
      <c r="F5032" s="7" t="inlineStr">
        <is>
          <t>Office Supplies</t>
        </is>
      </c>
      <c r="G5032" s="7" t="inlineStr">
        <is>
          <t>Binder</t>
        </is>
      </c>
      <c r="H5032" s="7" t="inlineStr">
        <is>
          <t>Consumer</t>
        </is>
      </c>
      <c r="I5032" s="7" t="n">
        <v>2</v>
      </c>
      <c r="J5032" s="10" t="n">
        <v>8.029999999999999</v>
      </c>
      <c r="K5032" s="11" t="n">
        <v>0</v>
      </c>
      <c r="L5032" s="10">
        <f>I5032*J5032*(1-K5032)</f>
        <v/>
      </c>
      <c r="M5032" s="10" t="n">
        <v>6.4</v>
      </c>
      <c r="N5032" s="10">
        <f>L5032-M5032</f>
        <v/>
      </c>
    </row>
    <row r="5033">
      <c r="A5033" s="7" t="inlineStr">
        <is>
          <t>ORD-01256</t>
        </is>
      </c>
      <c r="B5033" s="8" t="n">
        <v>45917</v>
      </c>
      <c r="C5033" s="9" t="n">
        <v>45901</v>
      </c>
      <c r="D5033" s="7" t="n">
        <v>2025</v>
      </c>
      <c r="E5033" s="7" t="inlineStr">
        <is>
          <t>West</t>
        </is>
      </c>
      <c r="F5033" s="7" t="inlineStr">
        <is>
          <t>Technology</t>
        </is>
      </c>
      <c r="G5033" s="7" t="inlineStr">
        <is>
          <t>Laptop</t>
        </is>
      </c>
      <c r="H5033" s="7" t="inlineStr">
        <is>
          <t>Consumer</t>
        </is>
      </c>
      <c r="I5033" s="7" t="n">
        <v>2</v>
      </c>
      <c r="J5033" s="10" t="n">
        <v>900.92</v>
      </c>
      <c r="K5033" s="11" t="n">
        <v>0.2</v>
      </c>
      <c r="L5033" s="10">
        <f>I5033*J5033*(1-K5033)</f>
        <v/>
      </c>
      <c r="M5033" s="10" t="n">
        <v>1404</v>
      </c>
      <c r="N5033" s="10">
        <f>L5033-M5033</f>
        <v/>
      </c>
    </row>
    <row r="5034">
      <c r="A5034" s="7" t="inlineStr">
        <is>
          <t>ORD-00655</t>
        </is>
      </c>
      <c r="B5034" s="8" t="n">
        <v>45917</v>
      </c>
      <c r="C5034" s="9" t="n">
        <v>45901</v>
      </c>
      <c r="D5034" s="7" t="n">
        <v>2025</v>
      </c>
      <c r="E5034" s="7" t="inlineStr">
        <is>
          <t>East</t>
        </is>
      </c>
      <c r="F5034" s="7" t="inlineStr">
        <is>
          <t>Office Supplies</t>
        </is>
      </c>
      <c r="G5034" s="7" t="inlineStr">
        <is>
          <t>Printer Ink</t>
        </is>
      </c>
      <c r="H5034" s="7" t="inlineStr">
        <is>
          <t>Consumer</t>
        </is>
      </c>
      <c r="I5034" s="7" t="n">
        <v>2</v>
      </c>
      <c r="J5034" s="10" t="n">
        <v>59.56</v>
      </c>
      <c r="K5034" s="11" t="n">
        <v>0.1</v>
      </c>
      <c r="L5034" s="10">
        <f>I5034*J5034*(1-K5034)</f>
        <v/>
      </c>
      <c r="M5034" s="10" t="n">
        <v>72</v>
      </c>
      <c r="N5034" s="10">
        <f>L5034-M5034</f>
        <v/>
      </c>
    </row>
    <row r="5035">
      <c r="A5035" s="7" t="inlineStr">
        <is>
          <t>ORD-02092</t>
        </is>
      </c>
      <c r="B5035" s="8" t="n">
        <v>45917</v>
      </c>
      <c r="C5035" s="9" t="n">
        <v>45901</v>
      </c>
      <c r="D5035" s="7" t="n">
        <v>2025</v>
      </c>
      <c r="E5035" s="7" t="inlineStr">
        <is>
          <t>West</t>
        </is>
      </c>
      <c r="F5035" s="7" t="inlineStr">
        <is>
          <t>Office Supplies</t>
        </is>
      </c>
      <c r="G5035" s="7" t="inlineStr">
        <is>
          <t>Pens</t>
        </is>
      </c>
      <c r="H5035" s="7" t="inlineStr">
        <is>
          <t>Corporate</t>
        </is>
      </c>
      <c r="I5035" s="7" t="n">
        <v>15</v>
      </c>
      <c r="J5035" s="10" t="n">
        <v>12.14</v>
      </c>
      <c r="K5035" s="11" t="n">
        <v>0</v>
      </c>
      <c r="L5035" s="10">
        <f>I5035*J5035*(1-K5035)</f>
        <v/>
      </c>
      <c r="M5035" s="10" t="n">
        <v>81</v>
      </c>
      <c r="N5035" s="10">
        <f>L5035-M5035</f>
        <v/>
      </c>
    </row>
    <row r="5036">
      <c r="A5036" s="7" t="inlineStr">
        <is>
          <t>ORD-02352</t>
        </is>
      </c>
      <c r="B5036" s="8" t="n">
        <v>45918</v>
      </c>
      <c r="C5036" s="9" t="n">
        <v>45901</v>
      </c>
      <c r="D5036" s="7" t="n">
        <v>2025</v>
      </c>
      <c r="E5036" s="7" t="inlineStr">
        <is>
          <t>North</t>
        </is>
      </c>
      <c r="F5036" s="7" t="inlineStr">
        <is>
          <t>Office Supplies</t>
        </is>
      </c>
      <c r="G5036" s="7" t="inlineStr">
        <is>
          <t>Paper</t>
        </is>
      </c>
      <c r="H5036" s="7" t="inlineStr">
        <is>
          <t>Corporate</t>
        </is>
      </c>
      <c r="I5036" s="7" t="n">
        <v>10</v>
      </c>
      <c r="J5036" s="10" t="n">
        <v>24.41</v>
      </c>
      <c r="K5036" s="11" t="n">
        <v>0</v>
      </c>
      <c r="L5036" s="10">
        <f>I5036*J5036*(1-K5036)</f>
        <v/>
      </c>
      <c r="M5036" s="10" t="n">
        <v>125</v>
      </c>
      <c r="N5036" s="10">
        <f>L5036-M5036</f>
        <v/>
      </c>
    </row>
    <row r="5037">
      <c r="A5037" s="7" t="inlineStr">
        <is>
          <t>ORD-00073</t>
        </is>
      </c>
      <c r="B5037" s="8" t="n">
        <v>45918</v>
      </c>
      <c r="C5037" s="9" t="n">
        <v>45901</v>
      </c>
      <c r="D5037" s="7" t="n">
        <v>2025</v>
      </c>
      <c r="E5037" s="7" t="inlineStr">
        <is>
          <t>West</t>
        </is>
      </c>
      <c r="F5037" s="7" t="inlineStr">
        <is>
          <t>Furniture</t>
        </is>
      </c>
      <c r="G5037" s="7" t="inlineStr">
        <is>
          <t>Desk</t>
        </is>
      </c>
      <c r="H5037" s="7" t="inlineStr">
        <is>
          <t>Consumer</t>
        </is>
      </c>
      <c r="I5037" s="7" t="n">
        <v>1</v>
      </c>
      <c r="J5037" s="10" t="n">
        <v>455.66</v>
      </c>
      <c r="K5037" s="11" t="n">
        <v>0.2</v>
      </c>
      <c r="L5037" s="10">
        <f>I5037*J5037*(1-K5037)</f>
        <v/>
      </c>
      <c r="M5037" s="10" t="n">
        <v>382.5</v>
      </c>
      <c r="N5037" s="10">
        <f>L5037-M5037</f>
        <v/>
      </c>
    </row>
    <row r="5038">
      <c r="A5038" s="7" t="inlineStr">
        <is>
          <t>ORD-05699</t>
        </is>
      </c>
      <c r="B5038" s="8" t="n">
        <v>45918</v>
      </c>
      <c r="C5038" s="9" t="n">
        <v>45901</v>
      </c>
      <c r="D5038" s="7" t="n">
        <v>2025</v>
      </c>
      <c r="E5038" s="7" t="inlineStr">
        <is>
          <t>South</t>
        </is>
      </c>
      <c r="F5038" s="7" t="inlineStr">
        <is>
          <t>Office Supplies</t>
        </is>
      </c>
      <c r="G5038" s="7" t="inlineStr">
        <is>
          <t>Binder</t>
        </is>
      </c>
      <c r="H5038" s="7" t="inlineStr">
        <is>
          <t>Corporate</t>
        </is>
      </c>
      <c r="I5038" s="7" t="n">
        <v>11</v>
      </c>
      <c r="J5038" s="10" t="n">
        <v>7.66</v>
      </c>
      <c r="K5038" s="11" t="n">
        <v>0.2</v>
      </c>
      <c r="L5038" s="10">
        <f>I5038*J5038*(1-K5038)</f>
        <v/>
      </c>
      <c r="M5038" s="10" t="n">
        <v>35.2</v>
      </c>
      <c r="N5038" s="10">
        <f>L5038-M5038</f>
        <v/>
      </c>
    </row>
    <row r="5039">
      <c r="A5039" s="7" t="inlineStr">
        <is>
          <t>ORD-03500</t>
        </is>
      </c>
      <c r="B5039" s="8" t="n">
        <v>45918</v>
      </c>
      <c r="C5039" s="9" t="n">
        <v>45901</v>
      </c>
      <c r="D5039" s="7" t="n">
        <v>2025</v>
      </c>
      <c r="E5039" s="7" t="inlineStr">
        <is>
          <t>West</t>
        </is>
      </c>
      <c r="F5039" s="7" t="inlineStr">
        <is>
          <t>Office Supplies</t>
        </is>
      </c>
      <c r="G5039" s="7" t="inlineStr">
        <is>
          <t>Paper</t>
        </is>
      </c>
      <c r="H5039" s="7" t="inlineStr">
        <is>
          <t>Consumer</t>
        </is>
      </c>
      <c r="I5039" s="7" t="n">
        <v>9</v>
      </c>
      <c r="J5039" s="10" t="n">
        <v>25.06</v>
      </c>
      <c r="K5039" s="11" t="n">
        <v>0</v>
      </c>
      <c r="L5039" s="10">
        <f>I5039*J5039*(1-K5039)</f>
        <v/>
      </c>
      <c r="M5039" s="10" t="n">
        <v>112.5</v>
      </c>
      <c r="N5039" s="10">
        <f>L5039-M5039</f>
        <v/>
      </c>
    </row>
    <row r="5040">
      <c r="A5040" s="7" t="inlineStr">
        <is>
          <t>ORD-02682</t>
        </is>
      </c>
      <c r="B5040" s="8" t="n">
        <v>45918</v>
      </c>
      <c r="C5040" s="9" t="n">
        <v>45901</v>
      </c>
      <c r="D5040" s="7" t="n">
        <v>2025</v>
      </c>
      <c r="E5040" s="7" t="inlineStr">
        <is>
          <t>South</t>
        </is>
      </c>
      <c r="F5040" s="7" t="inlineStr">
        <is>
          <t>Office Supplies</t>
        </is>
      </c>
      <c r="G5040" s="7" t="inlineStr">
        <is>
          <t>Pens</t>
        </is>
      </c>
      <c r="H5040" s="7" t="inlineStr">
        <is>
          <t>Corporate</t>
        </is>
      </c>
      <c r="I5040" s="7" t="n">
        <v>13</v>
      </c>
      <c r="J5040" s="10" t="n">
        <v>11.65</v>
      </c>
      <c r="K5040" s="11" t="n">
        <v>0</v>
      </c>
      <c r="L5040" s="10">
        <f>I5040*J5040*(1-K5040)</f>
        <v/>
      </c>
      <c r="M5040" s="10" t="n">
        <v>70.2</v>
      </c>
      <c r="N5040" s="10">
        <f>L5040-M5040</f>
        <v/>
      </c>
    </row>
    <row r="5041">
      <c r="A5041" s="7" t="inlineStr">
        <is>
          <t>ORD-02918</t>
        </is>
      </c>
      <c r="B5041" s="8" t="n">
        <v>45918</v>
      </c>
      <c r="C5041" s="9" t="n">
        <v>45901</v>
      </c>
      <c r="D5041" s="7" t="n">
        <v>2025</v>
      </c>
      <c r="E5041" s="7" t="inlineStr">
        <is>
          <t>West</t>
        </is>
      </c>
      <c r="F5041" s="7" t="inlineStr">
        <is>
          <t>Technology</t>
        </is>
      </c>
      <c r="G5041" s="7" t="inlineStr">
        <is>
          <t>Laptop</t>
        </is>
      </c>
      <c r="H5041" s="7" t="inlineStr">
        <is>
          <t>Consumer</t>
        </is>
      </c>
      <c r="I5041" s="7" t="n">
        <v>2</v>
      </c>
      <c r="J5041" s="10" t="n">
        <v>925.05</v>
      </c>
      <c r="K5041" s="11" t="n">
        <v>0</v>
      </c>
      <c r="L5041" s="10">
        <f>I5041*J5041*(1-K5041)</f>
        <v/>
      </c>
      <c r="M5041" s="10" t="n">
        <v>1404</v>
      </c>
      <c r="N5041" s="10">
        <f>L5041-M5041</f>
        <v/>
      </c>
    </row>
    <row r="5042">
      <c r="A5042" s="7" t="inlineStr">
        <is>
          <t>ORD-00657</t>
        </is>
      </c>
      <c r="B5042" s="8" t="n">
        <v>45918</v>
      </c>
      <c r="C5042" s="9" t="n">
        <v>45901</v>
      </c>
      <c r="D5042" s="7" t="n">
        <v>2025</v>
      </c>
      <c r="E5042" s="7" t="inlineStr">
        <is>
          <t>East</t>
        </is>
      </c>
      <c r="F5042" s="7" t="inlineStr">
        <is>
          <t>Office Supplies</t>
        </is>
      </c>
      <c r="G5042" s="7" t="inlineStr">
        <is>
          <t>Pens</t>
        </is>
      </c>
      <c r="H5042" s="7" t="inlineStr">
        <is>
          <t>Consumer</t>
        </is>
      </c>
      <c r="I5042" s="7" t="n">
        <v>9</v>
      </c>
      <c r="J5042" s="10" t="n">
        <v>11.66</v>
      </c>
      <c r="K5042" s="11" t="n">
        <v>0</v>
      </c>
      <c r="L5042" s="10">
        <f>I5042*J5042*(1-K5042)</f>
        <v/>
      </c>
      <c r="M5042" s="10" t="n">
        <v>48.6</v>
      </c>
      <c r="N5042" s="10">
        <f>L5042-M5042</f>
        <v/>
      </c>
    </row>
    <row r="5043">
      <c r="A5043" s="7" t="inlineStr">
        <is>
          <t>ORD-00776</t>
        </is>
      </c>
      <c r="B5043" s="8" t="n">
        <v>45918</v>
      </c>
      <c r="C5043" s="9" t="n">
        <v>45901</v>
      </c>
      <c r="D5043" s="7" t="n">
        <v>2025</v>
      </c>
      <c r="E5043" s="7" t="inlineStr">
        <is>
          <t>East</t>
        </is>
      </c>
      <c r="F5043" s="7" t="inlineStr">
        <is>
          <t>Furniture</t>
        </is>
      </c>
      <c r="G5043" s="7" t="inlineStr">
        <is>
          <t>Sofa</t>
        </is>
      </c>
      <c r="H5043" s="7" t="inlineStr">
        <is>
          <t>Consumer</t>
        </is>
      </c>
      <c r="I5043" s="7" t="n">
        <v>3</v>
      </c>
      <c r="J5043" s="10" t="n">
        <v>682.48</v>
      </c>
      <c r="K5043" s="11" t="n">
        <v>0.3</v>
      </c>
      <c r="L5043" s="10">
        <f>I5043*J5043*(1-K5043)</f>
        <v/>
      </c>
      <c r="M5043" s="10" t="n">
        <v>1848</v>
      </c>
      <c r="N5043" s="10">
        <f>L5043-M5043</f>
        <v/>
      </c>
    </row>
    <row r="5044">
      <c r="A5044" s="7" t="inlineStr">
        <is>
          <t>ORD-04319</t>
        </is>
      </c>
      <c r="B5044" s="8" t="n">
        <v>45918</v>
      </c>
      <c r="C5044" s="9" t="n">
        <v>45901</v>
      </c>
      <c r="D5044" s="7" t="n">
        <v>2025</v>
      </c>
      <c r="E5044" s="7" t="inlineStr">
        <is>
          <t>North</t>
        </is>
      </c>
      <c r="F5044" s="7" t="inlineStr">
        <is>
          <t>Furniture</t>
        </is>
      </c>
      <c r="G5044" s="7" t="inlineStr">
        <is>
          <t>Office Chair</t>
        </is>
      </c>
      <c r="H5044" s="7" t="inlineStr">
        <is>
          <t>Consumer</t>
        </is>
      </c>
      <c r="I5044" s="7" t="n">
        <v>4</v>
      </c>
      <c r="J5044" s="10" t="n">
        <v>222.01</v>
      </c>
      <c r="K5044" s="11" t="n">
        <v>0.1</v>
      </c>
      <c r="L5044" s="10">
        <f>I5044*J5044*(1-K5044)</f>
        <v/>
      </c>
      <c r="M5044" s="10" t="n">
        <v>721.6</v>
      </c>
      <c r="N5044" s="10">
        <f>L5044-M5044</f>
        <v/>
      </c>
    </row>
    <row r="5045">
      <c r="A5045" s="7" t="inlineStr">
        <is>
          <t>ORD-01075</t>
        </is>
      </c>
      <c r="B5045" s="8" t="n">
        <v>45918</v>
      </c>
      <c r="C5045" s="9" t="n">
        <v>45901</v>
      </c>
      <c r="D5045" s="7" t="n">
        <v>2025</v>
      </c>
      <c r="E5045" s="7" t="inlineStr">
        <is>
          <t>South</t>
        </is>
      </c>
      <c r="F5045" s="7" t="inlineStr">
        <is>
          <t>Technology</t>
        </is>
      </c>
      <c r="G5045" s="7" t="inlineStr">
        <is>
          <t>Headphones</t>
        </is>
      </c>
      <c r="H5045" s="7" t="inlineStr">
        <is>
          <t>Consumer</t>
        </is>
      </c>
      <c r="I5045" s="7" t="n">
        <v>1</v>
      </c>
      <c r="J5045" s="10" t="n">
        <v>124.9</v>
      </c>
      <c r="K5045" s="11" t="n">
        <v>0.1</v>
      </c>
      <c r="L5045" s="10">
        <f>I5045*J5045*(1-K5045)</f>
        <v/>
      </c>
      <c r="M5045" s="10" t="n">
        <v>72</v>
      </c>
      <c r="N5045" s="10">
        <f>L5045-M5045</f>
        <v/>
      </c>
    </row>
    <row r="5046">
      <c r="A5046" s="7" t="inlineStr">
        <is>
          <t>ORD-03373</t>
        </is>
      </c>
      <c r="B5046" s="8" t="n">
        <v>45919</v>
      </c>
      <c r="C5046" s="9" t="n">
        <v>45901</v>
      </c>
      <c r="D5046" s="7" t="n">
        <v>2025</v>
      </c>
      <c r="E5046" s="7" t="inlineStr">
        <is>
          <t>South</t>
        </is>
      </c>
      <c r="F5046" s="7" t="inlineStr">
        <is>
          <t>Office Supplies</t>
        </is>
      </c>
      <c r="G5046" s="7" t="inlineStr">
        <is>
          <t>Pens</t>
        </is>
      </c>
      <c r="H5046" s="7" t="inlineStr">
        <is>
          <t>Home Office</t>
        </is>
      </c>
      <c r="I5046" s="7" t="n">
        <v>6</v>
      </c>
      <c r="J5046" s="10" t="n">
        <v>12.3</v>
      </c>
      <c r="K5046" s="11" t="n">
        <v>0.05</v>
      </c>
      <c r="L5046" s="10">
        <f>I5046*J5046*(1-K5046)</f>
        <v/>
      </c>
      <c r="M5046" s="10" t="n">
        <v>32.4</v>
      </c>
      <c r="N5046" s="10">
        <f>L5046-M5046</f>
        <v/>
      </c>
    </row>
    <row r="5047">
      <c r="A5047" s="7" t="inlineStr">
        <is>
          <t>ORD-04247</t>
        </is>
      </c>
      <c r="B5047" s="8" t="n">
        <v>45919</v>
      </c>
      <c r="C5047" s="9" t="n">
        <v>45901</v>
      </c>
      <c r="D5047" s="7" t="n">
        <v>2025</v>
      </c>
      <c r="E5047" s="7" t="inlineStr">
        <is>
          <t>West</t>
        </is>
      </c>
      <c r="F5047" s="7" t="inlineStr">
        <is>
          <t>Technology</t>
        </is>
      </c>
      <c r="G5047" s="7" t="inlineStr">
        <is>
          <t>Smartphone</t>
        </is>
      </c>
      <c r="H5047" s="7" t="inlineStr">
        <is>
          <t>Corporate</t>
        </is>
      </c>
      <c r="I5047" s="7" t="n">
        <v>2</v>
      </c>
      <c r="J5047" s="10" t="n">
        <v>573.16</v>
      </c>
      <c r="K5047" s="11" t="n">
        <v>0.05</v>
      </c>
      <c r="L5047" s="10">
        <f>I5047*J5047*(1-K5047)</f>
        <v/>
      </c>
      <c r="M5047" s="10" t="n">
        <v>900</v>
      </c>
      <c r="N5047" s="10">
        <f>L5047-M5047</f>
        <v/>
      </c>
    </row>
    <row r="5048">
      <c r="A5048" s="7" t="inlineStr">
        <is>
          <t>ORD-04694</t>
        </is>
      </c>
      <c r="B5048" s="8" t="n">
        <v>45919</v>
      </c>
      <c r="C5048" s="9" t="n">
        <v>45901</v>
      </c>
      <c r="D5048" s="7" t="n">
        <v>2025</v>
      </c>
      <c r="E5048" s="7" t="inlineStr">
        <is>
          <t>West</t>
        </is>
      </c>
      <c r="F5048" s="7" t="inlineStr">
        <is>
          <t>Technology</t>
        </is>
      </c>
      <c r="G5048" s="7" t="inlineStr">
        <is>
          <t>Laptop</t>
        </is>
      </c>
      <c r="H5048" s="7" t="inlineStr">
        <is>
          <t>Consumer</t>
        </is>
      </c>
      <c r="I5048" s="7" t="n">
        <v>2</v>
      </c>
      <c r="J5048" s="10" t="n">
        <v>932.73</v>
      </c>
      <c r="K5048" s="11" t="n">
        <v>0</v>
      </c>
      <c r="L5048" s="10">
        <f>I5048*J5048*(1-K5048)</f>
        <v/>
      </c>
      <c r="M5048" s="10" t="n">
        <v>1404</v>
      </c>
      <c r="N5048" s="10">
        <f>L5048-M5048</f>
        <v/>
      </c>
    </row>
    <row r="5049">
      <c r="A5049" s="7" t="inlineStr">
        <is>
          <t>ORD-00780</t>
        </is>
      </c>
      <c r="B5049" s="8" t="n">
        <v>45919</v>
      </c>
      <c r="C5049" s="9" t="n">
        <v>45901</v>
      </c>
      <c r="D5049" s="7" t="n">
        <v>2025</v>
      </c>
      <c r="E5049" s="7" t="inlineStr">
        <is>
          <t>South</t>
        </is>
      </c>
      <c r="F5049" s="7" t="inlineStr">
        <is>
          <t>Furniture</t>
        </is>
      </c>
      <c r="G5049" s="7" t="inlineStr">
        <is>
          <t>Office Chair</t>
        </is>
      </c>
      <c r="H5049" s="7" t="inlineStr">
        <is>
          <t>Corporate</t>
        </is>
      </c>
      <c r="I5049" s="7" t="n">
        <v>1</v>
      </c>
      <c r="J5049" s="10" t="n">
        <v>225.32</v>
      </c>
      <c r="K5049" s="11" t="n">
        <v>0.3</v>
      </c>
      <c r="L5049" s="10">
        <f>I5049*J5049*(1-K5049)</f>
        <v/>
      </c>
      <c r="M5049" s="10" t="n">
        <v>180.4</v>
      </c>
      <c r="N5049" s="10">
        <f>L5049-M5049</f>
        <v/>
      </c>
    </row>
    <row r="5050">
      <c r="A5050" s="7" t="inlineStr">
        <is>
          <t>ORD-02074</t>
        </is>
      </c>
      <c r="B5050" s="8" t="n">
        <v>45919</v>
      </c>
      <c r="C5050" s="9" t="n">
        <v>45901</v>
      </c>
      <c r="D5050" s="7" t="n">
        <v>2025</v>
      </c>
      <c r="E5050" s="7" t="inlineStr">
        <is>
          <t>East</t>
        </is>
      </c>
      <c r="F5050" s="7" t="inlineStr">
        <is>
          <t>Furniture</t>
        </is>
      </c>
      <c r="G5050" s="7" t="inlineStr">
        <is>
          <t>Office Chair</t>
        </is>
      </c>
      <c r="H5050" s="7" t="inlineStr">
        <is>
          <t>Corporate</t>
        </is>
      </c>
      <c r="I5050" s="7" t="n">
        <v>2</v>
      </c>
      <c r="J5050" s="10" t="n">
        <v>217.28</v>
      </c>
      <c r="K5050" s="11" t="n">
        <v>0</v>
      </c>
      <c r="L5050" s="10">
        <f>I5050*J5050*(1-K5050)</f>
        <v/>
      </c>
      <c r="M5050" s="10" t="n">
        <v>360.8</v>
      </c>
      <c r="N5050" s="10">
        <f>L5050-M5050</f>
        <v/>
      </c>
    </row>
    <row r="5051">
      <c r="A5051" s="7" t="inlineStr">
        <is>
          <t>ORD-04992</t>
        </is>
      </c>
      <c r="B5051" s="8" t="n">
        <v>45919</v>
      </c>
      <c r="C5051" s="9" t="n">
        <v>45901</v>
      </c>
      <c r="D5051" s="7" t="n">
        <v>2025</v>
      </c>
      <c r="E5051" s="7" t="inlineStr">
        <is>
          <t>South</t>
        </is>
      </c>
      <c r="F5051" s="7" t="inlineStr">
        <is>
          <t>Technology</t>
        </is>
      </c>
      <c r="G5051" s="7" t="inlineStr">
        <is>
          <t>Keyboard</t>
        </is>
      </c>
      <c r="H5051" s="7" t="inlineStr">
        <is>
          <t>Consumer</t>
        </is>
      </c>
      <c r="I5051" s="7" t="n">
        <v>3</v>
      </c>
      <c r="J5051" s="10" t="n">
        <v>44.45</v>
      </c>
      <c r="K5051" s="11" t="n">
        <v>0</v>
      </c>
      <c r="L5051" s="10">
        <f>I5051*J5051*(1-K5051)</f>
        <v/>
      </c>
      <c r="M5051" s="10" t="n">
        <v>74.25</v>
      </c>
      <c r="N5051" s="10">
        <f>L5051-M5051</f>
        <v/>
      </c>
    </row>
    <row r="5052">
      <c r="A5052" s="7" t="inlineStr">
        <is>
          <t>ORD-04138</t>
        </is>
      </c>
      <c r="B5052" s="8" t="n">
        <v>45920</v>
      </c>
      <c r="C5052" s="9" t="n">
        <v>45901</v>
      </c>
      <c r="D5052" s="7" t="n">
        <v>2025</v>
      </c>
      <c r="E5052" s="7" t="inlineStr">
        <is>
          <t>South</t>
        </is>
      </c>
      <c r="F5052" s="7" t="inlineStr">
        <is>
          <t>Technology</t>
        </is>
      </c>
      <c r="G5052" s="7" t="inlineStr">
        <is>
          <t>Monitor</t>
        </is>
      </c>
      <c r="H5052" s="7" t="inlineStr">
        <is>
          <t>Consumer</t>
        </is>
      </c>
      <c r="I5052" s="7" t="n">
        <v>1</v>
      </c>
      <c r="J5052" s="10" t="n">
        <v>261.3</v>
      </c>
      <c r="K5052" s="11" t="n">
        <v>0.3</v>
      </c>
      <c r="L5052" s="10">
        <f>I5052*J5052*(1-K5052)</f>
        <v/>
      </c>
      <c r="M5052" s="10" t="n">
        <v>180</v>
      </c>
      <c r="N5052" s="10">
        <f>L5052-M5052</f>
        <v/>
      </c>
    </row>
    <row r="5053">
      <c r="A5053" s="7" t="inlineStr">
        <is>
          <t>ORD-04689</t>
        </is>
      </c>
      <c r="B5053" s="8" t="n">
        <v>45920</v>
      </c>
      <c r="C5053" s="9" t="n">
        <v>45901</v>
      </c>
      <c r="D5053" s="7" t="n">
        <v>2025</v>
      </c>
      <c r="E5053" s="7" t="inlineStr">
        <is>
          <t>East</t>
        </is>
      </c>
      <c r="F5053" s="7" t="inlineStr">
        <is>
          <t>Technology</t>
        </is>
      </c>
      <c r="G5053" s="7" t="inlineStr">
        <is>
          <t>Headphones</t>
        </is>
      </c>
      <c r="H5053" s="7" t="inlineStr">
        <is>
          <t>Corporate</t>
        </is>
      </c>
      <c r="I5053" s="7" t="n">
        <v>2</v>
      </c>
      <c r="J5053" s="10" t="n">
        <v>115.51</v>
      </c>
      <c r="K5053" s="11" t="n">
        <v>0.1</v>
      </c>
      <c r="L5053" s="10">
        <f>I5053*J5053*(1-K5053)</f>
        <v/>
      </c>
      <c r="M5053" s="10" t="n">
        <v>144</v>
      </c>
      <c r="N5053" s="10">
        <f>L5053-M5053</f>
        <v/>
      </c>
    </row>
    <row r="5054">
      <c r="A5054" s="7" t="inlineStr">
        <is>
          <t>ORD-00116</t>
        </is>
      </c>
      <c r="B5054" s="8" t="n">
        <v>45920</v>
      </c>
      <c r="C5054" s="9" t="n">
        <v>45901</v>
      </c>
      <c r="D5054" s="7" t="n">
        <v>2025</v>
      </c>
      <c r="E5054" s="7" t="inlineStr">
        <is>
          <t>South</t>
        </is>
      </c>
      <c r="F5054" s="7" t="inlineStr">
        <is>
          <t>Technology</t>
        </is>
      </c>
      <c r="G5054" s="7" t="inlineStr">
        <is>
          <t>Smartphone</t>
        </is>
      </c>
      <c r="H5054" s="7" t="inlineStr">
        <is>
          <t>Consumer</t>
        </is>
      </c>
      <c r="I5054" s="7" t="n">
        <v>1</v>
      </c>
      <c r="J5054" s="10" t="n">
        <v>603.22</v>
      </c>
      <c r="K5054" s="11" t="n">
        <v>0.05</v>
      </c>
      <c r="L5054" s="10">
        <f>I5054*J5054*(1-K5054)</f>
        <v/>
      </c>
      <c r="M5054" s="10" t="n">
        <v>450</v>
      </c>
      <c r="N5054" s="10">
        <f>L5054-M5054</f>
        <v/>
      </c>
    </row>
    <row r="5055">
      <c r="A5055" s="7" t="inlineStr">
        <is>
          <t>ORD-00521</t>
        </is>
      </c>
      <c r="B5055" s="8" t="n">
        <v>45920</v>
      </c>
      <c r="C5055" s="9" t="n">
        <v>45901</v>
      </c>
      <c r="D5055" s="7" t="n">
        <v>2025</v>
      </c>
      <c r="E5055" s="7" t="inlineStr">
        <is>
          <t>North</t>
        </is>
      </c>
      <c r="F5055" s="7" t="inlineStr">
        <is>
          <t>Furniture</t>
        </is>
      </c>
      <c r="G5055" s="7" t="inlineStr">
        <is>
          <t>Bookcase</t>
        </is>
      </c>
      <c r="H5055" s="7" t="inlineStr">
        <is>
          <t>Consumer</t>
        </is>
      </c>
      <c r="I5055" s="7" t="n">
        <v>2</v>
      </c>
      <c r="J5055" s="10" t="n">
        <v>175.91</v>
      </c>
      <c r="K5055" s="11" t="n">
        <v>0.1</v>
      </c>
      <c r="L5055" s="10">
        <f>I5055*J5055*(1-K5055)</f>
        <v/>
      </c>
      <c r="M5055" s="10" t="n">
        <v>288</v>
      </c>
      <c r="N5055" s="10">
        <f>L5055-M5055</f>
        <v/>
      </c>
    </row>
    <row r="5056">
      <c r="A5056" s="7" t="inlineStr">
        <is>
          <t>ORD-03743</t>
        </is>
      </c>
      <c r="B5056" s="8" t="n">
        <v>45920</v>
      </c>
      <c r="C5056" s="9" t="n">
        <v>45901</v>
      </c>
      <c r="D5056" s="7" t="n">
        <v>2025</v>
      </c>
      <c r="E5056" s="7" t="inlineStr">
        <is>
          <t>East</t>
        </is>
      </c>
      <c r="F5056" s="7" t="inlineStr">
        <is>
          <t>Technology</t>
        </is>
      </c>
      <c r="G5056" s="7" t="inlineStr">
        <is>
          <t>Laptop</t>
        </is>
      </c>
      <c r="H5056" s="7" t="inlineStr">
        <is>
          <t>Corporate</t>
        </is>
      </c>
      <c r="I5056" s="7" t="n">
        <v>1</v>
      </c>
      <c r="J5056" s="10" t="n">
        <v>921.91</v>
      </c>
      <c r="K5056" s="11" t="n">
        <v>0.1</v>
      </c>
      <c r="L5056" s="10">
        <f>I5056*J5056*(1-K5056)</f>
        <v/>
      </c>
      <c r="M5056" s="10" t="n">
        <v>702</v>
      </c>
      <c r="N5056" s="10">
        <f>L5056-M5056</f>
        <v/>
      </c>
    </row>
    <row r="5057">
      <c r="A5057" s="7" t="inlineStr">
        <is>
          <t>ORD-01497</t>
        </is>
      </c>
      <c r="B5057" s="8" t="n">
        <v>45920</v>
      </c>
      <c r="C5057" s="9" t="n">
        <v>45901</v>
      </c>
      <c r="D5057" s="7" t="n">
        <v>2025</v>
      </c>
      <c r="E5057" s="7" t="inlineStr">
        <is>
          <t>East</t>
        </is>
      </c>
      <c r="F5057" s="7" t="inlineStr">
        <is>
          <t>Technology</t>
        </is>
      </c>
      <c r="G5057" s="7" t="inlineStr">
        <is>
          <t>Smartphone</t>
        </is>
      </c>
      <c r="H5057" s="7" t="inlineStr">
        <is>
          <t>Consumer</t>
        </is>
      </c>
      <c r="I5057" s="7" t="n">
        <v>3</v>
      </c>
      <c r="J5057" s="10" t="n">
        <v>576.4400000000001</v>
      </c>
      <c r="K5057" s="11" t="n">
        <v>0.1</v>
      </c>
      <c r="L5057" s="10">
        <f>I5057*J5057*(1-K5057)</f>
        <v/>
      </c>
      <c r="M5057" s="10" t="n">
        <v>1350</v>
      </c>
      <c r="N5057" s="10">
        <f>L5057-M5057</f>
        <v/>
      </c>
    </row>
    <row r="5058">
      <c r="A5058" s="7" t="inlineStr">
        <is>
          <t>ORD-04499</t>
        </is>
      </c>
      <c r="B5058" s="8" t="n">
        <v>45920</v>
      </c>
      <c r="C5058" s="9" t="n">
        <v>45901</v>
      </c>
      <c r="D5058" s="7" t="n">
        <v>2025</v>
      </c>
      <c r="E5058" s="7" t="inlineStr">
        <is>
          <t>South</t>
        </is>
      </c>
      <c r="F5058" s="7" t="inlineStr">
        <is>
          <t>Office Supplies</t>
        </is>
      </c>
      <c r="G5058" s="7" t="inlineStr">
        <is>
          <t>Binder</t>
        </is>
      </c>
      <c r="H5058" s="7" t="inlineStr">
        <is>
          <t>Home Office</t>
        </is>
      </c>
      <c r="I5058" s="7" t="n">
        <v>15</v>
      </c>
      <c r="J5058" s="10" t="n">
        <v>7.82</v>
      </c>
      <c r="K5058" s="11" t="n">
        <v>0</v>
      </c>
      <c r="L5058" s="10">
        <f>I5058*J5058*(1-K5058)</f>
        <v/>
      </c>
      <c r="M5058" s="10" t="n">
        <v>48</v>
      </c>
      <c r="N5058" s="10">
        <f>L5058-M5058</f>
        <v/>
      </c>
    </row>
    <row r="5059">
      <c r="A5059" s="7" t="inlineStr">
        <is>
          <t>ORD-05694</t>
        </is>
      </c>
      <c r="B5059" s="8" t="n">
        <v>45920</v>
      </c>
      <c r="C5059" s="9" t="n">
        <v>45901</v>
      </c>
      <c r="D5059" s="7" t="n">
        <v>2025</v>
      </c>
      <c r="E5059" s="7" t="inlineStr">
        <is>
          <t>West</t>
        </is>
      </c>
      <c r="F5059" s="7" t="inlineStr">
        <is>
          <t>Technology</t>
        </is>
      </c>
      <c r="G5059" s="7" t="inlineStr">
        <is>
          <t>Monitor</t>
        </is>
      </c>
      <c r="H5059" s="7" t="inlineStr">
        <is>
          <t>Corporate</t>
        </is>
      </c>
      <c r="I5059" s="7" t="n">
        <v>1</v>
      </c>
      <c r="J5059" s="10" t="n">
        <v>249.17</v>
      </c>
      <c r="K5059" s="11" t="n">
        <v>0.05</v>
      </c>
      <c r="L5059" s="10">
        <f>I5059*J5059*(1-K5059)</f>
        <v/>
      </c>
      <c r="M5059" s="10" t="n">
        <v>180</v>
      </c>
      <c r="N5059" s="10">
        <f>L5059-M5059</f>
        <v/>
      </c>
    </row>
    <row r="5060">
      <c r="A5060" s="7" t="inlineStr">
        <is>
          <t>ORD-03493</t>
        </is>
      </c>
      <c r="B5060" s="8" t="n">
        <v>45920</v>
      </c>
      <c r="C5060" s="9" t="n">
        <v>45901</v>
      </c>
      <c r="D5060" s="7" t="n">
        <v>2025</v>
      </c>
      <c r="E5060" s="7" t="inlineStr">
        <is>
          <t>North</t>
        </is>
      </c>
      <c r="F5060" s="7" t="inlineStr">
        <is>
          <t>Office Supplies</t>
        </is>
      </c>
      <c r="G5060" s="7" t="inlineStr">
        <is>
          <t>Printer Ink</t>
        </is>
      </c>
      <c r="H5060" s="7" t="inlineStr">
        <is>
          <t>Home Office</t>
        </is>
      </c>
      <c r="I5060" s="7" t="n">
        <v>13</v>
      </c>
      <c r="J5060" s="10" t="n">
        <v>59.16</v>
      </c>
      <c r="K5060" s="11" t="n">
        <v>0.2</v>
      </c>
      <c r="L5060" s="10">
        <f>I5060*J5060*(1-K5060)</f>
        <v/>
      </c>
      <c r="M5060" s="10" t="n">
        <v>468</v>
      </c>
      <c r="N5060" s="10">
        <f>L5060-M5060</f>
        <v/>
      </c>
    </row>
    <row r="5061">
      <c r="A5061" s="7" t="inlineStr">
        <is>
          <t>ORD-01336</t>
        </is>
      </c>
      <c r="B5061" s="8" t="n">
        <v>45920</v>
      </c>
      <c r="C5061" s="9" t="n">
        <v>45901</v>
      </c>
      <c r="D5061" s="7" t="n">
        <v>2025</v>
      </c>
      <c r="E5061" s="7" t="inlineStr">
        <is>
          <t>North</t>
        </is>
      </c>
      <c r="F5061" s="7" t="inlineStr">
        <is>
          <t>Technology</t>
        </is>
      </c>
      <c r="G5061" s="7" t="inlineStr">
        <is>
          <t>Headphones</t>
        </is>
      </c>
      <c r="H5061" s="7" t="inlineStr">
        <is>
          <t>Consumer</t>
        </is>
      </c>
      <c r="I5061" s="7" t="n">
        <v>2</v>
      </c>
      <c r="J5061" s="10" t="n">
        <v>124.38</v>
      </c>
      <c r="K5061" s="11" t="n">
        <v>0.05</v>
      </c>
      <c r="L5061" s="10">
        <f>I5061*J5061*(1-K5061)</f>
        <v/>
      </c>
      <c r="M5061" s="10" t="n">
        <v>144</v>
      </c>
      <c r="N5061" s="10">
        <f>L5061-M5061</f>
        <v/>
      </c>
    </row>
    <row r="5062">
      <c r="A5062" s="7" t="inlineStr">
        <is>
          <t>ORD-01789</t>
        </is>
      </c>
      <c r="B5062" s="8" t="n">
        <v>45920</v>
      </c>
      <c r="C5062" s="9" t="n">
        <v>45901</v>
      </c>
      <c r="D5062" s="7" t="n">
        <v>2025</v>
      </c>
      <c r="E5062" s="7" t="inlineStr">
        <is>
          <t>East</t>
        </is>
      </c>
      <c r="F5062" s="7" t="inlineStr">
        <is>
          <t>Office Supplies</t>
        </is>
      </c>
      <c r="G5062" s="7" t="inlineStr">
        <is>
          <t>Pens</t>
        </is>
      </c>
      <c r="H5062" s="7" t="inlineStr">
        <is>
          <t>Consumer</t>
        </is>
      </c>
      <c r="I5062" s="7" t="n">
        <v>15</v>
      </c>
      <c r="J5062" s="10" t="n">
        <v>11.58</v>
      </c>
      <c r="K5062" s="11" t="n">
        <v>0</v>
      </c>
      <c r="L5062" s="10">
        <f>I5062*J5062*(1-K5062)</f>
        <v/>
      </c>
      <c r="M5062" s="10" t="n">
        <v>81</v>
      </c>
      <c r="N5062" s="10">
        <f>L5062-M5062</f>
        <v/>
      </c>
    </row>
    <row r="5063">
      <c r="A5063" s="7" t="inlineStr">
        <is>
          <t>ORD-04607</t>
        </is>
      </c>
      <c r="B5063" s="8" t="n">
        <v>45921</v>
      </c>
      <c r="C5063" s="9" t="n">
        <v>45901</v>
      </c>
      <c r="D5063" s="7" t="n">
        <v>2025</v>
      </c>
      <c r="E5063" s="7" t="inlineStr">
        <is>
          <t>East</t>
        </is>
      </c>
      <c r="F5063" s="7" t="inlineStr">
        <is>
          <t>Technology</t>
        </is>
      </c>
      <c r="G5063" s="7" t="inlineStr">
        <is>
          <t>Headphones</t>
        </is>
      </c>
      <c r="H5063" s="7" t="inlineStr">
        <is>
          <t>Home Office</t>
        </is>
      </c>
      <c r="I5063" s="7" t="n">
        <v>1</v>
      </c>
      <c r="J5063" s="10" t="n">
        <v>117.62</v>
      </c>
      <c r="K5063" s="11" t="n">
        <v>0</v>
      </c>
      <c r="L5063" s="10">
        <f>I5063*J5063*(1-K5063)</f>
        <v/>
      </c>
      <c r="M5063" s="10" t="n">
        <v>72</v>
      </c>
      <c r="N5063" s="10">
        <f>L5063-M5063</f>
        <v/>
      </c>
    </row>
    <row r="5064">
      <c r="A5064" s="7" t="inlineStr">
        <is>
          <t>ORD-02156</t>
        </is>
      </c>
      <c r="B5064" s="8" t="n">
        <v>45921</v>
      </c>
      <c r="C5064" s="9" t="n">
        <v>45901</v>
      </c>
      <c r="D5064" s="7" t="n">
        <v>2025</v>
      </c>
      <c r="E5064" s="7" t="inlineStr">
        <is>
          <t>North</t>
        </is>
      </c>
      <c r="F5064" s="7" t="inlineStr">
        <is>
          <t>Office Supplies</t>
        </is>
      </c>
      <c r="G5064" s="7" t="inlineStr">
        <is>
          <t>Pens</t>
        </is>
      </c>
      <c r="H5064" s="7" t="inlineStr">
        <is>
          <t>Corporate</t>
        </is>
      </c>
      <c r="I5064" s="7" t="n">
        <v>3</v>
      </c>
      <c r="J5064" s="10" t="n">
        <v>12.24</v>
      </c>
      <c r="K5064" s="11" t="n">
        <v>0.05</v>
      </c>
      <c r="L5064" s="10">
        <f>I5064*J5064*(1-K5064)</f>
        <v/>
      </c>
      <c r="M5064" s="10" t="n">
        <v>16.2</v>
      </c>
      <c r="N5064" s="10">
        <f>L5064-M5064</f>
        <v/>
      </c>
    </row>
    <row r="5065">
      <c r="A5065" s="7" t="inlineStr">
        <is>
          <t>ORD-04278</t>
        </is>
      </c>
      <c r="B5065" s="8" t="n">
        <v>45921</v>
      </c>
      <c r="C5065" s="9" t="n">
        <v>45901</v>
      </c>
      <c r="D5065" s="7" t="n">
        <v>2025</v>
      </c>
      <c r="E5065" s="7" t="inlineStr">
        <is>
          <t>East</t>
        </is>
      </c>
      <c r="F5065" s="7" t="inlineStr">
        <is>
          <t>Office Supplies</t>
        </is>
      </c>
      <c r="G5065" s="7" t="inlineStr">
        <is>
          <t>Pens</t>
        </is>
      </c>
      <c r="H5065" s="7" t="inlineStr">
        <is>
          <t>Home Office</t>
        </is>
      </c>
      <c r="I5065" s="7" t="n">
        <v>9</v>
      </c>
      <c r="J5065" s="10" t="n">
        <v>12.41</v>
      </c>
      <c r="K5065" s="11" t="n">
        <v>0.1</v>
      </c>
      <c r="L5065" s="10">
        <f>I5065*J5065*(1-K5065)</f>
        <v/>
      </c>
      <c r="M5065" s="10" t="n">
        <v>48.6</v>
      </c>
      <c r="N5065" s="10">
        <f>L5065-M5065</f>
        <v/>
      </c>
    </row>
    <row r="5066">
      <c r="A5066" s="7" t="inlineStr">
        <is>
          <t>ORD-00305</t>
        </is>
      </c>
      <c r="B5066" s="8" t="n">
        <v>45921</v>
      </c>
      <c r="C5066" s="9" t="n">
        <v>45901</v>
      </c>
      <c r="D5066" s="7" t="n">
        <v>2025</v>
      </c>
      <c r="E5066" s="7" t="inlineStr">
        <is>
          <t>South</t>
        </is>
      </c>
      <c r="F5066" s="7" t="inlineStr">
        <is>
          <t>Office Supplies</t>
        </is>
      </c>
      <c r="G5066" s="7" t="inlineStr">
        <is>
          <t>Pens</t>
        </is>
      </c>
      <c r="H5066" s="7" t="inlineStr">
        <is>
          <t>Corporate</t>
        </is>
      </c>
      <c r="I5066" s="7" t="n">
        <v>11</v>
      </c>
      <c r="J5066" s="10" t="n">
        <v>11.82</v>
      </c>
      <c r="K5066" s="11" t="n">
        <v>0</v>
      </c>
      <c r="L5066" s="10">
        <f>I5066*J5066*(1-K5066)</f>
        <v/>
      </c>
      <c r="M5066" s="10" t="n">
        <v>59.4</v>
      </c>
      <c r="N5066" s="10">
        <f>L5066-M5066</f>
        <v/>
      </c>
    </row>
    <row r="5067">
      <c r="A5067" s="7" t="inlineStr">
        <is>
          <t>ORD-04957</t>
        </is>
      </c>
      <c r="B5067" s="8" t="n">
        <v>45922</v>
      </c>
      <c r="C5067" s="9" t="n">
        <v>45901</v>
      </c>
      <c r="D5067" s="7" t="n">
        <v>2025</v>
      </c>
      <c r="E5067" s="7" t="inlineStr">
        <is>
          <t>North</t>
        </is>
      </c>
      <c r="F5067" s="7" t="inlineStr">
        <is>
          <t>Office Supplies</t>
        </is>
      </c>
      <c r="G5067" s="7" t="inlineStr">
        <is>
          <t>Pens</t>
        </is>
      </c>
      <c r="H5067" s="7" t="inlineStr">
        <is>
          <t>Consumer</t>
        </is>
      </c>
      <c r="I5067" s="7" t="n">
        <v>7</v>
      </c>
      <c r="J5067" s="10" t="n">
        <v>12.42</v>
      </c>
      <c r="K5067" s="11" t="n">
        <v>0</v>
      </c>
      <c r="L5067" s="10">
        <f>I5067*J5067*(1-K5067)</f>
        <v/>
      </c>
      <c r="M5067" s="10" t="n">
        <v>37.8</v>
      </c>
      <c r="N5067" s="10">
        <f>L5067-M5067</f>
        <v/>
      </c>
    </row>
    <row r="5068">
      <c r="A5068" s="7" t="inlineStr">
        <is>
          <t>ORD-04941</t>
        </is>
      </c>
      <c r="B5068" s="8" t="n">
        <v>45922</v>
      </c>
      <c r="C5068" s="9" t="n">
        <v>45901</v>
      </c>
      <c r="D5068" s="7" t="n">
        <v>2025</v>
      </c>
      <c r="E5068" s="7" t="inlineStr">
        <is>
          <t>South</t>
        </is>
      </c>
      <c r="F5068" s="7" t="inlineStr">
        <is>
          <t>Technology</t>
        </is>
      </c>
      <c r="G5068" s="7" t="inlineStr">
        <is>
          <t>Laptop</t>
        </is>
      </c>
      <c r="H5068" s="7" t="inlineStr">
        <is>
          <t>Home Office</t>
        </is>
      </c>
      <c r="I5068" s="7" t="n">
        <v>2</v>
      </c>
      <c r="J5068" s="10" t="n">
        <v>888.13</v>
      </c>
      <c r="K5068" s="11" t="n">
        <v>0.05</v>
      </c>
      <c r="L5068" s="10">
        <f>I5068*J5068*(1-K5068)</f>
        <v/>
      </c>
      <c r="M5068" s="10" t="n">
        <v>1404</v>
      </c>
      <c r="N5068" s="10">
        <f>L5068-M5068</f>
        <v/>
      </c>
    </row>
    <row r="5069">
      <c r="A5069" s="7" t="inlineStr">
        <is>
          <t>ORD-00646</t>
        </is>
      </c>
      <c r="B5069" s="8" t="n">
        <v>45922</v>
      </c>
      <c r="C5069" s="9" t="n">
        <v>45901</v>
      </c>
      <c r="D5069" s="7" t="n">
        <v>2025</v>
      </c>
      <c r="E5069" s="7" t="inlineStr">
        <is>
          <t>West</t>
        </is>
      </c>
      <c r="F5069" s="7" t="inlineStr">
        <is>
          <t>Furniture</t>
        </is>
      </c>
      <c r="G5069" s="7" t="inlineStr">
        <is>
          <t>Bookcase</t>
        </is>
      </c>
      <c r="H5069" s="7" t="inlineStr">
        <is>
          <t>Home Office</t>
        </is>
      </c>
      <c r="I5069" s="7" t="n">
        <v>3</v>
      </c>
      <c r="J5069" s="10" t="n">
        <v>186.31</v>
      </c>
      <c r="K5069" s="11" t="n">
        <v>0.2</v>
      </c>
      <c r="L5069" s="10">
        <f>I5069*J5069*(1-K5069)</f>
        <v/>
      </c>
      <c r="M5069" s="10" t="n">
        <v>432</v>
      </c>
      <c r="N5069" s="10">
        <f>L5069-M5069</f>
        <v/>
      </c>
    </row>
    <row r="5070">
      <c r="A5070" s="7" t="inlineStr">
        <is>
          <t>ORD-00003</t>
        </is>
      </c>
      <c r="B5070" s="8" t="n">
        <v>45922</v>
      </c>
      <c r="C5070" s="9" t="n">
        <v>45901</v>
      </c>
      <c r="D5070" s="7" t="n">
        <v>2025</v>
      </c>
      <c r="E5070" s="7" t="inlineStr">
        <is>
          <t>East</t>
        </is>
      </c>
      <c r="F5070" s="7" t="inlineStr">
        <is>
          <t>Office Supplies</t>
        </is>
      </c>
      <c r="G5070" s="7" t="inlineStr">
        <is>
          <t>Stapler</t>
        </is>
      </c>
      <c r="H5070" s="7" t="inlineStr">
        <is>
          <t>Consumer</t>
        </is>
      </c>
      <c r="I5070" s="7" t="n">
        <v>6</v>
      </c>
      <c r="J5070" s="10" t="n">
        <v>15.29</v>
      </c>
      <c r="K5070" s="11" t="n">
        <v>0</v>
      </c>
      <c r="L5070" s="10">
        <f>I5070*J5070*(1-K5070)</f>
        <v/>
      </c>
      <c r="M5070" s="10" t="n">
        <v>45</v>
      </c>
      <c r="N5070" s="10">
        <f>L5070-M5070</f>
        <v/>
      </c>
    </row>
    <row r="5071">
      <c r="A5071" s="7" t="inlineStr">
        <is>
          <t>ORD-02578</t>
        </is>
      </c>
      <c r="B5071" s="8" t="n">
        <v>45923</v>
      </c>
      <c r="C5071" s="9" t="n">
        <v>45901</v>
      </c>
      <c r="D5071" s="7" t="n">
        <v>2025</v>
      </c>
      <c r="E5071" s="7" t="inlineStr">
        <is>
          <t>West</t>
        </is>
      </c>
      <c r="F5071" s="7" t="inlineStr">
        <is>
          <t>Office Supplies</t>
        </is>
      </c>
      <c r="G5071" s="7" t="inlineStr">
        <is>
          <t>Binder</t>
        </is>
      </c>
      <c r="H5071" s="7" t="inlineStr">
        <is>
          <t>Consumer</t>
        </is>
      </c>
      <c r="I5071" s="7" t="n">
        <v>2</v>
      </c>
      <c r="J5071" s="10" t="n">
        <v>7.78</v>
      </c>
      <c r="K5071" s="11" t="n">
        <v>0.3</v>
      </c>
      <c r="L5071" s="10">
        <f>I5071*J5071*(1-K5071)</f>
        <v/>
      </c>
      <c r="M5071" s="10" t="n">
        <v>6.4</v>
      </c>
      <c r="N5071" s="10">
        <f>L5071-M5071</f>
        <v/>
      </c>
    </row>
    <row r="5072">
      <c r="A5072" s="7" t="inlineStr">
        <is>
          <t>ORD-02071</t>
        </is>
      </c>
      <c r="B5072" s="8" t="n">
        <v>45923</v>
      </c>
      <c r="C5072" s="9" t="n">
        <v>45901</v>
      </c>
      <c r="D5072" s="7" t="n">
        <v>2025</v>
      </c>
      <c r="E5072" s="7" t="inlineStr">
        <is>
          <t>East</t>
        </is>
      </c>
      <c r="F5072" s="7" t="inlineStr">
        <is>
          <t>Technology</t>
        </is>
      </c>
      <c r="G5072" s="7" t="inlineStr">
        <is>
          <t>Keyboard</t>
        </is>
      </c>
      <c r="H5072" s="7" t="inlineStr">
        <is>
          <t>Corporate</t>
        </is>
      </c>
      <c r="I5072" s="7" t="n">
        <v>2</v>
      </c>
      <c r="J5072" s="10" t="n">
        <v>46.46</v>
      </c>
      <c r="K5072" s="11" t="n">
        <v>0.3</v>
      </c>
      <c r="L5072" s="10">
        <f>I5072*J5072*(1-K5072)</f>
        <v/>
      </c>
      <c r="M5072" s="10" t="n">
        <v>49.5</v>
      </c>
      <c r="N5072" s="10">
        <f>L5072-M5072</f>
        <v/>
      </c>
    </row>
    <row r="5073">
      <c r="A5073" s="7" t="inlineStr">
        <is>
          <t>ORD-03650</t>
        </is>
      </c>
      <c r="B5073" s="8" t="n">
        <v>45923</v>
      </c>
      <c r="C5073" s="9" t="n">
        <v>45901</v>
      </c>
      <c r="D5073" s="7" t="n">
        <v>2025</v>
      </c>
      <c r="E5073" s="7" t="inlineStr">
        <is>
          <t>East</t>
        </is>
      </c>
      <c r="F5073" s="7" t="inlineStr">
        <is>
          <t>Office Supplies</t>
        </is>
      </c>
      <c r="G5073" s="7" t="inlineStr">
        <is>
          <t>Printer Ink</t>
        </is>
      </c>
      <c r="H5073" s="7" t="inlineStr">
        <is>
          <t>Consumer</t>
        </is>
      </c>
      <c r="I5073" s="7" t="n">
        <v>4</v>
      </c>
      <c r="J5073" s="10" t="n">
        <v>60.52</v>
      </c>
      <c r="K5073" s="11" t="n">
        <v>0</v>
      </c>
      <c r="L5073" s="10">
        <f>I5073*J5073*(1-K5073)</f>
        <v/>
      </c>
      <c r="M5073" s="10" t="n">
        <v>144</v>
      </c>
      <c r="N5073" s="10">
        <f>L5073-M5073</f>
        <v/>
      </c>
    </row>
    <row r="5074">
      <c r="A5074" s="7" t="inlineStr">
        <is>
          <t>ORD-03028</t>
        </is>
      </c>
      <c r="B5074" s="8" t="n">
        <v>45923</v>
      </c>
      <c r="C5074" s="9" t="n">
        <v>45901</v>
      </c>
      <c r="D5074" s="7" t="n">
        <v>2025</v>
      </c>
      <c r="E5074" s="7" t="inlineStr">
        <is>
          <t>North</t>
        </is>
      </c>
      <c r="F5074" s="7" t="inlineStr">
        <is>
          <t>Office Supplies</t>
        </is>
      </c>
      <c r="G5074" s="7" t="inlineStr">
        <is>
          <t>Paper</t>
        </is>
      </c>
      <c r="H5074" s="7" t="inlineStr">
        <is>
          <t>Consumer</t>
        </is>
      </c>
      <c r="I5074" s="7" t="n">
        <v>6</v>
      </c>
      <c r="J5074" s="10" t="n">
        <v>25.08</v>
      </c>
      <c r="K5074" s="11" t="n">
        <v>0.05</v>
      </c>
      <c r="L5074" s="10">
        <f>I5074*J5074*(1-K5074)</f>
        <v/>
      </c>
      <c r="M5074" s="10" t="n">
        <v>75</v>
      </c>
      <c r="N5074" s="10">
        <f>L5074-M5074</f>
        <v/>
      </c>
    </row>
    <row r="5075">
      <c r="A5075" s="7" t="inlineStr">
        <is>
          <t>ORD-01981</t>
        </is>
      </c>
      <c r="B5075" s="8" t="n">
        <v>45923</v>
      </c>
      <c r="C5075" s="9" t="n">
        <v>45901</v>
      </c>
      <c r="D5075" s="7" t="n">
        <v>2025</v>
      </c>
      <c r="E5075" s="7" t="inlineStr">
        <is>
          <t>East</t>
        </is>
      </c>
      <c r="F5075" s="7" t="inlineStr">
        <is>
          <t>Technology</t>
        </is>
      </c>
      <c r="G5075" s="7" t="inlineStr">
        <is>
          <t>Headphones</t>
        </is>
      </c>
      <c r="H5075" s="7" t="inlineStr">
        <is>
          <t>Corporate</t>
        </is>
      </c>
      <c r="I5075" s="7" t="n">
        <v>3</v>
      </c>
      <c r="J5075" s="10" t="n">
        <v>118.21</v>
      </c>
      <c r="K5075" s="11" t="n">
        <v>0</v>
      </c>
      <c r="L5075" s="10">
        <f>I5075*J5075*(1-K5075)</f>
        <v/>
      </c>
      <c r="M5075" s="10" t="n">
        <v>216</v>
      </c>
      <c r="N5075" s="10">
        <f>L5075-M5075</f>
        <v/>
      </c>
    </row>
    <row r="5076">
      <c r="A5076" s="7" t="inlineStr">
        <is>
          <t>ORD-00853</t>
        </is>
      </c>
      <c r="B5076" s="8" t="n">
        <v>45923</v>
      </c>
      <c r="C5076" s="9" t="n">
        <v>45901</v>
      </c>
      <c r="D5076" s="7" t="n">
        <v>2025</v>
      </c>
      <c r="E5076" s="7" t="inlineStr">
        <is>
          <t>South</t>
        </is>
      </c>
      <c r="F5076" s="7" t="inlineStr">
        <is>
          <t>Office Supplies</t>
        </is>
      </c>
      <c r="G5076" s="7" t="inlineStr">
        <is>
          <t>Binder</t>
        </is>
      </c>
      <c r="H5076" s="7" t="inlineStr">
        <is>
          <t>Consumer</t>
        </is>
      </c>
      <c r="I5076" s="7" t="n">
        <v>10</v>
      </c>
      <c r="J5076" s="10" t="n">
        <v>7.72</v>
      </c>
      <c r="K5076" s="11" t="n">
        <v>0.1</v>
      </c>
      <c r="L5076" s="10">
        <f>I5076*J5076*(1-K5076)</f>
        <v/>
      </c>
      <c r="M5076" s="10" t="n">
        <v>32</v>
      </c>
      <c r="N5076" s="10">
        <f>L5076-M5076</f>
        <v/>
      </c>
    </row>
    <row r="5077">
      <c r="A5077" s="7" t="inlineStr">
        <is>
          <t>ORD-04885</t>
        </is>
      </c>
      <c r="B5077" s="8" t="n">
        <v>45923</v>
      </c>
      <c r="C5077" s="9" t="n">
        <v>45901</v>
      </c>
      <c r="D5077" s="7" t="n">
        <v>2025</v>
      </c>
      <c r="E5077" s="7" t="inlineStr">
        <is>
          <t>North</t>
        </is>
      </c>
      <c r="F5077" s="7" t="inlineStr">
        <is>
          <t>Technology</t>
        </is>
      </c>
      <c r="G5077" s="7" t="inlineStr">
        <is>
          <t>Smartphone</t>
        </is>
      </c>
      <c r="H5077" s="7" t="inlineStr">
        <is>
          <t>Corporate</t>
        </is>
      </c>
      <c r="I5077" s="7" t="n">
        <v>3</v>
      </c>
      <c r="J5077" s="10" t="n">
        <v>609.28</v>
      </c>
      <c r="K5077" s="11" t="n">
        <v>0.3</v>
      </c>
      <c r="L5077" s="10">
        <f>I5077*J5077*(1-K5077)</f>
        <v/>
      </c>
      <c r="M5077" s="10" t="n">
        <v>1350</v>
      </c>
      <c r="N5077" s="10">
        <f>L5077-M5077</f>
        <v/>
      </c>
    </row>
    <row r="5078">
      <c r="A5078" s="7" t="inlineStr">
        <is>
          <t>ORD-01866</t>
        </is>
      </c>
      <c r="B5078" s="8" t="n">
        <v>45923</v>
      </c>
      <c r="C5078" s="9" t="n">
        <v>45901</v>
      </c>
      <c r="D5078" s="7" t="n">
        <v>2025</v>
      </c>
      <c r="E5078" s="7" t="inlineStr">
        <is>
          <t>East</t>
        </is>
      </c>
      <c r="F5078" s="7" t="inlineStr">
        <is>
          <t>Office Supplies</t>
        </is>
      </c>
      <c r="G5078" s="7" t="inlineStr">
        <is>
          <t>Paper</t>
        </is>
      </c>
      <c r="H5078" s="7" t="inlineStr">
        <is>
          <t>Consumer</t>
        </is>
      </c>
      <c r="I5078" s="7" t="n">
        <v>2</v>
      </c>
      <c r="J5078" s="10" t="n">
        <v>23.8</v>
      </c>
      <c r="K5078" s="11" t="n">
        <v>0.05</v>
      </c>
      <c r="L5078" s="10">
        <f>I5078*J5078*(1-K5078)</f>
        <v/>
      </c>
      <c r="M5078" s="10" t="n">
        <v>25</v>
      </c>
      <c r="N5078" s="10">
        <f>L5078-M5078</f>
        <v/>
      </c>
    </row>
    <row r="5079">
      <c r="A5079" s="7" t="inlineStr">
        <is>
          <t>ORD-05274</t>
        </is>
      </c>
      <c r="B5079" s="8" t="n">
        <v>45923</v>
      </c>
      <c r="C5079" s="9" t="n">
        <v>45901</v>
      </c>
      <c r="D5079" s="7" t="n">
        <v>2025</v>
      </c>
      <c r="E5079" s="7" t="inlineStr">
        <is>
          <t>West</t>
        </is>
      </c>
      <c r="F5079" s="7" t="inlineStr">
        <is>
          <t>Office Supplies</t>
        </is>
      </c>
      <c r="G5079" s="7" t="inlineStr">
        <is>
          <t>Pens</t>
        </is>
      </c>
      <c r="H5079" s="7" t="inlineStr">
        <is>
          <t>Corporate</t>
        </is>
      </c>
      <c r="I5079" s="7" t="n">
        <v>13</v>
      </c>
      <c r="J5079" s="10" t="n">
        <v>12.46</v>
      </c>
      <c r="K5079" s="11" t="n">
        <v>0.3</v>
      </c>
      <c r="L5079" s="10">
        <f>I5079*J5079*(1-K5079)</f>
        <v/>
      </c>
      <c r="M5079" s="10" t="n">
        <v>70.2</v>
      </c>
      <c r="N5079" s="10">
        <f>L5079-M5079</f>
        <v/>
      </c>
    </row>
    <row r="5080">
      <c r="A5080" s="7" t="inlineStr">
        <is>
          <t>ORD-01166</t>
        </is>
      </c>
      <c r="B5080" s="8" t="n">
        <v>45924</v>
      </c>
      <c r="C5080" s="9" t="n">
        <v>45901</v>
      </c>
      <c r="D5080" s="7" t="n">
        <v>2025</v>
      </c>
      <c r="E5080" s="7" t="inlineStr">
        <is>
          <t>East</t>
        </is>
      </c>
      <c r="F5080" s="7" t="inlineStr">
        <is>
          <t>Office Supplies</t>
        </is>
      </c>
      <c r="G5080" s="7" t="inlineStr">
        <is>
          <t>Paper</t>
        </is>
      </c>
      <c r="H5080" s="7" t="inlineStr">
        <is>
          <t>Corporate</t>
        </is>
      </c>
      <c r="I5080" s="7" t="n">
        <v>11</v>
      </c>
      <c r="J5080" s="10" t="n">
        <v>24.64</v>
      </c>
      <c r="K5080" s="11" t="n">
        <v>0</v>
      </c>
      <c r="L5080" s="10">
        <f>I5080*J5080*(1-K5080)</f>
        <v/>
      </c>
      <c r="M5080" s="10" t="n">
        <v>137.5</v>
      </c>
      <c r="N5080" s="10">
        <f>L5080-M5080</f>
        <v/>
      </c>
    </row>
    <row r="5081">
      <c r="A5081" s="7" t="inlineStr">
        <is>
          <t>ORD-01099</t>
        </is>
      </c>
      <c r="B5081" s="8" t="n">
        <v>45924</v>
      </c>
      <c r="C5081" s="9" t="n">
        <v>45901</v>
      </c>
      <c r="D5081" s="7" t="n">
        <v>2025</v>
      </c>
      <c r="E5081" s="7" t="inlineStr">
        <is>
          <t>West</t>
        </is>
      </c>
      <c r="F5081" s="7" t="inlineStr">
        <is>
          <t>Technology</t>
        </is>
      </c>
      <c r="G5081" s="7" t="inlineStr">
        <is>
          <t>Laptop</t>
        </is>
      </c>
      <c r="H5081" s="7" t="inlineStr">
        <is>
          <t>Corporate</t>
        </is>
      </c>
      <c r="I5081" s="7" t="n">
        <v>2</v>
      </c>
      <c r="J5081" s="10" t="n">
        <v>858.76</v>
      </c>
      <c r="K5081" s="11" t="n">
        <v>0.2</v>
      </c>
      <c r="L5081" s="10">
        <f>I5081*J5081*(1-K5081)</f>
        <v/>
      </c>
      <c r="M5081" s="10" t="n">
        <v>1404</v>
      </c>
      <c r="N5081" s="10">
        <f>L5081-M5081</f>
        <v/>
      </c>
    </row>
    <row r="5082">
      <c r="A5082" s="7" t="inlineStr">
        <is>
          <t>ORD-04163</t>
        </is>
      </c>
      <c r="B5082" s="8" t="n">
        <v>45924</v>
      </c>
      <c r="C5082" s="9" t="n">
        <v>45901</v>
      </c>
      <c r="D5082" s="7" t="n">
        <v>2025</v>
      </c>
      <c r="E5082" s="7" t="inlineStr">
        <is>
          <t>East</t>
        </is>
      </c>
      <c r="F5082" s="7" t="inlineStr">
        <is>
          <t>Technology</t>
        </is>
      </c>
      <c r="G5082" s="7" t="inlineStr">
        <is>
          <t>Monitor</t>
        </is>
      </c>
      <c r="H5082" s="7" t="inlineStr">
        <is>
          <t>Corporate</t>
        </is>
      </c>
      <c r="I5082" s="7" t="n">
        <v>1</v>
      </c>
      <c r="J5082" s="10" t="n">
        <v>255.11</v>
      </c>
      <c r="K5082" s="11" t="n">
        <v>0.3</v>
      </c>
      <c r="L5082" s="10">
        <f>I5082*J5082*(1-K5082)</f>
        <v/>
      </c>
      <c r="M5082" s="10" t="n">
        <v>180</v>
      </c>
      <c r="N5082" s="10">
        <f>L5082-M5082</f>
        <v/>
      </c>
    </row>
    <row r="5083">
      <c r="A5083" s="7" t="inlineStr">
        <is>
          <t>ORD-02715</t>
        </is>
      </c>
      <c r="B5083" s="8" t="n">
        <v>45924</v>
      </c>
      <c r="C5083" s="9" t="n">
        <v>45901</v>
      </c>
      <c r="D5083" s="7" t="n">
        <v>2025</v>
      </c>
      <c r="E5083" s="7" t="inlineStr">
        <is>
          <t>West</t>
        </is>
      </c>
      <c r="F5083" s="7" t="inlineStr">
        <is>
          <t>Office Supplies</t>
        </is>
      </c>
      <c r="G5083" s="7" t="inlineStr">
        <is>
          <t>Pens</t>
        </is>
      </c>
      <c r="H5083" s="7" t="inlineStr">
        <is>
          <t>Corporate</t>
        </is>
      </c>
      <c r="I5083" s="7" t="n">
        <v>3</v>
      </c>
      <c r="J5083" s="10" t="n">
        <v>11.51</v>
      </c>
      <c r="K5083" s="11" t="n">
        <v>0.05</v>
      </c>
      <c r="L5083" s="10">
        <f>I5083*J5083*(1-K5083)</f>
        <v/>
      </c>
      <c r="M5083" s="10" t="n">
        <v>16.2</v>
      </c>
      <c r="N5083" s="10">
        <f>L5083-M5083</f>
        <v/>
      </c>
    </row>
    <row r="5084">
      <c r="A5084" s="7" t="inlineStr">
        <is>
          <t>ORD-05495</t>
        </is>
      </c>
      <c r="B5084" s="8" t="n">
        <v>45924</v>
      </c>
      <c r="C5084" s="9" t="n">
        <v>45901</v>
      </c>
      <c r="D5084" s="7" t="n">
        <v>2025</v>
      </c>
      <c r="E5084" s="7" t="inlineStr">
        <is>
          <t>South</t>
        </is>
      </c>
      <c r="F5084" s="7" t="inlineStr">
        <is>
          <t>Technology</t>
        </is>
      </c>
      <c r="G5084" s="7" t="inlineStr">
        <is>
          <t>Smartphone</t>
        </is>
      </c>
      <c r="H5084" s="7" t="inlineStr">
        <is>
          <t>Corporate</t>
        </is>
      </c>
      <c r="I5084" s="7" t="n">
        <v>1</v>
      </c>
      <c r="J5084" s="10" t="n">
        <v>575.46</v>
      </c>
      <c r="K5084" s="11" t="n">
        <v>0.05</v>
      </c>
      <c r="L5084" s="10">
        <f>I5084*J5084*(1-K5084)</f>
        <v/>
      </c>
      <c r="M5084" s="10" t="n">
        <v>450</v>
      </c>
      <c r="N5084" s="10">
        <f>L5084-M5084</f>
        <v/>
      </c>
    </row>
    <row r="5085">
      <c r="A5085" s="7" t="inlineStr">
        <is>
          <t>ORD-02618</t>
        </is>
      </c>
      <c r="B5085" s="8" t="n">
        <v>45924</v>
      </c>
      <c r="C5085" s="9" t="n">
        <v>45901</v>
      </c>
      <c r="D5085" s="7" t="n">
        <v>2025</v>
      </c>
      <c r="E5085" s="7" t="inlineStr">
        <is>
          <t>South</t>
        </is>
      </c>
      <c r="F5085" s="7" t="inlineStr">
        <is>
          <t>Office Supplies</t>
        </is>
      </c>
      <c r="G5085" s="7" t="inlineStr">
        <is>
          <t>Stapler</t>
        </is>
      </c>
      <c r="H5085" s="7" t="inlineStr">
        <is>
          <t>Corporate</t>
        </is>
      </c>
      <c r="I5085" s="7" t="n">
        <v>12</v>
      </c>
      <c r="J5085" s="10" t="n">
        <v>14.48</v>
      </c>
      <c r="K5085" s="11" t="n">
        <v>0</v>
      </c>
      <c r="L5085" s="10">
        <f>I5085*J5085*(1-K5085)</f>
        <v/>
      </c>
      <c r="M5085" s="10" t="n">
        <v>90</v>
      </c>
      <c r="N5085" s="10">
        <f>L5085-M5085</f>
        <v/>
      </c>
    </row>
    <row r="5086">
      <c r="A5086" s="7" t="inlineStr">
        <is>
          <t>ORD-02279</t>
        </is>
      </c>
      <c r="B5086" s="8" t="n">
        <v>45924</v>
      </c>
      <c r="C5086" s="9" t="n">
        <v>45901</v>
      </c>
      <c r="D5086" s="7" t="n">
        <v>2025</v>
      </c>
      <c r="E5086" s="7" t="inlineStr">
        <is>
          <t>North</t>
        </is>
      </c>
      <c r="F5086" s="7" t="inlineStr">
        <is>
          <t>Technology</t>
        </is>
      </c>
      <c r="G5086" s="7" t="inlineStr">
        <is>
          <t>Monitor</t>
        </is>
      </c>
      <c r="H5086" s="7" t="inlineStr">
        <is>
          <t>Corporate</t>
        </is>
      </c>
      <c r="I5086" s="7" t="n">
        <v>3</v>
      </c>
      <c r="J5086" s="10" t="n">
        <v>245.67</v>
      </c>
      <c r="K5086" s="11" t="n">
        <v>0</v>
      </c>
      <c r="L5086" s="10">
        <f>I5086*J5086*(1-K5086)</f>
        <v/>
      </c>
      <c r="M5086" s="10" t="n">
        <v>540</v>
      </c>
      <c r="N5086" s="10">
        <f>L5086-M5086</f>
        <v/>
      </c>
    </row>
    <row r="5087">
      <c r="A5087" s="7" t="inlineStr">
        <is>
          <t>ORD-03421</t>
        </is>
      </c>
      <c r="B5087" s="8" t="n">
        <v>45924</v>
      </c>
      <c r="C5087" s="9" t="n">
        <v>45901</v>
      </c>
      <c r="D5087" s="7" t="n">
        <v>2025</v>
      </c>
      <c r="E5087" s="7" t="inlineStr">
        <is>
          <t>West</t>
        </is>
      </c>
      <c r="F5087" s="7" t="inlineStr">
        <is>
          <t>Office Supplies</t>
        </is>
      </c>
      <c r="G5087" s="7" t="inlineStr">
        <is>
          <t>Stapler</t>
        </is>
      </c>
      <c r="H5087" s="7" t="inlineStr">
        <is>
          <t>Corporate</t>
        </is>
      </c>
      <c r="I5087" s="7" t="n">
        <v>8</v>
      </c>
      <c r="J5087" s="10" t="n">
        <v>14.55</v>
      </c>
      <c r="K5087" s="11" t="n">
        <v>0.05</v>
      </c>
      <c r="L5087" s="10">
        <f>I5087*J5087*(1-K5087)</f>
        <v/>
      </c>
      <c r="M5087" s="10" t="n">
        <v>60</v>
      </c>
      <c r="N5087" s="10">
        <f>L5087-M5087</f>
        <v/>
      </c>
    </row>
    <row r="5088">
      <c r="A5088" s="7" t="inlineStr">
        <is>
          <t>ORD-03567</t>
        </is>
      </c>
      <c r="B5088" s="8" t="n">
        <v>45924</v>
      </c>
      <c r="C5088" s="9" t="n">
        <v>45901</v>
      </c>
      <c r="D5088" s="7" t="n">
        <v>2025</v>
      </c>
      <c r="E5088" s="7" t="inlineStr">
        <is>
          <t>West</t>
        </is>
      </c>
      <c r="F5088" s="7" t="inlineStr">
        <is>
          <t>Office Supplies</t>
        </is>
      </c>
      <c r="G5088" s="7" t="inlineStr">
        <is>
          <t>Binder</t>
        </is>
      </c>
      <c r="H5088" s="7" t="inlineStr">
        <is>
          <t>Corporate</t>
        </is>
      </c>
      <c r="I5088" s="7" t="n">
        <v>10</v>
      </c>
      <c r="J5088" s="10" t="n">
        <v>8.02</v>
      </c>
      <c r="K5088" s="11" t="n">
        <v>0.2</v>
      </c>
      <c r="L5088" s="10">
        <f>I5088*J5088*(1-K5088)</f>
        <v/>
      </c>
      <c r="M5088" s="10" t="n">
        <v>32</v>
      </c>
      <c r="N5088" s="10">
        <f>L5088-M5088</f>
        <v/>
      </c>
    </row>
    <row r="5089">
      <c r="A5089" s="7" t="inlineStr">
        <is>
          <t>ORD-01049</t>
        </is>
      </c>
      <c r="B5089" s="8" t="n">
        <v>45924</v>
      </c>
      <c r="C5089" s="9" t="n">
        <v>45901</v>
      </c>
      <c r="D5089" s="7" t="n">
        <v>2025</v>
      </c>
      <c r="E5089" s="7" t="inlineStr">
        <is>
          <t>East</t>
        </is>
      </c>
      <c r="F5089" s="7" t="inlineStr">
        <is>
          <t>Furniture</t>
        </is>
      </c>
      <c r="G5089" s="7" t="inlineStr">
        <is>
          <t>Office Chair</t>
        </is>
      </c>
      <c r="H5089" s="7" t="inlineStr">
        <is>
          <t>Home Office</t>
        </is>
      </c>
      <c r="I5089" s="7" t="n">
        <v>2</v>
      </c>
      <c r="J5089" s="10" t="n">
        <v>212.52</v>
      </c>
      <c r="K5089" s="11" t="n">
        <v>0.05</v>
      </c>
      <c r="L5089" s="10">
        <f>I5089*J5089*(1-K5089)</f>
        <v/>
      </c>
      <c r="M5089" s="10" t="n">
        <v>360.8</v>
      </c>
      <c r="N5089" s="10">
        <f>L5089-M5089</f>
        <v/>
      </c>
    </row>
    <row r="5090">
      <c r="A5090" s="7" t="inlineStr">
        <is>
          <t>ORD-01241</t>
        </is>
      </c>
      <c r="B5090" s="8" t="n">
        <v>45924</v>
      </c>
      <c r="C5090" s="9" t="n">
        <v>45901</v>
      </c>
      <c r="D5090" s="7" t="n">
        <v>2025</v>
      </c>
      <c r="E5090" s="7" t="inlineStr">
        <is>
          <t>East</t>
        </is>
      </c>
      <c r="F5090" s="7" t="inlineStr">
        <is>
          <t>Office Supplies</t>
        </is>
      </c>
      <c r="G5090" s="7" t="inlineStr">
        <is>
          <t>Binder</t>
        </is>
      </c>
      <c r="H5090" s="7" t="inlineStr">
        <is>
          <t>Consumer</t>
        </is>
      </c>
      <c r="I5090" s="7" t="n">
        <v>8</v>
      </c>
      <c r="J5090" s="10" t="n">
        <v>8.34</v>
      </c>
      <c r="K5090" s="11" t="n">
        <v>0</v>
      </c>
      <c r="L5090" s="10">
        <f>I5090*J5090*(1-K5090)</f>
        <v/>
      </c>
      <c r="M5090" s="10" t="n">
        <v>25.6</v>
      </c>
      <c r="N5090" s="10">
        <f>L5090-M5090</f>
        <v/>
      </c>
    </row>
    <row r="5091">
      <c r="A5091" s="7" t="inlineStr">
        <is>
          <t>ORD-00334</t>
        </is>
      </c>
      <c r="B5091" s="8" t="n">
        <v>45924</v>
      </c>
      <c r="C5091" s="9" t="n">
        <v>45901</v>
      </c>
      <c r="D5091" s="7" t="n">
        <v>2025</v>
      </c>
      <c r="E5091" s="7" t="inlineStr">
        <is>
          <t>East</t>
        </is>
      </c>
      <c r="F5091" s="7" t="inlineStr">
        <is>
          <t>Office Supplies</t>
        </is>
      </c>
      <c r="G5091" s="7" t="inlineStr">
        <is>
          <t>Stapler</t>
        </is>
      </c>
      <c r="H5091" s="7" t="inlineStr">
        <is>
          <t>Consumer</t>
        </is>
      </c>
      <c r="I5091" s="7" t="n">
        <v>15</v>
      </c>
      <c r="J5091" s="10" t="n">
        <v>15.27</v>
      </c>
      <c r="K5091" s="11" t="n">
        <v>0.3</v>
      </c>
      <c r="L5091" s="10">
        <f>I5091*J5091*(1-K5091)</f>
        <v/>
      </c>
      <c r="M5091" s="10" t="n">
        <v>112.5</v>
      </c>
      <c r="N5091" s="10">
        <f>L5091-M5091</f>
        <v/>
      </c>
    </row>
    <row r="5092">
      <c r="A5092" s="7" t="inlineStr">
        <is>
          <t>ORD-01632</t>
        </is>
      </c>
      <c r="B5092" s="8" t="n">
        <v>45925</v>
      </c>
      <c r="C5092" s="9" t="n">
        <v>45901</v>
      </c>
      <c r="D5092" s="7" t="n">
        <v>2025</v>
      </c>
      <c r="E5092" s="7" t="inlineStr">
        <is>
          <t>South</t>
        </is>
      </c>
      <c r="F5092" s="7" t="inlineStr">
        <is>
          <t>Office Supplies</t>
        </is>
      </c>
      <c r="G5092" s="7" t="inlineStr">
        <is>
          <t>Stapler</t>
        </is>
      </c>
      <c r="H5092" s="7" t="inlineStr">
        <is>
          <t>Home Office</t>
        </is>
      </c>
      <c r="I5092" s="7" t="n">
        <v>2</v>
      </c>
      <c r="J5092" s="10" t="n">
        <v>14.59</v>
      </c>
      <c r="K5092" s="11" t="n">
        <v>0.1</v>
      </c>
      <c r="L5092" s="10">
        <f>I5092*J5092*(1-K5092)</f>
        <v/>
      </c>
      <c r="M5092" s="10" t="n">
        <v>15</v>
      </c>
      <c r="N5092" s="10">
        <f>L5092-M5092</f>
        <v/>
      </c>
    </row>
    <row r="5093">
      <c r="A5093" s="7" t="inlineStr">
        <is>
          <t>ORD-05999</t>
        </is>
      </c>
      <c r="B5093" s="8" t="n">
        <v>45925</v>
      </c>
      <c r="C5093" s="9" t="n">
        <v>45901</v>
      </c>
      <c r="D5093" s="7" t="n">
        <v>2025</v>
      </c>
      <c r="E5093" s="7" t="inlineStr">
        <is>
          <t>South</t>
        </is>
      </c>
      <c r="F5093" s="7" t="inlineStr">
        <is>
          <t>Furniture</t>
        </is>
      </c>
      <c r="G5093" s="7" t="inlineStr">
        <is>
          <t>Office Chair</t>
        </is>
      </c>
      <c r="H5093" s="7" t="inlineStr">
        <is>
          <t>Home Office</t>
        </is>
      </c>
      <c r="I5093" s="7" t="n">
        <v>1</v>
      </c>
      <c r="J5093" s="10" t="n">
        <v>220.41</v>
      </c>
      <c r="K5093" s="11" t="n">
        <v>0</v>
      </c>
      <c r="L5093" s="10">
        <f>I5093*J5093*(1-K5093)</f>
        <v/>
      </c>
      <c r="M5093" s="10" t="n">
        <v>180.4</v>
      </c>
      <c r="N5093" s="10">
        <f>L5093-M5093</f>
        <v/>
      </c>
    </row>
    <row r="5094">
      <c r="A5094" s="7" t="inlineStr">
        <is>
          <t>ORD-05100</t>
        </is>
      </c>
      <c r="B5094" s="8" t="n">
        <v>45925</v>
      </c>
      <c r="C5094" s="9" t="n">
        <v>45901</v>
      </c>
      <c r="D5094" s="7" t="n">
        <v>2025</v>
      </c>
      <c r="E5094" s="7" t="inlineStr">
        <is>
          <t>East</t>
        </is>
      </c>
      <c r="F5094" s="7" t="inlineStr">
        <is>
          <t>Furniture</t>
        </is>
      </c>
      <c r="G5094" s="7" t="inlineStr">
        <is>
          <t>Bookcase</t>
        </is>
      </c>
      <c r="H5094" s="7" t="inlineStr">
        <is>
          <t>Home Office</t>
        </is>
      </c>
      <c r="I5094" s="7" t="n">
        <v>4</v>
      </c>
      <c r="J5094" s="10" t="n">
        <v>177.77</v>
      </c>
      <c r="K5094" s="11" t="n">
        <v>0.2</v>
      </c>
      <c r="L5094" s="10">
        <f>I5094*J5094*(1-K5094)</f>
        <v/>
      </c>
      <c r="M5094" s="10" t="n">
        <v>576</v>
      </c>
      <c r="N5094" s="10">
        <f>L5094-M5094</f>
        <v/>
      </c>
    </row>
    <row r="5095">
      <c r="A5095" s="7" t="inlineStr">
        <is>
          <t>ORD-05293</t>
        </is>
      </c>
      <c r="B5095" s="8" t="n">
        <v>45926</v>
      </c>
      <c r="C5095" s="9" t="n">
        <v>45901</v>
      </c>
      <c r="D5095" s="7" t="n">
        <v>2025</v>
      </c>
      <c r="E5095" s="7" t="inlineStr">
        <is>
          <t>West</t>
        </is>
      </c>
      <c r="F5095" s="7" t="inlineStr">
        <is>
          <t>Office Supplies</t>
        </is>
      </c>
      <c r="G5095" s="7" t="inlineStr">
        <is>
          <t>Pens</t>
        </is>
      </c>
      <c r="H5095" s="7" t="inlineStr">
        <is>
          <t>Home Office</t>
        </is>
      </c>
      <c r="I5095" s="7" t="n">
        <v>4</v>
      </c>
      <c r="J5095" s="10" t="n">
        <v>11.78</v>
      </c>
      <c r="K5095" s="11" t="n">
        <v>0.05</v>
      </c>
      <c r="L5095" s="10">
        <f>I5095*J5095*(1-K5095)</f>
        <v/>
      </c>
      <c r="M5095" s="10" t="n">
        <v>21.6</v>
      </c>
      <c r="N5095" s="10">
        <f>L5095-M5095</f>
        <v/>
      </c>
    </row>
    <row r="5096">
      <c r="A5096" s="7" t="inlineStr">
        <is>
          <t>ORD-02347</t>
        </is>
      </c>
      <c r="B5096" s="8" t="n">
        <v>45926</v>
      </c>
      <c r="C5096" s="9" t="n">
        <v>45901</v>
      </c>
      <c r="D5096" s="7" t="n">
        <v>2025</v>
      </c>
      <c r="E5096" s="7" t="inlineStr">
        <is>
          <t>South</t>
        </is>
      </c>
      <c r="F5096" s="7" t="inlineStr">
        <is>
          <t>Office Supplies</t>
        </is>
      </c>
      <c r="G5096" s="7" t="inlineStr">
        <is>
          <t>Binder</t>
        </is>
      </c>
      <c r="H5096" s="7" t="inlineStr">
        <is>
          <t>Consumer</t>
        </is>
      </c>
      <c r="I5096" s="7" t="n">
        <v>15</v>
      </c>
      <c r="J5096" s="10" t="n">
        <v>8.32</v>
      </c>
      <c r="K5096" s="11" t="n">
        <v>0.05</v>
      </c>
      <c r="L5096" s="10">
        <f>I5096*J5096*(1-K5096)</f>
        <v/>
      </c>
      <c r="M5096" s="10" t="n">
        <v>48</v>
      </c>
      <c r="N5096" s="10">
        <f>L5096-M5096</f>
        <v/>
      </c>
    </row>
    <row r="5097">
      <c r="A5097" s="7" t="inlineStr">
        <is>
          <t>ORD-05574</t>
        </is>
      </c>
      <c r="B5097" s="8" t="n">
        <v>45926</v>
      </c>
      <c r="C5097" s="9" t="n">
        <v>45901</v>
      </c>
      <c r="D5097" s="7" t="n">
        <v>2025</v>
      </c>
      <c r="E5097" s="7" t="inlineStr">
        <is>
          <t>North</t>
        </is>
      </c>
      <c r="F5097" s="7" t="inlineStr">
        <is>
          <t>Office Supplies</t>
        </is>
      </c>
      <c r="G5097" s="7" t="inlineStr">
        <is>
          <t>Binder</t>
        </is>
      </c>
      <c r="H5097" s="7" t="inlineStr">
        <is>
          <t>Corporate</t>
        </is>
      </c>
      <c r="I5097" s="7" t="n">
        <v>2</v>
      </c>
      <c r="J5097" s="10" t="n">
        <v>8.109999999999999</v>
      </c>
      <c r="K5097" s="11" t="n">
        <v>0.3</v>
      </c>
      <c r="L5097" s="10">
        <f>I5097*J5097*(1-K5097)</f>
        <v/>
      </c>
      <c r="M5097" s="10" t="n">
        <v>6.4</v>
      </c>
      <c r="N5097" s="10">
        <f>L5097-M5097</f>
        <v/>
      </c>
    </row>
    <row r="5098">
      <c r="A5098" s="7" t="inlineStr">
        <is>
          <t>ORD-00743</t>
        </is>
      </c>
      <c r="B5098" s="8" t="n">
        <v>45926</v>
      </c>
      <c r="C5098" s="9" t="n">
        <v>45901</v>
      </c>
      <c r="D5098" s="7" t="n">
        <v>2025</v>
      </c>
      <c r="E5098" s="7" t="inlineStr">
        <is>
          <t>West</t>
        </is>
      </c>
      <c r="F5098" s="7" t="inlineStr">
        <is>
          <t>Office Supplies</t>
        </is>
      </c>
      <c r="G5098" s="7" t="inlineStr">
        <is>
          <t>Paper</t>
        </is>
      </c>
      <c r="H5098" s="7" t="inlineStr">
        <is>
          <t>Consumer</t>
        </is>
      </c>
      <c r="I5098" s="7" t="n">
        <v>6</v>
      </c>
      <c r="J5098" s="10" t="n">
        <v>24.43</v>
      </c>
      <c r="K5098" s="11" t="n">
        <v>0</v>
      </c>
      <c r="L5098" s="10">
        <f>I5098*J5098*(1-K5098)</f>
        <v/>
      </c>
      <c r="M5098" s="10" t="n">
        <v>75</v>
      </c>
      <c r="N5098" s="10">
        <f>L5098-M5098</f>
        <v/>
      </c>
    </row>
    <row r="5099">
      <c r="A5099" s="7" t="inlineStr">
        <is>
          <t>ORD-04274</t>
        </is>
      </c>
      <c r="B5099" s="8" t="n">
        <v>45926</v>
      </c>
      <c r="C5099" s="9" t="n">
        <v>45901</v>
      </c>
      <c r="D5099" s="7" t="n">
        <v>2025</v>
      </c>
      <c r="E5099" s="7" t="inlineStr">
        <is>
          <t>East</t>
        </is>
      </c>
      <c r="F5099" s="7" t="inlineStr">
        <is>
          <t>Technology</t>
        </is>
      </c>
      <c r="G5099" s="7" t="inlineStr">
        <is>
          <t>Headphones</t>
        </is>
      </c>
      <c r="H5099" s="7" t="inlineStr">
        <is>
          <t>Corporate</t>
        </is>
      </c>
      <c r="I5099" s="7" t="n">
        <v>1</v>
      </c>
      <c r="J5099" s="10" t="n">
        <v>123.65</v>
      </c>
      <c r="K5099" s="11" t="n">
        <v>0</v>
      </c>
      <c r="L5099" s="10">
        <f>I5099*J5099*(1-K5099)</f>
        <v/>
      </c>
      <c r="M5099" s="10" t="n">
        <v>72</v>
      </c>
      <c r="N5099" s="10">
        <f>L5099-M5099</f>
        <v/>
      </c>
    </row>
    <row r="5100">
      <c r="A5100" s="7" t="inlineStr">
        <is>
          <t>ORD-02644</t>
        </is>
      </c>
      <c r="B5100" s="8" t="n">
        <v>45926</v>
      </c>
      <c r="C5100" s="9" t="n">
        <v>45901</v>
      </c>
      <c r="D5100" s="7" t="n">
        <v>2025</v>
      </c>
      <c r="E5100" s="7" t="inlineStr">
        <is>
          <t>West</t>
        </is>
      </c>
      <c r="F5100" s="7" t="inlineStr">
        <is>
          <t>Office Supplies</t>
        </is>
      </c>
      <c r="G5100" s="7" t="inlineStr">
        <is>
          <t>Paper</t>
        </is>
      </c>
      <c r="H5100" s="7" t="inlineStr">
        <is>
          <t>Corporate</t>
        </is>
      </c>
      <c r="I5100" s="7" t="n">
        <v>14</v>
      </c>
      <c r="J5100" s="10" t="n">
        <v>24.38</v>
      </c>
      <c r="K5100" s="11" t="n">
        <v>0.05</v>
      </c>
      <c r="L5100" s="10">
        <f>I5100*J5100*(1-K5100)</f>
        <v/>
      </c>
      <c r="M5100" s="10" t="n">
        <v>175</v>
      </c>
      <c r="N5100" s="10">
        <f>L5100-M5100</f>
        <v/>
      </c>
    </row>
    <row r="5101">
      <c r="A5101" s="7" t="inlineStr">
        <is>
          <t>ORD-01453</t>
        </is>
      </c>
      <c r="B5101" s="8" t="n">
        <v>45927</v>
      </c>
      <c r="C5101" s="9" t="n">
        <v>45901</v>
      </c>
      <c r="D5101" s="7" t="n">
        <v>2025</v>
      </c>
      <c r="E5101" s="7" t="inlineStr">
        <is>
          <t>East</t>
        </is>
      </c>
      <c r="F5101" s="7" t="inlineStr">
        <is>
          <t>Office Supplies</t>
        </is>
      </c>
      <c r="G5101" s="7" t="inlineStr">
        <is>
          <t>Pens</t>
        </is>
      </c>
      <c r="H5101" s="7" t="inlineStr">
        <is>
          <t>Consumer</t>
        </is>
      </c>
      <c r="I5101" s="7" t="n">
        <v>13</v>
      </c>
      <c r="J5101" s="10" t="n">
        <v>11.41</v>
      </c>
      <c r="K5101" s="11" t="n">
        <v>0</v>
      </c>
      <c r="L5101" s="10">
        <f>I5101*J5101*(1-K5101)</f>
        <v/>
      </c>
      <c r="M5101" s="10" t="n">
        <v>70.2</v>
      </c>
      <c r="N5101" s="10">
        <f>L5101-M5101</f>
        <v/>
      </c>
    </row>
    <row r="5102">
      <c r="A5102" s="7" t="inlineStr">
        <is>
          <t>ORD-05323</t>
        </is>
      </c>
      <c r="B5102" s="8" t="n">
        <v>45927</v>
      </c>
      <c r="C5102" s="9" t="n">
        <v>45901</v>
      </c>
      <c r="D5102" s="7" t="n">
        <v>2025</v>
      </c>
      <c r="E5102" s="7" t="inlineStr">
        <is>
          <t>East</t>
        </is>
      </c>
      <c r="F5102" s="7" t="inlineStr">
        <is>
          <t>Technology</t>
        </is>
      </c>
      <c r="G5102" s="7" t="inlineStr">
        <is>
          <t>Laptop</t>
        </is>
      </c>
      <c r="H5102" s="7" t="inlineStr">
        <is>
          <t>Home Office</t>
        </is>
      </c>
      <c r="I5102" s="7" t="n">
        <v>3</v>
      </c>
      <c r="J5102" s="10" t="n">
        <v>856.41</v>
      </c>
      <c r="K5102" s="11" t="n">
        <v>0.05</v>
      </c>
      <c r="L5102" s="10">
        <f>I5102*J5102*(1-K5102)</f>
        <v/>
      </c>
      <c r="M5102" s="10" t="n">
        <v>2106</v>
      </c>
      <c r="N5102" s="10">
        <f>L5102-M5102</f>
        <v/>
      </c>
    </row>
    <row r="5103">
      <c r="A5103" s="7" t="inlineStr">
        <is>
          <t>ORD-03188</t>
        </is>
      </c>
      <c r="B5103" s="8" t="n">
        <v>45927</v>
      </c>
      <c r="C5103" s="9" t="n">
        <v>45901</v>
      </c>
      <c r="D5103" s="7" t="n">
        <v>2025</v>
      </c>
      <c r="E5103" s="7" t="inlineStr">
        <is>
          <t>South</t>
        </is>
      </c>
      <c r="F5103" s="7" t="inlineStr">
        <is>
          <t>Office Supplies</t>
        </is>
      </c>
      <c r="G5103" s="7" t="inlineStr">
        <is>
          <t>Pens</t>
        </is>
      </c>
      <c r="H5103" s="7" t="inlineStr">
        <is>
          <t>Home Office</t>
        </is>
      </c>
      <c r="I5103" s="7" t="n">
        <v>8</v>
      </c>
      <c r="J5103" s="10" t="n">
        <v>11.96</v>
      </c>
      <c r="K5103" s="11" t="n">
        <v>0.05</v>
      </c>
      <c r="L5103" s="10">
        <f>I5103*J5103*(1-K5103)</f>
        <v/>
      </c>
      <c r="M5103" s="10" t="n">
        <v>43.2</v>
      </c>
      <c r="N5103" s="10">
        <f>L5103-M5103</f>
        <v/>
      </c>
    </row>
    <row r="5104">
      <c r="A5104" s="7" t="inlineStr">
        <is>
          <t>ORD-04611</t>
        </is>
      </c>
      <c r="B5104" s="8" t="n">
        <v>45927</v>
      </c>
      <c r="C5104" s="9" t="n">
        <v>45901</v>
      </c>
      <c r="D5104" s="7" t="n">
        <v>2025</v>
      </c>
      <c r="E5104" s="7" t="inlineStr">
        <is>
          <t>West</t>
        </is>
      </c>
      <c r="F5104" s="7" t="inlineStr">
        <is>
          <t>Office Supplies</t>
        </is>
      </c>
      <c r="G5104" s="7" t="inlineStr">
        <is>
          <t>Binder</t>
        </is>
      </c>
      <c r="H5104" s="7" t="inlineStr">
        <is>
          <t>Consumer</t>
        </is>
      </c>
      <c r="I5104" s="7" t="n">
        <v>9</v>
      </c>
      <c r="J5104" s="10" t="n">
        <v>7.63</v>
      </c>
      <c r="K5104" s="11" t="n">
        <v>0.05</v>
      </c>
      <c r="L5104" s="10">
        <f>I5104*J5104*(1-K5104)</f>
        <v/>
      </c>
      <c r="M5104" s="10" t="n">
        <v>28.8</v>
      </c>
      <c r="N5104" s="10">
        <f>L5104-M5104</f>
        <v/>
      </c>
    </row>
    <row r="5105">
      <c r="A5105" s="7" t="inlineStr">
        <is>
          <t>ORD-02472</t>
        </is>
      </c>
      <c r="B5105" s="8" t="n">
        <v>45927</v>
      </c>
      <c r="C5105" s="9" t="n">
        <v>45901</v>
      </c>
      <c r="D5105" s="7" t="n">
        <v>2025</v>
      </c>
      <c r="E5105" s="7" t="inlineStr">
        <is>
          <t>South</t>
        </is>
      </c>
      <c r="F5105" s="7" t="inlineStr">
        <is>
          <t>Office Supplies</t>
        </is>
      </c>
      <c r="G5105" s="7" t="inlineStr">
        <is>
          <t>Stapler</t>
        </is>
      </c>
      <c r="H5105" s="7" t="inlineStr">
        <is>
          <t>Consumer</t>
        </is>
      </c>
      <c r="I5105" s="7" t="n">
        <v>12</v>
      </c>
      <c r="J5105" s="10" t="n">
        <v>15.15</v>
      </c>
      <c r="K5105" s="11" t="n">
        <v>0</v>
      </c>
      <c r="L5105" s="10">
        <f>I5105*J5105*(1-K5105)</f>
        <v/>
      </c>
      <c r="M5105" s="10" t="n">
        <v>90</v>
      </c>
      <c r="N5105" s="10">
        <f>L5105-M5105</f>
        <v/>
      </c>
    </row>
    <row r="5106">
      <c r="A5106" s="7" t="inlineStr">
        <is>
          <t>ORD-04485</t>
        </is>
      </c>
      <c r="B5106" s="8" t="n">
        <v>45927</v>
      </c>
      <c r="C5106" s="9" t="n">
        <v>45901</v>
      </c>
      <c r="D5106" s="7" t="n">
        <v>2025</v>
      </c>
      <c r="E5106" s="7" t="inlineStr">
        <is>
          <t>West</t>
        </is>
      </c>
      <c r="F5106" s="7" t="inlineStr">
        <is>
          <t>Office Supplies</t>
        </is>
      </c>
      <c r="G5106" s="7" t="inlineStr">
        <is>
          <t>Binder</t>
        </is>
      </c>
      <c r="H5106" s="7" t="inlineStr">
        <is>
          <t>Home Office</t>
        </is>
      </c>
      <c r="I5106" s="7" t="n">
        <v>12</v>
      </c>
      <c r="J5106" s="10" t="n">
        <v>7.88</v>
      </c>
      <c r="K5106" s="11" t="n">
        <v>0.2</v>
      </c>
      <c r="L5106" s="10">
        <f>I5106*J5106*(1-K5106)</f>
        <v/>
      </c>
      <c r="M5106" s="10" t="n">
        <v>38.4</v>
      </c>
      <c r="N5106" s="10">
        <f>L5106-M5106</f>
        <v/>
      </c>
    </row>
    <row r="5107">
      <c r="A5107" s="7" t="inlineStr">
        <is>
          <t>ORD-05852</t>
        </is>
      </c>
      <c r="B5107" s="8" t="n">
        <v>45927</v>
      </c>
      <c r="C5107" s="9" t="n">
        <v>45901</v>
      </c>
      <c r="D5107" s="7" t="n">
        <v>2025</v>
      </c>
      <c r="E5107" s="7" t="inlineStr">
        <is>
          <t>West</t>
        </is>
      </c>
      <c r="F5107" s="7" t="inlineStr">
        <is>
          <t>Office Supplies</t>
        </is>
      </c>
      <c r="G5107" s="7" t="inlineStr">
        <is>
          <t>Paper</t>
        </is>
      </c>
      <c r="H5107" s="7" t="inlineStr">
        <is>
          <t>Corporate</t>
        </is>
      </c>
      <c r="I5107" s="7" t="n">
        <v>10</v>
      </c>
      <c r="J5107" s="10" t="n">
        <v>23.85</v>
      </c>
      <c r="K5107" s="11" t="n">
        <v>0.1</v>
      </c>
      <c r="L5107" s="10">
        <f>I5107*J5107*(1-K5107)</f>
        <v/>
      </c>
      <c r="M5107" s="10" t="n">
        <v>125</v>
      </c>
      <c r="N5107" s="10">
        <f>L5107-M5107</f>
        <v/>
      </c>
    </row>
    <row r="5108">
      <c r="A5108" s="7" t="inlineStr">
        <is>
          <t>ORD-03551</t>
        </is>
      </c>
      <c r="B5108" s="8" t="n">
        <v>45927</v>
      </c>
      <c r="C5108" s="9" t="n">
        <v>45901</v>
      </c>
      <c r="D5108" s="7" t="n">
        <v>2025</v>
      </c>
      <c r="E5108" s="7" t="inlineStr">
        <is>
          <t>North</t>
        </is>
      </c>
      <c r="F5108" s="7" t="inlineStr">
        <is>
          <t>Technology</t>
        </is>
      </c>
      <c r="G5108" s="7" t="inlineStr">
        <is>
          <t>Monitor</t>
        </is>
      </c>
      <c r="H5108" s="7" t="inlineStr">
        <is>
          <t>Corporate</t>
        </is>
      </c>
      <c r="I5108" s="7" t="n">
        <v>2</v>
      </c>
      <c r="J5108" s="10" t="n">
        <v>247.8</v>
      </c>
      <c r="K5108" s="11" t="n">
        <v>0</v>
      </c>
      <c r="L5108" s="10">
        <f>I5108*J5108*(1-K5108)</f>
        <v/>
      </c>
      <c r="M5108" s="10" t="n">
        <v>360</v>
      </c>
      <c r="N5108" s="10">
        <f>L5108-M5108</f>
        <v/>
      </c>
    </row>
    <row r="5109">
      <c r="A5109" s="7" t="inlineStr">
        <is>
          <t>ORD-01728</t>
        </is>
      </c>
      <c r="B5109" s="8" t="n">
        <v>45928</v>
      </c>
      <c r="C5109" s="9" t="n">
        <v>45901</v>
      </c>
      <c r="D5109" s="7" t="n">
        <v>2025</v>
      </c>
      <c r="E5109" s="7" t="inlineStr">
        <is>
          <t>West</t>
        </is>
      </c>
      <c r="F5109" s="7" t="inlineStr">
        <is>
          <t>Furniture</t>
        </is>
      </c>
      <c r="G5109" s="7" t="inlineStr">
        <is>
          <t>Office Chair</t>
        </is>
      </c>
      <c r="H5109" s="7" t="inlineStr">
        <is>
          <t>Corporate</t>
        </is>
      </c>
      <c r="I5109" s="7" t="n">
        <v>3</v>
      </c>
      <c r="J5109" s="10" t="n">
        <v>214.24</v>
      </c>
      <c r="K5109" s="11" t="n">
        <v>0.05</v>
      </c>
      <c r="L5109" s="10">
        <f>I5109*J5109*(1-K5109)</f>
        <v/>
      </c>
      <c r="M5109" s="10" t="n">
        <v>541.2</v>
      </c>
      <c r="N5109" s="10">
        <f>L5109-M5109</f>
        <v/>
      </c>
    </row>
    <row r="5110">
      <c r="A5110" s="7" t="inlineStr">
        <is>
          <t>ORD-03913</t>
        </is>
      </c>
      <c r="B5110" s="8" t="n">
        <v>45928</v>
      </c>
      <c r="C5110" s="9" t="n">
        <v>45901</v>
      </c>
      <c r="D5110" s="7" t="n">
        <v>2025</v>
      </c>
      <c r="E5110" s="7" t="inlineStr">
        <is>
          <t>North</t>
        </is>
      </c>
      <c r="F5110" s="7" t="inlineStr">
        <is>
          <t>Office Supplies</t>
        </is>
      </c>
      <c r="G5110" s="7" t="inlineStr">
        <is>
          <t>Paper</t>
        </is>
      </c>
      <c r="H5110" s="7" t="inlineStr">
        <is>
          <t>Consumer</t>
        </is>
      </c>
      <c r="I5110" s="7" t="n">
        <v>14</v>
      </c>
      <c r="J5110" s="10" t="n">
        <v>25.05</v>
      </c>
      <c r="K5110" s="11" t="n">
        <v>0.1</v>
      </c>
      <c r="L5110" s="10">
        <f>I5110*J5110*(1-K5110)</f>
        <v/>
      </c>
      <c r="M5110" s="10" t="n">
        <v>175</v>
      </c>
      <c r="N5110" s="10">
        <f>L5110-M5110</f>
        <v/>
      </c>
    </row>
    <row r="5111">
      <c r="A5111" s="7" t="inlineStr">
        <is>
          <t>ORD-00867</t>
        </is>
      </c>
      <c r="B5111" s="8" t="n">
        <v>45928</v>
      </c>
      <c r="C5111" s="9" t="n">
        <v>45901</v>
      </c>
      <c r="D5111" s="7" t="n">
        <v>2025</v>
      </c>
      <c r="E5111" s="7" t="inlineStr">
        <is>
          <t>East</t>
        </is>
      </c>
      <c r="F5111" s="7" t="inlineStr">
        <is>
          <t>Technology</t>
        </is>
      </c>
      <c r="G5111" s="7" t="inlineStr">
        <is>
          <t>Monitor</t>
        </is>
      </c>
      <c r="H5111" s="7" t="inlineStr">
        <is>
          <t>Consumer</t>
        </is>
      </c>
      <c r="I5111" s="7" t="n">
        <v>3</v>
      </c>
      <c r="J5111" s="10" t="n">
        <v>242.27</v>
      </c>
      <c r="K5111" s="11" t="n">
        <v>0</v>
      </c>
      <c r="L5111" s="10">
        <f>I5111*J5111*(1-K5111)</f>
        <v/>
      </c>
      <c r="M5111" s="10" t="n">
        <v>540</v>
      </c>
      <c r="N5111" s="10">
        <f>L5111-M5111</f>
        <v/>
      </c>
    </row>
    <row r="5112">
      <c r="A5112" s="7" t="inlineStr">
        <is>
          <t>ORD-04118</t>
        </is>
      </c>
      <c r="B5112" s="8" t="n">
        <v>45928</v>
      </c>
      <c r="C5112" s="9" t="n">
        <v>45901</v>
      </c>
      <c r="D5112" s="7" t="n">
        <v>2025</v>
      </c>
      <c r="E5112" s="7" t="inlineStr">
        <is>
          <t>East</t>
        </is>
      </c>
      <c r="F5112" s="7" t="inlineStr">
        <is>
          <t>Office Supplies</t>
        </is>
      </c>
      <c r="G5112" s="7" t="inlineStr">
        <is>
          <t>Printer Ink</t>
        </is>
      </c>
      <c r="H5112" s="7" t="inlineStr">
        <is>
          <t>Home Office</t>
        </is>
      </c>
      <c r="I5112" s="7" t="n">
        <v>14</v>
      </c>
      <c r="J5112" s="10" t="n">
        <v>60.59</v>
      </c>
      <c r="K5112" s="11" t="n">
        <v>0</v>
      </c>
      <c r="L5112" s="10">
        <f>I5112*J5112*(1-K5112)</f>
        <v/>
      </c>
      <c r="M5112" s="10" t="n">
        <v>504</v>
      </c>
      <c r="N5112" s="10">
        <f>L5112-M5112</f>
        <v/>
      </c>
    </row>
    <row r="5113">
      <c r="A5113" s="7" t="inlineStr">
        <is>
          <t>ORD-00640</t>
        </is>
      </c>
      <c r="B5113" s="8" t="n">
        <v>45928</v>
      </c>
      <c r="C5113" s="9" t="n">
        <v>45901</v>
      </c>
      <c r="D5113" s="7" t="n">
        <v>2025</v>
      </c>
      <c r="E5113" s="7" t="inlineStr">
        <is>
          <t>East</t>
        </is>
      </c>
      <c r="F5113" s="7" t="inlineStr">
        <is>
          <t>Office Supplies</t>
        </is>
      </c>
      <c r="G5113" s="7" t="inlineStr">
        <is>
          <t>Stapler</t>
        </is>
      </c>
      <c r="H5113" s="7" t="inlineStr">
        <is>
          <t>Consumer</t>
        </is>
      </c>
      <c r="I5113" s="7" t="n">
        <v>5</v>
      </c>
      <c r="J5113" s="10" t="n">
        <v>14.68</v>
      </c>
      <c r="K5113" s="11" t="n">
        <v>0.3</v>
      </c>
      <c r="L5113" s="10">
        <f>I5113*J5113*(1-K5113)</f>
        <v/>
      </c>
      <c r="M5113" s="10" t="n">
        <v>37.5</v>
      </c>
      <c r="N5113" s="10">
        <f>L5113-M5113</f>
        <v/>
      </c>
    </row>
    <row r="5114">
      <c r="A5114" s="7" t="inlineStr">
        <is>
          <t>ORD-05784</t>
        </is>
      </c>
      <c r="B5114" s="8" t="n">
        <v>45929</v>
      </c>
      <c r="C5114" s="9" t="n">
        <v>45901</v>
      </c>
      <c r="D5114" s="7" t="n">
        <v>2025</v>
      </c>
      <c r="E5114" s="7" t="inlineStr">
        <is>
          <t>South</t>
        </is>
      </c>
      <c r="F5114" s="7" t="inlineStr">
        <is>
          <t>Office Supplies</t>
        </is>
      </c>
      <c r="G5114" s="7" t="inlineStr">
        <is>
          <t>Stapler</t>
        </is>
      </c>
      <c r="H5114" s="7" t="inlineStr">
        <is>
          <t>Home Office</t>
        </is>
      </c>
      <c r="I5114" s="7" t="n">
        <v>2</v>
      </c>
      <c r="J5114" s="10" t="n">
        <v>14.59</v>
      </c>
      <c r="K5114" s="11" t="n">
        <v>0.3</v>
      </c>
      <c r="L5114" s="10">
        <f>I5114*J5114*(1-K5114)</f>
        <v/>
      </c>
      <c r="M5114" s="10" t="n">
        <v>15</v>
      </c>
      <c r="N5114" s="10">
        <f>L5114-M5114</f>
        <v/>
      </c>
    </row>
    <row r="5115">
      <c r="A5115" s="7" t="inlineStr">
        <is>
          <t>ORD-01279</t>
        </is>
      </c>
      <c r="B5115" s="8" t="n">
        <v>45929</v>
      </c>
      <c r="C5115" s="9" t="n">
        <v>45901</v>
      </c>
      <c r="D5115" s="7" t="n">
        <v>2025</v>
      </c>
      <c r="E5115" s="7" t="inlineStr">
        <is>
          <t>South</t>
        </is>
      </c>
      <c r="F5115" s="7" t="inlineStr">
        <is>
          <t>Office Supplies</t>
        </is>
      </c>
      <c r="G5115" s="7" t="inlineStr">
        <is>
          <t>Paper</t>
        </is>
      </c>
      <c r="H5115" s="7" t="inlineStr">
        <is>
          <t>Consumer</t>
        </is>
      </c>
      <c r="I5115" s="7" t="n">
        <v>8</v>
      </c>
      <c r="J5115" s="10" t="n">
        <v>24.78</v>
      </c>
      <c r="K5115" s="11" t="n">
        <v>0.3</v>
      </c>
      <c r="L5115" s="10">
        <f>I5115*J5115*(1-K5115)</f>
        <v/>
      </c>
      <c r="M5115" s="10" t="n">
        <v>100</v>
      </c>
      <c r="N5115" s="10">
        <f>L5115-M5115</f>
        <v/>
      </c>
    </row>
    <row r="5116">
      <c r="A5116" s="7" t="inlineStr">
        <is>
          <t>ORD-04538</t>
        </is>
      </c>
      <c r="B5116" s="8" t="n">
        <v>45929</v>
      </c>
      <c r="C5116" s="9" t="n">
        <v>45901</v>
      </c>
      <c r="D5116" s="7" t="n">
        <v>2025</v>
      </c>
      <c r="E5116" s="7" t="inlineStr">
        <is>
          <t>South</t>
        </is>
      </c>
      <c r="F5116" s="7" t="inlineStr">
        <is>
          <t>Technology</t>
        </is>
      </c>
      <c r="G5116" s="7" t="inlineStr">
        <is>
          <t>Keyboard</t>
        </is>
      </c>
      <c r="H5116" s="7" t="inlineStr">
        <is>
          <t>Home Office</t>
        </is>
      </c>
      <c r="I5116" s="7" t="n">
        <v>3</v>
      </c>
      <c r="J5116" s="10" t="n">
        <v>43.42</v>
      </c>
      <c r="K5116" s="11" t="n">
        <v>0.05</v>
      </c>
      <c r="L5116" s="10">
        <f>I5116*J5116*(1-K5116)</f>
        <v/>
      </c>
      <c r="M5116" s="10" t="n">
        <v>74.25</v>
      </c>
      <c r="N5116" s="10">
        <f>L5116-M5116</f>
        <v/>
      </c>
    </row>
    <row r="5117">
      <c r="A5117" s="7" t="inlineStr">
        <is>
          <t>ORD-01735</t>
        </is>
      </c>
      <c r="B5117" s="8" t="n">
        <v>45929</v>
      </c>
      <c r="C5117" s="9" t="n">
        <v>45901</v>
      </c>
      <c r="D5117" s="7" t="n">
        <v>2025</v>
      </c>
      <c r="E5117" s="7" t="inlineStr">
        <is>
          <t>North</t>
        </is>
      </c>
      <c r="F5117" s="7" t="inlineStr">
        <is>
          <t>Office Supplies</t>
        </is>
      </c>
      <c r="G5117" s="7" t="inlineStr">
        <is>
          <t>Binder</t>
        </is>
      </c>
      <c r="H5117" s="7" t="inlineStr">
        <is>
          <t>Home Office</t>
        </is>
      </c>
      <c r="I5117" s="7" t="n">
        <v>2</v>
      </c>
      <c r="J5117" s="10" t="n">
        <v>8.300000000000001</v>
      </c>
      <c r="K5117" s="11" t="n">
        <v>0.1</v>
      </c>
      <c r="L5117" s="10">
        <f>I5117*J5117*(1-K5117)</f>
        <v/>
      </c>
      <c r="M5117" s="10" t="n">
        <v>6.4</v>
      </c>
      <c r="N5117" s="10">
        <f>L5117-M5117</f>
        <v/>
      </c>
    </row>
    <row r="5118">
      <c r="A5118" s="7" t="inlineStr">
        <is>
          <t>ORD-03382</t>
        </is>
      </c>
      <c r="B5118" s="8" t="n">
        <v>45929</v>
      </c>
      <c r="C5118" s="9" t="n">
        <v>45901</v>
      </c>
      <c r="D5118" s="7" t="n">
        <v>2025</v>
      </c>
      <c r="E5118" s="7" t="inlineStr">
        <is>
          <t>East</t>
        </is>
      </c>
      <c r="F5118" s="7" t="inlineStr">
        <is>
          <t>Office Supplies</t>
        </is>
      </c>
      <c r="G5118" s="7" t="inlineStr">
        <is>
          <t>Binder</t>
        </is>
      </c>
      <c r="H5118" s="7" t="inlineStr">
        <is>
          <t>Consumer</t>
        </is>
      </c>
      <c r="I5118" s="7" t="n">
        <v>8</v>
      </c>
      <c r="J5118" s="10" t="n">
        <v>7.65</v>
      </c>
      <c r="K5118" s="11" t="n">
        <v>0.2</v>
      </c>
      <c r="L5118" s="10">
        <f>I5118*J5118*(1-K5118)</f>
        <v/>
      </c>
      <c r="M5118" s="10" t="n">
        <v>25.6</v>
      </c>
      <c r="N5118" s="10">
        <f>L5118-M5118</f>
        <v/>
      </c>
    </row>
    <row r="5119">
      <c r="A5119" s="7" t="inlineStr">
        <is>
          <t>ORD-05186</t>
        </is>
      </c>
      <c r="B5119" s="8" t="n">
        <v>45929</v>
      </c>
      <c r="C5119" s="9" t="n">
        <v>45901</v>
      </c>
      <c r="D5119" s="7" t="n">
        <v>2025</v>
      </c>
      <c r="E5119" s="7" t="inlineStr">
        <is>
          <t>East</t>
        </is>
      </c>
      <c r="F5119" s="7" t="inlineStr">
        <is>
          <t>Furniture</t>
        </is>
      </c>
      <c r="G5119" s="7" t="inlineStr">
        <is>
          <t>Office Chair</t>
        </is>
      </c>
      <c r="H5119" s="7" t="inlineStr">
        <is>
          <t>Corporate</t>
        </is>
      </c>
      <c r="I5119" s="7" t="n">
        <v>4</v>
      </c>
      <c r="J5119" s="10" t="n">
        <v>216.94</v>
      </c>
      <c r="K5119" s="11" t="n">
        <v>0.3</v>
      </c>
      <c r="L5119" s="10">
        <f>I5119*J5119*(1-K5119)</f>
        <v/>
      </c>
      <c r="M5119" s="10" t="n">
        <v>721.6</v>
      </c>
      <c r="N5119" s="10">
        <f>L5119-M5119</f>
        <v/>
      </c>
    </row>
    <row r="5120">
      <c r="A5120" s="7" t="inlineStr">
        <is>
          <t>ORD-00252</t>
        </is>
      </c>
      <c r="B5120" s="8" t="n">
        <v>45930</v>
      </c>
      <c r="C5120" s="9" t="n">
        <v>45901</v>
      </c>
      <c r="D5120" s="7" t="n">
        <v>2025</v>
      </c>
      <c r="E5120" s="7" t="inlineStr">
        <is>
          <t>West</t>
        </is>
      </c>
      <c r="F5120" s="7" t="inlineStr">
        <is>
          <t>Technology</t>
        </is>
      </c>
      <c r="G5120" s="7" t="inlineStr">
        <is>
          <t>Headphones</t>
        </is>
      </c>
      <c r="H5120" s="7" t="inlineStr">
        <is>
          <t>Consumer</t>
        </is>
      </c>
      <c r="I5120" s="7" t="n">
        <v>1</v>
      </c>
      <c r="J5120" s="10" t="n">
        <v>118.7</v>
      </c>
      <c r="K5120" s="11" t="n">
        <v>0.2</v>
      </c>
      <c r="L5120" s="10">
        <f>I5120*J5120*(1-K5120)</f>
        <v/>
      </c>
      <c r="M5120" s="10" t="n">
        <v>72</v>
      </c>
      <c r="N5120" s="10">
        <f>L5120-M5120</f>
        <v/>
      </c>
    </row>
    <row r="5121">
      <c r="A5121" s="7" t="inlineStr">
        <is>
          <t>ORD-00607</t>
        </is>
      </c>
      <c r="B5121" s="8" t="n">
        <v>45930</v>
      </c>
      <c r="C5121" s="9" t="n">
        <v>45901</v>
      </c>
      <c r="D5121" s="7" t="n">
        <v>2025</v>
      </c>
      <c r="E5121" s="7" t="inlineStr">
        <is>
          <t>North</t>
        </is>
      </c>
      <c r="F5121" s="7" t="inlineStr">
        <is>
          <t>Office Supplies</t>
        </is>
      </c>
      <c r="G5121" s="7" t="inlineStr">
        <is>
          <t>Pens</t>
        </is>
      </c>
      <c r="H5121" s="7" t="inlineStr">
        <is>
          <t>Corporate</t>
        </is>
      </c>
      <c r="I5121" s="7" t="n">
        <v>9</v>
      </c>
      <c r="J5121" s="10" t="n">
        <v>12.46</v>
      </c>
      <c r="K5121" s="11" t="n">
        <v>0</v>
      </c>
      <c r="L5121" s="10">
        <f>I5121*J5121*(1-K5121)</f>
        <v/>
      </c>
      <c r="M5121" s="10" t="n">
        <v>48.6</v>
      </c>
      <c r="N5121" s="10">
        <f>L5121-M5121</f>
        <v/>
      </c>
    </row>
    <row r="5122">
      <c r="A5122" s="7" t="inlineStr">
        <is>
          <t>ORD-01670</t>
        </is>
      </c>
      <c r="B5122" s="8" t="n">
        <v>45930</v>
      </c>
      <c r="C5122" s="9" t="n">
        <v>45901</v>
      </c>
      <c r="D5122" s="7" t="n">
        <v>2025</v>
      </c>
      <c r="E5122" s="7" t="inlineStr">
        <is>
          <t>East</t>
        </is>
      </c>
      <c r="F5122" s="7" t="inlineStr">
        <is>
          <t>Technology</t>
        </is>
      </c>
      <c r="G5122" s="7" t="inlineStr">
        <is>
          <t>Laptop</t>
        </is>
      </c>
      <c r="H5122" s="7" t="inlineStr">
        <is>
          <t>Corporate</t>
        </is>
      </c>
      <c r="I5122" s="7" t="n">
        <v>1</v>
      </c>
      <c r="J5122" s="10" t="n">
        <v>907.48</v>
      </c>
      <c r="K5122" s="11" t="n">
        <v>0</v>
      </c>
      <c r="L5122" s="10">
        <f>I5122*J5122*(1-K5122)</f>
        <v/>
      </c>
      <c r="M5122" s="10" t="n">
        <v>702</v>
      </c>
      <c r="N5122" s="10">
        <f>L5122-M5122</f>
        <v/>
      </c>
    </row>
    <row r="5123">
      <c r="A5123" s="7" t="inlineStr">
        <is>
          <t>ORD-00246</t>
        </is>
      </c>
      <c r="B5123" s="8" t="n">
        <v>45930</v>
      </c>
      <c r="C5123" s="9" t="n">
        <v>45901</v>
      </c>
      <c r="D5123" s="7" t="n">
        <v>2025</v>
      </c>
      <c r="E5123" s="7" t="inlineStr">
        <is>
          <t>West</t>
        </is>
      </c>
      <c r="F5123" s="7" t="inlineStr">
        <is>
          <t>Office Supplies</t>
        </is>
      </c>
      <c r="G5123" s="7" t="inlineStr">
        <is>
          <t>Pens</t>
        </is>
      </c>
      <c r="H5123" s="7" t="inlineStr">
        <is>
          <t>Corporate</t>
        </is>
      </c>
      <c r="I5123" s="7" t="n">
        <v>5</v>
      </c>
      <c r="J5123" s="10" t="n">
        <v>12.31</v>
      </c>
      <c r="K5123" s="11" t="n">
        <v>0.1</v>
      </c>
      <c r="L5123" s="10">
        <f>I5123*J5123*(1-K5123)</f>
        <v/>
      </c>
      <c r="M5123" s="10" t="n">
        <v>27</v>
      </c>
      <c r="N5123" s="10">
        <f>L5123-M5123</f>
        <v/>
      </c>
    </row>
    <row r="5124">
      <c r="A5124" s="7" t="inlineStr">
        <is>
          <t>ORD-01560</t>
        </is>
      </c>
      <c r="B5124" s="8" t="n">
        <v>45930</v>
      </c>
      <c r="C5124" s="9" t="n">
        <v>45901</v>
      </c>
      <c r="D5124" s="7" t="n">
        <v>2025</v>
      </c>
      <c r="E5124" s="7" t="inlineStr">
        <is>
          <t>North</t>
        </is>
      </c>
      <c r="F5124" s="7" t="inlineStr">
        <is>
          <t>Technology</t>
        </is>
      </c>
      <c r="G5124" s="7" t="inlineStr">
        <is>
          <t>Laptop</t>
        </is>
      </c>
      <c r="H5124" s="7" t="inlineStr">
        <is>
          <t>Corporate</t>
        </is>
      </c>
      <c r="I5124" s="7" t="n">
        <v>1</v>
      </c>
      <c r="J5124" s="10" t="n">
        <v>944.5599999999999</v>
      </c>
      <c r="K5124" s="11" t="n">
        <v>0.2</v>
      </c>
      <c r="L5124" s="10">
        <f>I5124*J5124*(1-K5124)</f>
        <v/>
      </c>
      <c r="M5124" s="10" t="n">
        <v>702</v>
      </c>
      <c r="N5124" s="10">
        <f>L5124-M5124</f>
        <v/>
      </c>
    </row>
    <row r="5125">
      <c r="A5125" s="7" t="inlineStr">
        <is>
          <t>ORD-03177</t>
        </is>
      </c>
      <c r="B5125" s="8" t="n">
        <v>45930</v>
      </c>
      <c r="C5125" s="9" t="n">
        <v>45901</v>
      </c>
      <c r="D5125" s="7" t="n">
        <v>2025</v>
      </c>
      <c r="E5125" s="7" t="inlineStr">
        <is>
          <t>East</t>
        </is>
      </c>
      <c r="F5125" s="7" t="inlineStr">
        <is>
          <t>Technology</t>
        </is>
      </c>
      <c r="G5125" s="7" t="inlineStr">
        <is>
          <t>Monitor</t>
        </is>
      </c>
      <c r="H5125" s="7" t="inlineStr">
        <is>
          <t>Consumer</t>
        </is>
      </c>
      <c r="I5125" s="7" t="n">
        <v>1</v>
      </c>
      <c r="J5125" s="10" t="n">
        <v>238.81</v>
      </c>
      <c r="K5125" s="11" t="n">
        <v>0.2</v>
      </c>
      <c r="L5125" s="10">
        <f>I5125*J5125*(1-K5125)</f>
        <v/>
      </c>
      <c r="M5125" s="10" t="n">
        <v>180</v>
      </c>
      <c r="N5125" s="10">
        <f>L5125-M5125</f>
        <v/>
      </c>
    </row>
    <row r="5126">
      <c r="A5126" s="7" t="inlineStr">
        <is>
          <t>ORD-03922</t>
        </is>
      </c>
      <c r="B5126" s="8" t="n">
        <v>45930</v>
      </c>
      <c r="C5126" s="9" t="n">
        <v>45901</v>
      </c>
      <c r="D5126" s="7" t="n">
        <v>2025</v>
      </c>
      <c r="E5126" s="7" t="inlineStr">
        <is>
          <t>East</t>
        </is>
      </c>
      <c r="F5126" s="7" t="inlineStr">
        <is>
          <t>Technology</t>
        </is>
      </c>
      <c r="G5126" s="7" t="inlineStr">
        <is>
          <t>Keyboard</t>
        </is>
      </c>
      <c r="H5126" s="7" t="inlineStr">
        <is>
          <t>Corporate</t>
        </is>
      </c>
      <c r="I5126" s="7" t="n">
        <v>1</v>
      </c>
      <c r="J5126" s="10" t="n">
        <v>46.58</v>
      </c>
      <c r="K5126" s="11" t="n">
        <v>0</v>
      </c>
      <c r="L5126" s="10">
        <f>I5126*J5126*(1-K5126)</f>
        <v/>
      </c>
      <c r="M5126" s="10" t="n">
        <v>24.75</v>
      </c>
      <c r="N5126" s="10">
        <f>L5126-M5126</f>
        <v/>
      </c>
    </row>
    <row r="5127">
      <c r="A5127" s="7" t="inlineStr">
        <is>
          <t>ORD-01409</t>
        </is>
      </c>
      <c r="B5127" s="8" t="n">
        <v>45930</v>
      </c>
      <c r="C5127" s="9" t="n">
        <v>45901</v>
      </c>
      <c r="D5127" s="7" t="n">
        <v>2025</v>
      </c>
      <c r="E5127" s="7" t="inlineStr">
        <is>
          <t>East</t>
        </is>
      </c>
      <c r="F5127" s="7" t="inlineStr">
        <is>
          <t>Office Supplies</t>
        </is>
      </c>
      <c r="G5127" s="7" t="inlineStr">
        <is>
          <t>Binder</t>
        </is>
      </c>
      <c r="H5127" s="7" t="inlineStr">
        <is>
          <t>Consumer</t>
        </is>
      </c>
      <c r="I5127" s="7" t="n">
        <v>13</v>
      </c>
      <c r="J5127" s="10" t="n">
        <v>8.279999999999999</v>
      </c>
      <c r="K5127" s="11" t="n">
        <v>0.3</v>
      </c>
      <c r="L5127" s="10">
        <f>I5127*J5127*(1-K5127)</f>
        <v/>
      </c>
      <c r="M5127" s="10" t="n">
        <v>41.6</v>
      </c>
      <c r="N5127" s="10">
        <f>L5127-M5127</f>
        <v/>
      </c>
    </row>
    <row r="5128">
      <c r="A5128" s="7" t="inlineStr">
        <is>
          <t>ORD-05681</t>
        </is>
      </c>
      <c r="B5128" s="8" t="n">
        <v>45930</v>
      </c>
      <c r="C5128" s="9" t="n">
        <v>45901</v>
      </c>
      <c r="D5128" s="7" t="n">
        <v>2025</v>
      </c>
      <c r="E5128" s="7" t="inlineStr">
        <is>
          <t>East</t>
        </is>
      </c>
      <c r="F5128" s="7" t="inlineStr">
        <is>
          <t>Office Supplies</t>
        </is>
      </c>
      <c r="G5128" s="7" t="inlineStr">
        <is>
          <t>Printer Ink</t>
        </is>
      </c>
      <c r="H5128" s="7" t="inlineStr">
        <is>
          <t>Home Office</t>
        </is>
      </c>
      <c r="I5128" s="7" t="n">
        <v>15</v>
      </c>
      <c r="J5128" s="10" t="n">
        <v>59.22</v>
      </c>
      <c r="K5128" s="11" t="n">
        <v>0.05</v>
      </c>
      <c r="L5128" s="10">
        <f>I5128*J5128*(1-K5128)</f>
        <v/>
      </c>
      <c r="M5128" s="10" t="n">
        <v>540</v>
      </c>
      <c r="N5128" s="10">
        <f>L5128-M5128</f>
        <v/>
      </c>
    </row>
    <row r="5129">
      <c r="A5129" s="7" t="inlineStr">
        <is>
          <t>ORD-03711</t>
        </is>
      </c>
      <c r="B5129" s="8" t="n">
        <v>45930</v>
      </c>
      <c r="C5129" s="9" t="n">
        <v>45901</v>
      </c>
      <c r="D5129" s="7" t="n">
        <v>2025</v>
      </c>
      <c r="E5129" s="7" t="inlineStr">
        <is>
          <t>South</t>
        </is>
      </c>
      <c r="F5129" s="7" t="inlineStr">
        <is>
          <t>Office Supplies</t>
        </is>
      </c>
      <c r="G5129" s="7" t="inlineStr">
        <is>
          <t>Pens</t>
        </is>
      </c>
      <c r="H5129" s="7" t="inlineStr">
        <is>
          <t>Home Office</t>
        </is>
      </c>
      <c r="I5129" s="7" t="n">
        <v>2</v>
      </c>
      <c r="J5129" s="10" t="n">
        <v>11.42</v>
      </c>
      <c r="K5129" s="11" t="n">
        <v>0</v>
      </c>
      <c r="L5129" s="10">
        <f>I5129*J5129*(1-K5129)</f>
        <v/>
      </c>
      <c r="M5129" s="10" t="n">
        <v>10.8</v>
      </c>
      <c r="N5129" s="10">
        <f>L5129-M5129</f>
        <v/>
      </c>
    </row>
    <row r="5130">
      <c r="A5130" s="7" t="inlineStr">
        <is>
          <t>ORD-05343</t>
        </is>
      </c>
      <c r="B5130" s="8" t="n">
        <v>45931</v>
      </c>
      <c r="C5130" s="9" t="n">
        <v>45931</v>
      </c>
      <c r="D5130" s="7" t="n">
        <v>2025</v>
      </c>
      <c r="E5130" s="7" t="inlineStr">
        <is>
          <t>East</t>
        </is>
      </c>
      <c r="F5130" s="7" t="inlineStr">
        <is>
          <t>Office Supplies</t>
        </is>
      </c>
      <c r="G5130" s="7" t="inlineStr">
        <is>
          <t>Pens</t>
        </is>
      </c>
      <c r="H5130" s="7" t="inlineStr">
        <is>
          <t>Consumer</t>
        </is>
      </c>
      <c r="I5130" s="7" t="n">
        <v>13</v>
      </c>
      <c r="J5130" s="10" t="n">
        <v>12.09</v>
      </c>
      <c r="K5130" s="11" t="n">
        <v>0</v>
      </c>
      <c r="L5130" s="10">
        <f>I5130*J5130*(1-K5130)</f>
        <v/>
      </c>
      <c r="M5130" s="10" t="n">
        <v>70.2</v>
      </c>
      <c r="N5130" s="10">
        <f>L5130-M5130</f>
        <v/>
      </c>
    </row>
    <row r="5131">
      <c r="A5131" s="7" t="inlineStr">
        <is>
          <t>ORD-03522</t>
        </is>
      </c>
      <c r="B5131" s="8" t="n">
        <v>45931</v>
      </c>
      <c r="C5131" s="9" t="n">
        <v>45931</v>
      </c>
      <c r="D5131" s="7" t="n">
        <v>2025</v>
      </c>
      <c r="E5131" s="7" t="inlineStr">
        <is>
          <t>South</t>
        </is>
      </c>
      <c r="F5131" s="7" t="inlineStr">
        <is>
          <t>Office Supplies</t>
        </is>
      </c>
      <c r="G5131" s="7" t="inlineStr">
        <is>
          <t>Stapler</t>
        </is>
      </c>
      <c r="H5131" s="7" t="inlineStr">
        <is>
          <t>Corporate</t>
        </is>
      </c>
      <c r="I5131" s="7" t="n">
        <v>10</v>
      </c>
      <c r="J5131" s="10" t="n">
        <v>14.99</v>
      </c>
      <c r="K5131" s="11" t="n">
        <v>0.2</v>
      </c>
      <c r="L5131" s="10">
        <f>I5131*J5131*(1-K5131)</f>
        <v/>
      </c>
      <c r="M5131" s="10" t="n">
        <v>75</v>
      </c>
      <c r="N5131" s="10">
        <f>L5131-M5131</f>
        <v/>
      </c>
    </row>
    <row r="5132">
      <c r="A5132" s="7" t="inlineStr">
        <is>
          <t>ORD-04786</t>
        </is>
      </c>
      <c r="B5132" s="8" t="n">
        <v>45931</v>
      </c>
      <c r="C5132" s="9" t="n">
        <v>45931</v>
      </c>
      <c r="D5132" s="7" t="n">
        <v>2025</v>
      </c>
      <c r="E5132" s="7" t="inlineStr">
        <is>
          <t>North</t>
        </is>
      </c>
      <c r="F5132" s="7" t="inlineStr">
        <is>
          <t>Office Supplies</t>
        </is>
      </c>
      <c r="G5132" s="7" t="inlineStr">
        <is>
          <t>Binder</t>
        </is>
      </c>
      <c r="H5132" s="7" t="inlineStr">
        <is>
          <t>Corporate</t>
        </is>
      </c>
      <c r="I5132" s="7" t="n">
        <v>15</v>
      </c>
      <c r="J5132" s="10" t="n">
        <v>8.09</v>
      </c>
      <c r="K5132" s="11" t="n">
        <v>0</v>
      </c>
      <c r="L5132" s="10">
        <f>I5132*J5132*(1-K5132)</f>
        <v/>
      </c>
      <c r="M5132" s="10" t="n">
        <v>48</v>
      </c>
      <c r="N5132" s="10">
        <f>L5132-M5132</f>
        <v/>
      </c>
    </row>
    <row r="5133">
      <c r="A5133" s="7" t="inlineStr">
        <is>
          <t>ORD-05919</t>
        </is>
      </c>
      <c r="B5133" s="8" t="n">
        <v>45931</v>
      </c>
      <c r="C5133" s="9" t="n">
        <v>45931</v>
      </c>
      <c r="D5133" s="7" t="n">
        <v>2025</v>
      </c>
      <c r="E5133" s="7" t="inlineStr">
        <is>
          <t>North</t>
        </is>
      </c>
      <c r="F5133" s="7" t="inlineStr">
        <is>
          <t>Technology</t>
        </is>
      </c>
      <c r="G5133" s="7" t="inlineStr">
        <is>
          <t>Keyboard</t>
        </is>
      </c>
      <c r="H5133" s="7" t="inlineStr">
        <is>
          <t>Corporate</t>
        </is>
      </c>
      <c r="I5133" s="7" t="n">
        <v>1</v>
      </c>
      <c r="J5133" s="10" t="n">
        <v>44.93</v>
      </c>
      <c r="K5133" s="11" t="n">
        <v>0.1</v>
      </c>
      <c r="L5133" s="10">
        <f>I5133*J5133*(1-K5133)</f>
        <v/>
      </c>
      <c r="M5133" s="10" t="n">
        <v>24.75</v>
      </c>
      <c r="N5133" s="10">
        <f>L5133-M5133</f>
        <v/>
      </c>
    </row>
    <row r="5134">
      <c r="A5134" s="7" t="inlineStr">
        <is>
          <t>ORD-02337</t>
        </is>
      </c>
      <c r="B5134" s="8" t="n">
        <v>45931</v>
      </c>
      <c r="C5134" s="9" t="n">
        <v>45931</v>
      </c>
      <c r="D5134" s="7" t="n">
        <v>2025</v>
      </c>
      <c r="E5134" s="7" t="inlineStr">
        <is>
          <t>North</t>
        </is>
      </c>
      <c r="F5134" s="7" t="inlineStr">
        <is>
          <t>Office Supplies</t>
        </is>
      </c>
      <c r="G5134" s="7" t="inlineStr">
        <is>
          <t>Paper</t>
        </is>
      </c>
      <c r="H5134" s="7" t="inlineStr">
        <is>
          <t>Consumer</t>
        </is>
      </c>
      <c r="I5134" s="7" t="n">
        <v>14</v>
      </c>
      <c r="J5134" s="10" t="n">
        <v>25.63</v>
      </c>
      <c r="K5134" s="11" t="n">
        <v>0</v>
      </c>
      <c r="L5134" s="10">
        <f>I5134*J5134*(1-K5134)</f>
        <v/>
      </c>
      <c r="M5134" s="10" t="n">
        <v>175</v>
      </c>
      <c r="N5134" s="10">
        <f>L5134-M5134</f>
        <v/>
      </c>
    </row>
    <row r="5135">
      <c r="A5135" s="7" t="inlineStr">
        <is>
          <t>ORD-04238</t>
        </is>
      </c>
      <c r="B5135" s="8" t="n">
        <v>45931</v>
      </c>
      <c r="C5135" s="9" t="n">
        <v>45931</v>
      </c>
      <c r="D5135" s="7" t="n">
        <v>2025</v>
      </c>
      <c r="E5135" s="7" t="inlineStr">
        <is>
          <t>West</t>
        </is>
      </c>
      <c r="F5135" s="7" t="inlineStr">
        <is>
          <t>Technology</t>
        </is>
      </c>
      <c r="G5135" s="7" t="inlineStr">
        <is>
          <t>Monitor</t>
        </is>
      </c>
      <c r="H5135" s="7" t="inlineStr">
        <is>
          <t>Consumer</t>
        </is>
      </c>
      <c r="I5135" s="7" t="n">
        <v>3</v>
      </c>
      <c r="J5135" s="10" t="n">
        <v>238.06</v>
      </c>
      <c r="K5135" s="11" t="n">
        <v>0</v>
      </c>
      <c r="L5135" s="10">
        <f>I5135*J5135*(1-K5135)</f>
        <v/>
      </c>
      <c r="M5135" s="10" t="n">
        <v>540</v>
      </c>
      <c r="N5135" s="10">
        <f>L5135-M5135</f>
        <v/>
      </c>
    </row>
    <row r="5136">
      <c r="A5136" s="7" t="inlineStr">
        <is>
          <t>ORD-05672</t>
        </is>
      </c>
      <c r="B5136" s="8" t="n">
        <v>45931</v>
      </c>
      <c r="C5136" s="9" t="n">
        <v>45931</v>
      </c>
      <c r="D5136" s="7" t="n">
        <v>2025</v>
      </c>
      <c r="E5136" s="7" t="inlineStr">
        <is>
          <t>South</t>
        </is>
      </c>
      <c r="F5136" s="7" t="inlineStr">
        <is>
          <t>Technology</t>
        </is>
      </c>
      <c r="G5136" s="7" t="inlineStr">
        <is>
          <t>Smartphone</t>
        </is>
      </c>
      <c r="H5136" s="7" t="inlineStr">
        <is>
          <t>Consumer</t>
        </is>
      </c>
      <c r="I5136" s="7" t="n">
        <v>1</v>
      </c>
      <c r="J5136" s="10" t="n">
        <v>629.89</v>
      </c>
      <c r="K5136" s="11" t="n">
        <v>0.05</v>
      </c>
      <c r="L5136" s="10">
        <f>I5136*J5136*(1-K5136)</f>
        <v/>
      </c>
      <c r="M5136" s="10" t="n">
        <v>450</v>
      </c>
      <c r="N5136" s="10">
        <f>L5136-M5136</f>
        <v/>
      </c>
    </row>
    <row r="5137">
      <c r="A5137" s="7" t="inlineStr">
        <is>
          <t>ORD-02270</t>
        </is>
      </c>
      <c r="B5137" s="8" t="n">
        <v>45932</v>
      </c>
      <c r="C5137" s="9" t="n">
        <v>45931</v>
      </c>
      <c r="D5137" s="7" t="n">
        <v>2025</v>
      </c>
      <c r="E5137" s="7" t="inlineStr">
        <is>
          <t>East</t>
        </is>
      </c>
      <c r="F5137" s="7" t="inlineStr">
        <is>
          <t>Furniture</t>
        </is>
      </c>
      <c r="G5137" s="7" t="inlineStr">
        <is>
          <t>Desk</t>
        </is>
      </c>
      <c r="H5137" s="7" t="inlineStr">
        <is>
          <t>Corporate</t>
        </is>
      </c>
      <c r="I5137" s="7" t="n">
        <v>4</v>
      </c>
      <c r="J5137" s="10" t="n">
        <v>436.38</v>
      </c>
      <c r="K5137" s="11" t="n">
        <v>0.3</v>
      </c>
      <c r="L5137" s="10">
        <f>I5137*J5137*(1-K5137)</f>
        <v/>
      </c>
      <c r="M5137" s="10" t="n">
        <v>1530</v>
      </c>
      <c r="N5137" s="10">
        <f>L5137-M5137</f>
        <v/>
      </c>
    </row>
    <row r="5138">
      <c r="A5138" s="7" t="inlineStr">
        <is>
          <t>ORD-04656</t>
        </is>
      </c>
      <c r="B5138" s="8" t="n">
        <v>45932</v>
      </c>
      <c r="C5138" s="9" t="n">
        <v>45931</v>
      </c>
      <c r="D5138" s="7" t="n">
        <v>2025</v>
      </c>
      <c r="E5138" s="7" t="inlineStr">
        <is>
          <t>West</t>
        </is>
      </c>
      <c r="F5138" s="7" t="inlineStr">
        <is>
          <t>Office Supplies</t>
        </is>
      </c>
      <c r="G5138" s="7" t="inlineStr">
        <is>
          <t>Pens</t>
        </is>
      </c>
      <c r="H5138" s="7" t="inlineStr">
        <is>
          <t>Corporate</t>
        </is>
      </c>
      <c r="I5138" s="7" t="n">
        <v>8</v>
      </c>
      <c r="J5138" s="10" t="n">
        <v>11.82</v>
      </c>
      <c r="K5138" s="11" t="n">
        <v>0</v>
      </c>
      <c r="L5138" s="10">
        <f>I5138*J5138*(1-K5138)</f>
        <v/>
      </c>
      <c r="M5138" s="10" t="n">
        <v>43.2</v>
      </c>
      <c r="N5138" s="10">
        <f>L5138-M5138</f>
        <v/>
      </c>
    </row>
    <row r="5139">
      <c r="A5139" s="7" t="inlineStr">
        <is>
          <t>ORD-03597</t>
        </is>
      </c>
      <c r="B5139" s="8" t="n">
        <v>45932</v>
      </c>
      <c r="C5139" s="9" t="n">
        <v>45931</v>
      </c>
      <c r="D5139" s="7" t="n">
        <v>2025</v>
      </c>
      <c r="E5139" s="7" t="inlineStr">
        <is>
          <t>West</t>
        </is>
      </c>
      <c r="F5139" s="7" t="inlineStr">
        <is>
          <t>Office Supplies</t>
        </is>
      </c>
      <c r="G5139" s="7" t="inlineStr">
        <is>
          <t>Binder</t>
        </is>
      </c>
      <c r="H5139" s="7" t="inlineStr">
        <is>
          <t>Consumer</t>
        </is>
      </c>
      <c r="I5139" s="7" t="n">
        <v>6</v>
      </c>
      <c r="J5139" s="10" t="n">
        <v>7.71</v>
      </c>
      <c r="K5139" s="11" t="n">
        <v>0.05</v>
      </c>
      <c r="L5139" s="10">
        <f>I5139*J5139*(1-K5139)</f>
        <v/>
      </c>
      <c r="M5139" s="10" t="n">
        <v>19.2</v>
      </c>
      <c r="N5139" s="10">
        <f>L5139-M5139</f>
        <v/>
      </c>
    </row>
    <row r="5140">
      <c r="A5140" s="7" t="inlineStr">
        <is>
          <t>ORD-02757</t>
        </is>
      </c>
      <c r="B5140" s="8" t="n">
        <v>45932</v>
      </c>
      <c r="C5140" s="9" t="n">
        <v>45931</v>
      </c>
      <c r="D5140" s="7" t="n">
        <v>2025</v>
      </c>
      <c r="E5140" s="7" t="inlineStr">
        <is>
          <t>West</t>
        </is>
      </c>
      <c r="F5140" s="7" t="inlineStr">
        <is>
          <t>Office Supplies</t>
        </is>
      </c>
      <c r="G5140" s="7" t="inlineStr">
        <is>
          <t>Printer Ink</t>
        </is>
      </c>
      <c r="H5140" s="7" t="inlineStr">
        <is>
          <t>Consumer</t>
        </is>
      </c>
      <c r="I5140" s="7" t="n">
        <v>6</v>
      </c>
      <c r="J5140" s="10" t="n">
        <v>62.45</v>
      </c>
      <c r="K5140" s="11" t="n">
        <v>0</v>
      </c>
      <c r="L5140" s="10">
        <f>I5140*J5140*(1-K5140)</f>
        <v/>
      </c>
      <c r="M5140" s="10" t="n">
        <v>216</v>
      </c>
      <c r="N5140" s="10">
        <f>L5140-M5140</f>
        <v/>
      </c>
    </row>
    <row r="5141">
      <c r="A5141" s="7" t="inlineStr">
        <is>
          <t>ORD-05268</t>
        </is>
      </c>
      <c r="B5141" s="8" t="n">
        <v>45932</v>
      </c>
      <c r="C5141" s="9" t="n">
        <v>45931</v>
      </c>
      <c r="D5141" s="7" t="n">
        <v>2025</v>
      </c>
      <c r="E5141" s="7" t="inlineStr">
        <is>
          <t>South</t>
        </is>
      </c>
      <c r="F5141" s="7" t="inlineStr">
        <is>
          <t>Office Supplies</t>
        </is>
      </c>
      <c r="G5141" s="7" t="inlineStr">
        <is>
          <t>Paper</t>
        </is>
      </c>
      <c r="H5141" s="7" t="inlineStr">
        <is>
          <t>Consumer</t>
        </is>
      </c>
      <c r="I5141" s="7" t="n">
        <v>15</v>
      </c>
      <c r="J5141" s="10" t="n">
        <v>24.21</v>
      </c>
      <c r="K5141" s="11" t="n">
        <v>0</v>
      </c>
      <c r="L5141" s="10">
        <f>I5141*J5141*(1-K5141)</f>
        <v/>
      </c>
      <c r="M5141" s="10" t="n">
        <v>187.5</v>
      </c>
      <c r="N5141" s="10">
        <f>L5141-M5141</f>
        <v/>
      </c>
    </row>
    <row r="5142">
      <c r="A5142" s="7" t="inlineStr">
        <is>
          <t>ORD-02275</t>
        </is>
      </c>
      <c r="B5142" s="8" t="n">
        <v>45932</v>
      </c>
      <c r="C5142" s="9" t="n">
        <v>45931</v>
      </c>
      <c r="D5142" s="7" t="n">
        <v>2025</v>
      </c>
      <c r="E5142" s="7" t="inlineStr">
        <is>
          <t>West</t>
        </is>
      </c>
      <c r="F5142" s="7" t="inlineStr">
        <is>
          <t>Office Supplies</t>
        </is>
      </c>
      <c r="G5142" s="7" t="inlineStr">
        <is>
          <t>Pens</t>
        </is>
      </c>
      <c r="H5142" s="7" t="inlineStr">
        <is>
          <t>Consumer</t>
        </is>
      </c>
      <c r="I5142" s="7" t="n">
        <v>10</v>
      </c>
      <c r="J5142" s="10" t="n">
        <v>12.09</v>
      </c>
      <c r="K5142" s="11" t="n">
        <v>0</v>
      </c>
      <c r="L5142" s="10">
        <f>I5142*J5142*(1-K5142)</f>
        <v/>
      </c>
      <c r="M5142" s="10" t="n">
        <v>54</v>
      </c>
      <c r="N5142" s="10">
        <f>L5142-M5142</f>
        <v/>
      </c>
    </row>
    <row r="5143">
      <c r="A5143" s="7" t="inlineStr">
        <is>
          <t>ORD-03075</t>
        </is>
      </c>
      <c r="B5143" s="8" t="n">
        <v>45932</v>
      </c>
      <c r="C5143" s="9" t="n">
        <v>45931</v>
      </c>
      <c r="D5143" s="7" t="n">
        <v>2025</v>
      </c>
      <c r="E5143" s="7" t="inlineStr">
        <is>
          <t>South</t>
        </is>
      </c>
      <c r="F5143" s="7" t="inlineStr">
        <is>
          <t>Technology</t>
        </is>
      </c>
      <c r="G5143" s="7" t="inlineStr">
        <is>
          <t>Smartphone</t>
        </is>
      </c>
      <c r="H5143" s="7" t="inlineStr">
        <is>
          <t>Corporate</t>
        </is>
      </c>
      <c r="I5143" s="7" t="n">
        <v>1</v>
      </c>
      <c r="J5143" s="10" t="n">
        <v>582.33</v>
      </c>
      <c r="K5143" s="11" t="n">
        <v>0.05</v>
      </c>
      <c r="L5143" s="10">
        <f>I5143*J5143*(1-K5143)</f>
        <v/>
      </c>
      <c r="M5143" s="10" t="n">
        <v>450</v>
      </c>
      <c r="N5143" s="10">
        <f>L5143-M5143</f>
        <v/>
      </c>
    </row>
    <row r="5144">
      <c r="A5144" s="7" t="inlineStr">
        <is>
          <t>ORD-02700</t>
        </is>
      </c>
      <c r="B5144" s="8" t="n">
        <v>45933</v>
      </c>
      <c r="C5144" s="9" t="n">
        <v>45931</v>
      </c>
      <c r="D5144" s="7" t="n">
        <v>2025</v>
      </c>
      <c r="E5144" s="7" t="inlineStr">
        <is>
          <t>West</t>
        </is>
      </c>
      <c r="F5144" s="7" t="inlineStr">
        <is>
          <t>Office Supplies</t>
        </is>
      </c>
      <c r="G5144" s="7" t="inlineStr">
        <is>
          <t>Binder</t>
        </is>
      </c>
      <c r="H5144" s="7" t="inlineStr">
        <is>
          <t>Corporate</t>
        </is>
      </c>
      <c r="I5144" s="7" t="n">
        <v>13</v>
      </c>
      <c r="J5144" s="10" t="n">
        <v>8.039999999999999</v>
      </c>
      <c r="K5144" s="11" t="n">
        <v>0</v>
      </c>
      <c r="L5144" s="10">
        <f>I5144*J5144*(1-K5144)</f>
        <v/>
      </c>
      <c r="M5144" s="10" t="n">
        <v>41.6</v>
      </c>
      <c r="N5144" s="10">
        <f>L5144-M5144</f>
        <v/>
      </c>
    </row>
    <row r="5145">
      <c r="A5145" s="7" t="inlineStr">
        <is>
          <t>ORD-01378</t>
        </is>
      </c>
      <c r="B5145" s="8" t="n">
        <v>45934</v>
      </c>
      <c r="C5145" s="9" t="n">
        <v>45931</v>
      </c>
      <c r="D5145" s="7" t="n">
        <v>2025</v>
      </c>
      <c r="E5145" s="7" t="inlineStr">
        <is>
          <t>North</t>
        </is>
      </c>
      <c r="F5145" s="7" t="inlineStr">
        <is>
          <t>Office Supplies</t>
        </is>
      </c>
      <c r="G5145" s="7" t="inlineStr">
        <is>
          <t>Stapler</t>
        </is>
      </c>
      <c r="H5145" s="7" t="inlineStr">
        <is>
          <t>Corporate</t>
        </is>
      </c>
      <c r="I5145" s="7" t="n">
        <v>14</v>
      </c>
      <c r="J5145" s="10" t="n">
        <v>14.4</v>
      </c>
      <c r="K5145" s="11" t="n">
        <v>0</v>
      </c>
      <c r="L5145" s="10">
        <f>I5145*J5145*(1-K5145)</f>
        <v/>
      </c>
      <c r="M5145" s="10" t="n">
        <v>105</v>
      </c>
      <c r="N5145" s="10">
        <f>L5145-M5145</f>
        <v/>
      </c>
    </row>
    <row r="5146">
      <c r="A5146" s="7" t="inlineStr">
        <is>
          <t>ORD-02377</t>
        </is>
      </c>
      <c r="B5146" s="8" t="n">
        <v>45934</v>
      </c>
      <c r="C5146" s="9" t="n">
        <v>45931</v>
      </c>
      <c r="D5146" s="7" t="n">
        <v>2025</v>
      </c>
      <c r="E5146" s="7" t="inlineStr">
        <is>
          <t>South</t>
        </is>
      </c>
      <c r="F5146" s="7" t="inlineStr">
        <is>
          <t>Office Supplies</t>
        </is>
      </c>
      <c r="G5146" s="7" t="inlineStr">
        <is>
          <t>Printer Ink</t>
        </is>
      </c>
      <c r="H5146" s="7" t="inlineStr">
        <is>
          <t>Consumer</t>
        </is>
      </c>
      <c r="I5146" s="7" t="n">
        <v>11</v>
      </c>
      <c r="J5146" s="10" t="n">
        <v>62.8</v>
      </c>
      <c r="K5146" s="11" t="n">
        <v>0.05</v>
      </c>
      <c r="L5146" s="10">
        <f>I5146*J5146*(1-K5146)</f>
        <v/>
      </c>
      <c r="M5146" s="10" t="n">
        <v>396</v>
      </c>
      <c r="N5146" s="10">
        <f>L5146-M5146</f>
        <v/>
      </c>
    </row>
    <row r="5147">
      <c r="A5147" s="7" t="inlineStr">
        <is>
          <t>ORD-02213</t>
        </is>
      </c>
      <c r="B5147" s="8" t="n">
        <v>45935</v>
      </c>
      <c r="C5147" s="9" t="n">
        <v>45931</v>
      </c>
      <c r="D5147" s="7" t="n">
        <v>2025</v>
      </c>
      <c r="E5147" s="7" t="inlineStr">
        <is>
          <t>South</t>
        </is>
      </c>
      <c r="F5147" s="7" t="inlineStr">
        <is>
          <t>Technology</t>
        </is>
      </c>
      <c r="G5147" s="7" t="inlineStr">
        <is>
          <t>Laptop</t>
        </is>
      </c>
      <c r="H5147" s="7" t="inlineStr">
        <is>
          <t>Consumer</t>
        </is>
      </c>
      <c r="I5147" s="7" t="n">
        <v>2</v>
      </c>
      <c r="J5147" s="10" t="n">
        <v>902.13</v>
      </c>
      <c r="K5147" s="11" t="n">
        <v>0.05</v>
      </c>
      <c r="L5147" s="10">
        <f>I5147*J5147*(1-K5147)</f>
        <v/>
      </c>
      <c r="M5147" s="10" t="n">
        <v>1404</v>
      </c>
      <c r="N5147" s="10">
        <f>L5147-M5147</f>
        <v/>
      </c>
    </row>
    <row r="5148">
      <c r="A5148" s="7" t="inlineStr">
        <is>
          <t>ORD-02812</t>
        </is>
      </c>
      <c r="B5148" s="8" t="n">
        <v>45935</v>
      </c>
      <c r="C5148" s="9" t="n">
        <v>45931</v>
      </c>
      <c r="D5148" s="7" t="n">
        <v>2025</v>
      </c>
      <c r="E5148" s="7" t="inlineStr">
        <is>
          <t>North</t>
        </is>
      </c>
      <c r="F5148" s="7" t="inlineStr">
        <is>
          <t>Office Supplies</t>
        </is>
      </c>
      <c r="G5148" s="7" t="inlineStr">
        <is>
          <t>Printer Ink</t>
        </is>
      </c>
      <c r="H5148" s="7" t="inlineStr">
        <is>
          <t>Consumer</t>
        </is>
      </c>
      <c r="I5148" s="7" t="n">
        <v>7</v>
      </c>
      <c r="J5148" s="10" t="n">
        <v>61.97</v>
      </c>
      <c r="K5148" s="11" t="n">
        <v>0</v>
      </c>
      <c r="L5148" s="10">
        <f>I5148*J5148*(1-K5148)</f>
        <v/>
      </c>
      <c r="M5148" s="10" t="n">
        <v>252</v>
      </c>
      <c r="N5148" s="10">
        <f>L5148-M5148</f>
        <v/>
      </c>
    </row>
    <row r="5149">
      <c r="A5149" s="7" t="inlineStr">
        <is>
          <t>ORD-02461</t>
        </is>
      </c>
      <c r="B5149" s="8" t="n">
        <v>45935</v>
      </c>
      <c r="C5149" s="9" t="n">
        <v>45931</v>
      </c>
      <c r="D5149" s="7" t="n">
        <v>2025</v>
      </c>
      <c r="E5149" s="7" t="inlineStr">
        <is>
          <t>North</t>
        </is>
      </c>
      <c r="F5149" s="7" t="inlineStr">
        <is>
          <t>Office Supplies</t>
        </is>
      </c>
      <c r="G5149" s="7" t="inlineStr">
        <is>
          <t>Pens</t>
        </is>
      </c>
      <c r="H5149" s="7" t="inlineStr">
        <is>
          <t>Corporate</t>
        </is>
      </c>
      <c r="I5149" s="7" t="n">
        <v>7</v>
      </c>
      <c r="J5149" s="10" t="n">
        <v>12.14</v>
      </c>
      <c r="K5149" s="11" t="n">
        <v>0.2</v>
      </c>
      <c r="L5149" s="10">
        <f>I5149*J5149*(1-K5149)</f>
        <v/>
      </c>
      <c r="M5149" s="10" t="n">
        <v>37.8</v>
      </c>
      <c r="N5149" s="10">
        <f>L5149-M5149</f>
        <v/>
      </c>
    </row>
    <row r="5150">
      <c r="A5150" s="7" t="inlineStr">
        <is>
          <t>ORD-04974</t>
        </is>
      </c>
      <c r="B5150" s="8" t="n">
        <v>45935</v>
      </c>
      <c r="C5150" s="9" t="n">
        <v>45931</v>
      </c>
      <c r="D5150" s="7" t="n">
        <v>2025</v>
      </c>
      <c r="E5150" s="7" t="inlineStr">
        <is>
          <t>East</t>
        </is>
      </c>
      <c r="F5150" s="7" t="inlineStr">
        <is>
          <t>Technology</t>
        </is>
      </c>
      <c r="G5150" s="7" t="inlineStr">
        <is>
          <t>Monitor</t>
        </is>
      </c>
      <c r="H5150" s="7" t="inlineStr">
        <is>
          <t>Consumer</t>
        </is>
      </c>
      <c r="I5150" s="7" t="n">
        <v>3</v>
      </c>
      <c r="J5150" s="10" t="n">
        <v>240.47</v>
      </c>
      <c r="K5150" s="11" t="n">
        <v>0</v>
      </c>
      <c r="L5150" s="10">
        <f>I5150*J5150*(1-K5150)</f>
        <v/>
      </c>
      <c r="M5150" s="10" t="n">
        <v>540</v>
      </c>
      <c r="N5150" s="10">
        <f>L5150-M5150</f>
        <v/>
      </c>
    </row>
    <row r="5151">
      <c r="A5151" s="7" t="inlineStr">
        <is>
          <t>ORD-01195</t>
        </is>
      </c>
      <c r="B5151" s="8" t="n">
        <v>45935</v>
      </c>
      <c r="C5151" s="9" t="n">
        <v>45931</v>
      </c>
      <c r="D5151" s="7" t="n">
        <v>2025</v>
      </c>
      <c r="E5151" s="7" t="inlineStr">
        <is>
          <t>South</t>
        </is>
      </c>
      <c r="F5151" s="7" t="inlineStr">
        <is>
          <t>Office Supplies</t>
        </is>
      </c>
      <c r="G5151" s="7" t="inlineStr">
        <is>
          <t>Stapler</t>
        </is>
      </c>
      <c r="H5151" s="7" t="inlineStr">
        <is>
          <t>Consumer</t>
        </is>
      </c>
      <c r="I5151" s="7" t="n">
        <v>9</v>
      </c>
      <c r="J5151" s="10" t="n">
        <v>14.58</v>
      </c>
      <c r="K5151" s="11" t="n">
        <v>0.3</v>
      </c>
      <c r="L5151" s="10">
        <f>I5151*J5151*(1-K5151)</f>
        <v/>
      </c>
      <c r="M5151" s="10" t="n">
        <v>67.5</v>
      </c>
      <c r="N5151" s="10">
        <f>L5151-M5151</f>
        <v/>
      </c>
    </row>
    <row r="5152">
      <c r="A5152" s="7" t="inlineStr">
        <is>
          <t>ORD-01580</t>
        </is>
      </c>
      <c r="B5152" s="8" t="n">
        <v>45935</v>
      </c>
      <c r="C5152" s="9" t="n">
        <v>45931</v>
      </c>
      <c r="D5152" s="7" t="n">
        <v>2025</v>
      </c>
      <c r="E5152" s="7" t="inlineStr">
        <is>
          <t>East</t>
        </is>
      </c>
      <c r="F5152" s="7" t="inlineStr">
        <is>
          <t>Furniture</t>
        </is>
      </c>
      <c r="G5152" s="7" t="inlineStr">
        <is>
          <t>Office Chair</t>
        </is>
      </c>
      <c r="H5152" s="7" t="inlineStr">
        <is>
          <t>Consumer</t>
        </is>
      </c>
      <c r="I5152" s="7" t="n">
        <v>4</v>
      </c>
      <c r="J5152" s="10" t="n">
        <v>222.71</v>
      </c>
      <c r="K5152" s="11" t="n">
        <v>0.1</v>
      </c>
      <c r="L5152" s="10">
        <f>I5152*J5152*(1-K5152)</f>
        <v/>
      </c>
      <c r="M5152" s="10" t="n">
        <v>721.6</v>
      </c>
      <c r="N5152" s="10">
        <f>L5152-M5152</f>
        <v/>
      </c>
    </row>
    <row r="5153">
      <c r="A5153" s="7" t="inlineStr">
        <is>
          <t>ORD-04226</t>
        </is>
      </c>
      <c r="B5153" s="8" t="n">
        <v>45935</v>
      </c>
      <c r="C5153" s="9" t="n">
        <v>45931</v>
      </c>
      <c r="D5153" s="7" t="n">
        <v>2025</v>
      </c>
      <c r="E5153" s="7" t="inlineStr">
        <is>
          <t>South</t>
        </is>
      </c>
      <c r="F5153" s="7" t="inlineStr">
        <is>
          <t>Furniture</t>
        </is>
      </c>
      <c r="G5153" s="7" t="inlineStr">
        <is>
          <t>Office Chair</t>
        </is>
      </c>
      <c r="H5153" s="7" t="inlineStr">
        <is>
          <t>Consumer</t>
        </is>
      </c>
      <c r="I5153" s="7" t="n">
        <v>4</v>
      </c>
      <c r="J5153" s="10" t="n">
        <v>213.9</v>
      </c>
      <c r="K5153" s="11" t="n">
        <v>0.2</v>
      </c>
      <c r="L5153" s="10">
        <f>I5153*J5153*(1-K5153)</f>
        <v/>
      </c>
      <c r="M5153" s="10" t="n">
        <v>721.6</v>
      </c>
      <c r="N5153" s="10">
        <f>L5153-M5153</f>
        <v/>
      </c>
    </row>
    <row r="5154">
      <c r="A5154" s="7" t="inlineStr">
        <is>
          <t>ORD-05135</t>
        </is>
      </c>
      <c r="B5154" s="8" t="n">
        <v>45936</v>
      </c>
      <c r="C5154" s="9" t="n">
        <v>45931</v>
      </c>
      <c r="D5154" s="7" t="n">
        <v>2025</v>
      </c>
      <c r="E5154" s="7" t="inlineStr">
        <is>
          <t>South</t>
        </is>
      </c>
      <c r="F5154" s="7" t="inlineStr">
        <is>
          <t>Office Supplies</t>
        </is>
      </c>
      <c r="G5154" s="7" t="inlineStr">
        <is>
          <t>Paper</t>
        </is>
      </c>
      <c r="H5154" s="7" t="inlineStr">
        <is>
          <t>Consumer</t>
        </is>
      </c>
      <c r="I5154" s="7" t="n">
        <v>3</v>
      </c>
      <c r="J5154" s="10" t="n">
        <v>24.1</v>
      </c>
      <c r="K5154" s="11" t="n">
        <v>0.05</v>
      </c>
      <c r="L5154" s="10">
        <f>I5154*J5154*(1-K5154)</f>
        <v/>
      </c>
      <c r="M5154" s="10" t="n">
        <v>37.5</v>
      </c>
      <c r="N5154" s="10">
        <f>L5154-M5154</f>
        <v/>
      </c>
    </row>
    <row r="5155">
      <c r="A5155" s="7" t="inlineStr">
        <is>
          <t>ORD-05837</t>
        </is>
      </c>
      <c r="B5155" s="8" t="n">
        <v>45936</v>
      </c>
      <c r="C5155" s="9" t="n">
        <v>45931</v>
      </c>
      <c r="D5155" s="7" t="n">
        <v>2025</v>
      </c>
      <c r="E5155" s="7" t="inlineStr">
        <is>
          <t>East</t>
        </is>
      </c>
      <c r="F5155" s="7" t="inlineStr">
        <is>
          <t>Furniture</t>
        </is>
      </c>
      <c r="G5155" s="7" t="inlineStr">
        <is>
          <t>Sofa</t>
        </is>
      </c>
      <c r="H5155" s="7" t="inlineStr">
        <is>
          <t>Consumer</t>
        </is>
      </c>
      <c r="I5155" s="7" t="n">
        <v>3</v>
      </c>
      <c r="J5155" s="10" t="n">
        <v>688</v>
      </c>
      <c r="K5155" s="11" t="n">
        <v>0.05</v>
      </c>
      <c r="L5155" s="10">
        <f>I5155*J5155*(1-K5155)</f>
        <v/>
      </c>
      <c r="M5155" s="10" t="n">
        <v>1848</v>
      </c>
      <c r="N5155" s="10">
        <f>L5155-M5155</f>
        <v/>
      </c>
    </row>
    <row r="5156">
      <c r="A5156" s="7" t="inlineStr">
        <is>
          <t>ORD-00704</t>
        </is>
      </c>
      <c r="B5156" s="8" t="n">
        <v>45936</v>
      </c>
      <c r="C5156" s="9" t="n">
        <v>45931</v>
      </c>
      <c r="D5156" s="7" t="n">
        <v>2025</v>
      </c>
      <c r="E5156" s="7" t="inlineStr">
        <is>
          <t>West</t>
        </is>
      </c>
      <c r="F5156" s="7" t="inlineStr">
        <is>
          <t>Technology</t>
        </is>
      </c>
      <c r="G5156" s="7" t="inlineStr">
        <is>
          <t>Keyboard</t>
        </is>
      </c>
      <c r="H5156" s="7" t="inlineStr">
        <is>
          <t>Corporate</t>
        </is>
      </c>
      <c r="I5156" s="7" t="n">
        <v>2</v>
      </c>
      <c r="J5156" s="10" t="n">
        <v>46.68</v>
      </c>
      <c r="K5156" s="11" t="n">
        <v>0</v>
      </c>
      <c r="L5156" s="10">
        <f>I5156*J5156*(1-K5156)</f>
        <v/>
      </c>
      <c r="M5156" s="10" t="n">
        <v>49.5</v>
      </c>
      <c r="N5156" s="10">
        <f>L5156-M5156</f>
        <v/>
      </c>
    </row>
    <row r="5157">
      <c r="A5157" s="7" t="inlineStr">
        <is>
          <t>ORD-00949</t>
        </is>
      </c>
      <c r="B5157" s="8" t="n">
        <v>45936</v>
      </c>
      <c r="C5157" s="9" t="n">
        <v>45931</v>
      </c>
      <c r="D5157" s="7" t="n">
        <v>2025</v>
      </c>
      <c r="E5157" s="7" t="inlineStr">
        <is>
          <t>South</t>
        </is>
      </c>
      <c r="F5157" s="7" t="inlineStr">
        <is>
          <t>Office Supplies</t>
        </is>
      </c>
      <c r="G5157" s="7" t="inlineStr">
        <is>
          <t>Paper</t>
        </is>
      </c>
      <c r="H5157" s="7" t="inlineStr">
        <is>
          <t>Consumer</t>
        </is>
      </c>
      <c r="I5157" s="7" t="n">
        <v>8</v>
      </c>
      <c r="J5157" s="10" t="n">
        <v>24.27</v>
      </c>
      <c r="K5157" s="11" t="n">
        <v>0.1</v>
      </c>
      <c r="L5157" s="10">
        <f>I5157*J5157*(1-K5157)</f>
        <v/>
      </c>
      <c r="M5157" s="10" t="n">
        <v>100</v>
      </c>
      <c r="N5157" s="10">
        <f>L5157-M5157</f>
        <v/>
      </c>
    </row>
    <row r="5158">
      <c r="A5158" s="7" t="inlineStr">
        <is>
          <t>ORD-04680</t>
        </is>
      </c>
      <c r="B5158" s="8" t="n">
        <v>45936</v>
      </c>
      <c r="C5158" s="9" t="n">
        <v>45931</v>
      </c>
      <c r="D5158" s="7" t="n">
        <v>2025</v>
      </c>
      <c r="E5158" s="7" t="inlineStr">
        <is>
          <t>East</t>
        </is>
      </c>
      <c r="F5158" s="7" t="inlineStr">
        <is>
          <t>Office Supplies</t>
        </is>
      </c>
      <c r="G5158" s="7" t="inlineStr">
        <is>
          <t>Binder</t>
        </is>
      </c>
      <c r="H5158" s="7" t="inlineStr">
        <is>
          <t>Consumer</t>
        </is>
      </c>
      <c r="I5158" s="7" t="n">
        <v>9</v>
      </c>
      <c r="J5158" s="10" t="n">
        <v>7.61</v>
      </c>
      <c r="K5158" s="11" t="n">
        <v>0.05</v>
      </c>
      <c r="L5158" s="10">
        <f>I5158*J5158*(1-K5158)</f>
        <v/>
      </c>
      <c r="M5158" s="10" t="n">
        <v>28.8</v>
      </c>
      <c r="N5158" s="10">
        <f>L5158-M5158</f>
        <v/>
      </c>
    </row>
    <row r="5159">
      <c r="A5159" s="7" t="inlineStr">
        <is>
          <t>ORD-00198</t>
        </is>
      </c>
      <c r="B5159" s="8" t="n">
        <v>45936</v>
      </c>
      <c r="C5159" s="9" t="n">
        <v>45931</v>
      </c>
      <c r="D5159" s="7" t="n">
        <v>2025</v>
      </c>
      <c r="E5159" s="7" t="inlineStr">
        <is>
          <t>West</t>
        </is>
      </c>
      <c r="F5159" s="7" t="inlineStr">
        <is>
          <t>Technology</t>
        </is>
      </c>
      <c r="G5159" s="7" t="inlineStr">
        <is>
          <t>Smartphone</t>
        </is>
      </c>
      <c r="H5159" s="7" t="inlineStr">
        <is>
          <t>Consumer</t>
        </is>
      </c>
      <c r="I5159" s="7" t="n">
        <v>3</v>
      </c>
      <c r="J5159" s="10" t="n">
        <v>623.3200000000001</v>
      </c>
      <c r="K5159" s="11" t="n">
        <v>0.05</v>
      </c>
      <c r="L5159" s="10">
        <f>I5159*J5159*(1-K5159)</f>
        <v/>
      </c>
      <c r="M5159" s="10" t="n">
        <v>1350</v>
      </c>
      <c r="N5159" s="10">
        <f>L5159-M5159</f>
        <v/>
      </c>
    </row>
    <row r="5160">
      <c r="A5160" s="7" t="inlineStr">
        <is>
          <t>ORD-00829</t>
        </is>
      </c>
      <c r="B5160" s="8" t="n">
        <v>45936</v>
      </c>
      <c r="C5160" s="9" t="n">
        <v>45931</v>
      </c>
      <c r="D5160" s="7" t="n">
        <v>2025</v>
      </c>
      <c r="E5160" s="7" t="inlineStr">
        <is>
          <t>South</t>
        </is>
      </c>
      <c r="F5160" s="7" t="inlineStr">
        <is>
          <t>Office Supplies</t>
        </is>
      </c>
      <c r="G5160" s="7" t="inlineStr">
        <is>
          <t>Binder</t>
        </is>
      </c>
      <c r="H5160" s="7" t="inlineStr">
        <is>
          <t>Corporate</t>
        </is>
      </c>
      <c r="I5160" s="7" t="n">
        <v>11</v>
      </c>
      <c r="J5160" s="10" t="n">
        <v>8.119999999999999</v>
      </c>
      <c r="K5160" s="11" t="n">
        <v>0</v>
      </c>
      <c r="L5160" s="10">
        <f>I5160*J5160*(1-K5160)</f>
        <v/>
      </c>
      <c r="M5160" s="10" t="n">
        <v>35.2</v>
      </c>
      <c r="N5160" s="10">
        <f>L5160-M5160</f>
        <v/>
      </c>
    </row>
    <row r="5161">
      <c r="A5161" s="7" t="inlineStr">
        <is>
          <t>ORD-01355</t>
        </is>
      </c>
      <c r="B5161" s="8" t="n">
        <v>45936</v>
      </c>
      <c r="C5161" s="9" t="n">
        <v>45931</v>
      </c>
      <c r="D5161" s="7" t="n">
        <v>2025</v>
      </c>
      <c r="E5161" s="7" t="inlineStr">
        <is>
          <t>East</t>
        </is>
      </c>
      <c r="F5161" s="7" t="inlineStr">
        <is>
          <t>Office Supplies</t>
        </is>
      </c>
      <c r="G5161" s="7" t="inlineStr">
        <is>
          <t>Stapler</t>
        </is>
      </c>
      <c r="H5161" s="7" t="inlineStr">
        <is>
          <t>Home Office</t>
        </is>
      </c>
      <c r="I5161" s="7" t="n">
        <v>4</v>
      </c>
      <c r="J5161" s="10" t="n">
        <v>15.7</v>
      </c>
      <c r="K5161" s="11" t="n">
        <v>0</v>
      </c>
      <c r="L5161" s="10">
        <f>I5161*J5161*(1-K5161)</f>
        <v/>
      </c>
      <c r="M5161" s="10" t="n">
        <v>30</v>
      </c>
      <c r="N5161" s="10">
        <f>L5161-M5161</f>
        <v/>
      </c>
    </row>
    <row r="5162">
      <c r="A5162" s="7" t="inlineStr">
        <is>
          <t>ORD-02950</t>
        </is>
      </c>
      <c r="B5162" s="8" t="n">
        <v>45937</v>
      </c>
      <c r="C5162" s="9" t="n">
        <v>45931</v>
      </c>
      <c r="D5162" s="7" t="n">
        <v>2025</v>
      </c>
      <c r="E5162" s="7" t="inlineStr">
        <is>
          <t>West</t>
        </is>
      </c>
      <c r="F5162" s="7" t="inlineStr">
        <is>
          <t>Technology</t>
        </is>
      </c>
      <c r="G5162" s="7" t="inlineStr">
        <is>
          <t>Laptop</t>
        </is>
      </c>
      <c r="H5162" s="7" t="inlineStr">
        <is>
          <t>Consumer</t>
        </is>
      </c>
      <c r="I5162" s="7" t="n">
        <v>3</v>
      </c>
      <c r="J5162" s="10" t="n">
        <v>904.8200000000001</v>
      </c>
      <c r="K5162" s="11" t="n">
        <v>0.3</v>
      </c>
      <c r="L5162" s="10">
        <f>I5162*J5162*(1-K5162)</f>
        <v/>
      </c>
      <c r="M5162" s="10" t="n">
        <v>2106</v>
      </c>
      <c r="N5162" s="10">
        <f>L5162-M5162</f>
        <v/>
      </c>
    </row>
    <row r="5163">
      <c r="A5163" s="7" t="inlineStr">
        <is>
          <t>ORD-02695</t>
        </is>
      </c>
      <c r="B5163" s="8" t="n">
        <v>45937</v>
      </c>
      <c r="C5163" s="9" t="n">
        <v>45931</v>
      </c>
      <c r="D5163" s="7" t="n">
        <v>2025</v>
      </c>
      <c r="E5163" s="7" t="inlineStr">
        <is>
          <t>South</t>
        </is>
      </c>
      <c r="F5163" s="7" t="inlineStr">
        <is>
          <t>Office Supplies</t>
        </is>
      </c>
      <c r="G5163" s="7" t="inlineStr">
        <is>
          <t>Binder</t>
        </is>
      </c>
      <c r="H5163" s="7" t="inlineStr">
        <is>
          <t>Corporate</t>
        </is>
      </c>
      <c r="I5163" s="7" t="n">
        <v>8</v>
      </c>
      <c r="J5163" s="10" t="n">
        <v>7.94</v>
      </c>
      <c r="K5163" s="11" t="n">
        <v>0</v>
      </c>
      <c r="L5163" s="10">
        <f>I5163*J5163*(1-K5163)</f>
        <v/>
      </c>
      <c r="M5163" s="10" t="n">
        <v>25.6</v>
      </c>
      <c r="N5163" s="10">
        <f>L5163-M5163</f>
        <v/>
      </c>
    </row>
    <row r="5164">
      <c r="A5164" s="7" t="inlineStr">
        <is>
          <t>ORD-03091</t>
        </is>
      </c>
      <c r="B5164" s="8" t="n">
        <v>45937</v>
      </c>
      <c r="C5164" s="9" t="n">
        <v>45931</v>
      </c>
      <c r="D5164" s="7" t="n">
        <v>2025</v>
      </c>
      <c r="E5164" s="7" t="inlineStr">
        <is>
          <t>South</t>
        </is>
      </c>
      <c r="F5164" s="7" t="inlineStr">
        <is>
          <t>Office Supplies</t>
        </is>
      </c>
      <c r="G5164" s="7" t="inlineStr">
        <is>
          <t>Printer Ink</t>
        </is>
      </c>
      <c r="H5164" s="7" t="inlineStr">
        <is>
          <t>Consumer</t>
        </is>
      </c>
      <c r="I5164" s="7" t="n">
        <v>10</v>
      </c>
      <c r="J5164" s="10" t="n">
        <v>59.49</v>
      </c>
      <c r="K5164" s="11" t="n">
        <v>0.1</v>
      </c>
      <c r="L5164" s="10">
        <f>I5164*J5164*(1-K5164)</f>
        <v/>
      </c>
      <c r="M5164" s="10" t="n">
        <v>360</v>
      </c>
      <c r="N5164" s="10">
        <f>L5164-M5164</f>
        <v/>
      </c>
    </row>
    <row r="5165">
      <c r="A5165" s="7" t="inlineStr">
        <is>
          <t>ORD-01709</t>
        </is>
      </c>
      <c r="B5165" s="8" t="n">
        <v>45937</v>
      </c>
      <c r="C5165" s="9" t="n">
        <v>45931</v>
      </c>
      <c r="D5165" s="7" t="n">
        <v>2025</v>
      </c>
      <c r="E5165" s="7" t="inlineStr">
        <is>
          <t>East</t>
        </is>
      </c>
      <c r="F5165" s="7" t="inlineStr">
        <is>
          <t>Furniture</t>
        </is>
      </c>
      <c r="G5165" s="7" t="inlineStr">
        <is>
          <t>Desk</t>
        </is>
      </c>
      <c r="H5165" s="7" t="inlineStr">
        <is>
          <t>Home Office</t>
        </is>
      </c>
      <c r="I5165" s="7" t="n">
        <v>1</v>
      </c>
      <c r="J5165" s="10" t="n">
        <v>453.55</v>
      </c>
      <c r="K5165" s="11" t="n">
        <v>0</v>
      </c>
      <c r="L5165" s="10">
        <f>I5165*J5165*(1-K5165)</f>
        <v/>
      </c>
      <c r="M5165" s="10" t="n">
        <v>382.5</v>
      </c>
      <c r="N5165" s="10">
        <f>L5165-M5165</f>
        <v/>
      </c>
    </row>
    <row r="5166">
      <c r="A5166" s="7" t="inlineStr">
        <is>
          <t>ORD-05505</t>
        </is>
      </c>
      <c r="B5166" s="8" t="n">
        <v>45937</v>
      </c>
      <c r="C5166" s="9" t="n">
        <v>45931</v>
      </c>
      <c r="D5166" s="7" t="n">
        <v>2025</v>
      </c>
      <c r="E5166" s="7" t="inlineStr">
        <is>
          <t>North</t>
        </is>
      </c>
      <c r="F5166" s="7" t="inlineStr">
        <is>
          <t>Office Supplies</t>
        </is>
      </c>
      <c r="G5166" s="7" t="inlineStr">
        <is>
          <t>Stapler</t>
        </is>
      </c>
      <c r="H5166" s="7" t="inlineStr">
        <is>
          <t>Consumer</t>
        </is>
      </c>
      <c r="I5166" s="7" t="n">
        <v>11</v>
      </c>
      <c r="J5166" s="10" t="n">
        <v>14.45</v>
      </c>
      <c r="K5166" s="11" t="n">
        <v>0.05</v>
      </c>
      <c r="L5166" s="10">
        <f>I5166*J5166*(1-K5166)</f>
        <v/>
      </c>
      <c r="M5166" s="10" t="n">
        <v>82.5</v>
      </c>
      <c r="N5166" s="10">
        <f>L5166-M5166</f>
        <v/>
      </c>
    </row>
    <row r="5167">
      <c r="A5167" s="7" t="inlineStr">
        <is>
          <t>ORD-05272</t>
        </is>
      </c>
      <c r="B5167" s="8" t="n">
        <v>45937</v>
      </c>
      <c r="C5167" s="9" t="n">
        <v>45931</v>
      </c>
      <c r="D5167" s="7" t="n">
        <v>2025</v>
      </c>
      <c r="E5167" s="7" t="inlineStr">
        <is>
          <t>West</t>
        </is>
      </c>
      <c r="F5167" s="7" t="inlineStr">
        <is>
          <t>Office Supplies</t>
        </is>
      </c>
      <c r="G5167" s="7" t="inlineStr">
        <is>
          <t>Pens</t>
        </is>
      </c>
      <c r="H5167" s="7" t="inlineStr">
        <is>
          <t>Consumer</t>
        </is>
      </c>
      <c r="I5167" s="7" t="n">
        <v>6</v>
      </c>
      <c r="J5167" s="10" t="n">
        <v>12.35</v>
      </c>
      <c r="K5167" s="11" t="n">
        <v>0.1</v>
      </c>
      <c r="L5167" s="10">
        <f>I5167*J5167*(1-K5167)</f>
        <v/>
      </c>
      <c r="M5167" s="10" t="n">
        <v>32.4</v>
      </c>
      <c r="N5167" s="10">
        <f>L5167-M5167</f>
        <v/>
      </c>
    </row>
    <row r="5168">
      <c r="A5168" s="7" t="inlineStr">
        <is>
          <t>ORD-01193</t>
        </is>
      </c>
      <c r="B5168" s="8" t="n">
        <v>45937</v>
      </c>
      <c r="C5168" s="9" t="n">
        <v>45931</v>
      </c>
      <c r="D5168" s="7" t="n">
        <v>2025</v>
      </c>
      <c r="E5168" s="7" t="inlineStr">
        <is>
          <t>East</t>
        </is>
      </c>
      <c r="F5168" s="7" t="inlineStr">
        <is>
          <t>Furniture</t>
        </is>
      </c>
      <c r="G5168" s="7" t="inlineStr">
        <is>
          <t>Bookcase</t>
        </is>
      </c>
      <c r="H5168" s="7" t="inlineStr">
        <is>
          <t>Consumer</t>
        </is>
      </c>
      <c r="I5168" s="7" t="n">
        <v>4</v>
      </c>
      <c r="J5168" s="10" t="n">
        <v>179.13</v>
      </c>
      <c r="K5168" s="11" t="n">
        <v>0.2</v>
      </c>
      <c r="L5168" s="10">
        <f>I5168*J5168*(1-K5168)</f>
        <v/>
      </c>
      <c r="M5168" s="10" t="n">
        <v>576</v>
      </c>
      <c r="N5168" s="10">
        <f>L5168-M5168</f>
        <v/>
      </c>
    </row>
    <row r="5169">
      <c r="A5169" s="7" t="inlineStr">
        <is>
          <t>ORD-02980</t>
        </is>
      </c>
      <c r="B5169" s="8" t="n">
        <v>45937</v>
      </c>
      <c r="C5169" s="9" t="n">
        <v>45931</v>
      </c>
      <c r="D5169" s="7" t="n">
        <v>2025</v>
      </c>
      <c r="E5169" s="7" t="inlineStr">
        <is>
          <t>South</t>
        </is>
      </c>
      <c r="F5169" s="7" t="inlineStr">
        <is>
          <t>Office Supplies</t>
        </is>
      </c>
      <c r="G5169" s="7" t="inlineStr">
        <is>
          <t>Pens</t>
        </is>
      </c>
      <c r="H5169" s="7" t="inlineStr">
        <is>
          <t>Corporate</t>
        </is>
      </c>
      <c r="I5169" s="7" t="n">
        <v>9</v>
      </c>
      <c r="J5169" s="10" t="n">
        <v>12.34</v>
      </c>
      <c r="K5169" s="11" t="n">
        <v>0</v>
      </c>
      <c r="L5169" s="10">
        <f>I5169*J5169*(1-K5169)</f>
        <v/>
      </c>
      <c r="M5169" s="10" t="n">
        <v>48.6</v>
      </c>
      <c r="N5169" s="10">
        <f>L5169-M5169</f>
        <v/>
      </c>
    </row>
    <row r="5170">
      <c r="A5170" s="7" t="inlineStr">
        <is>
          <t>ORD-05772</t>
        </is>
      </c>
      <c r="B5170" s="8" t="n">
        <v>45937</v>
      </c>
      <c r="C5170" s="9" t="n">
        <v>45931</v>
      </c>
      <c r="D5170" s="7" t="n">
        <v>2025</v>
      </c>
      <c r="E5170" s="7" t="inlineStr">
        <is>
          <t>East</t>
        </is>
      </c>
      <c r="F5170" s="7" t="inlineStr">
        <is>
          <t>Technology</t>
        </is>
      </c>
      <c r="G5170" s="7" t="inlineStr">
        <is>
          <t>Headphones</t>
        </is>
      </c>
      <c r="H5170" s="7" t="inlineStr">
        <is>
          <t>Consumer</t>
        </is>
      </c>
      <c r="I5170" s="7" t="n">
        <v>3</v>
      </c>
      <c r="J5170" s="10" t="n">
        <v>125.98</v>
      </c>
      <c r="K5170" s="11" t="n">
        <v>0</v>
      </c>
      <c r="L5170" s="10">
        <f>I5170*J5170*(1-K5170)</f>
        <v/>
      </c>
      <c r="M5170" s="10" t="n">
        <v>216</v>
      </c>
      <c r="N5170" s="10">
        <f>L5170-M5170</f>
        <v/>
      </c>
    </row>
    <row r="5171">
      <c r="A5171" s="7" t="inlineStr">
        <is>
          <t>ORD-04409</t>
        </is>
      </c>
      <c r="B5171" s="8" t="n">
        <v>45937</v>
      </c>
      <c r="C5171" s="9" t="n">
        <v>45931</v>
      </c>
      <c r="D5171" s="7" t="n">
        <v>2025</v>
      </c>
      <c r="E5171" s="7" t="inlineStr">
        <is>
          <t>South</t>
        </is>
      </c>
      <c r="F5171" s="7" t="inlineStr">
        <is>
          <t>Technology</t>
        </is>
      </c>
      <c r="G5171" s="7" t="inlineStr">
        <is>
          <t>Keyboard</t>
        </is>
      </c>
      <c r="H5171" s="7" t="inlineStr">
        <is>
          <t>Corporate</t>
        </is>
      </c>
      <c r="I5171" s="7" t="n">
        <v>3</v>
      </c>
      <c r="J5171" s="10" t="n">
        <v>43.54</v>
      </c>
      <c r="K5171" s="11" t="n">
        <v>0.2</v>
      </c>
      <c r="L5171" s="10">
        <f>I5171*J5171*(1-K5171)</f>
        <v/>
      </c>
      <c r="M5171" s="10" t="n">
        <v>74.25</v>
      </c>
      <c r="N5171" s="10">
        <f>L5171-M5171</f>
        <v/>
      </c>
    </row>
    <row r="5172">
      <c r="A5172" s="7" t="inlineStr">
        <is>
          <t>ORD-01071</t>
        </is>
      </c>
      <c r="B5172" s="8" t="n">
        <v>45937</v>
      </c>
      <c r="C5172" s="9" t="n">
        <v>45931</v>
      </c>
      <c r="D5172" s="7" t="n">
        <v>2025</v>
      </c>
      <c r="E5172" s="7" t="inlineStr">
        <is>
          <t>South</t>
        </is>
      </c>
      <c r="F5172" s="7" t="inlineStr">
        <is>
          <t>Office Supplies</t>
        </is>
      </c>
      <c r="G5172" s="7" t="inlineStr">
        <is>
          <t>Paper</t>
        </is>
      </c>
      <c r="H5172" s="7" t="inlineStr">
        <is>
          <t>Corporate</t>
        </is>
      </c>
      <c r="I5172" s="7" t="n">
        <v>15</v>
      </c>
      <c r="J5172" s="10" t="n">
        <v>25.07</v>
      </c>
      <c r="K5172" s="11" t="n">
        <v>0.3</v>
      </c>
      <c r="L5172" s="10">
        <f>I5172*J5172*(1-K5172)</f>
        <v/>
      </c>
      <c r="M5172" s="10" t="n">
        <v>187.5</v>
      </c>
      <c r="N5172" s="10">
        <f>L5172-M5172</f>
        <v/>
      </c>
    </row>
    <row r="5173">
      <c r="A5173" s="7" t="inlineStr">
        <is>
          <t>ORD-00279</t>
        </is>
      </c>
      <c r="B5173" s="8" t="n">
        <v>45937</v>
      </c>
      <c r="C5173" s="9" t="n">
        <v>45931</v>
      </c>
      <c r="D5173" s="7" t="n">
        <v>2025</v>
      </c>
      <c r="E5173" s="7" t="inlineStr">
        <is>
          <t>South</t>
        </is>
      </c>
      <c r="F5173" s="7" t="inlineStr">
        <is>
          <t>Technology</t>
        </is>
      </c>
      <c r="G5173" s="7" t="inlineStr">
        <is>
          <t>Headphones</t>
        </is>
      </c>
      <c r="H5173" s="7" t="inlineStr">
        <is>
          <t>Corporate</t>
        </is>
      </c>
      <c r="I5173" s="7" t="n">
        <v>3</v>
      </c>
      <c r="J5173" s="10" t="n">
        <v>123.22</v>
      </c>
      <c r="K5173" s="11" t="n">
        <v>0.05</v>
      </c>
      <c r="L5173" s="10">
        <f>I5173*J5173*(1-K5173)</f>
        <v/>
      </c>
      <c r="M5173" s="10" t="n">
        <v>216</v>
      </c>
      <c r="N5173" s="10">
        <f>L5173-M5173</f>
        <v/>
      </c>
    </row>
    <row r="5174">
      <c r="A5174" s="7" t="inlineStr">
        <is>
          <t>ORD-03949</t>
        </is>
      </c>
      <c r="B5174" s="8" t="n">
        <v>45937</v>
      </c>
      <c r="C5174" s="9" t="n">
        <v>45931</v>
      </c>
      <c r="D5174" s="7" t="n">
        <v>2025</v>
      </c>
      <c r="E5174" s="7" t="inlineStr">
        <is>
          <t>South</t>
        </is>
      </c>
      <c r="F5174" s="7" t="inlineStr">
        <is>
          <t>Furniture</t>
        </is>
      </c>
      <c r="G5174" s="7" t="inlineStr">
        <is>
          <t>Bookcase</t>
        </is>
      </c>
      <c r="H5174" s="7" t="inlineStr">
        <is>
          <t>Consumer</t>
        </is>
      </c>
      <c r="I5174" s="7" t="n">
        <v>4</v>
      </c>
      <c r="J5174" s="10" t="n">
        <v>171.18</v>
      </c>
      <c r="K5174" s="11" t="n">
        <v>0.3</v>
      </c>
      <c r="L5174" s="10">
        <f>I5174*J5174*(1-K5174)</f>
        <v/>
      </c>
      <c r="M5174" s="10" t="n">
        <v>576</v>
      </c>
      <c r="N5174" s="10">
        <f>L5174-M5174</f>
        <v/>
      </c>
    </row>
    <row r="5175">
      <c r="A5175" s="7" t="inlineStr">
        <is>
          <t>ORD-04669</t>
        </is>
      </c>
      <c r="B5175" s="8" t="n">
        <v>45937</v>
      </c>
      <c r="C5175" s="9" t="n">
        <v>45931</v>
      </c>
      <c r="D5175" s="7" t="n">
        <v>2025</v>
      </c>
      <c r="E5175" s="7" t="inlineStr">
        <is>
          <t>West</t>
        </is>
      </c>
      <c r="F5175" s="7" t="inlineStr">
        <is>
          <t>Furniture</t>
        </is>
      </c>
      <c r="G5175" s="7" t="inlineStr">
        <is>
          <t>Bookcase</t>
        </is>
      </c>
      <c r="H5175" s="7" t="inlineStr">
        <is>
          <t>Consumer</t>
        </is>
      </c>
      <c r="I5175" s="7" t="n">
        <v>1</v>
      </c>
      <c r="J5175" s="10" t="n">
        <v>184.46</v>
      </c>
      <c r="K5175" s="11" t="n">
        <v>0.2</v>
      </c>
      <c r="L5175" s="10">
        <f>I5175*J5175*(1-K5175)</f>
        <v/>
      </c>
      <c r="M5175" s="10" t="n">
        <v>144</v>
      </c>
      <c r="N5175" s="10">
        <f>L5175-M5175</f>
        <v/>
      </c>
    </row>
    <row r="5176">
      <c r="A5176" s="7" t="inlineStr">
        <is>
          <t>ORD-02693</t>
        </is>
      </c>
      <c r="B5176" s="8" t="n">
        <v>45937</v>
      </c>
      <c r="C5176" s="9" t="n">
        <v>45931</v>
      </c>
      <c r="D5176" s="7" t="n">
        <v>2025</v>
      </c>
      <c r="E5176" s="7" t="inlineStr">
        <is>
          <t>West</t>
        </is>
      </c>
      <c r="F5176" s="7" t="inlineStr">
        <is>
          <t>Furniture</t>
        </is>
      </c>
      <c r="G5176" s="7" t="inlineStr">
        <is>
          <t>Office Chair</t>
        </is>
      </c>
      <c r="H5176" s="7" t="inlineStr">
        <is>
          <t>Corporate</t>
        </is>
      </c>
      <c r="I5176" s="7" t="n">
        <v>3</v>
      </c>
      <c r="J5176" s="10" t="n">
        <v>215.29</v>
      </c>
      <c r="K5176" s="11" t="n">
        <v>0</v>
      </c>
      <c r="L5176" s="10">
        <f>I5176*J5176*(1-K5176)</f>
        <v/>
      </c>
      <c r="M5176" s="10" t="n">
        <v>541.2</v>
      </c>
      <c r="N5176" s="10">
        <f>L5176-M5176</f>
        <v/>
      </c>
    </row>
    <row r="5177">
      <c r="A5177" s="7" t="inlineStr">
        <is>
          <t>ORD-00912</t>
        </is>
      </c>
      <c r="B5177" s="8" t="n">
        <v>45938</v>
      </c>
      <c r="C5177" s="9" t="n">
        <v>45931</v>
      </c>
      <c r="D5177" s="7" t="n">
        <v>2025</v>
      </c>
      <c r="E5177" s="7" t="inlineStr">
        <is>
          <t>South</t>
        </is>
      </c>
      <c r="F5177" s="7" t="inlineStr">
        <is>
          <t>Furniture</t>
        </is>
      </c>
      <c r="G5177" s="7" t="inlineStr">
        <is>
          <t>Desk</t>
        </is>
      </c>
      <c r="H5177" s="7" t="inlineStr">
        <is>
          <t>Consumer</t>
        </is>
      </c>
      <c r="I5177" s="7" t="n">
        <v>4</v>
      </c>
      <c r="J5177" s="10" t="n">
        <v>447.3</v>
      </c>
      <c r="K5177" s="11" t="n">
        <v>0.2</v>
      </c>
      <c r="L5177" s="10">
        <f>I5177*J5177*(1-K5177)</f>
        <v/>
      </c>
      <c r="M5177" s="10" t="n">
        <v>1530</v>
      </c>
      <c r="N5177" s="10">
        <f>L5177-M5177</f>
        <v/>
      </c>
    </row>
    <row r="5178">
      <c r="A5178" s="7" t="inlineStr">
        <is>
          <t>ORD-01679</t>
        </is>
      </c>
      <c r="B5178" s="8" t="n">
        <v>45938</v>
      </c>
      <c r="C5178" s="9" t="n">
        <v>45931</v>
      </c>
      <c r="D5178" s="7" t="n">
        <v>2025</v>
      </c>
      <c r="E5178" s="7" t="inlineStr">
        <is>
          <t>North</t>
        </is>
      </c>
      <c r="F5178" s="7" t="inlineStr">
        <is>
          <t>Office Supplies</t>
        </is>
      </c>
      <c r="G5178" s="7" t="inlineStr">
        <is>
          <t>Binder</t>
        </is>
      </c>
      <c r="H5178" s="7" t="inlineStr">
        <is>
          <t>Corporate</t>
        </is>
      </c>
      <c r="I5178" s="7" t="n">
        <v>12</v>
      </c>
      <c r="J5178" s="10" t="n">
        <v>7.61</v>
      </c>
      <c r="K5178" s="11" t="n">
        <v>0.05</v>
      </c>
      <c r="L5178" s="10">
        <f>I5178*J5178*(1-K5178)</f>
        <v/>
      </c>
      <c r="M5178" s="10" t="n">
        <v>38.4</v>
      </c>
      <c r="N5178" s="10">
        <f>L5178-M5178</f>
        <v/>
      </c>
    </row>
    <row r="5179">
      <c r="A5179" s="7" t="inlineStr">
        <is>
          <t>ORD-02236</t>
        </is>
      </c>
      <c r="B5179" s="8" t="n">
        <v>45938</v>
      </c>
      <c r="C5179" s="9" t="n">
        <v>45931</v>
      </c>
      <c r="D5179" s="7" t="n">
        <v>2025</v>
      </c>
      <c r="E5179" s="7" t="inlineStr">
        <is>
          <t>West</t>
        </is>
      </c>
      <c r="F5179" s="7" t="inlineStr">
        <is>
          <t>Office Supplies</t>
        </is>
      </c>
      <c r="G5179" s="7" t="inlineStr">
        <is>
          <t>Binder</t>
        </is>
      </c>
      <c r="H5179" s="7" t="inlineStr">
        <is>
          <t>Consumer</t>
        </is>
      </c>
      <c r="I5179" s="7" t="n">
        <v>10</v>
      </c>
      <c r="J5179" s="10" t="n">
        <v>7.64</v>
      </c>
      <c r="K5179" s="11" t="n">
        <v>0</v>
      </c>
      <c r="L5179" s="10">
        <f>I5179*J5179*(1-K5179)</f>
        <v/>
      </c>
      <c r="M5179" s="10" t="n">
        <v>32</v>
      </c>
      <c r="N5179" s="10">
        <f>L5179-M5179</f>
        <v/>
      </c>
    </row>
    <row r="5180">
      <c r="A5180" s="7" t="inlineStr">
        <is>
          <t>ORD-04572</t>
        </is>
      </c>
      <c r="B5180" s="8" t="n">
        <v>45938</v>
      </c>
      <c r="C5180" s="9" t="n">
        <v>45931</v>
      </c>
      <c r="D5180" s="7" t="n">
        <v>2025</v>
      </c>
      <c r="E5180" s="7" t="inlineStr">
        <is>
          <t>East</t>
        </is>
      </c>
      <c r="F5180" s="7" t="inlineStr">
        <is>
          <t>Furniture</t>
        </is>
      </c>
      <c r="G5180" s="7" t="inlineStr">
        <is>
          <t>Bookcase</t>
        </is>
      </c>
      <c r="H5180" s="7" t="inlineStr">
        <is>
          <t>Corporate</t>
        </is>
      </c>
      <c r="I5180" s="7" t="n">
        <v>1</v>
      </c>
      <c r="J5180" s="10" t="n">
        <v>179.02</v>
      </c>
      <c r="K5180" s="11" t="n">
        <v>0</v>
      </c>
      <c r="L5180" s="10">
        <f>I5180*J5180*(1-K5180)</f>
        <v/>
      </c>
      <c r="M5180" s="10" t="n">
        <v>144</v>
      </c>
      <c r="N5180" s="10">
        <f>L5180-M5180</f>
        <v/>
      </c>
    </row>
    <row r="5181">
      <c r="A5181" s="7" t="inlineStr">
        <is>
          <t>ORD-04513</t>
        </is>
      </c>
      <c r="B5181" s="8" t="n">
        <v>45939</v>
      </c>
      <c r="C5181" s="9" t="n">
        <v>45931</v>
      </c>
      <c r="D5181" s="7" t="n">
        <v>2025</v>
      </c>
      <c r="E5181" s="7" t="inlineStr">
        <is>
          <t>West</t>
        </is>
      </c>
      <c r="F5181" s="7" t="inlineStr">
        <is>
          <t>Furniture</t>
        </is>
      </c>
      <c r="G5181" s="7" t="inlineStr">
        <is>
          <t>Bookcase</t>
        </is>
      </c>
      <c r="H5181" s="7" t="inlineStr">
        <is>
          <t>Consumer</t>
        </is>
      </c>
      <c r="I5181" s="7" t="n">
        <v>2</v>
      </c>
      <c r="J5181" s="10" t="n">
        <v>188.31</v>
      </c>
      <c r="K5181" s="11" t="n">
        <v>0.1</v>
      </c>
      <c r="L5181" s="10">
        <f>I5181*J5181*(1-K5181)</f>
        <v/>
      </c>
      <c r="M5181" s="10" t="n">
        <v>288</v>
      </c>
      <c r="N5181" s="10">
        <f>L5181-M5181</f>
        <v/>
      </c>
    </row>
    <row r="5182">
      <c r="A5182" s="7" t="inlineStr">
        <is>
          <t>ORD-05929</t>
        </is>
      </c>
      <c r="B5182" s="8" t="n">
        <v>45939</v>
      </c>
      <c r="C5182" s="9" t="n">
        <v>45931</v>
      </c>
      <c r="D5182" s="7" t="n">
        <v>2025</v>
      </c>
      <c r="E5182" s="7" t="inlineStr">
        <is>
          <t>South</t>
        </is>
      </c>
      <c r="F5182" s="7" t="inlineStr">
        <is>
          <t>Office Supplies</t>
        </is>
      </c>
      <c r="G5182" s="7" t="inlineStr">
        <is>
          <t>Pens</t>
        </is>
      </c>
      <c r="H5182" s="7" t="inlineStr">
        <is>
          <t>Corporate</t>
        </is>
      </c>
      <c r="I5182" s="7" t="n">
        <v>10</v>
      </c>
      <c r="J5182" s="10" t="n">
        <v>11.53</v>
      </c>
      <c r="K5182" s="11" t="n">
        <v>0.1</v>
      </c>
      <c r="L5182" s="10">
        <f>I5182*J5182*(1-K5182)</f>
        <v/>
      </c>
      <c r="M5182" s="10" t="n">
        <v>54</v>
      </c>
      <c r="N5182" s="10">
        <f>L5182-M5182</f>
        <v/>
      </c>
    </row>
    <row r="5183">
      <c r="A5183" s="7" t="inlineStr">
        <is>
          <t>ORD-04443</t>
        </is>
      </c>
      <c r="B5183" s="8" t="n">
        <v>45939</v>
      </c>
      <c r="C5183" s="9" t="n">
        <v>45931</v>
      </c>
      <c r="D5183" s="7" t="n">
        <v>2025</v>
      </c>
      <c r="E5183" s="7" t="inlineStr">
        <is>
          <t>North</t>
        </is>
      </c>
      <c r="F5183" s="7" t="inlineStr">
        <is>
          <t>Office Supplies</t>
        </is>
      </c>
      <c r="G5183" s="7" t="inlineStr">
        <is>
          <t>Binder</t>
        </is>
      </c>
      <c r="H5183" s="7" t="inlineStr">
        <is>
          <t>Consumer</t>
        </is>
      </c>
      <c r="I5183" s="7" t="n">
        <v>6</v>
      </c>
      <c r="J5183" s="10" t="n">
        <v>7.73</v>
      </c>
      <c r="K5183" s="11" t="n">
        <v>0</v>
      </c>
      <c r="L5183" s="10">
        <f>I5183*J5183*(1-K5183)</f>
        <v/>
      </c>
      <c r="M5183" s="10" t="n">
        <v>19.2</v>
      </c>
      <c r="N5183" s="10">
        <f>L5183-M5183</f>
        <v/>
      </c>
    </row>
    <row r="5184">
      <c r="A5184" s="7" t="inlineStr">
        <is>
          <t>ORD-03405</t>
        </is>
      </c>
      <c r="B5184" s="8" t="n">
        <v>45939</v>
      </c>
      <c r="C5184" s="9" t="n">
        <v>45931</v>
      </c>
      <c r="D5184" s="7" t="n">
        <v>2025</v>
      </c>
      <c r="E5184" s="7" t="inlineStr">
        <is>
          <t>South</t>
        </is>
      </c>
      <c r="F5184" s="7" t="inlineStr">
        <is>
          <t>Technology</t>
        </is>
      </c>
      <c r="G5184" s="7" t="inlineStr">
        <is>
          <t>Laptop</t>
        </is>
      </c>
      <c r="H5184" s="7" t="inlineStr">
        <is>
          <t>Corporate</t>
        </is>
      </c>
      <c r="I5184" s="7" t="n">
        <v>2</v>
      </c>
      <c r="J5184" s="10" t="n">
        <v>899.73</v>
      </c>
      <c r="K5184" s="11" t="n">
        <v>0.2</v>
      </c>
      <c r="L5184" s="10">
        <f>I5184*J5184*(1-K5184)</f>
        <v/>
      </c>
      <c r="M5184" s="10" t="n">
        <v>1404</v>
      </c>
      <c r="N5184" s="10">
        <f>L5184-M5184</f>
        <v/>
      </c>
    </row>
    <row r="5185">
      <c r="A5185" s="7" t="inlineStr">
        <is>
          <t>ORD-01339</t>
        </is>
      </c>
      <c r="B5185" s="8" t="n">
        <v>45939</v>
      </c>
      <c r="C5185" s="9" t="n">
        <v>45931</v>
      </c>
      <c r="D5185" s="7" t="n">
        <v>2025</v>
      </c>
      <c r="E5185" s="7" t="inlineStr">
        <is>
          <t>West</t>
        </is>
      </c>
      <c r="F5185" s="7" t="inlineStr">
        <is>
          <t>Office Supplies</t>
        </is>
      </c>
      <c r="G5185" s="7" t="inlineStr">
        <is>
          <t>Printer Ink</t>
        </is>
      </c>
      <c r="H5185" s="7" t="inlineStr">
        <is>
          <t>Corporate</t>
        </is>
      </c>
      <c r="I5185" s="7" t="n">
        <v>4</v>
      </c>
      <c r="J5185" s="10" t="n">
        <v>60.33</v>
      </c>
      <c r="K5185" s="11" t="n">
        <v>0</v>
      </c>
      <c r="L5185" s="10">
        <f>I5185*J5185*(1-K5185)</f>
        <v/>
      </c>
      <c r="M5185" s="10" t="n">
        <v>144</v>
      </c>
      <c r="N5185" s="10">
        <f>L5185-M5185</f>
        <v/>
      </c>
    </row>
    <row r="5186">
      <c r="A5186" s="7" t="inlineStr">
        <is>
          <t>ORD-03676</t>
        </is>
      </c>
      <c r="B5186" s="8" t="n">
        <v>45939</v>
      </c>
      <c r="C5186" s="9" t="n">
        <v>45931</v>
      </c>
      <c r="D5186" s="7" t="n">
        <v>2025</v>
      </c>
      <c r="E5186" s="7" t="inlineStr">
        <is>
          <t>West</t>
        </is>
      </c>
      <c r="F5186" s="7" t="inlineStr">
        <is>
          <t>Office Supplies</t>
        </is>
      </c>
      <c r="G5186" s="7" t="inlineStr">
        <is>
          <t>Printer Ink</t>
        </is>
      </c>
      <c r="H5186" s="7" t="inlineStr">
        <is>
          <t>Consumer</t>
        </is>
      </c>
      <c r="I5186" s="7" t="n">
        <v>9</v>
      </c>
      <c r="J5186" s="10" t="n">
        <v>60.97</v>
      </c>
      <c r="K5186" s="11" t="n">
        <v>0.1</v>
      </c>
      <c r="L5186" s="10">
        <f>I5186*J5186*(1-K5186)</f>
        <v/>
      </c>
      <c r="M5186" s="10" t="n">
        <v>324</v>
      </c>
      <c r="N5186" s="10">
        <f>L5186-M5186</f>
        <v/>
      </c>
    </row>
    <row r="5187">
      <c r="A5187" s="7" t="inlineStr">
        <is>
          <t>ORD-02621</t>
        </is>
      </c>
      <c r="B5187" s="8" t="n">
        <v>45939</v>
      </c>
      <c r="C5187" s="9" t="n">
        <v>45931</v>
      </c>
      <c r="D5187" s="7" t="n">
        <v>2025</v>
      </c>
      <c r="E5187" s="7" t="inlineStr">
        <is>
          <t>North</t>
        </is>
      </c>
      <c r="F5187" s="7" t="inlineStr">
        <is>
          <t>Furniture</t>
        </is>
      </c>
      <c r="G5187" s="7" t="inlineStr">
        <is>
          <t>Desk</t>
        </is>
      </c>
      <c r="H5187" s="7" t="inlineStr">
        <is>
          <t>Corporate</t>
        </is>
      </c>
      <c r="I5187" s="7" t="n">
        <v>1</v>
      </c>
      <c r="J5187" s="10" t="n">
        <v>442.1</v>
      </c>
      <c r="K5187" s="11" t="n">
        <v>0</v>
      </c>
      <c r="L5187" s="10">
        <f>I5187*J5187*(1-K5187)</f>
        <v/>
      </c>
      <c r="M5187" s="10" t="n">
        <v>382.5</v>
      </c>
      <c r="N5187" s="10">
        <f>L5187-M5187</f>
        <v/>
      </c>
    </row>
    <row r="5188">
      <c r="A5188" s="7" t="inlineStr">
        <is>
          <t>ORD-05787</t>
        </is>
      </c>
      <c r="B5188" s="8" t="n">
        <v>45940</v>
      </c>
      <c r="C5188" s="9" t="n">
        <v>45931</v>
      </c>
      <c r="D5188" s="7" t="n">
        <v>2025</v>
      </c>
      <c r="E5188" s="7" t="inlineStr">
        <is>
          <t>South</t>
        </is>
      </c>
      <c r="F5188" s="7" t="inlineStr">
        <is>
          <t>Office Supplies</t>
        </is>
      </c>
      <c r="G5188" s="7" t="inlineStr">
        <is>
          <t>Paper</t>
        </is>
      </c>
      <c r="H5188" s="7" t="inlineStr">
        <is>
          <t>Consumer</t>
        </is>
      </c>
      <c r="I5188" s="7" t="n">
        <v>8</v>
      </c>
      <c r="J5188" s="10" t="n">
        <v>24.65</v>
      </c>
      <c r="K5188" s="11" t="n">
        <v>0.05</v>
      </c>
      <c r="L5188" s="10">
        <f>I5188*J5188*(1-K5188)</f>
        <v/>
      </c>
      <c r="M5188" s="10" t="n">
        <v>100</v>
      </c>
      <c r="N5188" s="10">
        <f>L5188-M5188</f>
        <v/>
      </c>
    </row>
    <row r="5189">
      <c r="A5189" s="7" t="inlineStr">
        <is>
          <t>ORD-03659</t>
        </is>
      </c>
      <c r="B5189" s="8" t="n">
        <v>45940</v>
      </c>
      <c r="C5189" s="9" t="n">
        <v>45931</v>
      </c>
      <c r="D5189" s="7" t="n">
        <v>2025</v>
      </c>
      <c r="E5189" s="7" t="inlineStr">
        <is>
          <t>North</t>
        </is>
      </c>
      <c r="F5189" s="7" t="inlineStr">
        <is>
          <t>Office Supplies</t>
        </is>
      </c>
      <c r="G5189" s="7" t="inlineStr">
        <is>
          <t>Binder</t>
        </is>
      </c>
      <c r="H5189" s="7" t="inlineStr">
        <is>
          <t>Corporate</t>
        </is>
      </c>
      <c r="I5189" s="7" t="n">
        <v>6</v>
      </c>
      <c r="J5189" s="10" t="n">
        <v>7.94</v>
      </c>
      <c r="K5189" s="11" t="n">
        <v>0</v>
      </c>
      <c r="L5189" s="10">
        <f>I5189*J5189*(1-K5189)</f>
        <v/>
      </c>
      <c r="M5189" s="10" t="n">
        <v>19.2</v>
      </c>
      <c r="N5189" s="10">
        <f>L5189-M5189</f>
        <v/>
      </c>
    </row>
    <row r="5190">
      <c r="A5190" s="7" t="inlineStr">
        <is>
          <t>ORD-05570</t>
        </is>
      </c>
      <c r="B5190" s="8" t="n">
        <v>45940</v>
      </c>
      <c r="C5190" s="9" t="n">
        <v>45931</v>
      </c>
      <c r="D5190" s="7" t="n">
        <v>2025</v>
      </c>
      <c r="E5190" s="7" t="inlineStr">
        <is>
          <t>East</t>
        </is>
      </c>
      <c r="F5190" s="7" t="inlineStr">
        <is>
          <t>Technology</t>
        </is>
      </c>
      <c r="G5190" s="7" t="inlineStr">
        <is>
          <t>Headphones</t>
        </is>
      </c>
      <c r="H5190" s="7" t="inlineStr">
        <is>
          <t>Corporate</t>
        </is>
      </c>
      <c r="I5190" s="7" t="n">
        <v>2</v>
      </c>
      <c r="J5190" s="10" t="n">
        <v>120.45</v>
      </c>
      <c r="K5190" s="11" t="n">
        <v>0.1</v>
      </c>
      <c r="L5190" s="10">
        <f>I5190*J5190*(1-K5190)</f>
        <v/>
      </c>
      <c r="M5190" s="10" t="n">
        <v>144</v>
      </c>
      <c r="N5190" s="10">
        <f>L5190-M5190</f>
        <v/>
      </c>
    </row>
    <row r="5191">
      <c r="A5191" s="7" t="inlineStr">
        <is>
          <t>ORD-05023</t>
        </is>
      </c>
      <c r="B5191" s="8" t="n">
        <v>45940</v>
      </c>
      <c r="C5191" s="9" t="n">
        <v>45931</v>
      </c>
      <c r="D5191" s="7" t="n">
        <v>2025</v>
      </c>
      <c r="E5191" s="7" t="inlineStr">
        <is>
          <t>North</t>
        </is>
      </c>
      <c r="F5191" s="7" t="inlineStr">
        <is>
          <t>Office Supplies</t>
        </is>
      </c>
      <c r="G5191" s="7" t="inlineStr">
        <is>
          <t>Binder</t>
        </is>
      </c>
      <c r="H5191" s="7" t="inlineStr">
        <is>
          <t>Consumer</t>
        </is>
      </c>
      <c r="I5191" s="7" t="n">
        <v>2</v>
      </c>
      <c r="J5191" s="10" t="n">
        <v>8.039999999999999</v>
      </c>
      <c r="K5191" s="11" t="n">
        <v>0.3</v>
      </c>
      <c r="L5191" s="10">
        <f>I5191*J5191*(1-K5191)</f>
        <v/>
      </c>
      <c r="M5191" s="10" t="n">
        <v>6.4</v>
      </c>
      <c r="N5191" s="10">
        <f>L5191-M5191</f>
        <v/>
      </c>
    </row>
    <row r="5192">
      <c r="A5192" s="7" t="inlineStr">
        <is>
          <t>ORD-04841</t>
        </is>
      </c>
      <c r="B5192" s="8" t="n">
        <v>45940</v>
      </c>
      <c r="C5192" s="9" t="n">
        <v>45931</v>
      </c>
      <c r="D5192" s="7" t="n">
        <v>2025</v>
      </c>
      <c r="E5192" s="7" t="inlineStr">
        <is>
          <t>South</t>
        </is>
      </c>
      <c r="F5192" s="7" t="inlineStr">
        <is>
          <t>Technology</t>
        </is>
      </c>
      <c r="G5192" s="7" t="inlineStr">
        <is>
          <t>Keyboard</t>
        </is>
      </c>
      <c r="H5192" s="7" t="inlineStr">
        <is>
          <t>Consumer</t>
        </is>
      </c>
      <c r="I5192" s="7" t="n">
        <v>3</v>
      </c>
      <c r="J5192" s="10" t="n">
        <v>46.07</v>
      </c>
      <c r="K5192" s="11" t="n">
        <v>0.2</v>
      </c>
      <c r="L5192" s="10">
        <f>I5192*J5192*(1-K5192)</f>
        <v/>
      </c>
      <c r="M5192" s="10" t="n">
        <v>74.25</v>
      </c>
      <c r="N5192" s="10">
        <f>L5192-M5192</f>
        <v/>
      </c>
    </row>
    <row r="5193">
      <c r="A5193" s="7" t="inlineStr">
        <is>
          <t>ORD-03428</t>
        </is>
      </c>
      <c r="B5193" s="8" t="n">
        <v>45940</v>
      </c>
      <c r="C5193" s="9" t="n">
        <v>45931</v>
      </c>
      <c r="D5193" s="7" t="n">
        <v>2025</v>
      </c>
      <c r="E5193" s="7" t="inlineStr">
        <is>
          <t>East</t>
        </is>
      </c>
      <c r="F5193" s="7" t="inlineStr">
        <is>
          <t>Office Supplies</t>
        </is>
      </c>
      <c r="G5193" s="7" t="inlineStr">
        <is>
          <t>Pens</t>
        </is>
      </c>
      <c r="H5193" s="7" t="inlineStr">
        <is>
          <t>Corporate</t>
        </is>
      </c>
      <c r="I5193" s="7" t="n">
        <v>12</v>
      </c>
      <c r="J5193" s="10" t="n">
        <v>11.62</v>
      </c>
      <c r="K5193" s="11" t="n">
        <v>0.05</v>
      </c>
      <c r="L5193" s="10">
        <f>I5193*J5193*(1-K5193)</f>
        <v/>
      </c>
      <c r="M5193" s="10" t="n">
        <v>64.8</v>
      </c>
      <c r="N5193" s="10">
        <f>L5193-M5193</f>
        <v/>
      </c>
    </row>
    <row r="5194">
      <c r="A5194" s="7" t="inlineStr">
        <is>
          <t>ORD-01152</t>
        </is>
      </c>
      <c r="B5194" s="8" t="n">
        <v>45940</v>
      </c>
      <c r="C5194" s="9" t="n">
        <v>45931</v>
      </c>
      <c r="D5194" s="7" t="n">
        <v>2025</v>
      </c>
      <c r="E5194" s="7" t="inlineStr">
        <is>
          <t>South</t>
        </is>
      </c>
      <c r="F5194" s="7" t="inlineStr">
        <is>
          <t>Office Supplies</t>
        </is>
      </c>
      <c r="G5194" s="7" t="inlineStr">
        <is>
          <t>Pens</t>
        </is>
      </c>
      <c r="H5194" s="7" t="inlineStr">
        <is>
          <t>Corporate</t>
        </is>
      </c>
      <c r="I5194" s="7" t="n">
        <v>3</v>
      </c>
      <c r="J5194" s="10" t="n">
        <v>11.73</v>
      </c>
      <c r="K5194" s="11" t="n">
        <v>0.05</v>
      </c>
      <c r="L5194" s="10">
        <f>I5194*J5194*(1-K5194)</f>
        <v/>
      </c>
      <c r="M5194" s="10" t="n">
        <v>16.2</v>
      </c>
      <c r="N5194" s="10">
        <f>L5194-M5194</f>
        <v/>
      </c>
    </row>
    <row r="5195">
      <c r="A5195" s="7" t="inlineStr">
        <is>
          <t>ORD-04907</t>
        </is>
      </c>
      <c r="B5195" s="8" t="n">
        <v>45940</v>
      </c>
      <c r="C5195" s="9" t="n">
        <v>45931</v>
      </c>
      <c r="D5195" s="7" t="n">
        <v>2025</v>
      </c>
      <c r="E5195" s="7" t="inlineStr">
        <is>
          <t>South</t>
        </is>
      </c>
      <c r="F5195" s="7" t="inlineStr">
        <is>
          <t>Office Supplies</t>
        </is>
      </c>
      <c r="G5195" s="7" t="inlineStr">
        <is>
          <t>Paper</t>
        </is>
      </c>
      <c r="H5195" s="7" t="inlineStr">
        <is>
          <t>Consumer</t>
        </is>
      </c>
      <c r="I5195" s="7" t="n">
        <v>4</v>
      </c>
      <c r="J5195" s="10" t="n">
        <v>24.78</v>
      </c>
      <c r="K5195" s="11" t="n">
        <v>0</v>
      </c>
      <c r="L5195" s="10">
        <f>I5195*J5195*(1-K5195)</f>
        <v/>
      </c>
      <c r="M5195" s="10" t="n">
        <v>50</v>
      </c>
      <c r="N5195" s="10">
        <f>L5195-M5195</f>
        <v/>
      </c>
    </row>
    <row r="5196">
      <c r="A5196" s="7" t="inlineStr">
        <is>
          <t>ORD-00858</t>
        </is>
      </c>
      <c r="B5196" s="8" t="n">
        <v>45940</v>
      </c>
      <c r="C5196" s="9" t="n">
        <v>45931</v>
      </c>
      <c r="D5196" s="7" t="n">
        <v>2025</v>
      </c>
      <c r="E5196" s="7" t="inlineStr">
        <is>
          <t>East</t>
        </is>
      </c>
      <c r="F5196" s="7" t="inlineStr">
        <is>
          <t>Office Supplies</t>
        </is>
      </c>
      <c r="G5196" s="7" t="inlineStr">
        <is>
          <t>Stapler</t>
        </is>
      </c>
      <c r="H5196" s="7" t="inlineStr">
        <is>
          <t>Consumer</t>
        </is>
      </c>
      <c r="I5196" s="7" t="n">
        <v>14</v>
      </c>
      <c r="J5196" s="10" t="n">
        <v>14.74</v>
      </c>
      <c r="K5196" s="11" t="n">
        <v>0</v>
      </c>
      <c r="L5196" s="10">
        <f>I5196*J5196*(1-K5196)</f>
        <v/>
      </c>
      <c r="M5196" s="10" t="n">
        <v>105</v>
      </c>
      <c r="N5196" s="10">
        <f>L5196-M5196</f>
        <v/>
      </c>
    </row>
    <row r="5197">
      <c r="A5197" s="7" t="inlineStr">
        <is>
          <t>ORD-02165</t>
        </is>
      </c>
      <c r="B5197" s="8" t="n">
        <v>45940</v>
      </c>
      <c r="C5197" s="9" t="n">
        <v>45931</v>
      </c>
      <c r="D5197" s="7" t="n">
        <v>2025</v>
      </c>
      <c r="E5197" s="7" t="inlineStr">
        <is>
          <t>East</t>
        </is>
      </c>
      <c r="F5197" s="7" t="inlineStr">
        <is>
          <t>Office Supplies</t>
        </is>
      </c>
      <c r="G5197" s="7" t="inlineStr">
        <is>
          <t>Paper</t>
        </is>
      </c>
      <c r="H5197" s="7" t="inlineStr">
        <is>
          <t>Consumer</t>
        </is>
      </c>
      <c r="I5197" s="7" t="n">
        <v>8</v>
      </c>
      <c r="J5197" s="10" t="n">
        <v>25.57</v>
      </c>
      <c r="K5197" s="11" t="n">
        <v>0</v>
      </c>
      <c r="L5197" s="10">
        <f>I5197*J5197*(1-K5197)</f>
        <v/>
      </c>
      <c r="M5197" s="10" t="n">
        <v>100</v>
      </c>
      <c r="N5197" s="10">
        <f>L5197-M5197</f>
        <v/>
      </c>
    </row>
    <row r="5198">
      <c r="A5198" s="7" t="inlineStr">
        <is>
          <t>ORD-01326</t>
        </is>
      </c>
      <c r="B5198" s="8" t="n">
        <v>45940</v>
      </c>
      <c r="C5198" s="9" t="n">
        <v>45931</v>
      </c>
      <c r="D5198" s="7" t="n">
        <v>2025</v>
      </c>
      <c r="E5198" s="7" t="inlineStr">
        <is>
          <t>East</t>
        </is>
      </c>
      <c r="F5198" s="7" t="inlineStr">
        <is>
          <t>Technology</t>
        </is>
      </c>
      <c r="G5198" s="7" t="inlineStr">
        <is>
          <t>Laptop</t>
        </is>
      </c>
      <c r="H5198" s="7" t="inlineStr">
        <is>
          <t>Corporate</t>
        </is>
      </c>
      <c r="I5198" s="7" t="n">
        <v>2</v>
      </c>
      <c r="J5198" s="10" t="n">
        <v>932.76</v>
      </c>
      <c r="K5198" s="11" t="n">
        <v>0</v>
      </c>
      <c r="L5198" s="10">
        <f>I5198*J5198*(1-K5198)</f>
        <v/>
      </c>
      <c r="M5198" s="10" t="n">
        <v>1404</v>
      </c>
      <c r="N5198" s="10">
        <f>L5198-M5198</f>
        <v/>
      </c>
    </row>
    <row r="5199">
      <c r="A5199" s="7" t="inlineStr">
        <is>
          <t>ORD-04904</t>
        </is>
      </c>
      <c r="B5199" s="8" t="n">
        <v>45940</v>
      </c>
      <c r="C5199" s="9" t="n">
        <v>45931</v>
      </c>
      <c r="D5199" s="7" t="n">
        <v>2025</v>
      </c>
      <c r="E5199" s="7" t="inlineStr">
        <is>
          <t>East</t>
        </is>
      </c>
      <c r="F5199" s="7" t="inlineStr">
        <is>
          <t>Office Supplies</t>
        </is>
      </c>
      <c r="G5199" s="7" t="inlineStr">
        <is>
          <t>Pens</t>
        </is>
      </c>
      <c r="H5199" s="7" t="inlineStr">
        <is>
          <t>Home Office</t>
        </is>
      </c>
      <c r="I5199" s="7" t="n">
        <v>14</v>
      </c>
      <c r="J5199" s="10" t="n">
        <v>12.36</v>
      </c>
      <c r="K5199" s="11" t="n">
        <v>0.05</v>
      </c>
      <c r="L5199" s="10">
        <f>I5199*J5199*(1-K5199)</f>
        <v/>
      </c>
      <c r="M5199" s="10" t="n">
        <v>75.59999999999999</v>
      </c>
      <c r="N5199" s="10">
        <f>L5199-M5199</f>
        <v/>
      </c>
    </row>
    <row r="5200">
      <c r="A5200" s="7" t="inlineStr">
        <is>
          <t>ORD-00406</t>
        </is>
      </c>
      <c r="B5200" s="8" t="n">
        <v>45940</v>
      </c>
      <c r="C5200" s="9" t="n">
        <v>45931</v>
      </c>
      <c r="D5200" s="7" t="n">
        <v>2025</v>
      </c>
      <c r="E5200" s="7" t="inlineStr">
        <is>
          <t>South</t>
        </is>
      </c>
      <c r="F5200" s="7" t="inlineStr">
        <is>
          <t>Office Supplies</t>
        </is>
      </c>
      <c r="G5200" s="7" t="inlineStr">
        <is>
          <t>Binder</t>
        </is>
      </c>
      <c r="H5200" s="7" t="inlineStr">
        <is>
          <t>Corporate</t>
        </is>
      </c>
      <c r="I5200" s="7" t="n">
        <v>8</v>
      </c>
      <c r="J5200" s="10" t="n">
        <v>8.17</v>
      </c>
      <c r="K5200" s="11" t="n">
        <v>0.1</v>
      </c>
      <c r="L5200" s="10">
        <f>I5200*J5200*(1-K5200)</f>
        <v/>
      </c>
      <c r="M5200" s="10" t="n">
        <v>25.6</v>
      </c>
      <c r="N5200" s="10">
        <f>L5200-M5200</f>
        <v/>
      </c>
    </row>
    <row r="5201">
      <c r="A5201" s="7" t="inlineStr">
        <is>
          <t>ORD-03249</t>
        </is>
      </c>
      <c r="B5201" s="8" t="n">
        <v>45940</v>
      </c>
      <c r="C5201" s="9" t="n">
        <v>45931</v>
      </c>
      <c r="D5201" s="7" t="n">
        <v>2025</v>
      </c>
      <c r="E5201" s="7" t="inlineStr">
        <is>
          <t>South</t>
        </is>
      </c>
      <c r="F5201" s="7" t="inlineStr">
        <is>
          <t>Technology</t>
        </is>
      </c>
      <c r="G5201" s="7" t="inlineStr">
        <is>
          <t>Keyboard</t>
        </is>
      </c>
      <c r="H5201" s="7" t="inlineStr">
        <is>
          <t>Corporate</t>
        </is>
      </c>
      <c r="I5201" s="7" t="n">
        <v>2</v>
      </c>
      <c r="J5201" s="10" t="n">
        <v>46.73</v>
      </c>
      <c r="K5201" s="11" t="n">
        <v>0.05</v>
      </c>
      <c r="L5201" s="10">
        <f>I5201*J5201*(1-K5201)</f>
        <v/>
      </c>
      <c r="M5201" s="10" t="n">
        <v>49.5</v>
      </c>
      <c r="N5201" s="10">
        <f>L5201-M5201</f>
        <v/>
      </c>
    </row>
    <row r="5202">
      <c r="A5202" s="7" t="inlineStr">
        <is>
          <t>ORD-05556</t>
        </is>
      </c>
      <c r="B5202" s="8" t="n">
        <v>45940</v>
      </c>
      <c r="C5202" s="9" t="n">
        <v>45931</v>
      </c>
      <c r="D5202" s="7" t="n">
        <v>2025</v>
      </c>
      <c r="E5202" s="7" t="inlineStr">
        <is>
          <t>East</t>
        </is>
      </c>
      <c r="F5202" s="7" t="inlineStr">
        <is>
          <t>Office Supplies</t>
        </is>
      </c>
      <c r="G5202" s="7" t="inlineStr">
        <is>
          <t>Stapler</t>
        </is>
      </c>
      <c r="H5202" s="7" t="inlineStr">
        <is>
          <t>Consumer</t>
        </is>
      </c>
      <c r="I5202" s="7" t="n">
        <v>4</v>
      </c>
      <c r="J5202" s="10" t="n">
        <v>14.67</v>
      </c>
      <c r="K5202" s="11" t="n">
        <v>0.2</v>
      </c>
      <c r="L5202" s="10">
        <f>I5202*J5202*(1-K5202)</f>
        <v/>
      </c>
      <c r="M5202" s="10" t="n">
        <v>30</v>
      </c>
      <c r="N5202" s="10">
        <f>L5202-M5202</f>
        <v/>
      </c>
    </row>
    <row r="5203">
      <c r="A5203" s="7" t="inlineStr">
        <is>
          <t>ORD-03445</t>
        </is>
      </c>
      <c r="B5203" s="8" t="n">
        <v>45940</v>
      </c>
      <c r="C5203" s="9" t="n">
        <v>45931</v>
      </c>
      <c r="D5203" s="7" t="n">
        <v>2025</v>
      </c>
      <c r="E5203" s="7" t="inlineStr">
        <is>
          <t>South</t>
        </is>
      </c>
      <c r="F5203" s="7" t="inlineStr">
        <is>
          <t>Office Supplies</t>
        </is>
      </c>
      <c r="G5203" s="7" t="inlineStr">
        <is>
          <t>Pens</t>
        </is>
      </c>
      <c r="H5203" s="7" t="inlineStr">
        <is>
          <t>Home Office</t>
        </is>
      </c>
      <c r="I5203" s="7" t="n">
        <v>14</v>
      </c>
      <c r="J5203" s="10" t="n">
        <v>11.88</v>
      </c>
      <c r="K5203" s="11" t="n">
        <v>0.3</v>
      </c>
      <c r="L5203" s="10">
        <f>I5203*J5203*(1-K5203)</f>
        <v/>
      </c>
      <c r="M5203" s="10" t="n">
        <v>75.59999999999999</v>
      </c>
      <c r="N5203" s="10">
        <f>L5203-M5203</f>
        <v/>
      </c>
    </row>
    <row r="5204">
      <c r="A5204" s="7" t="inlineStr">
        <is>
          <t>ORD-05487</t>
        </is>
      </c>
      <c r="B5204" s="8" t="n">
        <v>45941</v>
      </c>
      <c r="C5204" s="9" t="n">
        <v>45931</v>
      </c>
      <c r="D5204" s="7" t="n">
        <v>2025</v>
      </c>
      <c r="E5204" s="7" t="inlineStr">
        <is>
          <t>North</t>
        </is>
      </c>
      <c r="F5204" s="7" t="inlineStr">
        <is>
          <t>Technology</t>
        </is>
      </c>
      <c r="G5204" s="7" t="inlineStr">
        <is>
          <t>Headphones</t>
        </is>
      </c>
      <c r="H5204" s="7" t="inlineStr">
        <is>
          <t>Corporate</t>
        </is>
      </c>
      <c r="I5204" s="7" t="n">
        <v>2</v>
      </c>
      <c r="J5204" s="10" t="n">
        <v>122.97</v>
      </c>
      <c r="K5204" s="11" t="n">
        <v>0.1</v>
      </c>
      <c r="L5204" s="10">
        <f>I5204*J5204*(1-K5204)</f>
        <v/>
      </c>
      <c r="M5204" s="10" t="n">
        <v>144</v>
      </c>
      <c r="N5204" s="10">
        <f>L5204-M5204</f>
        <v/>
      </c>
    </row>
    <row r="5205">
      <c r="A5205" s="7" t="inlineStr">
        <is>
          <t>ORD-00817</t>
        </is>
      </c>
      <c r="B5205" s="8" t="n">
        <v>45941</v>
      </c>
      <c r="C5205" s="9" t="n">
        <v>45931</v>
      </c>
      <c r="D5205" s="7" t="n">
        <v>2025</v>
      </c>
      <c r="E5205" s="7" t="inlineStr">
        <is>
          <t>South</t>
        </is>
      </c>
      <c r="F5205" s="7" t="inlineStr">
        <is>
          <t>Office Supplies</t>
        </is>
      </c>
      <c r="G5205" s="7" t="inlineStr">
        <is>
          <t>Binder</t>
        </is>
      </c>
      <c r="H5205" s="7" t="inlineStr">
        <is>
          <t>Home Office</t>
        </is>
      </c>
      <c r="I5205" s="7" t="n">
        <v>6</v>
      </c>
      <c r="J5205" s="10" t="n">
        <v>8.32</v>
      </c>
      <c r="K5205" s="11" t="n">
        <v>0.1</v>
      </c>
      <c r="L5205" s="10">
        <f>I5205*J5205*(1-K5205)</f>
        <v/>
      </c>
      <c r="M5205" s="10" t="n">
        <v>19.2</v>
      </c>
      <c r="N5205" s="10">
        <f>L5205-M5205</f>
        <v/>
      </c>
    </row>
    <row r="5206">
      <c r="A5206" s="7" t="inlineStr">
        <is>
          <t>ORD-05195</t>
        </is>
      </c>
      <c r="B5206" s="8" t="n">
        <v>45941</v>
      </c>
      <c r="C5206" s="9" t="n">
        <v>45931</v>
      </c>
      <c r="D5206" s="7" t="n">
        <v>2025</v>
      </c>
      <c r="E5206" s="7" t="inlineStr">
        <is>
          <t>South</t>
        </is>
      </c>
      <c r="F5206" s="7" t="inlineStr">
        <is>
          <t>Furniture</t>
        </is>
      </c>
      <c r="G5206" s="7" t="inlineStr">
        <is>
          <t>Office Chair</t>
        </is>
      </c>
      <c r="H5206" s="7" t="inlineStr">
        <is>
          <t>Consumer</t>
        </is>
      </c>
      <c r="I5206" s="7" t="n">
        <v>2</v>
      </c>
      <c r="J5206" s="10" t="n">
        <v>220.51</v>
      </c>
      <c r="K5206" s="11" t="n">
        <v>0.3</v>
      </c>
      <c r="L5206" s="10">
        <f>I5206*J5206*(1-K5206)</f>
        <v/>
      </c>
      <c r="M5206" s="10" t="n">
        <v>360.8</v>
      </c>
      <c r="N5206" s="10">
        <f>L5206-M5206</f>
        <v/>
      </c>
    </row>
    <row r="5207">
      <c r="A5207" s="7" t="inlineStr">
        <is>
          <t>ORD-04924</t>
        </is>
      </c>
      <c r="B5207" s="8" t="n">
        <v>45941</v>
      </c>
      <c r="C5207" s="9" t="n">
        <v>45931</v>
      </c>
      <c r="D5207" s="7" t="n">
        <v>2025</v>
      </c>
      <c r="E5207" s="7" t="inlineStr">
        <is>
          <t>East</t>
        </is>
      </c>
      <c r="F5207" s="7" t="inlineStr">
        <is>
          <t>Office Supplies</t>
        </is>
      </c>
      <c r="G5207" s="7" t="inlineStr">
        <is>
          <t>Binder</t>
        </is>
      </c>
      <c r="H5207" s="7" t="inlineStr">
        <is>
          <t>Corporate</t>
        </is>
      </c>
      <c r="I5207" s="7" t="n">
        <v>9</v>
      </c>
      <c r="J5207" s="10" t="n">
        <v>7.74</v>
      </c>
      <c r="K5207" s="11" t="n">
        <v>0</v>
      </c>
      <c r="L5207" s="10">
        <f>I5207*J5207*(1-K5207)</f>
        <v/>
      </c>
      <c r="M5207" s="10" t="n">
        <v>28.8</v>
      </c>
      <c r="N5207" s="10">
        <f>L5207-M5207</f>
        <v/>
      </c>
    </row>
    <row r="5208">
      <c r="A5208" s="7" t="inlineStr">
        <is>
          <t>ORD-02646</t>
        </is>
      </c>
      <c r="B5208" s="8" t="n">
        <v>45942</v>
      </c>
      <c r="C5208" s="9" t="n">
        <v>45931</v>
      </c>
      <c r="D5208" s="7" t="n">
        <v>2025</v>
      </c>
      <c r="E5208" s="7" t="inlineStr">
        <is>
          <t>East</t>
        </is>
      </c>
      <c r="F5208" s="7" t="inlineStr">
        <is>
          <t>Technology</t>
        </is>
      </c>
      <c r="G5208" s="7" t="inlineStr">
        <is>
          <t>Smartphone</t>
        </is>
      </c>
      <c r="H5208" s="7" t="inlineStr">
        <is>
          <t>Home Office</t>
        </is>
      </c>
      <c r="I5208" s="7" t="n">
        <v>3</v>
      </c>
      <c r="J5208" s="10" t="n">
        <v>599.98</v>
      </c>
      <c r="K5208" s="11" t="n">
        <v>0.3</v>
      </c>
      <c r="L5208" s="10">
        <f>I5208*J5208*(1-K5208)</f>
        <v/>
      </c>
      <c r="M5208" s="10" t="n">
        <v>1350</v>
      </c>
      <c r="N5208" s="10">
        <f>L5208-M5208</f>
        <v/>
      </c>
    </row>
    <row r="5209">
      <c r="A5209" s="7" t="inlineStr">
        <is>
          <t>ORD-05906</t>
        </is>
      </c>
      <c r="B5209" s="8" t="n">
        <v>45942</v>
      </c>
      <c r="C5209" s="9" t="n">
        <v>45931</v>
      </c>
      <c r="D5209" s="7" t="n">
        <v>2025</v>
      </c>
      <c r="E5209" s="7" t="inlineStr">
        <is>
          <t>South</t>
        </is>
      </c>
      <c r="F5209" s="7" t="inlineStr">
        <is>
          <t>Technology</t>
        </is>
      </c>
      <c r="G5209" s="7" t="inlineStr">
        <is>
          <t>Keyboard</t>
        </is>
      </c>
      <c r="H5209" s="7" t="inlineStr">
        <is>
          <t>Consumer</t>
        </is>
      </c>
      <c r="I5209" s="7" t="n">
        <v>3</v>
      </c>
      <c r="J5209" s="10" t="n">
        <v>44.02</v>
      </c>
      <c r="K5209" s="11" t="n">
        <v>0.1</v>
      </c>
      <c r="L5209" s="10">
        <f>I5209*J5209*(1-K5209)</f>
        <v/>
      </c>
      <c r="M5209" s="10" t="n">
        <v>74.25</v>
      </c>
      <c r="N5209" s="10">
        <f>L5209-M5209</f>
        <v/>
      </c>
    </row>
    <row r="5210">
      <c r="A5210" s="7" t="inlineStr">
        <is>
          <t>ORD-05726</t>
        </is>
      </c>
      <c r="B5210" s="8" t="n">
        <v>45942</v>
      </c>
      <c r="C5210" s="9" t="n">
        <v>45931</v>
      </c>
      <c r="D5210" s="7" t="n">
        <v>2025</v>
      </c>
      <c r="E5210" s="7" t="inlineStr">
        <is>
          <t>West</t>
        </is>
      </c>
      <c r="F5210" s="7" t="inlineStr">
        <is>
          <t>Technology</t>
        </is>
      </c>
      <c r="G5210" s="7" t="inlineStr">
        <is>
          <t>Headphones</t>
        </is>
      </c>
      <c r="H5210" s="7" t="inlineStr">
        <is>
          <t>Corporate</t>
        </is>
      </c>
      <c r="I5210" s="7" t="n">
        <v>2</v>
      </c>
      <c r="J5210" s="10" t="n">
        <v>123.01</v>
      </c>
      <c r="K5210" s="11" t="n">
        <v>0</v>
      </c>
      <c r="L5210" s="10">
        <f>I5210*J5210*(1-K5210)</f>
        <v/>
      </c>
      <c r="M5210" s="10" t="n">
        <v>144</v>
      </c>
      <c r="N5210" s="10">
        <f>L5210-M5210</f>
        <v/>
      </c>
    </row>
    <row r="5211">
      <c r="A5211" s="7" t="inlineStr">
        <is>
          <t>ORD-00896</t>
        </is>
      </c>
      <c r="B5211" s="8" t="n">
        <v>45942</v>
      </c>
      <c r="C5211" s="9" t="n">
        <v>45931</v>
      </c>
      <c r="D5211" s="7" t="n">
        <v>2025</v>
      </c>
      <c r="E5211" s="7" t="inlineStr">
        <is>
          <t>West</t>
        </is>
      </c>
      <c r="F5211" s="7" t="inlineStr">
        <is>
          <t>Furniture</t>
        </is>
      </c>
      <c r="G5211" s="7" t="inlineStr">
        <is>
          <t>Sofa</t>
        </is>
      </c>
      <c r="H5211" s="7" t="inlineStr">
        <is>
          <t>Corporate</t>
        </is>
      </c>
      <c r="I5211" s="7" t="n">
        <v>4</v>
      </c>
      <c r="J5211" s="10" t="n">
        <v>714.45</v>
      </c>
      <c r="K5211" s="11" t="n">
        <v>0.2</v>
      </c>
      <c r="L5211" s="10">
        <f>I5211*J5211*(1-K5211)</f>
        <v/>
      </c>
      <c r="M5211" s="10" t="n">
        <v>2464</v>
      </c>
      <c r="N5211" s="10">
        <f>L5211-M5211</f>
        <v/>
      </c>
    </row>
    <row r="5212">
      <c r="A5212" s="7" t="inlineStr">
        <is>
          <t>ORD-03908</t>
        </is>
      </c>
      <c r="B5212" s="8" t="n">
        <v>45942</v>
      </c>
      <c r="C5212" s="9" t="n">
        <v>45931</v>
      </c>
      <c r="D5212" s="7" t="n">
        <v>2025</v>
      </c>
      <c r="E5212" s="7" t="inlineStr">
        <is>
          <t>South</t>
        </is>
      </c>
      <c r="F5212" s="7" t="inlineStr">
        <is>
          <t>Office Supplies</t>
        </is>
      </c>
      <c r="G5212" s="7" t="inlineStr">
        <is>
          <t>Paper</t>
        </is>
      </c>
      <c r="H5212" s="7" t="inlineStr">
        <is>
          <t>Consumer</t>
        </is>
      </c>
      <c r="I5212" s="7" t="n">
        <v>6</v>
      </c>
      <c r="J5212" s="10" t="n">
        <v>24.12</v>
      </c>
      <c r="K5212" s="11" t="n">
        <v>0</v>
      </c>
      <c r="L5212" s="10">
        <f>I5212*J5212*(1-K5212)</f>
        <v/>
      </c>
      <c r="M5212" s="10" t="n">
        <v>75</v>
      </c>
      <c r="N5212" s="10">
        <f>L5212-M5212</f>
        <v/>
      </c>
    </row>
    <row r="5213">
      <c r="A5213" s="7" t="inlineStr">
        <is>
          <t>ORD-03946</t>
        </is>
      </c>
      <c r="B5213" s="8" t="n">
        <v>45942</v>
      </c>
      <c r="C5213" s="9" t="n">
        <v>45931</v>
      </c>
      <c r="D5213" s="7" t="n">
        <v>2025</v>
      </c>
      <c r="E5213" s="7" t="inlineStr">
        <is>
          <t>West</t>
        </is>
      </c>
      <c r="F5213" s="7" t="inlineStr">
        <is>
          <t>Office Supplies</t>
        </is>
      </c>
      <c r="G5213" s="7" t="inlineStr">
        <is>
          <t>Pens</t>
        </is>
      </c>
      <c r="H5213" s="7" t="inlineStr">
        <is>
          <t>Consumer</t>
        </is>
      </c>
      <c r="I5213" s="7" t="n">
        <v>4</v>
      </c>
      <c r="J5213" s="10" t="n">
        <v>12.02</v>
      </c>
      <c r="K5213" s="11" t="n">
        <v>0</v>
      </c>
      <c r="L5213" s="10">
        <f>I5213*J5213*(1-K5213)</f>
        <v/>
      </c>
      <c r="M5213" s="10" t="n">
        <v>21.6</v>
      </c>
      <c r="N5213" s="10">
        <f>L5213-M5213</f>
        <v/>
      </c>
    </row>
    <row r="5214">
      <c r="A5214" s="7" t="inlineStr">
        <is>
          <t>ORD-03064</t>
        </is>
      </c>
      <c r="B5214" s="8" t="n">
        <v>45943</v>
      </c>
      <c r="C5214" s="9" t="n">
        <v>45931</v>
      </c>
      <c r="D5214" s="7" t="n">
        <v>2025</v>
      </c>
      <c r="E5214" s="7" t="inlineStr">
        <is>
          <t>South</t>
        </is>
      </c>
      <c r="F5214" s="7" t="inlineStr">
        <is>
          <t>Office Supplies</t>
        </is>
      </c>
      <c r="G5214" s="7" t="inlineStr">
        <is>
          <t>Paper</t>
        </is>
      </c>
      <c r="H5214" s="7" t="inlineStr">
        <is>
          <t>Consumer</t>
        </is>
      </c>
      <c r="I5214" s="7" t="n">
        <v>2</v>
      </c>
      <c r="J5214" s="10" t="n">
        <v>25.04</v>
      </c>
      <c r="K5214" s="11" t="n">
        <v>0.05</v>
      </c>
      <c r="L5214" s="10">
        <f>I5214*J5214*(1-K5214)</f>
        <v/>
      </c>
      <c r="M5214" s="10" t="n">
        <v>25</v>
      </c>
      <c r="N5214" s="10">
        <f>L5214-M5214</f>
        <v/>
      </c>
    </row>
    <row r="5215">
      <c r="A5215" s="7" t="inlineStr">
        <is>
          <t>ORD-02934</t>
        </is>
      </c>
      <c r="B5215" s="8" t="n">
        <v>45943</v>
      </c>
      <c r="C5215" s="9" t="n">
        <v>45931</v>
      </c>
      <c r="D5215" s="7" t="n">
        <v>2025</v>
      </c>
      <c r="E5215" s="7" t="inlineStr">
        <is>
          <t>North</t>
        </is>
      </c>
      <c r="F5215" s="7" t="inlineStr">
        <is>
          <t>Office Supplies</t>
        </is>
      </c>
      <c r="G5215" s="7" t="inlineStr">
        <is>
          <t>Stapler</t>
        </is>
      </c>
      <c r="H5215" s="7" t="inlineStr">
        <is>
          <t>Consumer</t>
        </is>
      </c>
      <c r="I5215" s="7" t="n">
        <v>15</v>
      </c>
      <c r="J5215" s="10" t="n">
        <v>14.44</v>
      </c>
      <c r="K5215" s="11" t="n">
        <v>0.1</v>
      </c>
      <c r="L5215" s="10">
        <f>I5215*J5215*(1-K5215)</f>
        <v/>
      </c>
      <c r="M5215" s="10" t="n">
        <v>112.5</v>
      </c>
      <c r="N5215" s="10">
        <f>L5215-M5215</f>
        <v/>
      </c>
    </row>
    <row r="5216">
      <c r="A5216" s="7" t="inlineStr">
        <is>
          <t>ORD-02755</t>
        </is>
      </c>
      <c r="B5216" s="8" t="n">
        <v>45943</v>
      </c>
      <c r="C5216" s="9" t="n">
        <v>45931</v>
      </c>
      <c r="D5216" s="7" t="n">
        <v>2025</v>
      </c>
      <c r="E5216" s="7" t="inlineStr">
        <is>
          <t>West</t>
        </is>
      </c>
      <c r="F5216" s="7" t="inlineStr">
        <is>
          <t>Office Supplies</t>
        </is>
      </c>
      <c r="G5216" s="7" t="inlineStr">
        <is>
          <t>Binder</t>
        </is>
      </c>
      <c r="H5216" s="7" t="inlineStr">
        <is>
          <t>Home Office</t>
        </is>
      </c>
      <c r="I5216" s="7" t="n">
        <v>4</v>
      </c>
      <c r="J5216" s="10" t="n">
        <v>8.279999999999999</v>
      </c>
      <c r="K5216" s="11" t="n">
        <v>0</v>
      </c>
      <c r="L5216" s="10">
        <f>I5216*J5216*(1-K5216)</f>
        <v/>
      </c>
      <c r="M5216" s="10" t="n">
        <v>12.8</v>
      </c>
      <c r="N5216" s="10">
        <f>L5216-M5216</f>
        <v/>
      </c>
    </row>
    <row r="5217">
      <c r="A5217" s="7" t="inlineStr">
        <is>
          <t>ORD-04657</t>
        </is>
      </c>
      <c r="B5217" s="8" t="n">
        <v>45943</v>
      </c>
      <c r="C5217" s="9" t="n">
        <v>45931</v>
      </c>
      <c r="D5217" s="7" t="n">
        <v>2025</v>
      </c>
      <c r="E5217" s="7" t="inlineStr">
        <is>
          <t>South</t>
        </is>
      </c>
      <c r="F5217" s="7" t="inlineStr">
        <is>
          <t>Technology</t>
        </is>
      </c>
      <c r="G5217" s="7" t="inlineStr">
        <is>
          <t>Smartphone</t>
        </is>
      </c>
      <c r="H5217" s="7" t="inlineStr">
        <is>
          <t>Consumer</t>
        </is>
      </c>
      <c r="I5217" s="7" t="n">
        <v>2</v>
      </c>
      <c r="J5217" s="10" t="n">
        <v>595.95</v>
      </c>
      <c r="K5217" s="11" t="n">
        <v>0</v>
      </c>
      <c r="L5217" s="10">
        <f>I5217*J5217*(1-K5217)</f>
        <v/>
      </c>
      <c r="M5217" s="10" t="n">
        <v>900</v>
      </c>
      <c r="N5217" s="10">
        <f>L5217-M5217</f>
        <v/>
      </c>
    </row>
    <row r="5218">
      <c r="A5218" s="7" t="inlineStr">
        <is>
          <t>ORD-01523</t>
        </is>
      </c>
      <c r="B5218" s="8" t="n">
        <v>45943</v>
      </c>
      <c r="C5218" s="9" t="n">
        <v>45931</v>
      </c>
      <c r="D5218" s="7" t="n">
        <v>2025</v>
      </c>
      <c r="E5218" s="7" t="inlineStr">
        <is>
          <t>East</t>
        </is>
      </c>
      <c r="F5218" s="7" t="inlineStr">
        <is>
          <t>Technology</t>
        </is>
      </c>
      <c r="G5218" s="7" t="inlineStr">
        <is>
          <t>Laptop</t>
        </is>
      </c>
      <c r="H5218" s="7" t="inlineStr">
        <is>
          <t>Corporate</t>
        </is>
      </c>
      <c r="I5218" s="7" t="n">
        <v>3</v>
      </c>
      <c r="J5218" s="10" t="n">
        <v>869</v>
      </c>
      <c r="K5218" s="11" t="n">
        <v>0</v>
      </c>
      <c r="L5218" s="10">
        <f>I5218*J5218*(1-K5218)</f>
        <v/>
      </c>
      <c r="M5218" s="10" t="n">
        <v>2106</v>
      </c>
      <c r="N5218" s="10">
        <f>L5218-M5218</f>
        <v/>
      </c>
    </row>
    <row r="5219">
      <c r="A5219" s="7" t="inlineStr">
        <is>
          <t>ORD-03598</t>
        </is>
      </c>
      <c r="B5219" s="8" t="n">
        <v>45943</v>
      </c>
      <c r="C5219" s="9" t="n">
        <v>45931</v>
      </c>
      <c r="D5219" s="7" t="n">
        <v>2025</v>
      </c>
      <c r="E5219" s="7" t="inlineStr">
        <is>
          <t>East</t>
        </is>
      </c>
      <c r="F5219" s="7" t="inlineStr">
        <is>
          <t>Furniture</t>
        </is>
      </c>
      <c r="G5219" s="7" t="inlineStr">
        <is>
          <t>Sofa</t>
        </is>
      </c>
      <c r="H5219" s="7" t="inlineStr">
        <is>
          <t>Consumer</t>
        </is>
      </c>
      <c r="I5219" s="7" t="n">
        <v>2</v>
      </c>
      <c r="J5219" s="10" t="n">
        <v>732.11</v>
      </c>
      <c r="K5219" s="11" t="n">
        <v>0</v>
      </c>
      <c r="L5219" s="10">
        <f>I5219*J5219*(1-K5219)</f>
        <v/>
      </c>
      <c r="M5219" s="10" t="n">
        <v>1232</v>
      </c>
      <c r="N5219" s="10">
        <f>L5219-M5219</f>
        <v/>
      </c>
    </row>
    <row r="5220">
      <c r="A5220" s="7" t="inlineStr">
        <is>
          <t>ORD-01774</t>
        </is>
      </c>
      <c r="B5220" s="8" t="n">
        <v>45943</v>
      </c>
      <c r="C5220" s="9" t="n">
        <v>45931</v>
      </c>
      <c r="D5220" s="7" t="n">
        <v>2025</v>
      </c>
      <c r="E5220" s="7" t="inlineStr">
        <is>
          <t>North</t>
        </is>
      </c>
      <c r="F5220" s="7" t="inlineStr">
        <is>
          <t>Office Supplies</t>
        </is>
      </c>
      <c r="G5220" s="7" t="inlineStr">
        <is>
          <t>Binder</t>
        </is>
      </c>
      <c r="H5220" s="7" t="inlineStr">
        <is>
          <t>Corporate</t>
        </is>
      </c>
      <c r="I5220" s="7" t="n">
        <v>11</v>
      </c>
      <c r="J5220" s="10" t="n">
        <v>8.24</v>
      </c>
      <c r="K5220" s="11" t="n">
        <v>0.05</v>
      </c>
      <c r="L5220" s="10">
        <f>I5220*J5220*(1-K5220)</f>
        <v/>
      </c>
      <c r="M5220" s="10" t="n">
        <v>35.2</v>
      </c>
      <c r="N5220" s="10">
        <f>L5220-M5220</f>
        <v/>
      </c>
    </row>
    <row r="5221">
      <c r="A5221" s="7" t="inlineStr">
        <is>
          <t>ORD-03701</t>
        </is>
      </c>
      <c r="B5221" s="8" t="n">
        <v>45944</v>
      </c>
      <c r="C5221" s="9" t="n">
        <v>45931</v>
      </c>
      <c r="D5221" s="7" t="n">
        <v>2025</v>
      </c>
      <c r="E5221" s="7" t="inlineStr">
        <is>
          <t>West</t>
        </is>
      </c>
      <c r="F5221" s="7" t="inlineStr">
        <is>
          <t>Technology</t>
        </is>
      </c>
      <c r="G5221" s="7" t="inlineStr">
        <is>
          <t>Headphones</t>
        </is>
      </c>
      <c r="H5221" s="7" t="inlineStr">
        <is>
          <t>Home Office</t>
        </is>
      </c>
      <c r="I5221" s="7" t="n">
        <v>1</v>
      </c>
      <c r="J5221" s="10" t="n">
        <v>125.35</v>
      </c>
      <c r="K5221" s="11" t="n">
        <v>0.05</v>
      </c>
      <c r="L5221" s="10">
        <f>I5221*J5221*(1-K5221)</f>
        <v/>
      </c>
      <c r="M5221" s="10" t="n">
        <v>72</v>
      </c>
      <c r="N5221" s="10">
        <f>L5221-M5221</f>
        <v/>
      </c>
    </row>
    <row r="5222">
      <c r="A5222" s="7" t="inlineStr">
        <is>
          <t>ORD-05651</t>
        </is>
      </c>
      <c r="B5222" s="8" t="n">
        <v>45944</v>
      </c>
      <c r="C5222" s="9" t="n">
        <v>45931</v>
      </c>
      <c r="D5222" s="7" t="n">
        <v>2025</v>
      </c>
      <c r="E5222" s="7" t="inlineStr">
        <is>
          <t>East</t>
        </is>
      </c>
      <c r="F5222" s="7" t="inlineStr">
        <is>
          <t>Technology</t>
        </is>
      </c>
      <c r="G5222" s="7" t="inlineStr">
        <is>
          <t>Laptop</t>
        </is>
      </c>
      <c r="H5222" s="7" t="inlineStr">
        <is>
          <t>Consumer</t>
        </is>
      </c>
      <c r="I5222" s="7" t="n">
        <v>3</v>
      </c>
      <c r="J5222" s="10" t="n">
        <v>869.02</v>
      </c>
      <c r="K5222" s="11" t="n">
        <v>0.1</v>
      </c>
      <c r="L5222" s="10">
        <f>I5222*J5222*(1-K5222)</f>
        <v/>
      </c>
      <c r="M5222" s="10" t="n">
        <v>2106</v>
      </c>
      <c r="N5222" s="10">
        <f>L5222-M5222</f>
        <v/>
      </c>
    </row>
    <row r="5223">
      <c r="A5223" s="7" t="inlineStr">
        <is>
          <t>ORD-03338</t>
        </is>
      </c>
      <c r="B5223" s="8" t="n">
        <v>45944</v>
      </c>
      <c r="C5223" s="9" t="n">
        <v>45931</v>
      </c>
      <c r="D5223" s="7" t="n">
        <v>2025</v>
      </c>
      <c r="E5223" s="7" t="inlineStr">
        <is>
          <t>East</t>
        </is>
      </c>
      <c r="F5223" s="7" t="inlineStr">
        <is>
          <t>Office Supplies</t>
        </is>
      </c>
      <c r="G5223" s="7" t="inlineStr">
        <is>
          <t>Paper</t>
        </is>
      </c>
      <c r="H5223" s="7" t="inlineStr">
        <is>
          <t>Consumer</t>
        </is>
      </c>
      <c r="I5223" s="7" t="n">
        <v>13</v>
      </c>
      <c r="J5223" s="10" t="n">
        <v>25.95</v>
      </c>
      <c r="K5223" s="11" t="n">
        <v>0.1</v>
      </c>
      <c r="L5223" s="10">
        <f>I5223*J5223*(1-K5223)</f>
        <v/>
      </c>
      <c r="M5223" s="10" t="n">
        <v>162.5</v>
      </c>
      <c r="N5223" s="10">
        <f>L5223-M5223</f>
        <v/>
      </c>
    </row>
    <row r="5224">
      <c r="A5224" s="7" t="inlineStr">
        <is>
          <t>ORD-05485</t>
        </is>
      </c>
      <c r="B5224" s="8" t="n">
        <v>45944</v>
      </c>
      <c r="C5224" s="9" t="n">
        <v>45931</v>
      </c>
      <c r="D5224" s="7" t="n">
        <v>2025</v>
      </c>
      <c r="E5224" s="7" t="inlineStr">
        <is>
          <t>West</t>
        </is>
      </c>
      <c r="F5224" s="7" t="inlineStr">
        <is>
          <t>Office Supplies</t>
        </is>
      </c>
      <c r="G5224" s="7" t="inlineStr">
        <is>
          <t>Paper</t>
        </is>
      </c>
      <c r="H5224" s="7" t="inlineStr">
        <is>
          <t>Home Office</t>
        </is>
      </c>
      <c r="I5224" s="7" t="n">
        <v>11</v>
      </c>
      <c r="J5224" s="10" t="n">
        <v>23.98</v>
      </c>
      <c r="K5224" s="11" t="n">
        <v>0.05</v>
      </c>
      <c r="L5224" s="10">
        <f>I5224*J5224*(1-K5224)</f>
        <v/>
      </c>
      <c r="M5224" s="10" t="n">
        <v>137.5</v>
      </c>
      <c r="N5224" s="10">
        <f>L5224-M5224</f>
        <v/>
      </c>
    </row>
    <row r="5225">
      <c r="A5225" s="7" t="inlineStr">
        <is>
          <t>ORD-04590</t>
        </is>
      </c>
      <c r="B5225" s="8" t="n">
        <v>45944</v>
      </c>
      <c r="C5225" s="9" t="n">
        <v>45931</v>
      </c>
      <c r="D5225" s="7" t="n">
        <v>2025</v>
      </c>
      <c r="E5225" s="7" t="inlineStr">
        <is>
          <t>East</t>
        </is>
      </c>
      <c r="F5225" s="7" t="inlineStr">
        <is>
          <t>Office Supplies</t>
        </is>
      </c>
      <c r="G5225" s="7" t="inlineStr">
        <is>
          <t>Paper</t>
        </is>
      </c>
      <c r="H5225" s="7" t="inlineStr">
        <is>
          <t>Corporate</t>
        </is>
      </c>
      <c r="I5225" s="7" t="n">
        <v>14</v>
      </c>
      <c r="J5225" s="10" t="n">
        <v>23.89</v>
      </c>
      <c r="K5225" s="11" t="n">
        <v>0</v>
      </c>
      <c r="L5225" s="10">
        <f>I5225*J5225*(1-K5225)</f>
        <v/>
      </c>
      <c r="M5225" s="10" t="n">
        <v>175</v>
      </c>
      <c r="N5225" s="10">
        <f>L5225-M5225</f>
        <v/>
      </c>
    </row>
    <row r="5226">
      <c r="A5226" s="7" t="inlineStr">
        <is>
          <t>ORD-00452</t>
        </is>
      </c>
      <c r="B5226" s="8" t="n">
        <v>45944</v>
      </c>
      <c r="C5226" s="9" t="n">
        <v>45931</v>
      </c>
      <c r="D5226" s="7" t="n">
        <v>2025</v>
      </c>
      <c r="E5226" s="7" t="inlineStr">
        <is>
          <t>West</t>
        </is>
      </c>
      <c r="F5226" s="7" t="inlineStr">
        <is>
          <t>Office Supplies</t>
        </is>
      </c>
      <c r="G5226" s="7" t="inlineStr">
        <is>
          <t>Printer Ink</t>
        </is>
      </c>
      <c r="H5226" s="7" t="inlineStr">
        <is>
          <t>Home Office</t>
        </is>
      </c>
      <c r="I5226" s="7" t="n">
        <v>9</v>
      </c>
      <c r="J5226" s="10" t="n">
        <v>57.24</v>
      </c>
      <c r="K5226" s="11" t="n">
        <v>0.1</v>
      </c>
      <c r="L5226" s="10">
        <f>I5226*J5226*(1-K5226)</f>
        <v/>
      </c>
      <c r="M5226" s="10" t="n">
        <v>324</v>
      </c>
      <c r="N5226" s="10">
        <f>L5226-M5226</f>
        <v/>
      </c>
    </row>
    <row r="5227">
      <c r="A5227" s="7" t="inlineStr">
        <is>
          <t>ORD-02495</t>
        </is>
      </c>
      <c r="B5227" s="8" t="n">
        <v>45944</v>
      </c>
      <c r="C5227" s="9" t="n">
        <v>45931</v>
      </c>
      <c r="D5227" s="7" t="n">
        <v>2025</v>
      </c>
      <c r="E5227" s="7" t="inlineStr">
        <is>
          <t>South</t>
        </is>
      </c>
      <c r="F5227" s="7" t="inlineStr">
        <is>
          <t>Technology</t>
        </is>
      </c>
      <c r="G5227" s="7" t="inlineStr">
        <is>
          <t>Keyboard</t>
        </is>
      </c>
      <c r="H5227" s="7" t="inlineStr">
        <is>
          <t>Consumer</t>
        </is>
      </c>
      <c r="I5227" s="7" t="n">
        <v>2</v>
      </c>
      <c r="J5227" s="10" t="n">
        <v>43.27</v>
      </c>
      <c r="K5227" s="11" t="n">
        <v>0.2</v>
      </c>
      <c r="L5227" s="10">
        <f>I5227*J5227*(1-K5227)</f>
        <v/>
      </c>
      <c r="M5227" s="10" t="n">
        <v>49.5</v>
      </c>
      <c r="N5227" s="10">
        <f>L5227-M5227</f>
        <v/>
      </c>
    </row>
    <row r="5228">
      <c r="A5228" s="7" t="inlineStr">
        <is>
          <t>ORD-01714</t>
        </is>
      </c>
      <c r="B5228" s="8" t="n">
        <v>45944</v>
      </c>
      <c r="C5228" s="9" t="n">
        <v>45931</v>
      </c>
      <c r="D5228" s="7" t="n">
        <v>2025</v>
      </c>
      <c r="E5228" s="7" t="inlineStr">
        <is>
          <t>West</t>
        </is>
      </c>
      <c r="F5228" s="7" t="inlineStr">
        <is>
          <t>Technology</t>
        </is>
      </c>
      <c r="G5228" s="7" t="inlineStr">
        <is>
          <t>Keyboard</t>
        </is>
      </c>
      <c r="H5228" s="7" t="inlineStr">
        <is>
          <t>Consumer</t>
        </is>
      </c>
      <c r="I5228" s="7" t="n">
        <v>3</v>
      </c>
      <c r="J5228" s="10" t="n">
        <v>46.34</v>
      </c>
      <c r="K5228" s="11" t="n">
        <v>0.05</v>
      </c>
      <c r="L5228" s="10">
        <f>I5228*J5228*(1-K5228)</f>
        <v/>
      </c>
      <c r="M5228" s="10" t="n">
        <v>74.25</v>
      </c>
      <c r="N5228" s="10">
        <f>L5228-M5228</f>
        <v/>
      </c>
    </row>
    <row r="5229">
      <c r="A5229" s="7" t="inlineStr">
        <is>
          <t>ORD-03627</t>
        </is>
      </c>
      <c r="B5229" s="8" t="n">
        <v>45945</v>
      </c>
      <c r="C5229" s="9" t="n">
        <v>45931</v>
      </c>
      <c r="D5229" s="7" t="n">
        <v>2025</v>
      </c>
      <c r="E5229" s="7" t="inlineStr">
        <is>
          <t>West</t>
        </is>
      </c>
      <c r="F5229" s="7" t="inlineStr">
        <is>
          <t>Furniture</t>
        </is>
      </c>
      <c r="G5229" s="7" t="inlineStr">
        <is>
          <t>Sofa</t>
        </is>
      </c>
      <c r="H5229" s="7" t="inlineStr">
        <is>
          <t>Consumer</t>
        </is>
      </c>
      <c r="I5229" s="7" t="n">
        <v>2</v>
      </c>
      <c r="J5229" s="10" t="n">
        <v>670.7</v>
      </c>
      <c r="K5229" s="11" t="n">
        <v>0</v>
      </c>
      <c r="L5229" s="10">
        <f>I5229*J5229*(1-K5229)</f>
        <v/>
      </c>
      <c r="M5229" s="10" t="n">
        <v>1232</v>
      </c>
      <c r="N5229" s="10">
        <f>L5229-M5229</f>
        <v/>
      </c>
    </row>
    <row r="5230">
      <c r="A5230" s="7" t="inlineStr">
        <is>
          <t>ORD-02006</t>
        </is>
      </c>
      <c r="B5230" s="8" t="n">
        <v>45945</v>
      </c>
      <c r="C5230" s="9" t="n">
        <v>45931</v>
      </c>
      <c r="D5230" s="7" t="n">
        <v>2025</v>
      </c>
      <c r="E5230" s="7" t="inlineStr">
        <is>
          <t>South</t>
        </is>
      </c>
      <c r="F5230" s="7" t="inlineStr">
        <is>
          <t>Furniture</t>
        </is>
      </c>
      <c r="G5230" s="7" t="inlineStr">
        <is>
          <t>Sofa</t>
        </is>
      </c>
      <c r="H5230" s="7" t="inlineStr">
        <is>
          <t>Home Office</t>
        </is>
      </c>
      <c r="I5230" s="7" t="n">
        <v>4</v>
      </c>
      <c r="J5230" s="10" t="n">
        <v>725.17</v>
      </c>
      <c r="K5230" s="11" t="n">
        <v>0.3</v>
      </c>
      <c r="L5230" s="10">
        <f>I5230*J5230*(1-K5230)</f>
        <v/>
      </c>
      <c r="M5230" s="10" t="n">
        <v>2464</v>
      </c>
      <c r="N5230" s="10">
        <f>L5230-M5230</f>
        <v/>
      </c>
    </row>
    <row r="5231">
      <c r="A5231" s="7" t="inlineStr">
        <is>
          <t>ORD-05365</t>
        </is>
      </c>
      <c r="B5231" s="8" t="n">
        <v>45945</v>
      </c>
      <c r="C5231" s="9" t="n">
        <v>45931</v>
      </c>
      <c r="D5231" s="7" t="n">
        <v>2025</v>
      </c>
      <c r="E5231" s="7" t="inlineStr">
        <is>
          <t>South</t>
        </is>
      </c>
      <c r="F5231" s="7" t="inlineStr">
        <is>
          <t>Office Supplies</t>
        </is>
      </c>
      <c r="G5231" s="7" t="inlineStr">
        <is>
          <t>Pens</t>
        </is>
      </c>
      <c r="H5231" s="7" t="inlineStr">
        <is>
          <t>Corporate</t>
        </is>
      </c>
      <c r="I5231" s="7" t="n">
        <v>2</v>
      </c>
      <c r="J5231" s="10" t="n">
        <v>11.41</v>
      </c>
      <c r="K5231" s="11" t="n">
        <v>0.05</v>
      </c>
      <c r="L5231" s="10">
        <f>I5231*J5231*(1-K5231)</f>
        <v/>
      </c>
      <c r="M5231" s="10" t="n">
        <v>10.8</v>
      </c>
      <c r="N5231" s="10">
        <f>L5231-M5231</f>
        <v/>
      </c>
    </row>
    <row r="5232">
      <c r="A5232" s="7" t="inlineStr">
        <is>
          <t>ORD-01120</t>
        </is>
      </c>
      <c r="B5232" s="8" t="n">
        <v>45945</v>
      </c>
      <c r="C5232" s="9" t="n">
        <v>45931</v>
      </c>
      <c r="D5232" s="7" t="n">
        <v>2025</v>
      </c>
      <c r="E5232" s="7" t="inlineStr">
        <is>
          <t>South</t>
        </is>
      </c>
      <c r="F5232" s="7" t="inlineStr">
        <is>
          <t>Furniture</t>
        </is>
      </c>
      <c r="G5232" s="7" t="inlineStr">
        <is>
          <t>Office Chair</t>
        </is>
      </c>
      <c r="H5232" s="7" t="inlineStr">
        <is>
          <t>Corporate</t>
        </is>
      </c>
      <c r="I5232" s="7" t="n">
        <v>2</v>
      </c>
      <c r="J5232" s="10" t="n">
        <v>217.73</v>
      </c>
      <c r="K5232" s="11" t="n">
        <v>0.2</v>
      </c>
      <c r="L5232" s="10">
        <f>I5232*J5232*(1-K5232)</f>
        <v/>
      </c>
      <c r="M5232" s="10" t="n">
        <v>360.8</v>
      </c>
      <c r="N5232" s="10">
        <f>L5232-M5232</f>
        <v/>
      </c>
    </row>
    <row r="5233">
      <c r="A5233" s="7" t="inlineStr">
        <is>
          <t>ORD-05039</t>
        </is>
      </c>
      <c r="B5233" s="8" t="n">
        <v>45945</v>
      </c>
      <c r="C5233" s="9" t="n">
        <v>45931</v>
      </c>
      <c r="D5233" s="7" t="n">
        <v>2025</v>
      </c>
      <c r="E5233" s="7" t="inlineStr">
        <is>
          <t>East</t>
        </is>
      </c>
      <c r="F5233" s="7" t="inlineStr">
        <is>
          <t>Technology</t>
        </is>
      </c>
      <c r="G5233" s="7" t="inlineStr">
        <is>
          <t>Smartphone</t>
        </is>
      </c>
      <c r="H5233" s="7" t="inlineStr">
        <is>
          <t>Consumer</t>
        </is>
      </c>
      <c r="I5233" s="7" t="n">
        <v>2</v>
      </c>
      <c r="J5233" s="10" t="n">
        <v>583.74</v>
      </c>
      <c r="K5233" s="11" t="n">
        <v>0.1</v>
      </c>
      <c r="L5233" s="10">
        <f>I5233*J5233*(1-K5233)</f>
        <v/>
      </c>
      <c r="M5233" s="10" t="n">
        <v>900</v>
      </c>
      <c r="N5233" s="10">
        <f>L5233-M5233</f>
        <v/>
      </c>
    </row>
    <row r="5234">
      <c r="A5234" s="7" t="inlineStr">
        <is>
          <t>ORD-02364</t>
        </is>
      </c>
      <c r="B5234" s="8" t="n">
        <v>45946</v>
      </c>
      <c r="C5234" s="9" t="n">
        <v>45931</v>
      </c>
      <c r="D5234" s="7" t="n">
        <v>2025</v>
      </c>
      <c r="E5234" s="7" t="inlineStr">
        <is>
          <t>East</t>
        </is>
      </c>
      <c r="F5234" s="7" t="inlineStr">
        <is>
          <t>Technology</t>
        </is>
      </c>
      <c r="G5234" s="7" t="inlineStr">
        <is>
          <t>Headphones</t>
        </is>
      </c>
      <c r="H5234" s="7" t="inlineStr">
        <is>
          <t>Corporate</t>
        </is>
      </c>
      <c r="I5234" s="7" t="n">
        <v>1</v>
      </c>
      <c r="J5234" s="10" t="n">
        <v>120.94</v>
      </c>
      <c r="K5234" s="11" t="n">
        <v>0.3</v>
      </c>
      <c r="L5234" s="10">
        <f>I5234*J5234*(1-K5234)</f>
        <v/>
      </c>
      <c r="M5234" s="10" t="n">
        <v>72</v>
      </c>
      <c r="N5234" s="10">
        <f>L5234-M5234</f>
        <v/>
      </c>
    </row>
    <row r="5235">
      <c r="A5235" s="7" t="inlineStr">
        <is>
          <t>ORD-00502</t>
        </is>
      </c>
      <c r="B5235" s="8" t="n">
        <v>45946</v>
      </c>
      <c r="C5235" s="9" t="n">
        <v>45931</v>
      </c>
      <c r="D5235" s="7" t="n">
        <v>2025</v>
      </c>
      <c r="E5235" s="7" t="inlineStr">
        <is>
          <t>East</t>
        </is>
      </c>
      <c r="F5235" s="7" t="inlineStr">
        <is>
          <t>Office Supplies</t>
        </is>
      </c>
      <c r="G5235" s="7" t="inlineStr">
        <is>
          <t>Pens</t>
        </is>
      </c>
      <c r="H5235" s="7" t="inlineStr">
        <is>
          <t>Consumer</t>
        </is>
      </c>
      <c r="I5235" s="7" t="n">
        <v>9</v>
      </c>
      <c r="J5235" s="10" t="n">
        <v>11.69</v>
      </c>
      <c r="K5235" s="11" t="n">
        <v>0</v>
      </c>
      <c r="L5235" s="10">
        <f>I5235*J5235*(1-K5235)</f>
        <v/>
      </c>
      <c r="M5235" s="10" t="n">
        <v>48.6</v>
      </c>
      <c r="N5235" s="10">
        <f>L5235-M5235</f>
        <v/>
      </c>
    </row>
    <row r="5236">
      <c r="A5236" s="7" t="inlineStr">
        <is>
          <t>ORD-05732</t>
        </is>
      </c>
      <c r="B5236" s="8" t="n">
        <v>45946</v>
      </c>
      <c r="C5236" s="9" t="n">
        <v>45931</v>
      </c>
      <c r="D5236" s="7" t="n">
        <v>2025</v>
      </c>
      <c r="E5236" s="7" t="inlineStr">
        <is>
          <t>East</t>
        </is>
      </c>
      <c r="F5236" s="7" t="inlineStr">
        <is>
          <t>Technology</t>
        </is>
      </c>
      <c r="G5236" s="7" t="inlineStr">
        <is>
          <t>Headphones</t>
        </is>
      </c>
      <c r="H5236" s="7" t="inlineStr">
        <is>
          <t>Consumer</t>
        </is>
      </c>
      <c r="I5236" s="7" t="n">
        <v>3</v>
      </c>
      <c r="J5236" s="10" t="n">
        <v>115.19</v>
      </c>
      <c r="K5236" s="11" t="n">
        <v>0.05</v>
      </c>
      <c r="L5236" s="10">
        <f>I5236*J5236*(1-K5236)</f>
        <v/>
      </c>
      <c r="M5236" s="10" t="n">
        <v>216</v>
      </c>
      <c r="N5236" s="10">
        <f>L5236-M5236</f>
        <v/>
      </c>
    </row>
    <row r="5237">
      <c r="A5237" s="7" t="inlineStr">
        <is>
          <t>ORD-05264</t>
        </is>
      </c>
      <c r="B5237" s="8" t="n">
        <v>45946</v>
      </c>
      <c r="C5237" s="9" t="n">
        <v>45931</v>
      </c>
      <c r="D5237" s="7" t="n">
        <v>2025</v>
      </c>
      <c r="E5237" s="7" t="inlineStr">
        <is>
          <t>West</t>
        </is>
      </c>
      <c r="F5237" s="7" t="inlineStr">
        <is>
          <t>Furniture</t>
        </is>
      </c>
      <c r="G5237" s="7" t="inlineStr">
        <is>
          <t>Desk</t>
        </is>
      </c>
      <c r="H5237" s="7" t="inlineStr">
        <is>
          <t>Corporate</t>
        </is>
      </c>
      <c r="I5237" s="7" t="n">
        <v>1</v>
      </c>
      <c r="J5237" s="10" t="n">
        <v>434.09</v>
      </c>
      <c r="K5237" s="11" t="n">
        <v>0.2</v>
      </c>
      <c r="L5237" s="10">
        <f>I5237*J5237*(1-K5237)</f>
        <v/>
      </c>
      <c r="M5237" s="10" t="n">
        <v>382.5</v>
      </c>
      <c r="N5237" s="10">
        <f>L5237-M5237</f>
        <v/>
      </c>
    </row>
    <row r="5238">
      <c r="A5238" s="7" t="inlineStr">
        <is>
          <t>ORD-01737</t>
        </is>
      </c>
      <c r="B5238" s="8" t="n">
        <v>45946</v>
      </c>
      <c r="C5238" s="9" t="n">
        <v>45931</v>
      </c>
      <c r="D5238" s="7" t="n">
        <v>2025</v>
      </c>
      <c r="E5238" s="7" t="inlineStr">
        <is>
          <t>South</t>
        </is>
      </c>
      <c r="F5238" s="7" t="inlineStr">
        <is>
          <t>Office Supplies</t>
        </is>
      </c>
      <c r="G5238" s="7" t="inlineStr">
        <is>
          <t>Binder</t>
        </is>
      </c>
      <c r="H5238" s="7" t="inlineStr">
        <is>
          <t>Corporate</t>
        </is>
      </c>
      <c r="I5238" s="7" t="n">
        <v>10</v>
      </c>
      <c r="J5238" s="10" t="n">
        <v>8.109999999999999</v>
      </c>
      <c r="K5238" s="11" t="n">
        <v>0.05</v>
      </c>
      <c r="L5238" s="10">
        <f>I5238*J5238*(1-K5238)</f>
        <v/>
      </c>
      <c r="M5238" s="10" t="n">
        <v>32</v>
      </c>
      <c r="N5238" s="10">
        <f>L5238-M5238</f>
        <v/>
      </c>
    </row>
    <row r="5239">
      <c r="A5239" s="7" t="inlineStr">
        <is>
          <t>ORD-04862</t>
        </is>
      </c>
      <c r="B5239" s="8" t="n">
        <v>45946</v>
      </c>
      <c r="C5239" s="9" t="n">
        <v>45931</v>
      </c>
      <c r="D5239" s="7" t="n">
        <v>2025</v>
      </c>
      <c r="E5239" s="7" t="inlineStr">
        <is>
          <t>South</t>
        </is>
      </c>
      <c r="F5239" s="7" t="inlineStr">
        <is>
          <t>Office Supplies</t>
        </is>
      </c>
      <c r="G5239" s="7" t="inlineStr">
        <is>
          <t>Stapler</t>
        </is>
      </c>
      <c r="H5239" s="7" t="inlineStr">
        <is>
          <t>Home Office</t>
        </is>
      </c>
      <c r="I5239" s="7" t="n">
        <v>10</v>
      </c>
      <c r="J5239" s="10" t="n">
        <v>15.48</v>
      </c>
      <c r="K5239" s="11" t="n">
        <v>0.1</v>
      </c>
      <c r="L5239" s="10">
        <f>I5239*J5239*(1-K5239)</f>
        <v/>
      </c>
      <c r="M5239" s="10" t="n">
        <v>75</v>
      </c>
      <c r="N5239" s="10">
        <f>L5239-M5239</f>
        <v/>
      </c>
    </row>
    <row r="5240">
      <c r="A5240" s="7" t="inlineStr">
        <is>
          <t>ORD-03543</t>
        </is>
      </c>
      <c r="B5240" s="8" t="n">
        <v>45946</v>
      </c>
      <c r="C5240" s="9" t="n">
        <v>45931</v>
      </c>
      <c r="D5240" s="7" t="n">
        <v>2025</v>
      </c>
      <c r="E5240" s="7" t="inlineStr">
        <is>
          <t>East</t>
        </is>
      </c>
      <c r="F5240" s="7" t="inlineStr">
        <is>
          <t>Technology</t>
        </is>
      </c>
      <c r="G5240" s="7" t="inlineStr">
        <is>
          <t>Laptop</t>
        </is>
      </c>
      <c r="H5240" s="7" t="inlineStr">
        <is>
          <t>Consumer</t>
        </is>
      </c>
      <c r="I5240" s="7" t="n">
        <v>3</v>
      </c>
      <c r="J5240" s="10" t="n">
        <v>944.8</v>
      </c>
      <c r="K5240" s="11" t="n">
        <v>0.1</v>
      </c>
      <c r="L5240" s="10">
        <f>I5240*J5240*(1-K5240)</f>
        <v/>
      </c>
      <c r="M5240" s="10" t="n">
        <v>2106</v>
      </c>
      <c r="N5240" s="10">
        <f>L5240-M5240</f>
        <v/>
      </c>
    </row>
    <row r="5241">
      <c r="A5241" s="7" t="inlineStr">
        <is>
          <t>ORD-00876</t>
        </is>
      </c>
      <c r="B5241" s="8" t="n">
        <v>45947</v>
      </c>
      <c r="C5241" s="9" t="n">
        <v>45931</v>
      </c>
      <c r="D5241" s="7" t="n">
        <v>2025</v>
      </c>
      <c r="E5241" s="7" t="inlineStr">
        <is>
          <t>East</t>
        </is>
      </c>
      <c r="F5241" s="7" t="inlineStr">
        <is>
          <t>Office Supplies</t>
        </is>
      </c>
      <c r="G5241" s="7" t="inlineStr">
        <is>
          <t>Paper</t>
        </is>
      </c>
      <c r="H5241" s="7" t="inlineStr">
        <is>
          <t>Consumer</t>
        </is>
      </c>
      <c r="I5241" s="7" t="n">
        <v>3</v>
      </c>
      <c r="J5241" s="10" t="n">
        <v>25.63</v>
      </c>
      <c r="K5241" s="11" t="n">
        <v>0.1</v>
      </c>
      <c r="L5241" s="10">
        <f>I5241*J5241*(1-K5241)</f>
        <v/>
      </c>
      <c r="M5241" s="10" t="n">
        <v>37.5</v>
      </c>
      <c r="N5241" s="10">
        <f>L5241-M5241</f>
        <v/>
      </c>
    </row>
    <row r="5242">
      <c r="A5242" s="7" t="inlineStr">
        <is>
          <t>ORD-00662</t>
        </is>
      </c>
      <c r="B5242" s="8" t="n">
        <v>45947</v>
      </c>
      <c r="C5242" s="9" t="n">
        <v>45931</v>
      </c>
      <c r="D5242" s="7" t="n">
        <v>2025</v>
      </c>
      <c r="E5242" s="7" t="inlineStr">
        <is>
          <t>North</t>
        </is>
      </c>
      <c r="F5242" s="7" t="inlineStr">
        <is>
          <t>Technology</t>
        </is>
      </c>
      <c r="G5242" s="7" t="inlineStr">
        <is>
          <t>Smartphone</t>
        </is>
      </c>
      <c r="H5242" s="7" t="inlineStr">
        <is>
          <t>Consumer</t>
        </is>
      </c>
      <c r="I5242" s="7" t="n">
        <v>1</v>
      </c>
      <c r="J5242" s="10" t="n">
        <v>585.02</v>
      </c>
      <c r="K5242" s="11" t="n">
        <v>0</v>
      </c>
      <c r="L5242" s="10">
        <f>I5242*J5242*(1-K5242)</f>
        <v/>
      </c>
      <c r="M5242" s="10" t="n">
        <v>450</v>
      </c>
      <c r="N5242" s="10">
        <f>L5242-M5242</f>
        <v/>
      </c>
    </row>
    <row r="5243">
      <c r="A5243" s="7" t="inlineStr">
        <is>
          <t>ORD-02773</t>
        </is>
      </c>
      <c r="B5243" s="8" t="n">
        <v>45947</v>
      </c>
      <c r="C5243" s="9" t="n">
        <v>45931</v>
      </c>
      <c r="D5243" s="7" t="n">
        <v>2025</v>
      </c>
      <c r="E5243" s="7" t="inlineStr">
        <is>
          <t>South</t>
        </is>
      </c>
      <c r="F5243" s="7" t="inlineStr">
        <is>
          <t>Office Supplies</t>
        </is>
      </c>
      <c r="G5243" s="7" t="inlineStr">
        <is>
          <t>Pens</t>
        </is>
      </c>
      <c r="H5243" s="7" t="inlineStr">
        <is>
          <t>Consumer</t>
        </is>
      </c>
      <c r="I5243" s="7" t="n">
        <v>4</v>
      </c>
      <c r="J5243" s="10" t="n">
        <v>11.51</v>
      </c>
      <c r="K5243" s="11" t="n">
        <v>0</v>
      </c>
      <c r="L5243" s="10">
        <f>I5243*J5243*(1-K5243)</f>
        <v/>
      </c>
      <c r="M5243" s="10" t="n">
        <v>21.6</v>
      </c>
      <c r="N5243" s="10">
        <f>L5243-M5243</f>
        <v/>
      </c>
    </row>
    <row r="5244">
      <c r="A5244" s="7" t="inlineStr">
        <is>
          <t>ORD-03051</t>
        </is>
      </c>
      <c r="B5244" s="8" t="n">
        <v>45947</v>
      </c>
      <c r="C5244" s="9" t="n">
        <v>45931</v>
      </c>
      <c r="D5244" s="7" t="n">
        <v>2025</v>
      </c>
      <c r="E5244" s="7" t="inlineStr">
        <is>
          <t>West</t>
        </is>
      </c>
      <c r="F5244" s="7" t="inlineStr">
        <is>
          <t>Office Supplies</t>
        </is>
      </c>
      <c r="G5244" s="7" t="inlineStr">
        <is>
          <t>Paper</t>
        </is>
      </c>
      <c r="H5244" s="7" t="inlineStr">
        <is>
          <t>Home Office</t>
        </is>
      </c>
      <c r="I5244" s="7" t="n">
        <v>9</v>
      </c>
      <c r="J5244" s="10" t="n">
        <v>24.64</v>
      </c>
      <c r="K5244" s="11" t="n">
        <v>0.05</v>
      </c>
      <c r="L5244" s="10">
        <f>I5244*J5244*(1-K5244)</f>
        <v/>
      </c>
      <c r="M5244" s="10" t="n">
        <v>112.5</v>
      </c>
      <c r="N5244" s="10">
        <f>L5244-M5244</f>
        <v/>
      </c>
    </row>
    <row r="5245">
      <c r="A5245" s="7" t="inlineStr">
        <is>
          <t>ORD-02611</t>
        </is>
      </c>
      <c r="B5245" s="8" t="n">
        <v>45947</v>
      </c>
      <c r="C5245" s="9" t="n">
        <v>45931</v>
      </c>
      <c r="D5245" s="7" t="n">
        <v>2025</v>
      </c>
      <c r="E5245" s="7" t="inlineStr">
        <is>
          <t>West</t>
        </is>
      </c>
      <c r="F5245" s="7" t="inlineStr">
        <is>
          <t>Office Supplies</t>
        </is>
      </c>
      <c r="G5245" s="7" t="inlineStr">
        <is>
          <t>Binder</t>
        </is>
      </c>
      <c r="H5245" s="7" t="inlineStr">
        <is>
          <t>Consumer</t>
        </is>
      </c>
      <c r="I5245" s="7" t="n">
        <v>10</v>
      </c>
      <c r="J5245" s="10" t="n">
        <v>7.77</v>
      </c>
      <c r="K5245" s="11" t="n">
        <v>0</v>
      </c>
      <c r="L5245" s="10">
        <f>I5245*J5245*(1-K5245)</f>
        <v/>
      </c>
      <c r="M5245" s="10" t="n">
        <v>32</v>
      </c>
      <c r="N5245" s="10">
        <f>L5245-M5245</f>
        <v/>
      </c>
    </row>
    <row r="5246">
      <c r="A5246" s="7" t="inlineStr">
        <is>
          <t>ORD-04123</t>
        </is>
      </c>
      <c r="B5246" s="8" t="n">
        <v>45947</v>
      </c>
      <c r="C5246" s="9" t="n">
        <v>45931</v>
      </c>
      <c r="D5246" s="7" t="n">
        <v>2025</v>
      </c>
      <c r="E5246" s="7" t="inlineStr">
        <is>
          <t>West</t>
        </is>
      </c>
      <c r="F5246" s="7" t="inlineStr">
        <is>
          <t>Office Supplies</t>
        </is>
      </c>
      <c r="G5246" s="7" t="inlineStr">
        <is>
          <t>Printer Ink</t>
        </is>
      </c>
      <c r="H5246" s="7" t="inlineStr">
        <is>
          <t>Consumer</t>
        </is>
      </c>
      <c r="I5246" s="7" t="n">
        <v>13</v>
      </c>
      <c r="J5246" s="10" t="n">
        <v>58.69</v>
      </c>
      <c r="K5246" s="11" t="n">
        <v>0</v>
      </c>
      <c r="L5246" s="10">
        <f>I5246*J5246*(1-K5246)</f>
        <v/>
      </c>
      <c r="M5246" s="10" t="n">
        <v>468</v>
      </c>
      <c r="N5246" s="10">
        <f>L5246-M5246</f>
        <v/>
      </c>
    </row>
    <row r="5247">
      <c r="A5247" s="7" t="inlineStr">
        <is>
          <t>ORD-00956</t>
        </is>
      </c>
      <c r="B5247" s="8" t="n">
        <v>45948</v>
      </c>
      <c r="C5247" s="9" t="n">
        <v>45931</v>
      </c>
      <c r="D5247" s="7" t="n">
        <v>2025</v>
      </c>
      <c r="E5247" s="7" t="inlineStr">
        <is>
          <t>East</t>
        </is>
      </c>
      <c r="F5247" s="7" t="inlineStr">
        <is>
          <t>Office Supplies</t>
        </is>
      </c>
      <c r="G5247" s="7" t="inlineStr">
        <is>
          <t>Pens</t>
        </is>
      </c>
      <c r="H5247" s="7" t="inlineStr">
        <is>
          <t>Consumer</t>
        </is>
      </c>
      <c r="I5247" s="7" t="n">
        <v>12</v>
      </c>
      <c r="J5247" s="10" t="n">
        <v>12.29</v>
      </c>
      <c r="K5247" s="11" t="n">
        <v>0.1</v>
      </c>
      <c r="L5247" s="10">
        <f>I5247*J5247*(1-K5247)</f>
        <v/>
      </c>
      <c r="M5247" s="10" t="n">
        <v>64.8</v>
      </c>
      <c r="N5247" s="10">
        <f>L5247-M5247</f>
        <v/>
      </c>
    </row>
    <row r="5248">
      <c r="A5248" s="7" t="inlineStr">
        <is>
          <t>ORD-04899</t>
        </is>
      </c>
      <c r="B5248" s="8" t="n">
        <v>45948</v>
      </c>
      <c r="C5248" s="9" t="n">
        <v>45931</v>
      </c>
      <c r="D5248" s="7" t="n">
        <v>2025</v>
      </c>
      <c r="E5248" s="7" t="inlineStr">
        <is>
          <t>West</t>
        </is>
      </c>
      <c r="F5248" s="7" t="inlineStr">
        <is>
          <t>Technology</t>
        </is>
      </c>
      <c r="G5248" s="7" t="inlineStr">
        <is>
          <t>Monitor</t>
        </is>
      </c>
      <c r="H5248" s="7" t="inlineStr">
        <is>
          <t>Home Office</t>
        </is>
      </c>
      <c r="I5248" s="7" t="n">
        <v>3</v>
      </c>
      <c r="J5248" s="10" t="n">
        <v>243.37</v>
      </c>
      <c r="K5248" s="11" t="n">
        <v>0.1</v>
      </c>
      <c r="L5248" s="10">
        <f>I5248*J5248*(1-K5248)</f>
        <v/>
      </c>
      <c r="M5248" s="10" t="n">
        <v>540</v>
      </c>
      <c r="N5248" s="10">
        <f>L5248-M5248</f>
        <v/>
      </c>
    </row>
    <row r="5249">
      <c r="A5249" s="7" t="inlineStr">
        <is>
          <t>ORD-02287</t>
        </is>
      </c>
      <c r="B5249" s="8" t="n">
        <v>45948</v>
      </c>
      <c r="C5249" s="9" t="n">
        <v>45931</v>
      </c>
      <c r="D5249" s="7" t="n">
        <v>2025</v>
      </c>
      <c r="E5249" s="7" t="inlineStr">
        <is>
          <t>East</t>
        </is>
      </c>
      <c r="F5249" s="7" t="inlineStr">
        <is>
          <t>Office Supplies</t>
        </is>
      </c>
      <c r="G5249" s="7" t="inlineStr">
        <is>
          <t>Pens</t>
        </is>
      </c>
      <c r="H5249" s="7" t="inlineStr">
        <is>
          <t>Corporate</t>
        </is>
      </c>
      <c r="I5249" s="7" t="n">
        <v>7</v>
      </c>
      <c r="J5249" s="10" t="n">
        <v>11.52</v>
      </c>
      <c r="K5249" s="11" t="n">
        <v>0.1</v>
      </c>
      <c r="L5249" s="10">
        <f>I5249*J5249*(1-K5249)</f>
        <v/>
      </c>
      <c r="M5249" s="10" t="n">
        <v>37.8</v>
      </c>
      <c r="N5249" s="10">
        <f>L5249-M5249</f>
        <v/>
      </c>
    </row>
    <row r="5250">
      <c r="A5250" s="7" t="inlineStr">
        <is>
          <t>ORD-01753</t>
        </is>
      </c>
      <c r="B5250" s="8" t="n">
        <v>45948</v>
      </c>
      <c r="C5250" s="9" t="n">
        <v>45931</v>
      </c>
      <c r="D5250" s="7" t="n">
        <v>2025</v>
      </c>
      <c r="E5250" s="7" t="inlineStr">
        <is>
          <t>North</t>
        </is>
      </c>
      <c r="F5250" s="7" t="inlineStr">
        <is>
          <t>Technology</t>
        </is>
      </c>
      <c r="G5250" s="7" t="inlineStr">
        <is>
          <t>Keyboard</t>
        </is>
      </c>
      <c r="H5250" s="7" t="inlineStr">
        <is>
          <t>Home Office</t>
        </is>
      </c>
      <c r="I5250" s="7" t="n">
        <v>3</v>
      </c>
      <c r="J5250" s="10" t="n">
        <v>43.37</v>
      </c>
      <c r="K5250" s="11" t="n">
        <v>0</v>
      </c>
      <c r="L5250" s="10">
        <f>I5250*J5250*(1-K5250)</f>
        <v/>
      </c>
      <c r="M5250" s="10" t="n">
        <v>74.25</v>
      </c>
      <c r="N5250" s="10">
        <f>L5250-M5250</f>
        <v/>
      </c>
    </row>
    <row r="5251">
      <c r="A5251" s="7" t="inlineStr">
        <is>
          <t>ORD-03541</t>
        </is>
      </c>
      <c r="B5251" s="8" t="n">
        <v>45948</v>
      </c>
      <c r="C5251" s="9" t="n">
        <v>45931</v>
      </c>
      <c r="D5251" s="7" t="n">
        <v>2025</v>
      </c>
      <c r="E5251" s="7" t="inlineStr">
        <is>
          <t>North</t>
        </is>
      </c>
      <c r="F5251" s="7" t="inlineStr">
        <is>
          <t>Office Supplies</t>
        </is>
      </c>
      <c r="G5251" s="7" t="inlineStr">
        <is>
          <t>Binder</t>
        </is>
      </c>
      <c r="H5251" s="7" t="inlineStr">
        <is>
          <t>Consumer</t>
        </is>
      </c>
      <c r="I5251" s="7" t="n">
        <v>14</v>
      </c>
      <c r="J5251" s="10" t="n">
        <v>7.89</v>
      </c>
      <c r="K5251" s="11" t="n">
        <v>0.05</v>
      </c>
      <c r="L5251" s="10">
        <f>I5251*J5251*(1-K5251)</f>
        <v/>
      </c>
      <c r="M5251" s="10" t="n">
        <v>44.8</v>
      </c>
      <c r="N5251" s="10">
        <f>L5251-M5251</f>
        <v/>
      </c>
    </row>
    <row r="5252">
      <c r="A5252" s="7" t="inlineStr">
        <is>
          <t>ORD-05724</t>
        </is>
      </c>
      <c r="B5252" s="8" t="n">
        <v>45948</v>
      </c>
      <c r="C5252" s="9" t="n">
        <v>45931</v>
      </c>
      <c r="D5252" s="7" t="n">
        <v>2025</v>
      </c>
      <c r="E5252" s="7" t="inlineStr">
        <is>
          <t>West</t>
        </is>
      </c>
      <c r="F5252" s="7" t="inlineStr">
        <is>
          <t>Office Supplies</t>
        </is>
      </c>
      <c r="G5252" s="7" t="inlineStr">
        <is>
          <t>Paper</t>
        </is>
      </c>
      <c r="H5252" s="7" t="inlineStr">
        <is>
          <t>Consumer</t>
        </is>
      </c>
      <c r="I5252" s="7" t="n">
        <v>14</v>
      </c>
      <c r="J5252" s="10" t="n">
        <v>25.83</v>
      </c>
      <c r="K5252" s="11" t="n">
        <v>0.05</v>
      </c>
      <c r="L5252" s="10">
        <f>I5252*J5252*(1-K5252)</f>
        <v/>
      </c>
      <c r="M5252" s="10" t="n">
        <v>175</v>
      </c>
      <c r="N5252" s="10">
        <f>L5252-M5252</f>
        <v/>
      </c>
    </row>
    <row r="5253">
      <c r="A5253" s="7" t="inlineStr">
        <is>
          <t>ORD-02633</t>
        </is>
      </c>
      <c r="B5253" s="8" t="n">
        <v>45948</v>
      </c>
      <c r="C5253" s="9" t="n">
        <v>45931</v>
      </c>
      <c r="D5253" s="7" t="n">
        <v>2025</v>
      </c>
      <c r="E5253" s="7" t="inlineStr">
        <is>
          <t>West</t>
        </is>
      </c>
      <c r="F5253" s="7" t="inlineStr">
        <is>
          <t>Furniture</t>
        </is>
      </c>
      <c r="G5253" s="7" t="inlineStr">
        <is>
          <t>Office Chair</t>
        </is>
      </c>
      <c r="H5253" s="7" t="inlineStr">
        <is>
          <t>Home Office</t>
        </is>
      </c>
      <c r="I5253" s="7" t="n">
        <v>1</v>
      </c>
      <c r="J5253" s="10" t="n">
        <v>211.37</v>
      </c>
      <c r="K5253" s="11" t="n">
        <v>0.2</v>
      </c>
      <c r="L5253" s="10">
        <f>I5253*J5253*(1-K5253)</f>
        <v/>
      </c>
      <c r="M5253" s="10" t="n">
        <v>180.4</v>
      </c>
      <c r="N5253" s="10">
        <f>L5253-M5253</f>
        <v/>
      </c>
    </row>
    <row r="5254">
      <c r="A5254" s="7" t="inlineStr">
        <is>
          <t>ORD-04262</t>
        </is>
      </c>
      <c r="B5254" s="8" t="n">
        <v>45948</v>
      </c>
      <c r="C5254" s="9" t="n">
        <v>45931</v>
      </c>
      <c r="D5254" s="7" t="n">
        <v>2025</v>
      </c>
      <c r="E5254" s="7" t="inlineStr">
        <is>
          <t>North</t>
        </is>
      </c>
      <c r="F5254" s="7" t="inlineStr">
        <is>
          <t>Office Supplies</t>
        </is>
      </c>
      <c r="G5254" s="7" t="inlineStr">
        <is>
          <t>Stapler</t>
        </is>
      </c>
      <c r="H5254" s="7" t="inlineStr">
        <is>
          <t>Home Office</t>
        </is>
      </c>
      <c r="I5254" s="7" t="n">
        <v>4</v>
      </c>
      <c r="J5254" s="10" t="n">
        <v>14.91</v>
      </c>
      <c r="K5254" s="11" t="n">
        <v>0</v>
      </c>
      <c r="L5254" s="10">
        <f>I5254*J5254*(1-K5254)</f>
        <v/>
      </c>
      <c r="M5254" s="10" t="n">
        <v>30</v>
      </c>
      <c r="N5254" s="10">
        <f>L5254-M5254</f>
        <v/>
      </c>
    </row>
    <row r="5255">
      <c r="A5255" s="7" t="inlineStr">
        <is>
          <t>ORD-01249</t>
        </is>
      </c>
      <c r="B5255" s="8" t="n">
        <v>45948</v>
      </c>
      <c r="C5255" s="9" t="n">
        <v>45931</v>
      </c>
      <c r="D5255" s="7" t="n">
        <v>2025</v>
      </c>
      <c r="E5255" s="7" t="inlineStr">
        <is>
          <t>South</t>
        </is>
      </c>
      <c r="F5255" s="7" t="inlineStr">
        <is>
          <t>Office Supplies</t>
        </is>
      </c>
      <c r="G5255" s="7" t="inlineStr">
        <is>
          <t>Binder</t>
        </is>
      </c>
      <c r="H5255" s="7" t="inlineStr">
        <is>
          <t>Home Office</t>
        </is>
      </c>
      <c r="I5255" s="7" t="n">
        <v>13</v>
      </c>
      <c r="J5255" s="10" t="n">
        <v>7.87</v>
      </c>
      <c r="K5255" s="11" t="n">
        <v>0.3</v>
      </c>
      <c r="L5255" s="10">
        <f>I5255*J5255*(1-K5255)</f>
        <v/>
      </c>
      <c r="M5255" s="10" t="n">
        <v>41.6</v>
      </c>
      <c r="N5255" s="10">
        <f>L5255-M5255</f>
        <v/>
      </c>
    </row>
    <row r="5256">
      <c r="A5256" s="7" t="inlineStr">
        <is>
          <t>ORD-05846</t>
        </is>
      </c>
      <c r="B5256" s="8" t="n">
        <v>45949</v>
      </c>
      <c r="C5256" s="9" t="n">
        <v>45931</v>
      </c>
      <c r="D5256" s="7" t="n">
        <v>2025</v>
      </c>
      <c r="E5256" s="7" t="inlineStr">
        <is>
          <t>East</t>
        </is>
      </c>
      <c r="F5256" s="7" t="inlineStr">
        <is>
          <t>Office Supplies</t>
        </is>
      </c>
      <c r="G5256" s="7" t="inlineStr">
        <is>
          <t>Binder</t>
        </is>
      </c>
      <c r="H5256" s="7" t="inlineStr">
        <is>
          <t>Consumer</t>
        </is>
      </c>
      <c r="I5256" s="7" t="n">
        <v>6</v>
      </c>
      <c r="J5256" s="10" t="n">
        <v>8.23</v>
      </c>
      <c r="K5256" s="11" t="n">
        <v>0.2</v>
      </c>
      <c r="L5256" s="10">
        <f>I5256*J5256*(1-K5256)</f>
        <v/>
      </c>
      <c r="M5256" s="10" t="n">
        <v>19.2</v>
      </c>
      <c r="N5256" s="10">
        <f>L5256-M5256</f>
        <v/>
      </c>
    </row>
    <row r="5257">
      <c r="A5257" s="7" t="inlineStr">
        <is>
          <t>ORD-00846</t>
        </is>
      </c>
      <c r="B5257" s="8" t="n">
        <v>45949</v>
      </c>
      <c r="C5257" s="9" t="n">
        <v>45931</v>
      </c>
      <c r="D5257" s="7" t="n">
        <v>2025</v>
      </c>
      <c r="E5257" s="7" t="inlineStr">
        <is>
          <t>West</t>
        </is>
      </c>
      <c r="F5257" s="7" t="inlineStr">
        <is>
          <t>Office Supplies</t>
        </is>
      </c>
      <c r="G5257" s="7" t="inlineStr">
        <is>
          <t>Paper</t>
        </is>
      </c>
      <c r="H5257" s="7" t="inlineStr">
        <is>
          <t>Corporate</t>
        </is>
      </c>
      <c r="I5257" s="7" t="n">
        <v>7</v>
      </c>
      <c r="J5257" s="10" t="n">
        <v>25.12</v>
      </c>
      <c r="K5257" s="11" t="n">
        <v>0.3</v>
      </c>
      <c r="L5257" s="10">
        <f>I5257*J5257*(1-K5257)</f>
        <v/>
      </c>
      <c r="M5257" s="10" t="n">
        <v>87.5</v>
      </c>
      <c r="N5257" s="10">
        <f>L5257-M5257</f>
        <v/>
      </c>
    </row>
    <row r="5258">
      <c r="A5258" s="7" t="inlineStr">
        <is>
          <t>ORD-01563</t>
        </is>
      </c>
      <c r="B5258" s="8" t="n">
        <v>45949</v>
      </c>
      <c r="C5258" s="9" t="n">
        <v>45931</v>
      </c>
      <c r="D5258" s="7" t="n">
        <v>2025</v>
      </c>
      <c r="E5258" s="7" t="inlineStr">
        <is>
          <t>West</t>
        </is>
      </c>
      <c r="F5258" s="7" t="inlineStr">
        <is>
          <t>Technology</t>
        </is>
      </c>
      <c r="G5258" s="7" t="inlineStr">
        <is>
          <t>Laptop</t>
        </is>
      </c>
      <c r="H5258" s="7" t="inlineStr">
        <is>
          <t>Corporate</t>
        </is>
      </c>
      <c r="I5258" s="7" t="n">
        <v>3</v>
      </c>
      <c r="J5258" s="10" t="n">
        <v>919.16</v>
      </c>
      <c r="K5258" s="11" t="n">
        <v>0.05</v>
      </c>
      <c r="L5258" s="10">
        <f>I5258*J5258*(1-K5258)</f>
        <v/>
      </c>
      <c r="M5258" s="10" t="n">
        <v>2106</v>
      </c>
      <c r="N5258" s="10">
        <f>L5258-M5258</f>
        <v/>
      </c>
    </row>
    <row r="5259">
      <c r="A5259" s="7" t="inlineStr">
        <is>
          <t>ORD-01581</t>
        </is>
      </c>
      <c r="B5259" s="8" t="n">
        <v>45949</v>
      </c>
      <c r="C5259" s="9" t="n">
        <v>45931</v>
      </c>
      <c r="D5259" s="7" t="n">
        <v>2025</v>
      </c>
      <c r="E5259" s="7" t="inlineStr">
        <is>
          <t>West</t>
        </is>
      </c>
      <c r="F5259" s="7" t="inlineStr">
        <is>
          <t>Technology</t>
        </is>
      </c>
      <c r="G5259" s="7" t="inlineStr">
        <is>
          <t>Keyboard</t>
        </is>
      </c>
      <c r="H5259" s="7" t="inlineStr">
        <is>
          <t>Consumer</t>
        </is>
      </c>
      <c r="I5259" s="7" t="n">
        <v>2</v>
      </c>
      <c r="J5259" s="10" t="n">
        <v>44.03</v>
      </c>
      <c r="K5259" s="11" t="n">
        <v>0.2</v>
      </c>
      <c r="L5259" s="10">
        <f>I5259*J5259*(1-K5259)</f>
        <v/>
      </c>
      <c r="M5259" s="10" t="n">
        <v>49.5</v>
      </c>
      <c r="N5259" s="10">
        <f>L5259-M5259</f>
        <v/>
      </c>
    </row>
    <row r="5260">
      <c r="A5260" s="7" t="inlineStr">
        <is>
          <t>ORD-03012</t>
        </is>
      </c>
      <c r="B5260" s="8" t="n">
        <v>45949</v>
      </c>
      <c r="C5260" s="9" t="n">
        <v>45931</v>
      </c>
      <c r="D5260" s="7" t="n">
        <v>2025</v>
      </c>
      <c r="E5260" s="7" t="inlineStr">
        <is>
          <t>South</t>
        </is>
      </c>
      <c r="F5260" s="7" t="inlineStr">
        <is>
          <t>Office Supplies</t>
        </is>
      </c>
      <c r="G5260" s="7" t="inlineStr">
        <is>
          <t>Printer Ink</t>
        </is>
      </c>
      <c r="H5260" s="7" t="inlineStr">
        <is>
          <t>Consumer</t>
        </is>
      </c>
      <c r="I5260" s="7" t="n">
        <v>3</v>
      </c>
      <c r="J5260" s="10" t="n">
        <v>59.82</v>
      </c>
      <c r="K5260" s="11" t="n">
        <v>0.05</v>
      </c>
      <c r="L5260" s="10">
        <f>I5260*J5260*(1-K5260)</f>
        <v/>
      </c>
      <c r="M5260" s="10" t="n">
        <v>108</v>
      </c>
      <c r="N5260" s="10">
        <f>L5260-M5260</f>
        <v/>
      </c>
    </row>
    <row r="5261">
      <c r="A5261" s="7" t="inlineStr">
        <is>
          <t>ORD-00181</t>
        </is>
      </c>
      <c r="B5261" s="8" t="n">
        <v>45950</v>
      </c>
      <c r="C5261" s="9" t="n">
        <v>45931</v>
      </c>
      <c r="D5261" s="7" t="n">
        <v>2025</v>
      </c>
      <c r="E5261" s="7" t="inlineStr">
        <is>
          <t>West</t>
        </is>
      </c>
      <c r="F5261" s="7" t="inlineStr">
        <is>
          <t>Furniture</t>
        </is>
      </c>
      <c r="G5261" s="7" t="inlineStr">
        <is>
          <t>Bookcase</t>
        </is>
      </c>
      <c r="H5261" s="7" t="inlineStr">
        <is>
          <t>Consumer</t>
        </is>
      </c>
      <c r="I5261" s="7" t="n">
        <v>4</v>
      </c>
      <c r="J5261" s="10" t="n">
        <v>172.81</v>
      </c>
      <c r="K5261" s="11" t="n">
        <v>0</v>
      </c>
      <c r="L5261" s="10">
        <f>I5261*J5261*(1-K5261)</f>
        <v/>
      </c>
      <c r="M5261" s="10" t="n">
        <v>576</v>
      </c>
      <c r="N5261" s="10">
        <f>L5261-M5261</f>
        <v/>
      </c>
    </row>
    <row r="5262">
      <c r="A5262" s="7" t="inlineStr">
        <is>
          <t>ORD-03663</t>
        </is>
      </c>
      <c r="B5262" s="8" t="n">
        <v>45950</v>
      </c>
      <c r="C5262" s="9" t="n">
        <v>45931</v>
      </c>
      <c r="D5262" s="7" t="n">
        <v>2025</v>
      </c>
      <c r="E5262" s="7" t="inlineStr">
        <is>
          <t>West</t>
        </is>
      </c>
      <c r="F5262" s="7" t="inlineStr">
        <is>
          <t>Office Supplies</t>
        </is>
      </c>
      <c r="G5262" s="7" t="inlineStr">
        <is>
          <t>Binder</t>
        </is>
      </c>
      <c r="H5262" s="7" t="inlineStr">
        <is>
          <t>Home Office</t>
        </is>
      </c>
      <c r="I5262" s="7" t="n">
        <v>10</v>
      </c>
      <c r="J5262" s="10" t="n">
        <v>8.02</v>
      </c>
      <c r="K5262" s="11" t="n">
        <v>0.3</v>
      </c>
      <c r="L5262" s="10">
        <f>I5262*J5262*(1-K5262)</f>
        <v/>
      </c>
      <c r="M5262" s="10" t="n">
        <v>32</v>
      </c>
      <c r="N5262" s="10">
        <f>L5262-M5262</f>
        <v/>
      </c>
    </row>
    <row r="5263">
      <c r="A5263" s="7" t="inlineStr">
        <is>
          <t>ORD-01226</t>
        </is>
      </c>
      <c r="B5263" s="8" t="n">
        <v>45950</v>
      </c>
      <c r="C5263" s="9" t="n">
        <v>45931</v>
      </c>
      <c r="D5263" s="7" t="n">
        <v>2025</v>
      </c>
      <c r="E5263" s="7" t="inlineStr">
        <is>
          <t>West</t>
        </is>
      </c>
      <c r="F5263" s="7" t="inlineStr">
        <is>
          <t>Office Supplies</t>
        </is>
      </c>
      <c r="G5263" s="7" t="inlineStr">
        <is>
          <t>Paper</t>
        </is>
      </c>
      <c r="H5263" s="7" t="inlineStr">
        <is>
          <t>Consumer</t>
        </is>
      </c>
      <c r="I5263" s="7" t="n">
        <v>2</v>
      </c>
      <c r="J5263" s="10" t="n">
        <v>24.46</v>
      </c>
      <c r="K5263" s="11" t="n">
        <v>0.05</v>
      </c>
      <c r="L5263" s="10">
        <f>I5263*J5263*(1-K5263)</f>
        <v/>
      </c>
      <c r="M5263" s="10" t="n">
        <v>25</v>
      </c>
      <c r="N5263" s="10">
        <f>L5263-M5263</f>
        <v/>
      </c>
    </row>
    <row r="5264">
      <c r="A5264" s="7" t="inlineStr">
        <is>
          <t>ORD-00803</t>
        </is>
      </c>
      <c r="B5264" s="8" t="n">
        <v>45950</v>
      </c>
      <c r="C5264" s="9" t="n">
        <v>45931</v>
      </c>
      <c r="D5264" s="7" t="n">
        <v>2025</v>
      </c>
      <c r="E5264" s="7" t="inlineStr">
        <is>
          <t>East</t>
        </is>
      </c>
      <c r="F5264" s="7" t="inlineStr">
        <is>
          <t>Technology</t>
        </is>
      </c>
      <c r="G5264" s="7" t="inlineStr">
        <is>
          <t>Monitor</t>
        </is>
      </c>
      <c r="H5264" s="7" t="inlineStr">
        <is>
          <t>Consumer</t>
        </is>
      </c>
      <c r="I5264" s="7" t="n">
        <v>3</v>
      </c>
      <c r="J5264" s="10" t="n">
        <v>250.08</v>
      </c>
      <c r="K5264" s="11" t="n">
        <v>0.05</v>
      </c>
      <c r="L5264" s="10">
        <f>I5264*J5264*(1-K5264)</f>
        <v/>
      </c>
      <c r="M5264" s="10" t="n">
        <v>540</v>
      </c>
      <c r="N5264" s="10">
        <f>L5264-M5264</f>
        <v/>
      </c>
    </row>
    <row r="5265">
      <c r="A5265" s="7" t="inlineStr">
        <is>
          <t>ORD-03614</t>
        </is>
      </c>
      <c r="B5265" s="8" t="n">
        <v>45950</v>
      </c>
      <c r="C5265" s="9" t="n">
        <v>45931</v>
      </c>
      <c r="D5265" s="7" t="n">
        <v>2025</v>
      </c>
      <c r="E5265" s="7" t="inlineStr">
        <is>
          <t>West</t>
        </is>
      </c>
      <c r="F5265" s="7" t="inlineStr">
        <is>
          <t>Technology</t>
        </is>
      </c>
      <c r="G5265" s="7" t="inlineStr">
        <is>
          <t>Headphones</t>
        </is>
      </c>
      <c r="H5265" s="7" t="inlineStr">
        <is>
          <t>Consumer</t>
        </is>
      </c>
      <c r="I5265" s="7" t="n">
        <v>3</v>
      </c>
      <c r="J5265" s="10" t="n">
        <v>119.02</v>
      </c>
      <c r="K5265" s="11" t="n">
        <v>0</v>
      </c>
      <c r="L5265" s="10">
        <f>I5265*J5265*(1-K5265)</f>
        <v/>
      </c>
      <c r="M5265" s="10" t="n">
        <v>216</v>
      </c>
      <c r="N5265" s="10">
        <f>L5265-M5265</f>
        <v/>
      </c>
    </row>
    <row r="5266">
      <c r="A5266" s="7" t="inlineStr">
        <is>
          <t>ORD-00179</t>
        </is>
      </c>
      <c r="B5266" s="8" t="n">
        <v>45951</v>
      </c>
      <c r="C5266" s="9" t="n">
        <v>45931</v>
      </c>
      <c r="D5266" s="7" t="n">
        <v>2025</v>
      </c>
      <c r="E5266" s="7" t="inlineStr">
        <is>
          <t>East</t>
        </is>
      </c>
      <c r="F5266" s="7" t="inlineStr">
        <is>
          <t>Office Supplies</t>
        </is>
      </c>
      <c r="G5266" s="7" t="inlineStr">
        <is>
          <t>Pens</t>
        </is>
      </c>
      <c r="H5266" s="7" t="inlineStr">
        <is>
          <t>Consumer</t>
        </is>
      </c>
      <c r="I5266" s="7" t="n">
        <v>10</v>
      </c>
      <c r="J5266" s="10" t="n">
        <v>11.41</v>
      </c>
      <c r="K5266" s="11" t="n">
        <v>0.1</v>
      </c>
      <c r="L5266" s="10">
        <f>I5266*J5266*(1-K5266)</f>
        <v/>
      </c>
      <c r="M5266" s="10" t="n">
        <v>54</v>
      </c>
      <c r="N5266" s="10">
        <f>L5266-M5266</f>
        <v/>
      </c>
    </row>
    <row r="5267">
      <c r="A5267" s="7" t="inlineStr">
        <is>
          <t>ORD-05668</t>
        </is>
      </c>
      <c r="B5267" s="8" t="n">
        <v>45951</v>
      </c>
      <c r="C5267" s="9" t="n">
        <v>45931</v>
      </c>
      <c r="D5267" s="7" t="n">
        <v>2025</v>
      </c>
      <c r="E5267" s="7" t="inlineStr">
        <is>
          <t>North</t>
        </is>
      </c>
      <c r="F5267" s="7" t="inlineStr">
        <is>
          <t>Office Supplies</t>
        </is>
      </c>
      <c r="G5267" s="7" t="inlineStr">
        <is>
          <t>Binder</t>
        </is>
      </c>
      <c r="H5267" s="7" t="inlineStr">
        <is>
          <t>Consumer</t>
        </is>
      </c>
      <c r="I5267" s="7" t="n">
        <v>2</v>
      </c>
      <c r="J5267" s="10" t="n">
        <v>8.34</v>
      </c>
      <c r="K5267" s="11" t="n">
        <v>0.05</v>
      </c>
      <c r="L5267" s="10">
        <f>I5267*J5267*(1-K5267)</f>
        <v/>
      </c>
      <c r="M5267" s="10" t="n">
        <v>6.4</v>
      </c>
      <c r="N5267" s="10">
        <f>L5267-M5267</f>
        <v/>
      </c>
    </row>
    <row r="5268">
      <c r="A5268" s="7" t="inlineStr">
        <is>
          <t>ORD-05690</t>
        </is>
      </c>
      <c r="B5268" s="8" t="n">
        <v>45951</v>
      </c>
      <c r="C5268" s="9" t="n">
        <v>45931</v>
      </c>
      <c r="D5268" s="7" t="n">
        <v>2025</v>
      </c>
      <c r="E5268" s="7" t="inlineStr">
        <is>
          <t>South</t>
        </is>
      </c>
      <c r="F5268" s="7" t="inlineStr">
        <is>
          <t>Office Supplies</t>
        </is>
      </c>
      <c r="G5268" s="7" t="inlineStr">
        <is>
          <t>Paper</t>
        </is>
      </c>
      <c r="H5268" s="7" t="inlineStr">
        <is>
          <t>Consumer</t>
        </is>
      </c>
      <c r="I5268" s="7" t="n">
        <v>7</v>
      </c>
      <c r="J5268" s="10" t="n">
        <v>24.56</v>
      </c>
      <c r="K5268" s="11" t="n">
        <v>0.2</v>
      </c>
      <c r="L5268" s="10">
        <f>I5268*J5268*(1-K5268)</f>
        <v/>
      </c>
      <c r="M5268" s="10" t="n">
        <v>87.5</v>
      </c>
      <c r="N5268" s="10">
        <f>L5268-M5268</f>
        <v/>
      </c>
    </row>
    <row r="5269">
      <c r="A5269" s="7" t="inlineStr">
        <is>
          <t>ORD-02730</t>
        </is>
      </c>
      <c r="B5269" s="8" t="n">
        <v>45952</v>
      </c>
      <c r="C5269" s="9" t="n">
        <v>45931</v>
      </c>
      <c r="D5269" s="7" t="n">
        <v>2025</v>
      </c>
      <c r="E5269" s="7" t="inlineStr">
        <is>
          <t>East</t>
        </is>
      </c>
      <c r="F5269" s="7" t="inlineStr">
        <is>
          <t>Office Supplies</t>
        </is>
      </c>
      <c r="G5269" s="7" t="inlineStr">
        <is>
          <t>Paper</t>
        </is>
      </c>
      <c r="H5269" s="7" t="inlineStr">
        <is>
          <t>Consumer</t>
        </is>
      </c>
      <c r="I5269" s="7" t="n">
        <v>8</v>
      </c>
      <c r="J5269" s="10" t="n">
        <v>25.57</v>
      </c>
      <c r="K5269" s="11" t="n">
        <v>0</v>
      </c>
      <c r="L5269" s="10">
        <f>I5269*J5269*(1-K5269)</f>
        <v/>
      </c>
      <c r="M5269" s="10" t="n">
        <v>100</v>
      </c>
      <c r="N5269" s="10">
        <f>L5269-M5269</f>
        <v/>
      </c>
    </row>
    <row r="5270">
      <c r="A5270" s="7" t="inlineStr">
        <is>
          <t>ORD-01910</t>
        </is>
      </c>
      <c r="B5270" s="8" t="n">
        <v>45952</v>
      </c>
      <c r="C5270" s="9" t="n">
        <v>45931</v>
      </c>
      <c r="D5270" s="7" t="n">
        <v>2025</v>
      </c>
      <c r="E5270" s="7" t="inlineStr">
        <is>
          <t>East</t>
        </is>
      </c>
      <c r="F5270" s="7" t="inlineStr">
        <is>
          <t>Furniture</t>
        </is>
      </c>
      <c r="G5270" s="7" t="inlineStr">
        <is>
          <t>Desk</t>
        </is>
      </c>
      <c r="H5270" s="7" t="inlineStr">
        <is>
          <t>Consumer</t>
        </is>
      </c>
      <c r="I5270" s="7" t="n">
        <v>3</v>
      </c>
      <c r="J5270" s="10" t="n">
        <v>434.39</v>
      </c>
      <c r="K5270" s="11" t="n">
        <v>0</v>
      </c>
      <c r="L5270" s="10">
        <f>I5270*J5270*(1-K5270)</f>
        <v/>
      </c>
      <c r="M5270" s="10" t="n">
        <v>1147.5</v>
      </c>
      <c r="N5270" s="10">
        <f>L5270-M5270</f>
        <v/>
      </c>
    </row>
    <row r="5271">
      <c r="A5271" s="7" t="inlineStr">
        <is>
          <t>ORD-02592</t>
        </is>
      </c>
      <c r="B5271" s="8" t="n">
        <v>45952</v>
      </c>
      <c r="C5271" s="9" t="n">
        <v>45931</v>
      </c>
      <c r="D5271" s="7" t="n">
        <v>2025</v>
      </c>
      <c r="E5271" s="7" t="inlineStr">
        <is>
          <t>West</t>
        </is>
      </c>
      <c r="F5271" s="7" t="inlineStr">
        <is>
          <t>Furniture</t>
        </is>
      </c>
      <c r="G5271" s="7" t="inlineStr">
        <is>
          <t>Bookcase</t>
        </is>
      </c>
      <c r="H5271" s="7" t="inlineStr">
        <is>
          <t>Home Office</t>
        </is>
      </c>
      <c r="I5271" s="7" t="n">
        <v>3</v>
      </c>
      <c r="J5271" s="10" t="n">
        <v>176.38</v>
      </c>
      <c r="K5271" s="11" t="n">
        <v>0.1</v>
      </c>
      <c r="L5271" s="10">
        <f>I5271*J5271*(1-K5271)</f>
        <v/>
      </c>
      <c r="M5271" s="10" t="n">
        <v>432</v>
      </c>
      <c r="N5271" s="10">
        <f>L5271-M5271</f>
        <v/>
      </c>
    </row>
    <row r="5272">
      <c r="A5272" s="7" t="inlineStr">
        <is>
          <t>ORD-00024</t>
        </is>
      </c>
      <c r="B5272" s="8" t="n">
        <v>45952</v>
      </c>
      <c r="C5272" s="9" t="n">
        <v>45931</v>
      </c>
      <c r="D5272" s="7" t="n">
        <v>2025</v>
      </c>
      <c r="E5272" s="7" t="inlineStr">
        <is>
          <t>North</t>
        </is>
      </c>
      <c r="F5272" s="7" t="inlineStr">
        <is>
          <t>Office Supplies</t>
        </is>
      </c>
      <c r="G5272" s="7" t="inlineStr">
        <is>
          <t>Binder</t>
        </is>
      </c>
      <c r="H5272" s="7" t="inlineStr">
        <is>
          <t>Consumer</t>
        </is>
      </c>
      <c r="I5272" s="7" t="n">
        <v>6</v>
      </c>
      <c r="J5272" s="10" t="n">
        <v>8.130000000000001</v>
      </c>
      <c r="K5272" s="11" t="n">
        <v>0.2</v>
      </c>
      <c r="L5272" s="10">
        <f>I5272*J5272*(1-K5272)</f>
        <v/>
      </c>
      <c r="M5272" s="10" t="n">
        <v>19.2</v>
      </c>
      <c r="N5272" s="10">
        <f>L5272-M5272</f>
        <v/>
      </c>
    </row>
    <row r="5273">
      <c r="A5273" s="7" t="inlineStr">
        <is>
          <t>ORD-04355</t>
        </is>
      </c>
      <c r="B5273" s="8" t="n">
        <v>45952</v>
      </c>
      <c r="C5273" s="9" t="n">
        <v>45931</v>
      </c>
      <c r="D5273" s="7" t="n">
        <v>2025</v>
      </c>
      <c r="E5273" s="7" t="inlineStr">
        <is>
          <t>East</t>
        </is>
      </c>
      <c r="F5273" s="7" t="inlineStr">
        <is>
          <t>Office Supplies</t>
        </is>
      </c>
      <c r="G5273" s="7" t="inlineStr">
        <is>
          <t>Printer Ink</t>
        </is>
      </c>
      <c r="H5273" s="7" t="inlineStr">
        <is>
          <t>Corporate</t>
        </is>
      </c>
      <c r="I5273" s="7" t="n">
        <v>7</v>
      </c>
      <c r="J5273" s="10" t="n">
        <v>61.26</v>
      </c>
      <c r="K5273" s="11" t="n">
        <v>0.3</v>
      </c>
      <c r="L5273" s="10">
        <f>I5273*J5273*(1-K5273)</f>
        <v/>
      </c>
      <c r="M5273" s="10" t="n">
        <v>252</v>
      </c>
      <c r="N5273" s="10">
        <f>L5273-M5273</f>
        <v/>
      </c>
    </row>
    <row r="5274">
      <c r="A5274" s="7" t="inlineStr">
        <is>
          <t>ORD-02404</t>
        </is>
      </c>
      <c r="B5274" s="8" t="n">
        <v>45952</v>
      </c>
      <c r="C5274" s="9" t="n">
        <v>45931</v>
      </c>
      <c r="D5274" s="7" t="n">
        <v>2025</v>
      </c>
      <c r="E5274" s="7" t="inlineStr">
        <is>
          <t>North</t>
        </is>
      </c>
      <c r="F5274" s="7" t="inlineStr">
        <is>
          <t>Technology</t>
        </is>
      </c>
      <c r="G5274" s="7" t="inlineStr">
        <is>
          <t>Keyboard</t>
        </is>
      </c>
      <c r="H5274" s="7" t="inlineStr">
        <is>
          <t>Corporate</t>
        </is>
      </c>
      <c r="I5274" s="7" t="n">
        <v>3</v>
      </c>
      <c r="J5274" s="10" t="n">
        <v>44.33</v>
      </c>
      <c r="K5274" s="11" t="n">
        <v>0.3</v>
      </c>
      <c r="L5274" s="10">
        <f>I5274*J5274*(1-K5274)</f>
        <v/>
      </c>
      <c r="M5274" s="10" t="n">
        <v>74.25</v>
      </c>
      <c r="N5274" s="10">
        <f>L5274-M5274</f>
        <v/>
      </c>
    </row>
    <row r="5275">
      <c r="A5275" s="7" t="inlineStr">
        <is>
          <t>ORD-00182</t>
        </is>
      </c>
      <c r="B5275" s="8" t="n">
        <v>45952</v>
      </c>
      <c r="C5275" s="9" t="n">
        <v>45931</v>
      </c>
      <c r="D5275" s="7" t="n">
        <v>2025</v>
      </c>
      <c r="E5275" s="7" t="inlineStr">
        <is>
          <t>East</t>
        </is>
      </c>
      <c r="F5275" s="7" t="inlineStr">
        <is>
          <t>Furniture</t>
        </is>
      </c>
      <c r="G5275" s="7" t="inlineStr">
        <is>
          <t>Office Chair</t>
        </is>
      </c>
      <c r="H5275" s="7" t="inlineStr">
        <is>
          <t>Home Office</t>
        </is>
      </c>
      <c r="I5275" s="7" t="n">
        <v>1</v>
      </c>
      <c r="J5275" s="10" t="n">
        <v>212.69</v>
      </c>
      <c r="K5275" s="11" t="n">
        <v>0.2</v>
      </c>
      <c r="L5275" s="10">
        <f>I5275*J5275*(1-K5275)</f>
        <v/>
      </c>
      <c r="M5275" s="10" t="n">
        <v>180.4</v>
      </c>
      <c r="N5275" s="10">
        <f>L5275-M5275</f>
        <v/>
      </c>
    </row>
    <row r="5276">
      <c r="A5276" s="7" t="inlineStr">
        <is>
          <t>ORD-01150</t>
        </is>
      </c>
      <c r="B5276" s="8" t="n">
        <v>45952</v>
      </c>
      <c r="C5276" s="9" t="n">
        <v>45931</v>
      </c>
      <c r="D5276" s="7" t="n">
        <v>2025</v>
      </c>
      <c r="E5276" s="7" t="inlineStr">
        <is>
          <t>South</t>
        </is>
      </c>
      <c r="F5276" s="7" t="inlineStr">
        <is>
          <t>Technology</t>
        </is>
      </c>
      <c r="G5276" s="7" t="inlineStr">
        <is>
          <t>Headphones</t>
        </is>
      </c>
      <c r="H5276" s="7" t="inlineStr">
        <is>
          <t>Consumer</t>
        </is>
      </c>
      <c r="I5276" s="7" t="n">
        <v>1</v>
      </c>
      <c r="J5276" s="10" t="n">
        <v>122.65</v>
      </c>
      <c r="K5276" s="11" t="n">
        <v>0.1</v>
      </c>
      <c r="L5276" s="10">
        <f>I5276*J5276*(1-K5276)</f>
        <v/>
      </c>
      <c r="M5276" s="10" t="n">
        <v>72</v>
      </c>
      <c r="N5276" s="10">
        <f>L5276-M5276</f>
        <v/>
      </c>
    </row>
    <row r="5277">
      <c r="A5277" s="7" t="inlineStr">
        <is>
          <t>ORD-02707</t>
        </is>
      </c>
      <c r="B5277" s="8" t="n">
        <v>45952</v>
      </c>
      <c r="C5277" s="9" t="n">
        <v>45931</v>
      </c>
      <c r="D5277" s="7" t="n">
        <v>2025</v>
      </c>
      <c r="E5277" s="7" t="inlineStr">
        <is>
          <t>West</t>
        </is>
      </c>
      <c r="F5277" s="7" t="inlineStr">
        <is>
          <t>Office Supplies</t>
        </is>
      </c>
      <c r="G5277" s="7" t="inlineStr">
        <is>
          <t>Binder</t>
        </is>
      </c>
      <c r="H5277" s="7" t="inlineStr">
        <is>
          <t>Consumer</t>
        </is>
      </c>
      <c r="I5277" s="7" t="n">
        <v>9</v>
      </c>
      <c r="J5277" s="10" t="n">
        <v>8.24</v>
      </c>
      <c r="K5277" s="11" t="n">
        <v>0.3</v>
      </c>
      <c r="L5277" s="10">
        <f>I5277*J5277*(1-K5277)</f>
        <v/>
      </c>
      <c r="M5277" s="10" t="n">
        <v>28.8</v>
      </c>
      <c r="N5277" s="10">
        <f>L5277-M5277</f>
        <v/>
      </c>
    </row>
    <row r="5278">
      <c r="A5278" s="7" t="inlineStr">
        <is>
          <t>ORD-03371</t>
        </is>
      </c>
      <c r="B5278" s="8" t="n">
        <v>45952</v>
      </c>
      <c r="C5278" s="9" t="n">
        <v>45931</v>
      </c>
      <c r="D5278" s="7" t="n">
        <v>2025</v>
      </c>
      <c r="E5278" s="7" t="inlineStr">
        <is>
          <t>North</t>
        </is>
      </c>
      <c r="F5278" s="7" t="inlineStr">
        <is>
          <t>Office Supplies</t>
        </is>
      </c>
      <c r="G5278" s="7" t="inlineStr">
        <is>
          <t>Paper</t>
        </is>
      </c>
      <c r="H5278" s="7" t="inlineStr">
        <is>
          <t>Home Office</t>
        </is>
      </c>
      <c r="I5278" s="7" t="n">
        <v>14</v>
      </c>
      <c r="J5278" s="10" t="n">
        <v>24.82</v>
      </c>
      <c r="K5278" s="11" t="n">
        <v>0.1</v>
      </c>
      <c r="L5278" s="10">
        <f>I5278*J5278*(1-K5278)</f>
        <v/>
      </c>
      <c r="M5278" s="10" t="n">
        <v>175</v>
      </c>
      <c r="N5278" s="10">
        <f>L5278-M5278</f>
        <v/>
      </c>
    </row>
    <row r="5279">
      <c r="A5279" s="7" t="inlineStr">
        <is>
          <t>ORD-01021</t>
        </is>
      </c>
      <c r="B5279" s="8" t="n">
        <v>45952</v>
      </c>
      <c r="C5279" s="9" t="n">
        <v>45931</v>
      </c>
      <c r="D5279" s="7" t="n">
        <v>2025</v>
      </c>
      <c r="E5279" s="7" t="inlineStr">
        <is>
          <t>North</t>
        </is>
      </c>
      <c r="F5279" s="7" t="inlineStr">
        <is>
          <t>Office Supplies</t>
        </is>
      </c>
      <c r="G5279" s="7" t="inlineStr">
        <is>
          <t>Printer Ink</t>
        </is>
      </c>
      <c r="H5279" s="7" t="inlineStr">
        <is>
          <t>Home Office</t>
        </is>
      </c>
      <c r="I5279" s="7" t="n">
        <v>7</v>
      </c>
      <c r="J5279" s="10" t="n">
        <v>58.72</v>
      </c>
      <c r="K5279" s="11" t="n">
        <v>0.2</v>
      </c>
      <c r="L5279" s="10">
        <f>I5279*J5279*(1-K5279)</f>
        <v/>
      </c>
      <c r="M5279" s="10" t="n">
        <v>252</v>
      </c>
      <c r="N5279" s="10">
        <f>L5279-M5279</f>
        <v/>
      </c>
    </row>
    <row r="5280">
      <c r="A5280" s="7" t="inlineStr">
        <is>
          <t>ORD-02167</t>
        </is>
      </c>
      <c r="B5280" s="8" t="n">
        <v>45953</v>
      </c>
      <c r="C5280" s="9" t="n">
        <v>45931</v>
      </c>
      <c r="D5280" s="7" t="n">
        <v>2025</v>
      </c>
      <c r="E5280" s="7" t="inlineStr">
        <is>
          <t>South</t>
        </is>
      </c>
      <c r="F5280" s="7" t="inlineStr">
        <is>
          <t>Technology</t>
        </is>
      </c>
      <c r="G5280" s="7" t="inlineStr">
        <is>
          <t>Laptop</t>
        </is>
      </c>
      <c r="H5280" s="7" t="inlineStr">
        <is>
          <t>Corporate</t>
        </is>
      </c>
      <c r="I5280" s="7" t="n">
        <v>1</v>
      </c>
      <c r="J5280" s="10" t="n">
        <v>926.4400000000001</v>
      </c>
      <c r="K5280" s="11" t="n">
        <v>0</v>
      </c>
      <c r="L5280" s="10">
        <f>I5280*J5280*(1-K5280)</f>
        <v/>
      </c>
      <c r="M5280" s="10" t="n">
        <v>702</v>
      </c>
      <c r="N5280" s="10">
        <f>L5280-M5280</f>
        <v/>
      </c>
    </row>
    <row r="5281">
      <c r="A5281" s="7" t="inlineStr">
        <is>
          <t>ORD-01223</t>
        </is>
      </c>
      <c r="B5281" s="8" t="n">
        <v>45953</v>
      </c>
      <c r="C5281" s="9" t="n">
        <v>45931</v>
      </c>
      <c r="D5281" s="7" t="n">
        <v>2025</v>
      </c>
      <c r="E5281" s="7" t="inlineStr">
        <is>
          <t>East</t>
        </is>
      </c>
      <c r="F5281" s="7" t="inlineStr">
        <is>
          <t>Furniture</t>
        </is>
      </c>
      <c r="G5281" s="7" t="inlineStr">
        <is>
          <t>Desk</t>
        </is>
      </c>
      <c r="H5281" s="7" t="inlineStr">
        <is>
          <t>Corporate</t>
        </is>
      </c>
      <c r="I5281" s="7" t="n">
        <v>1</v>
      </c>
      <c r="J5281" s="10" t="n">
        <v>451.47</v>
      </c>
      <c r="K5281" s="11" t="n">
        <v>0.2</v>
      </c>
      <c r="L5281" s="10">
        <f>I5281*J5281*(1-K5281)</f>
        <v/>
      </c>
      <c r="M5281" s="10" t="n">
        <v>382.5</v>
      </c>
      <c r="N5281" s="10">
        <f>L5281-M5281</f>
        <v/>
      </c>
    </row>
    <row r="5282">
      <c r="A5282" s="7" t="inlineStr">
        <is>
          <t>ORD-05149</t>
        </is>
      </c>
      <c r="B5282" s="8" t="n">
        <v>45953</v>
      </c>
      <c r="C5282" s="9" t="n">
        <v>45931</v>
      </c>
      <c r="D5282" s="7" t="n">
        <v>2025</v>
      </c>
      <c r="E5282" s="7" t="inlineStr">
        <is>
          <t>West</t>
        </is>
      </c>
      <c r="F5282" s="7" t="inlineStr">
        <is>
          <t>Office Supplies</t>
        </is>
      </c>
      <c r="G5282" s="7" t="inlineStr">
        <is>
          <t>Binder</t>
        </is>
      </c>
      <c r="H5282" s="7" t="inlineStr">
        <is>
          <t>Consumer</t>
        </is>
      </c>
      <c r="I5282" s="7" t="n">
        <v>11</v>
      </c>
      <c r="J5282" s="10" t="n">
        <v>7.84</v>
      </c>
      <c r="K5282" s="11" t="n">
        <v>0.05</v>
      </c>
      <c r="L5282" s="10">
        <f>I5282*J5282*(1-K5282)</f>
        <v/>
      </c>
      <c r="M5282" s="10" t="n">
        <v>35.2</v>
      </c>
      <c r="N5282" s="10">
        <f>L5282-M5282</f>
        <v/>
      </c>
    </row>
    <row r="5283">
      <c r="A5283" s="7" t="inlineStr">
        <is>
          <t>ORD-05189</t>
        </is>
      </c>
      <c r="B5283" s="8" t="n">
        <v>45954</v>
      </c>
      <c r="C5283" s="9" t="n">
        <v>45931</v>
      </c>
      <c r="D5283" s="7" t="n">
        <v>2025</v>
      </c>
      <c r="E5283" s="7" t="inlineStr">
        <is>
          <t>West</t>
        </is>
      </c>
      <c r="F5283" s="7" t="inlineStr">
        <is>
          <t>Office Supplies</t>
        </is>
      </c>
      <c r="G5283" s="7" t="inlineStr">
        <is>
          <t>Paper</t>
        </is>
      </c>
      <c r="H5283" s="7" t="inlineStr">
        <is>
          <t>Consumer</t>
        </is>
      </c>
      <c r="I5283" s="7" t="n">
        <v>14</v>
      </c>
      <c r="J5283" s="10" t="n">
        <v>23.79</v>
      </c>
      <c r="K5283" s="11" t="n">
        <v>0</v>
      </c>
      <c r="L5283" s="10">
        <f>I5283*J5283*(1-K5283)</f>
        <v/>
      </c>
      <c r="M5283" s="10" t="n">
        <v>175</v>
      </c>
      <c r="N5283" s="10">
        <f>L5283-M5283</f>
        <v/>
      </c>
    </row>
    <row r="5284">
      <c r="A5284" s="7" t="inlineStr">
        <is>
          <t>ORD-00652</t>
        </is>
      </c>
      <c r="B5284" s="8" t="n">
        <v>45954</v>
      </c>
      <c r="C5284" s="9" t="n">
        <v>45931</v>
      </c>
      <c r="D5284" s="7" t="n">
        <v>2025</v>
      </c>
      <c r="E5284" s="7" t="inlineStr">
        <is>
          <t>North</t>
        </is>
      </c>
      <c r="F5284" s="7" t="inlineStr">
        <is>
          <t>Office Supplies</t>
        </is>
      </c>
      <c r="G5284" s="7" t="inlineStr">
        <is>
          <t>Pens</t>
        </is>
      </c>
      <c r="H5284" s="7" t="inlineStr">
        <is>
          <t>Corporate</t>
        </is>
      </c>
      <c r="I5284" s="7" t="n">
        <v>12</v>
      </c>
      <c r="J5284" s="10" t="n">
        <v>12.56</v>
      </c>
      <c r="K5284" s="11" t="n">
        <v>0.2</v>
      </c>
      <c r="L5284" s="10">
        <f>I5284*J5284*(1-K5284)</f>
        <v/>
      </c>
      <c r="M5284" s="10" t="n">
        <v>64.8</v>
      </c>
      <c r="N5284" s="10">
        <f>L5284-M5284</f>
        <v/>
      </c>
    </row>
    <row r="5285">
      <c r="A5285" s="7" t="inlineStr">
        <is>
          <t>ORD-01515</t>
        </is>
      </c>
      <c r="B5285" s="8" t="n">
        <v>45954</v>
      </c>
      <c r="C5285" s="9" t="n">
        <v>45931</v>
      </c>
      <c r="D5285" s="7" t="n">
        <v>2025</v>
      </c>
      <c r="E5285" s="7" t="inlineStr">
        <is>
          <t>South</t>
        </is>
      </c>
      <c r="F5285" s="7" t="inlineStr">
        <is>
          <t>Technology</t>
        </is>
      </c>
      <c r="G5285" s="7" t="inlineStr">
        <is>
          <t>Keyboard</t>
        </is>
      </c>
      <c r="H5285" s="7" t="inlineStr">
        <is>
          <t>Consumer</t>
        </is>
      </c>
      <c r="I5285" s="7" t="n">
        <v>1</v>
      </c>
      <c r="J5285" s="10" t="n">
        <v>44.54</v>
      </c>
      <c r="K5285" s="11" t="n">
        <v>0.05</v>
      </c>
      <c r="L5285" s="10">
        <f>I5285*J5285*(1-K5285)</f>
        <v/>
      </c>
      <c r="M5285" s="10" t="n">
        <v>24.75</v>
      </c>
      <c r="N5285" s="10">
        <f>L5285-M5285</f>
        <v/>
      </c>
    </row>
    <row r="5286">
      <c r="A5286" s="7" t="inlineStr">
        <is>
          <t>ORD-05037</t>
        </is>
      </c>
      <c r="B5286" s="8" t="n">
        <v>45954</v>
      </c>
      <c r="C5286" s="9" t="n">
        <v>45931</v>
      </c>
      <c r="D5286" s="7" t="n">
        <v>2025</v>
      </c>
      <c r="E5286" s="7" t="inlineStr">
        <is>
          <t>East</t>
        </is>
      </c>
      <c r="F5286" s="7" t="inlineStr">
        <is>
          <t>Office Supplies</t>
        </is>
      </c>
      <c r="G5286" s="7" t="inlineStr">
        <is>
          <t>Stapler</t>
        </is>
      </c>
      <c r="H5286" s="7" t="inlineStr">
        <is>
          <t>Home Office</t>
        </is>
      </c>
      <c r="I5286" s="7" t="n">
        <v>9</v>
      </c>
      <c r="J5286" s="10" t="n">
        <v>14.96</v>
      </c>
      <c r="K5286" s="11" t="n">
        <v>0.05</v>
      </c>
      <c r="L5286" s="10">
        <f>I5286*J5286*(1-K5286)</f>
        <v/>
      </c>
      <c r="M5286" s="10" t="n">
        <v>67.5</v>
      </c>
      <c r="N5286" s="10">
        <f>L5286-M5286</f>
        <v/>
      </c>
    </row>
    <row r="5287">
      <c r="A5287" s="7" t="inlineStr">
        <is>
          <t>ORD-05734</t>
        </is>
      </c>
      <c r="B5287" s="8" t="n">
        <v>45954</v>
      </c>
      <c r="C5287" s="9" t="n">
        <v>45931</v>
      </c>
      <c r="D5287" s="7" t="n">
        <v>2025</v>
      </c>
      <c r="E5287" s="7" t="inlineStr">
        <is>
          <t>West</t>
        </is>
      </c>
      <c r="F5287" s="7" t="inlineStr">
        <is>
          <t>Office Supplies</t>
        </is>
      </c>
      <c r="G5287" s="7" t="inlineStr">
        <is>
          <t>Paper</t>
        </is>
      </c>
      <c r="H5287" s="7" t="inlineStr">
        <is>
          <t>Consumer</t>
        </is>
      </c>
      <c r="I5287" s="7" t="n">
        <v>11</v>
      </c>
      <c r="J5287" s="10" t="n">
        <v>25.75</v>
      </c>
      <c r="K5287" s="11" t="n">
        <v>0</v>
      </c>
      <c r="L5287" s="10">
        <f>I5287*J5287*(1-K5287)</f>
        <v/>
      </c>
      <c r="M5287" s="10" t="n">
        <v>137.5</v>
      </c>
      <c r="N5287" s="10">
        <f>L5287-M5287</f>
        <v/>
      </c>
    </row>
    <row r="5288">
      <c r="A5288" s="7" t="inlineStr">
        <is>
          <t>ORD-02141</t>
        </is>
      </c>
      <c r="B5288" s="8" t="n">
        <v>45954</v>
      </c>
      <c r="C5288" s="9" t="n">
        <v>45931</v>
      </c>
      <c r="D5288" s="7" t="n">
        <v>2025</v>
      </c>
      <c r="E5288" s="7" t="inlineStr">
        <is>
          <t>West</t>
        </is>
      </c>
      <c r="F5288" s="7" t="inlineStr">
        <is>
          <t>Technology</t>
        </is>
      </c>
      <c r="G5288" s="7" t="inlineStr">
        <is>
          <t>Keyboard</t>
        </is>
      </c>
      <c r="H5288" s="7" t="inlineStr">
        <is>
          <t>Corporate</t>
        </is>
      </c>
      <c r="I5288" s="7" t="n">
        <v>2</v>
      </c>
      <c r="J5288" s="10" t="n">
        <v>44.04</v>
      </c>
      <c r="K5288" s="11" t="n">
        <v>0.3</v>
      </c>
      <c r="L5288" s="10">
        <f>I5288*J5288*(1-K5288)</f>
        <v/>
      </c>
      <c r="M5288" s="10" t="n">
        <v>49.5</v>
      </c>
      <c r="N5288" s="10">
        <f>L5288-M5288</f>
        <v/>
      </c>
    </row>
    <row r="5289">
      <c r="A5289" s="7" t="inlineStr">
        <is>
          <t>ORD-02667</t>
        </is>
      </c>
      <c r="B5289" s="8" t="n">
        <v>45954</v>
      </c>
      <c r="C5289" s="9" t="n">
        <v>45931</v>
      </c>
      <c r="D5289" s="7" t="n">
        <v>2025</v>
      </c>
      <c r="E5289" s="7" t="inlineStr">
        <is>
          <t>East</t>
        </is>
      </c>
      <c r="F5289" s="7" t="inlineStr">
        <is>
          <t>Office Supplies</t>
        </is>
      </c>
      <c r="G5289" s="7" t="inlineStr">
        <is>
          <t>Stapler</t>
        </is>
      </c>
      <c r="H5289" s="7" t="inlineStr">
        <is>
          <t>Consumer</t>
        </is>
      </c>
      <c r="I5289" s="7" t="n">
        <v>6</v>
      </c>
      <c r="J5289" s="10" t="n">
        <v>14.93</v>
      </c>
      <c r="K5289" s="11" t="n">
        <v>0.2</v>
      </c>
      <c r="L5289" s="10">
        <f>I5289*J5289*(1-K5289)</f>
        <v/>
      </c>
      <c r="M5289" s="10" t="n">
        <v>45</v>
      </c>
      <c r="N5289" s="10">
        <f>L5289-M5289</f>
        <v/>
      </c>
    </row>
    <row r="5290">
      <c r="A5290" s="7" t="inlineStr">
        <is>
          <t>ORD-02203</t>
        </is>
      </c>
      <c r="B5290" s="8" t="n">
        <v>45954</v>
      </c>
      <c r="C5290" s="9" t="n">
        <v>45931</v>
      </c>
      <c r="D5290" s="7" t="n">
        <v>2025</v>
      </c>
      <c r="E5290" s="7" t="inlineStr">
        <is>
          <t>West</t>
        </is>
      </c>
      <c r="F5290" s="7" t="inlineStr">
        <is>
          <t>Office Supplies</t>
        </is>
      </c>
      <c r="G5290" s="7" t="inlineStr">
        <is>
          <t>Printer Ink</t>
        </is>
      </c>
      <c r="H5290" s="7" t="inlineStr">
        <is>
          <t>Home Office</t>
        </is>
      </c>
      <c r="I5290" s="7" t="n">
        <v>4</v>
      </c>
      <c r="J5290" s="10" t="n">
        <v>62.16</v>
      </c>
      <c r="K5290" s="11" t="n">
        <v>0.05</v>
      </c>
      <c r="L5290" s="10">
        <f>I5290*J5290*(1-K5290)</f>
        <v/>
      </c>
      <c r="M5290" s="10" t="n">
        <v>144</v>
      </c>
      <c r="N5290" s="10">
        <f>L5290-M5290</f>
        <v/>
      </c>
    </row>
    <row r="5291">
      <c r="A5291" s="7" t="inlineStr">
        <is>
          <t>ORD-00152</t>
        </is>
      </c>
      <c r="B5291" s="8" t="n">
        <v>45955</v>
      </c>
      <c r="C5291" s="9" t="n">
        <v>45931</v>
      </c>
      <c r="D5291" s="7" t="n">
        <v>2025</v>
      </c>
      <c r="E5291" s="7" t="inlineStr">
        <is>
          <t>South</t>
        </is>
      </c>
      <c r="F5291" s="7" t="inlineStr">
        <is>
          <t>Technology</t>
        </is>
      </c>
      <c r="G5291" s="7" t="inlineStr">
        <is>
          <t>Monitor</t>
        </is>
      </c>
      <c r="H5291" s="7" t="inlineStr">
        <is>
          <t>Home Office</t>
        </is>
      </c>
      <c r="I5291" s="7" t="n">
        <v>2</v>
      </c>
      <c r="J5291" s="10" t="n">
        <v>256.61</v>
      </c>
      <c r="K5291" s="11" t="n">
        <v>0.2</v>
      </c>
      <c r="L5291" s="10">
        <f>I5291*J5291*(1-K5291)</f>
        <v/>
      </c>
      <c r="M5291" s="10" t="n">
        <v>360</v>
      </c>
      <c r="N5291" s="10">
        <f>L5291-M5291</f>
        <v/>
      </c>
    </row>
    <row r="5292">
      <c r="A5292" s="7" t="inlineStr">
        <is>
          <t>ORD-05744</t>
        </is>
      </c>
      <c r="B5292" s="8" t="n">
        <v>45955</v>
      </c>
      <c r="C5292" s="9" t="n">
        <v>45931</v>
      </c>
      <c r="D5292" s="7" t="n">
        <v>2025</v>
      </c>
      <c r="E5292" s="7" t="inlineStr">
        <is>
          <t>West</t>
        </is>
      </c>
      <c r="F5292" s="7" t="inlineStr">
        <is>
          <t>Technology</t>
        </is>
      </c>
      <c r="G5292" s="7" t="inlineStr">
        <is>
          <t>Monitor</t>
        </is>
      </c>
      <c r="H5292" s="7" t="inlineStr">
        <is>
          <t>Home Office</t>
        </is>
      </c>
      <c r="I5292" s="7" t="n">
        <v>2</v>
      </c>
      <c r="J5292" s="10" t="n">
        <v>240.32</v>
      </c>
      <c r="K5292" s="11" t="n">
        <v>0.3</v>
      </c>
      <c r="L5292" s="10">
        <f>I5292*J5292*(1-K5292)</f>
        <v/>
      </c>
      <c r="M5292" s="10" t="n">
        <v>360</v>
      </c>
      <c r="N5292" s="10">
        <f>L5292-M5292</f>
        <v/>
      </c>
    </row>
    <row r="5293">
      <c r="A5293" s="7" t="inlineStr">
        <is>
          <t>ORD-04379</t>
        </is>
      </c>
      <c r="B5293" s="8" t="n">
        <v>45955</v>
      </c>
      <c r="C5293" s="9" t="n">
        <v>45931</v>
      </c>
      <c r="D5293" s="7" t="n">
        <v>2025</v>
      </c>
      <c r="E5293" s="7" t="inlineStr">
        <is>
          <t>East</t>
        </is>
      </c>
      <c r="F5293" s="7" t="inlineStr">
        <is>
          <t>Office Supplies</t>
        </is>
      </c>
      <c r="G5293" s="7" t="inlineStr">
        <is>
          <t>Paper</t>
        </is>
      </c>
      <c r="H5293" s="7" t="inlineStr">
        <is>
          <t>Consumer</t>
        </is>
      </c>
      <c r="I5293" s="7" t="n">
        <v>7</v>
      </c>
      <c r="J5293" s="10" t="n">
        <v>25.91</v>
      </c>
      <c r="K5293" s="11" t="n">
        <v>0.05</v>
      </c>
      <c r="L5293" s="10">
        <f>I5293*J5293*(1-K5293)</f>
        <v/>
      </c>
      <c r="M5293" s="10" t="n">
        <v>87.5</v>
      </c>
      <c r="N5293" s="10">
        <f>L5293-M5293</f>
        <v/>
      </c>
    </row>
    <row r="5294">
      <c r="A5294" s="7" t="inlineStr">
        <is>
          <t>ORD-05147</t>
        </is>
      </c>
      <c r="B5294" s="8" t="n">
        <v>45955</v>
      </c>
      <c r="C5294" s="9" t="n">
        <v>45931</v>
      </c>
      <c r="D5294" s="7" t="n">
        <v>2025</v>
      </c>
      <c r="E5294" s="7" t="inlineStr">
        <is>
          <t>West</t>
        </is>
      </c>
      <c r="F5294" s="7" t="inlineStr">
        <is>
          <t>Furniture</t>
        </is>
      </c>
      <c r="G5294" s="7" t="inlineStr">
        <is>
          <t>Bookcase</t>
        </is>
      </c>
      <c r="H5294" s="7" t="inlineStr">
        <is>
          <t>Home Office</t>
        </is>
      </c>
      <c r="I5294" s="7" t="n">
        <v>2</v>
      </c>
      <c r="J5294" s="10" t="n">
        <v>186.2</v>
      </c>
      <c r="K5294" s="11" t="n">
        <v>0.3</v>
      </c>
      <c r="L5294" s="10">
        <f>I5294*J5294*(1-K5294)</f>
        <v/>
      </c>
      <c r="M5294" s="10" t="n">
        <v>288</v>
      </c>
      <c r="N5294" s="10">
        <f>L5294-M5294</f>
        <v/>
      </c>
    </row>
    <row r="5295">
      <c r="A5295" s="7" t="inlineStr">
        <is>
          <t>ORD-00939</t>
        </is>
      </c>
      <c r="B5295" s="8" t="n">
        <v>45955</v>
      </c>
      <c r="C5295" s="9" t="n">
        <v>45931</v>
      </c>
      <c r="D5295" s="7" t="n">
        <v>2025</v>
      </c>
      <c r="E5295" s="7" t="inlineStr">
        <is>
          <t>West</t>
        </is>
      </c>
      <c r="F5295" s="7" t="inlineStr">
        <is>
          <t>Technology</t>
        </is>
      </c>
      <c r="G5295" s="7" t="inlineStr">
        <is>
          <t>Keyboard</t>
        </is>
      </c>
      <c r="H5295" s="7" t="inlineStr">
        <is>
          <t>Corporate</t>
        </is>
      </c>
      <c r="I5295" s="7" t="n">
        <v>3</v>
      </c>
      <c r="J5295" s="10" t="n">
        <v>44.78</v>
      </c>
      <c r="K5295" s="11" t="n">
        <v>0</v>
      </c>
      <c r="L5295" s="10">
        <f>I5295*J5295*(1-K5295)</f>
        <v/>
      </c>
      <c r="M5295" s="10" t="n">
        <v>74.25</v>
      </c>
      <c r="N5295" s="10">
        <f>L5295-M5295</f>
        <v/>
      </c>
    </row>
    <row r="5296">
      <c r="A5296" s="7" t="inlineStr">
        <is>
          <t>ORD-01489</t>
        </is>
      </c>
      <c r="B5296" s="8" t="n">
        <v>45955</v>
      </c>
      <c r="C5296" s="9" t="n">
        <v>45931</v>
      </c>
      <c r="D5296" s="7" t="n">
        <v>2025</v>
      </c>
      <c r="E5296" s="7" t="inlineStr">
        <is>
          <t>West</t>
        </is>
      </c>
      <c r="F5296" s="7" t="inlineStr">
        <is>
          <t>Technology</t>
        </is>
      </c>
      <c r="G5296" s="7" t="inlineStr">
        <is>
          <t>Monitor</t>
        </is>
      </c>
      <c r="H5296" s="7" t="inlineStr">
        <is>
          <t>Corporate</t>
        </is>
      </c>
      <c r="I5296" s="7" t="n">
        <v>1</v>
      </c>
      <c r="J5296" s="10" t="n">
        <v>247.18</v>
      </c>
      <c r="K5296" s="11" t="n">
        <v>0.1</v>
      </c>
      <c r="L5296" s="10">
        <f>I5296*J5296*(1-K5296)</f>
        <v/>
      </c>
      <c r="M5296" s="10" t="n">
        <v>180</v>
      </c>
      <c r="N5296" s="10">
        <f>L5296-M5296</f>
        <v/>
      </c>
    </row>
    <row r="5297">
      <c r="A5297" s="7" t="inlineStr">
        <is>
          <t>ORD-04285</t>
        </is>
      </c>
      <c r="B5297" s="8" t="n">
        <v>45955</v>
      </c>
      <c r="C5297" s="9" t="n">
        <v>45931</v>
      </c>
      <c r="D5297" s="7" t="n">
        <v>2025</v>
      </c>
      <c r="E5297" s="7" t="inlineStr">
        <is>
          <t>West</t>
        </is>
      </c>
      <c r="F5297" s="7" t="inlineStr">
        <is>
          <t>Furniture</t>
        </is>
      </c>
      <c r="G5297" s="7" t="inlineStr">
        <is>
          <t>Desk</t>
        </is>
      </c>
      <c r="H5297" s="7" t="inlineStr">
        <is>
          <t>Corporate</t>
        </is>
      </c>
      <c r="I5297" s="7" t="n">
        <v>2</v>
      </c>
      <c r="J5297" s="10" t="n">
        <v>457.94</v>
      </c>
      <c r="K5297" s="11" t="n">
        <v>0.3</v>
      </c>
      <c r="L5297" s="10">
        <f>I5297*J5297*(1-K5297)</f>
        <v/>
      </c>
      <c r="M5297" s="10" t="n">
        <v>765</v>
      </c>
      <c r="N5297" s="10">
        <f>L5297-M5297</f>
        <v/>
      </c>
    </row>
    <row r="5298">
      <c r="A5298" s="7" t="inlineStr">
        <is>
          <t>ORD-00414</t>
        </is>
      </c>
      <c r="B5298" s="8" t="n">
        <v>45956</v>
      </c>
      <c r="C5298" s="9" t="n">
        <v>45931</v>
      </c>
      <c r="D5298" s="7" t="n">
        <v>2025</v>
      </c>
      <c r="E5298" s="7" t="inlineStr">
        <is>
          <t>North</t>
        </is>
      </c>
      <c r="F5298" s="7" t="inlineStr">
        <is>
          <t>Technology</t>
        </is>
      </c>
      <c r="G5298" s="7" t="inlineStr">
        <is>
          <t>Laptop</t>
        </is>
      </c>
      <c r="H5298" s="7" t="inlineStr">
        <is>
          <t>Home Office</t>
        </is>
      </c>
      <c r="I5298" s="7" t="n">
        <v>2</v>
      </c>
      <c r="J5298" s="10" t="n">
        <v>882.95</v>
      </c>
      <c r="K5298" s="11" t="n">
        <v>0</v>
      </c>
      <c r="L5298" s="10">
        <f>I5298*J5298*(1-K5298)</f>
        <v/>
      </c>
      <c r="M5298" s="10" t="n">
        <v>1404</v>
      </c>
      <c r="N5298" s="10">
        <f>L5298-M5298</f>
        <v/>
      </c>
    </row>
    <row r="5299">
      <c r="A5299" s="7" t="inlineStr">
        <is>
          <t>ORD-02310</t>
        </is>
      </c>
      <c r="B5299" s="8" t="n">
        <v>45956</v>
      </c>
      <c r="C5299" s="9" t="n">
        <v>45931</v>
      </c>
      <c r="D5299" s="7" t="n">
        <v>2025</v>
      </c>
      <c r="E5299" s="7" t="inlineStr">
        <is>
          <t>North</t>
        </is>
      </c>
      <c r="F5299" s="7" t="inlineStr">
        <is>
          <t>Technology</t>
        </is>
      </c>
      <c r="G5299" s="7" t="inlineStr">
        <is>
          <t>Keyboard</t>
        </is>
      </c>
      <c r="H5299" s="7" t="inlineStr">
        <is>
          <t>Consumer</t>
        </is>
      </c>
      <c r="I5299" s="7" t="n">
        <v>3</v>
      </c>
      <c r="J5299" s="10" t="n">
        <v>46.3</v>
      </c>
      <c r="K5299" s="11" t="n">
        <v>0</v>
      </c>
      <c r="L5299" s="10">
        <f>I5299*J5299*(1-K5299)</f>
        <v/>
      </c>
      <c r="M5299" s="10" t="n">
        <v>74.25</v>
      </c>
      <c r="N5299" s="10">
        <f>L5299-M5299</f>
        <v/>
      </c>
    </row>
    <row r="5300">
      <c r="A5300" s="7" t="inlineStr">
        <is>
          <t>ORD-00816</t>
        </is>
      </c>
      <c r="B5300" s="8" t="n">
        <v>45956</v>
      </c>
      <c r="C5300" s="9" t="n">
        <v>45931</v>
      </c>
      <c r="D5300" s="7" t="n">
        <v>2025</v>
      </c>
      <c r="E5300" s="7" t="inlineStr">
        <is>
          <t>West</t>
        </is>
      </c>
      <c r="F5300" s="7" t="inlineStr">
        <is>
          <t>Office Supplies</t>
        </is>
      </c>
      <c r="G5300" s="7" t="inlineStr">
        <is>
          <t>Printer Ink</t>
        </is>
      </c>
      <c r="H5300" s="7" t="inlineStr">
        <is>
          <t>Consumer</t>
        </is>
      </c>
      <c r="I5300" s="7" t="n">
        <v>3</v>
      </c>
      <c r="J5300" s="10" t="n">
        <v>61.12</v>
      </c>
      <c r="K5300" s="11" t="n">
        <v>0</v>
      </c>
      <c r="L5300" s="10">
        <f>I5300*J5300*(1-K5300)</f>
        <v/>
      </c>
      <c r="M5300" s="10" t="n">
        <v>108</v>
      </c>
      <c r="N5300" s="10">
        <f>L5300-M5300</f>
        <v/>
      </c>
    </row>
    <row r="5301">
      <c r="A5301" s="7" t="inlineStr">
        <is>
          <t>ORD-00692</t>
        </is>
      </c>
      <c r="B5301" s="8" t="n">
        <v>45956</v>
      </c>
      <c r="C5301" s="9" t="n">
        <v>45931</v>
      </c>
      <c r="D5301" s="7" t="n">
        <v>2025</v>
      </c>
      <c r="E5301" s="7" t="inlineStr">
        <is>
          <t>West</t>
        </is>
      </c>
      <c r="F5301" s="7" t="inlineStr">
        <is>
          <t>Furniture</t>
        </is>
      </c>
      <c r="G5301" s="7" t="inlineStr">
        <is>
          <t>Office Chair</t>
        </is>
      </c>
      <c r="H5301" s="7" t="inlineStr">
        <is>
          <t>Corporate</t>
        </is>
      </c>
      <c r="I5301" s="7" t="n">
        <v>2</v>
      </c>
      <c r="J5301" s="10" t="n">
        <v>216.65</v>
      </c>
      <c r="K5301" s="11" t="n">
        <v>0.3</v>
      </c>
      <c r="L5301" s="10">
        <f>I5301*J5301*(1-K5301)</f>
        <v/>
      </c>
      <c r="M5301" s="10" t="n">
        <v>360.8</v>
      </c>
      <c r="N5301" s="10">
        <f>L5301-M5301</f>
        <v/>
      </c>
    </row>
    <row r="5302">
      <c r="A5302" s="7" t="inlineStr">
        <is>
          <t>ORD-05603</t>
        </is>
      </c>
      <c r="B5302" s="8" t="n">
        <v>45956</v>
      </c>
      <c r="C5302" s="9" t="n">
        <v>45931</v>
      </c>
      <c r="D5302" s="7" t="n">
        <v>2025</v>
      </c>
      <c r="E5302" s="7" t="inlineStr">
        <is>
          <t>West</t>
        </is>
      </c>
      <c r="F5302" s="7" t="inlineStr">
        <is>
          <t>Office Supplies</t>
        </is>
      </c>
      <c r="G5302" s="7" t="inlineStr">
        <is>
          <t>Paper</t>
        </is>
      </c>
      <c r="H5302" s="7" t="inlineStr">
        <is>
          <t>Consumer</t>
        </is>
      </c>
      <c r="I5302" s="7" t="n">
        <v>9</v>
      </c>
      <c r="J5302" s="10" t="n">
        <v>24.37</v>
      </c>
      <c r="K5302" s="11" t="n">
        <v>0.1</v>
      </c>
      <c r="L5302" s="10">
        <f>I5302*J5302*(1-K5302)</f>
        <v/>
      </c>
      <c r="M5302" s="10" t="n">
        <v>112.5</v>
      </c>
      <c r="N5302" s="10">
        <f>L5302-M5302</f>
        <v/>
      </c>
    </row>
    <row r="5303">
      <c r="A5303" s="7" t="inlineStr">
        <is>
          <t>ORD-04180</t>
        </is>
      </c>
      <c r="B5303" s="8" t="n">
        <v>45957</v>
      </c>
      <c r="C5303" s="9" t="n">
        <v>45931</v>
      </c>
      <c r="D5303" s="7" t="n">
        <v>2025</v>
      </c>
      <c r="E5303" s="7" t="inlineStr">
        <is>
          <t>South</t>
        </is>
      </c>
      <c r="F5303" s="7" t="inlineStr">
        <is>
          <t>Office Supplies</t>
        </is>
      </c>
      <c r="G5303" s="7" t="inlineStr">
        <is>
          <t>Paper</t>
        </is>
      </c>
      <c r="H5303" s="7" t="inlineStr">
        <is>
          <t>Home Office</t>
        </is>
      </c>
      <c r="I5303" s="7" t="n">
        <v>9</v>
      </c>
      <c r="J5303" s="10" t="n">
        <v>24.42</v>
      </c>
      <c r="K5303" s="11" t="n">
        <v>0</v>
      </c>
      <c r="L5303" s="10">
        <f>I5303*J5303*(1-K5303)</f>
        <v/>
      </c>
      <c r="M5303" s="10" t="n">
        <v>112.5</v>
      </c>
      <c r="N5303" s="10">
        <f>L5303-M5303</f>
        <v/>
      </c>
    </row>
    <row r="5304">
      <c r="A5304" s="7" t="inlineStr">
        <is>
          <t>ORD-01419</t>
        </is>
      </c>
      <c r="B5304" s="8" t="n">
        <v>45957</v>
      </c>
      <c r="C5304" s="9" t="n">
        <v>45931</v>
      </c>
      <c r="D5304" s="7" t="n">
        <v>2025</v>
      </c>
      <c r="E5304" s="7" t="inlineStr">
        <is>
          <t>East</t>
        </is>
      </c>
      <c r="F5304" s="7" t="inlineStr">
        <is>
          <t>Furniture</t>
        </is>
      </c>
      <c r="G5304" s="7" t="inlineStr">
        <is>
          <t>Desk</t>
        </is>
      </c>
      <c r="H5304" s="7" t="inlineStr">
        <is>
          <t>Consumer</t>
        </is>
      </c>
      <c r="I5304" s="7" t="n">
        <v>1</v>
      </c>
      <c r="J5304" s="10" t="n">
        <v>447.55</v>
      </c>
      <c r="K5304" s="11" t="n">
        <v>0.1</v>
      </c>
      <c r="L5304" s="10">
        <f>I5304*J5304*(1-K5304)</f>
        <v/>
      </c>
      <c r="M5304" s="10" t="n">
        <v>382.5</v>
      </c>
      <c r="N5304" s="10">
        <f>L5304-M5304</f>
        <v/>
      </c>
    </row>
    <row r="5305">
      <c r="A5305" s="7" t="inlineStr">
        <is>
          <t>ORD-03241</t>
        </is>
      </c>
      <c r="B5305" s="8" t="n">
        <v>45957</v>
      </c>
      <c r="C5305" s="9" t="n">
        <v>45931</v>
      </c>
      <c r="D5305" s="7" t="n">
        <v>2025</v>
      </c>
      <c r="E5305" s="7" t="inlineStr">
        <is>
          <t>West</t>
        </is>
      </c>
      <c r="F5305" s="7" t="inlineStr">
        <is>
          <t>Technology</t>
        </is>
      </c>
      <c r="G5305" s="7" t="inlineStr">
        <is>
          <t>Smartphone</t>
        </is>
      </c>
      <c r="H5305" s="7" t="inlineStr">
        <is>
          <t>Corporate</t>
        </is>
      </c>
      <c r="I5305" s="7" t="n">
        <v>1</v>
      </c>
      <c r="J5305" s="10" t="n">
        <v>604.39</v>
      </c>
      <c r="K5305" s="11" t="n">
        <v>0</v>
      </c>
      <c r="L5305" s="10">
        <f>I5305*J5305*(1-K5305)</f>
        <v/>
      </c>
      <c r="M5305" s="10" t="n">
        <v>450</v>
      </c>
      <c r="N5305" s="10">
        <f>L5305-M5305</f>
        <v/>
      </c>
    </row>
    <row r="5306">
      <c r="A5306" s="7" t="inlineStr">
        <is>
          <t>ORD-02225</t>
        </is>
      </c>
      <c r="B5306" s="8" t="n">
        <v>45957</v>
      </c>
      <c r="C5306" s="9" t="n">
        <v>45931</v>
      </c>
      <c r="D5306" s="7" t="n">
        <v>2025</v>
      </c>
      <c r="E5306" s="7" t="inlineStr">
        <is>
          <t>West</t>
        </is>
      </c>
      <c r="F5306" s="7" t="inlineStr">
        <is>
          <t>Office Supplies</t>
        </is>
      </c>
      <c r="G5306" s="7" t="inlineStr">
        <is>
          <t>Printer Ink</t>
        </is>
      </c>
      <c r="H5306" s="7" t="inlineStr">
        <is>
          <t>Consumer</t>
        </is>
      </c>
      <c r="I5306" s="7" t="n">
        <v>14</v>
      </c>
      <c r="J5306" s="10" t="n">
        <v>57.28</v>
      </c>
      <c r="K5306" s="11" t="n">
        <v>0.05</v>
      </c>
      <c r="L5306" s="10">
        <f>I5306*J5306*(1-K5306)</f>
        <v/>
      </c>
      <c r="M5306" s="10" t="n">
        <v>504</v>
      </c>
      <c r="N5306" s="10">
        <f>L5306-M5306</f>
        <v/>
      </c>
    </row>
    <row r="5307">
      <c r="A5307" s="7" t="inlineStr">
        <is>
          <t>ORD-00370</t>
        </is>
      </c>
      <c r="B5307" s="8" t="n">
        <v>45957</v>
      </c>
      <c r="C5307" s="9" t="n">
        <v>45931</v>
      </c>
      <c r="D5307" s="7" t="n">
        <v>2025</v>
      </c>
      <c r="E5307" s="7" t="inlineStr">
        <is>
          <t>South</t>
        </is>
      </c>
      <c r="F5307" s="7" t="inlineStr">
        <is>
          <t>Furniture</t>
        </is>
      </c>
      <c r="G5307" s="7" t="inlineStr">
        <is>
          <t>Desk</t>
        </is>
      </c>
      <c r="H5307" s="7" t="inlineStr">
        <is>
          <t>Consumer</t>
        </is>
      </c>
      <c r="I5307" s="7" t="n">
        <v>1</v>
      </c>
      <c r="J5307" s="10" t="n">
        <v>429.66</v>
      </c>
      <c r="K5307" s="11" t="n">
        <v>0.3</v>
      </c>
      <c r="L5307" s="10">
        <f>I5307*J5307*(1-K5307)</f>
        <v/>
      </c>
      <c r="M5307" s="10" t="n">
        <v>382.5</v>
      </c>
      <c r="N5307" s="10">
        <f>L5307-M5307</f>
        <v/>
      </c>
    </row>
    <row r="5308">
      <c r="A5308" s="7" t="inlineStr">
        <is>
          <t>ORD-05364</t>
        </is>
      </c>
      <c r="B5308" s="8" t="n">
        <v>45958</v>
      </c>
      <c r="C5308" s="9" t="n">
        <v>45931</v>
      </c>
      <c r="D5308" s="7" t="n">
        <v>2025</v>
      </c>
      <c r="E5308" s="7" t="inlineStr">
        <is>
          <t>West</t>
        </is>
      </c>
      <c r="F5308" s="7" t="inlineStr">
        <is>
          <t>Office Supplies</t>
        </is>
      </c>
      <c r="G5308" s="7" t="inlineStr">
        <is>
          <t>Printer Ink</t>
        </is>
      </c>
      <c r="H5308" s="7" t="inlineStr">
        <is>
          <t>Consumer</t>
        </is>
      </c>
      <c r="I5308" s="7" t="n">
        <v>5</v>
      </c>
      <c r="J5308" s="10" t="n">
        <v>60.8</v>
      </c>
      <c r="K5308" s="11" t="n">
        <v>0.3</v>
      </c>
      <c r="L5308" s="10">
        <f>I5308*J5308*(1-K5308)</f>
        <v/>
      </c>
      <c r="M5308" s="10" t="n">
        <v>180</v>
      </c>
      <c r="N5308" s="10">
        <f>L5308-M5308</f>
        <v/>
      </c>
    </row>
    <row r="5309">
      <c r="A5309" s="7" t="inlineStr">
        <is>
          <t>ORD-02425</t>
        </is>
      </c>
      <c r="B5309" s="8" t="n">
        <v>45958</v>
      </c>
      <c r="C5309" s="9" t="n">
        <v>45931</v>
      </c>
      <c r="D5309" s="7" t="n">
        <v>2025</v>
      </c>
      <c r="E5309" s="7" t="inlineStr">
        <is>
          <t>East</t>
        </is>
      </c>
      <c r="F5309" s="7" t="inlineStr">
        <is>
          <t>Office Supplies</t>
        </is>
      </c>
      <c r="G5309" s="7" t="inlineStr">
        <is>
          <t>Pens</t>
        </is>
      </c>
      <c r="H5309" s="7" t="inlineStr">
        <is>
          <t>Consumer</t>
        </is>
      </c>
      <c r="I5309" s="7" t="n">
        <v>5</v>
      </c>
      <c r="J5309" s="10" t="n">
        <v>11.81</v>
      </c>
      <c r="K5309" s="11" t="n">
        <v>0.2</v>
      </c>
      <c r="L5309" s="10">
        <f>I5309*J5309*(1-K5309)</f>
        <v/>
      </c>
      <c r="M5309" s="10" t="n">
        <v>27</v>
      </c>
      <c r="N5309" s="10">
        <f>L5309-M5309</f>
        <v/>
      </c>
    </row>
    <row r="5310">
      <c r="A5310" s="7" t="inlineStr">
        <is>
          <t>ORD-02095</t>
        </is>
      </c>
      <c r="B5310" s="8" t="n">
        <v>45958</v>
      </c>
      <c r="C5310" s="9" t="n">
        <v>45931</v>
      </c>
      <c r="D5310" s="7" t="n">
        <v>2025</v>
      </c>
      <c r="E5310" s="7" t="inlineStr">
        <is>
          <t>West</t>
        </is>
      </c>
      <c r="F5310" s="7" t="inlineStr">
        <is>
          <t>Technology</t>
        </is>
      </c>
      <c r="G5310" s="7" t="inlineStr">
        <is>
          <t>Headphones</t>
        </is>
      </c>
      <c r="H5310" s="7" t="inlineStr">
        <is>
          <t>Consumer</t>
        </is>
      </c>
      <c r="I5310" s="7" t="n">
        <v>2</v>
      </c>
      <c r="J5310" s="10" t="n">
        <v>120.96</v>
      </c>
      <c r="K5310" s="11" t="n">
        <v>0.1</v>
      </c>
      <c r="L5310" s="10">
        <f>I5310*J5310*(1-K5310)</f>
        <v/>
      </c>
      <c r="M5310" s="10" t="n">
        <v>144</v>
      </c>
      <c r="N5310" s="10">
        <f>L5310-M5310</f>
        <v/>
      </c>
    </row>
    <row r="5311">
      <c r="A5311" s="7" t="inlineStr">
        <is>
          <t>ORD-04624</t>
        </is>
      </c>
      <c r="B5311" s="8" t="n">
        <v>45958</v>
      </c>
      <c r="C5311" s="9" t="n">
        <v>45931</v>
      </c>
      <c r="D5311" s="7" t="n">
        <v>2025</v>
      </c>
      <c r="E5311" s="7" t="inlineStr">
        <is>
          <t>East</t>
        </is>
      </c>
      <c r="F5311" s="7" t="inlineStr">
        <is>
          <t>Technology</t>
        </is>
      </c>
      <c r="G5311" s="7" t="inlineStr">
        <is>
          <t>Laptop</t>
        </is>
      </c>
      <c r="H5311" s="7" t="inlineStr">
        <is>
          <t>Corporate</t>
        </is>
      </c>
      <c r="I5311" s="7" t="n">
        <v>1</v>
      </c>
      <c r="J5311" s="10" t="n">
        <v>894.3099999999999</v>
      </c>
      <c r="K5311" s="11" t="n">
        <v>0</v>
      </c>
      <c r="L5311" s="10">
        <f>I5311*J5311*(1-K5311)</f>
        <v/>
      </c>
      <c r="M5311" s="10" t="n">
        <v>702</v>
      </c>
      <c r="N5311" s="10">
        <f>L5311-M5311</f>
        <v/>
      </c>
    </row>
    <row r="5312">
      <c r="A5312" s="7" t="inlineStr">
        <is>
          <t>ORD-05698</t>
        </is>
      </c>
      <c r="B5312" s="8" t="n">
        <v>45959</v>
      </c>
      <c r="C5312" s="9" t="n">
        <v>45931</v>
      </c>
      <c r="D5312" s="7" t="n">
        <v>2025</v>
      </c>
      <c r="E5312" s="7" t="inlineStr">
        <is>
          <t>East</t>
        </is>
      </c>
      <c r="F5312" s="7" t="inlineStr">
        <is>
          <t>Office Supplies</t>
        </is>
      </c>
      <c r="G5312" s="7" t="inlineStr">
        <is>
          <t>Pens</t>
        </is>
      </c>
      <c r="H5312" s="7" t="inlineStr">
        <is>
          <t>Corporate</t>
        </is>
      </c>
      <c r="I5312" s="7" t="n">
        <v>6</v>
      </c>
      <c r="J5312" s="10" t="n">
        <v>11.44</v>
      </c>
      <c r="K5312" s="11" t="n">
        <v>0.1</v>
      </c>
      <c r="L5312" s="10">
        <f>I5312*J5312*(1-K5312)</f>
        <v/>
      </c>
      <c r="M5312" s="10" t="n">
        <v>32.4</v>
      </c>
      <c r="N5312" s="10">
        <f>L5312-M5312</f>
        <v/>
      </c>
    </row>
    <row r="5313">
      <c r="A5313" s="7" t="inlineStr">
        <is>
          <t>ORD-00913</t>
        </is>
      </c>
      <c r="B5313" s="8" t="n">
        <v>45959</v>
      </c>
      <c r="C5313" s="9" t="n">
        <v>45931</v>
      </c>
      <c r="D5313" s="7" t="n">
        <v>2025</v>
      </c>
      <c r="E5313" s="7" t="inlineStr">
        <is>
          <t>South</t>
        </is>
      </c>
      <c r="F5313" s="7" t="inlineStr">
        <is>
          <t>Office Supplies</t>
        </is>
      </c>
      <c r="G5313" s="7" t="inlineStr">
        <is>
          <t>Stapler</t>
        </is>
      </c>
      <c r="H5313" s="7" t="inlineStr">
        <is>
          <t>Consumer</t>
        </is>
      </c>
      <c r="I5313" s="7" t="n">
        <v>3</v>
      </c>
      <c r="J5313" s="10" t="n">
        <v>15.21</v>
      </c>
      <c r="K5313" s="11" t="n">
        <v>0.2</v>
      </c>
      <c r="L5313" s="10">
        <f>I5313*J5313*(1-K5313)</f>
        <v/>
      </c>
      <c r="M5313" s="10" t="n">
        <v>22.5</v>
      </c>
      <c r="N5313" s="10">
        <f>L5313-M5313</f>
        <v/>
      </c>
    </row>
    <row r="5314">
      <c r="A5314" s="7" t="inlineStr">
        <is>
          <t>ORD-03132</t>
        </is>
      </c>
      <c r="B5314" s="8" t="n">
        <v>45959</v>
      </c>
      <c r="C5314" s="9" t="n">
        <v>45931</v>
      </c>
      <c r="D5314" s="7" t="n">
        <v>2025</v>
      </c>
      <c r="E5314" s="7" t="inlineStr">
        <is>
          <t>South</t>
        </is>
      </c>
      <c r="F5314" s="7" t="inlineStr">
        <is>
          <t>Office Supplies</t>
        </is>
      </c>
      <c r="G5314" s="7" t="inlineStr">
        <is>
          <t>Paper</t>
        </is>
      </c>
      <c r="H5314" s="7" t="inlineStr">
        <is>
          <t>Consumer</t>
        </is>
      </c>
      <c r="I5314" s="7" t="n">
        <v>9</v>
      </c>
      <c r="J5314" s="10" t="n">
        <v>25.29</v>
      </c>
      <c r="K5314" s="11" t="n">
        <v>0.05</v>
      </c>
      <c r="L5314" s="10">
        <f>I5314*J5314*(1-K5314)</f>
        <v/>
      </c>
      <c r="M5314" s="10" t="n">
        <v>112.5</v>
      </c>
      <c r="N5314" s="10">
        <f>L5314-M5314</f>
        <v/>
      </c>
    </row>
    <row r="5315">
      <c r="A5315" s="7" t="inlineStr">
        <is>
          <t>ORD-04714</t>
        </is>
      </c>
      <c r="B5315" s="8" t="n">
        <v>45959</v>
      </c>
      <c r="C5315" s="9" t="n">
        <v>45931</v>
      </c>
      <c r="D5315" s="7" t="n">
        <v>2025</v>
      </c>
      <c r="E5315" s="7" t="inlineStr">
        <is>
          <t>West</t>
        </is>
      </c>
      <c r="F5315" s="7" t="inlineStr">
        <is>
          <t>Furniture</t>
        </is>
      </c>
      <c r="G5315" s="7" t="inlineStr">
        <is>
          <t>Bookcase</t>
        </is>
      </c>
      <c r="H5315" s="7" t="inlineStr">
        <is>
          <t>Corporate</t>
        </is>
      </c>
      <c r="I5315" s="7" t="n">
        <v>4</v>
      </c>
      <c r="J5315" s="10" t="n">
        <v>180.93</v>
      </c>
      <c r="K5315" s="11" t="n">
        <v>0</v>
      </c>
      <c r="L5315" s="10">
        <f>I5315*J5315*(1-K5315)</f>
        <v/>
      </c>
      <c r="M5315" s="10" t="n">
        <v>576</v>
      </c>
      <c r="N5315" s="10">
        <f>L5315-M5315</f>
        <v/>
      </c>
    </row>
    <row r="5316">
      <c r="A5316" s="7" t="inlineStr">
        <is>
          <t>ORD-00714</t>
        </is>
      </c>
      <c r="B5316" s="8" t="n">
        <v>45960</v>
      </c>
      <c r="C5316" s="9" t="n">
        <v>45931</v>
      </c>
      <c r="D5316" s="7" t="n">
        <v>2025</v>
      </c>
      <c r="E5316" s="7" t="inlineStr">
        <is>
          <t>South</t>
        </is>
      </c>
      <c r="F5316" s="7" t="inlineStr">
        <is>
          <t>Office Supplies</t>
        </is>
      </c>
      <c r="G5316" s="7" t="inlineStr">
        <is>
          <t>Paper</t>
        </is>
      </c>
      <c r="H5316" s="7" t="inlineStr">
        <is>
          <t>Corporate</t>
        </is>
      </c>
      <c r="I5316" s="7" t="n">
        <v>15</v>
      </c>
      <c r="J5316" s="10" t="n">
        <v>24.21</v>
      </c>
      <c r="K5316" s="11" t="n">
        <v>0.3</v>
      </c>
      <c r="L5316" s="10">
        <f>I5316*J5316*(1-K5316)</f>
        <v/>
      </c>
      <c r="M5316" s="10" t="n">
        <v>187.5</v>
      </c>
      <c r="N5316" s="10">
        <f>L5316-M5316</f>
        <v/>
      </c>
    </row>
    <row r="5317">
      <c r="A5317" s="7" t="inlineStr">
        <is>
          <t>ORD-02620</t>
        </is>
      </c>
      <c r="B5317" s="8" t="n">
        <v>45960</v>
      </c>
      <c r="C5317" s="9" t="n">
        <v>45931</v>
      </c>
      <c r="D5317" s="7" t="n">
        <v>2025</v>
      </c>
      <c r="E5317" s="7" t="inlineStr">
        <is>
          <t>South</t>
        </is>
      </c>
      <c r="F5317" s="7" t="inlineStr">
        <is>
          <t>Office Supplies</t>
        </is>
      </c>
      <c r="G5317" s="7" t="inlineStr">
        <is>
          <t>Paper</t>
        </is>
      </c>
      <c r="H5317" s="7" t="inlineStr">
        <is>
          <t>Consumer</t>
        </is>
      </c>
      <c r="I5317" s="7" t="n">
        <v>15</v>
      </c>
      <c r="J5317" s="10" t="n">
        <v>24.82</v>
      </c>
      <c r="K5317" s="11" t="n">
        <v>0</v>
      </c>
      <c r="L5317" s="10">
        <f>I5317*J5317*(1-K5317)</f>
        <v/>
      </c>
      <c r="M5317" s="10" t="n">
        <v>187.5</v>
      </c>
      <c r="N5317" s="10">
        <f>L5317-M5317</f>
        <v/>
      </c>
    </row>
    <row r="5318">
      <c r="A5318" s="7" t="inlineStr">
        <is>
          <t>ORD-00296</t>
        </is>
      </c>
      <c r="B5318" s="8" t="n">
        <v>45960</v>
      </c>
      <c r="C5318" s="9" t="n">
        <v>45931</v>
      </c>
      <c r="D5318" s="7" t="n">
        <v>2025</v>
      </c>
      <c r="E5318" s="7" t="inlineStr">
        <is>
          <t>South</t>
        </is>
      </c>
      <c r="F5318" s="7" t="inlineStr">
        <is>
          <t>Office Supplies</t>
        </is>
      </c>
      <c r="G5318" s="7" t="inlineStr">
        <is>
          <t>Stapler</t>
        </is>
      </c>
      <c r="H5318" s="7" t="inlineStr">
        <is>
          <t>Corporate</t>
        </is>
      </c>
      <c r="I5318" s="7" t="n">
        <v>9</v>
      </c>
      <c r="J5318" s="10" t="n">
        <v>15.28</v>
      </c>
      <c r="K5318" s="11" t="n">
        <v>0.1</v>
      </c>
      <c r="L5318" s="10">
        <f>I5318*J5318*(1-K5318)</f>
        <v/>
      </c>
      <c r="M5318" s="10" t="n">
        <v>67.5</v>
      </c>
      <c r="N5318" s="10">
        <f>L5318-M5318</f>
        <v/>
      </c>
    </row>
    <row r="5319">
      <c r="A5319" s="7" t="inlineStr">
        <is>
          <t>ORD-04024</t>
        </is>
      </c>
      <c r="B5319" s="8" t="n">
        <v>45960</v>
      </c>
      <c r="C5319" s="9" t="n">
        <v>45931</v>
      </c>
      <c r="D5319" s="7" t="n">
        <v>2025</v>
      </c>
      <c r="E5319" s="7" t="inlineStr">
        <is>
          <t>North</t>
        </is>
      </c>
      <c r="F5319" s="7" t="inlineStr">
        <is>
          <t>Office Supplies</t>
        </is>
      </c>
      <c r="G5319" s="7" t="inlineStr">
        <is>
          <t>Stapler</t>
        </is>
      </c>
      <c r="H5319" s="7" t="inlineStr">
        <is>
          <t>Corporate</t>
        </is>
      </c>
      <c r="I5319" s="7" t="n">
        <v>6</v>
      </c>
      <c r="J5319" s="10" t="n">
        <v>14.58</v>
      </c>
      <c r="K5319" s="11" t="n">
        <v>0.1</v>
      </c>
      <c r="L5319" s="10">
        <f>I5319*J5319*(1-K5319)</f>
        <v/>
      </c>
      <c r="M5319" s="10" t="n">
        <v>45</v>
      </c>
      <c r="N5319" s="10">
        <f>L5319-M5319</f>
        <v/>
      </c>
    </row>
    <row r="5320">
      <c r="A5320" s="7" t="inlineStr">
        <is>
          <t>ORD-02528</t>
        </is>
      </c>
      <c r="B5320" s="8" t="n">
        <v>45960</v>
      </c>
      <c r="C5320" s="9" t="n">
        <v>45931</v>
      </c>
      <c r="D5320" s="7" t="n">
        <v>2025</v>
      </c>
      <c r="E5320" s="7" t="inlineStr">
        <is>
          <t>South</t>
        </is>
      </c>
      <c r="F5320" s="7" t="inlineStr">
        <is>
          <t>Technology</t>
        </is>
      </c>
      <c r="G5320" s="7" t="inlineStr">
        <is>
          <t>Laptop</t>
        </is>
      </c>
      <c r="H5320" s="7" t="inlineStr">
        <is>
          <t>Home Office</t>
        </is>
      </c>
      <c r="I5320" s="7" t="n">
        <v>3</v>
      </c>
      <c r="J5320" s="10" t="n">
        <v>863.7</v>
      </c>
      <c r="K5320" s="11" t="n">
        <v>0.05</v>
      </c>
      <c r="L5320" s="10">
        <f>I5320*J5320*(1-K5320)</f>
        <v/>
      </c>
      <c r="M5320" s="10" t="n">
        <v>2106</v>
      </c>
      <c r="N5320" s="10">
        <f>L5320-M5320</f>
        <v/>
      </c>
    </row>
    <row r="5321">
      <c r="A5321" s="7" t="inlineStr">
        <is>
          <t>ORD-00110</t>
        </is>
      </c>
      <c r="B5321" s="8" t="n">
        <v>45960</v>
      </c>
      <c r="C5321" s="9" t="n">
        <v>45931</v>
      </c>
      <c r="D5321" s="7" t="n">
        <v>2025</v>
      </c>
      <c r="E5321" s="7" t="inlineStr">
        <is>
          <t>South</t>
        </is>
      </c>
      <c r="F5321" s="7" t="inlineStr">
        <is>
          <t>Office Supplies</t>
        </is>
      </c>
      <c r="G5321" s="7" t="inlineStr">
        <is>
          <t>Pens</t>
        </is>
      </c>
      <c r="H5321" s="7" t="inlineStr">
        <is>
          <t>Consumer</t>
        </is>
      </c>
      <c r="I5321" s="7" t="n">
        <v>15</v>
      </c>
      <c r="J5321" s="10" t="n">
        <v>11.41</v>
      </c>
      <c r="K5321" s="11" t="n">
        <v>0.05</v>
      </c>
      <c r="L5321" s="10">
        <f>I5321*J5321*(1-K5321)</f>
        <v/>
      </c>
      <c r="M5321" s="10" t="n">
        <v>81</v>
      </c>
      <c r="N5321" s="10">
        <f>L5321-M5321</f>
        <v/>
      </c>
    </row>
    <row r="5322">
      <c r="A5322" s="7" t="inlineStr">
        <is>
          <t>ORD-04432</t>
        </is>
      </c>
      <c r="B5322" s="8" t="n">
        <v>45960</v>
      </c>
      <c r="C5322" s="9" t="n">
        <v>45931</v>
      </c>
      <c r="D5322" s="7" t="n">
        <v>2025</v>
      </c>
      <c r="E5322" s="7" t="inlineStr">
        <is>
          <t>South</t>
        </is>
      </c>
      <c r="F5322" s="7" t="inlineStr">
        <is>
          <t>Office Supplies</t>
        </is>
      </c>
      <c r="G5322" s="7" t="inlineStr">
        <is>
          <t>Pens</t>
        </is>
      </c>
      <c r="H5322" s="7" t="inlineStr">
        <is>
          <t>Consumer</t>
        </is>
      </c>
      <c r="I5322" s="7" t="n">
        <v>5</v>
      </c>
      <c r="J5322" s="10" t="n">
        <v>11.7</v>
      </c>
      <c r="K5322" s="11" t="n">
        <v>0.1</v>
      </c>
      <c r="L5322" s="10">
        <f>I5322*J5322*(1-K5322)</f>
        <v/>
      </c>
      <c r="M5322" s="10" t="n">
        <v>27</v>
      </c>
      <c r="N5322" s="10">
        <f>L5322-M5322</f>
        <v/>
      </c>
    </row>
    <row r="5323">
      <c r="A5323" s="7" t="inlineStr">
        <is>
          <t>ORD-03458</t>
        </is>
      </c>
      <c r="B5323" s="8" t="n">
        <v>45960</v>
      </c>
      <c r="C5323" s="9" t="n">
        <v>45931</v>
      </c>
      <c r="D5323" s="7" t="n">
        <v>2025</v>
      </c>
      <c r="E5323" s="7" t="inlineStr">
        <is>
          <t>West</t>
        </is>
      </c>
      <c r="F5323" s="7" t="inlineStr">
        <is>
          <t>Office Supplies</t>
        </is>
      </c>
      <c r="G5323" s="7" t="inlineStr">
        <is>
          <t>Stapler</t>
        </is>
      </c>
      <c r="H5323" s="7" t="inlineStr">
        <is>
          <t>Consumer</t>
        </is>
      </c>
      <c r="I5323" s="7" t="n">
        <v>12</v>
      </c>
      <c r="J5323" s="10" t="n">
        <v>15.46</v>
      </c>
      <c r="K5323" s="11" t="n">
        <v>0.05</v>
      </c>
      <c r="L5323" s="10">
        <f>I5323*J5323*(1-K5323)</f>
        <v/>
      </c>
      <c r="M5323" s="10" t="n">
        <v>90</v>
      </c>
      <c r="N5323" s="10">
        <f>L5323-M5323</f>
        <v/>
      </c>
    </row>
    <row r="5324">
      <c r="A5324" s="7" t="inlineStr">
        <is>
          <t>ORD-01389</t>
        </is>
      </c>
      <c r="B5324" s="8" t="n">
        <v>45961</v>
      </c>
      <c r="C5324" s="9" t="n">
        <v>45931</v>
      </c>
      <c r="D5324" s="7" t="n">
        <v>2025</v>
      </c>
      <c r="E5324" s="7" t="inlineStr">
        <is>
          <t>West</t>
        </is>
      </c>
      <c r="F5324" s="7" t="inlineStr">
        <is>
          <t>Furniture</t>
        </is>
      </c>
      <c r="G5324" s="7" t="inlineStr">
        <is>
          <t>Office Chair</t>
        </is>
      </c>
      <c r="H5324" s="7" t="inlineStr">
        <is>
          <t>Consumer</t>
        </is>
      </c>
      <c r="I5324" s="7" t="n">
        <v>2</v>
      </c>
      <c r="J5324" s="10" t="n">
        <v>224.78</v>
      </c>
      <c r="K5324" s="11" t="n">
        <v>0.2</v>
      </c>
      <c r="L5324" s="10">
        <f>I5324*J5324*(1-K5324)</f>
        <v/>
      </c>
      <c r="M5324" s="10" t="n">
        <v>360.8</v>
      </c>
      <c r="N5324" s="10">
        <f>L5324-M5324</f>
        <v/>
      </c>
    </row>
    <row r="5325">
      <c r="A5325" s="7" t="inlineStr">
        <is>
          <t>ORD-00866</t>
        </is>
      </c>
      <c r="B5325" s="8" t="n">
        <v>45961</v>
      </c>
      <c r="C5325" s="9" t="n">
        <v>45931</v>
      </c>
      <c r="D5325" s="7" t="n">
        <v>2025</v>
      </c>
      <c r="E5325" s="7" t="inlineStr">
        <is>
          <t>East</t>
        </is>
      </c>
      <c r="F5325" s="7" t="inlineStr">
        <is>
          <t>Technology</t>
        </is>
      </c>
      <c r="G5325" s="7" t="inlineStr">
        <is>
          <t>Monitor</t>
        </is>
      </c>
      <c r="H5325" s="7" t="inlineStr">
        <is>
          <t>Home Office</t>
        </is>
      </c>
      <c r="I5325" s="7" t="n">
        <v>2</v>
      </c>
      <c r="J5325" s="10" t="n">
        <v>239.38</v>
      </c>
      <c r="K5325" s="11" t="n">
        <v>0</v>
      </c>
      <c r="L5325" s="10">
        <f>I5325*J5325*(1-K5325)</f>
        <v/>
      </c>
      <c r="M5325" s="10" t="n">
        <v>360</v>
      </c>
      <c r="N5325" s="10">
        <f>L5325-M5325</f>
        <v/>
      </c>
    </row>
    <row r="5326">
      <c r="A5326" s="7" t="inlineStr">
        <is>
          <t>ORD-01913</t>
        </is>
      </c>
      <c r="B5326" s="8" t="n">
        <v>45961</v>
      </c>
      <c r="C5326" s="9" t="n">
        <v>45931</v>
      </c>
      <c r="D5326" s="7" t="n">
        <v>2025</v>
      </c>
      <c r="E5326" s="7" t="inlineStr">
        <is>
          <t>East</t>
        </is>
      </c>
      <c r="F5326" s="7" t="inlineStr">
        <is>
          <t>Technology</t>
        </is>
      </c>
      <c r="G5326" s="7" t="inlineStr">
        <is>
          <t>Keyboard</t>
        </is>
      </c>
      <c r="H5326" s="7" t="inlineStr">
        <is>
          <t>Home Office</t>
        </is>
      </c>
      <c r="I5326" s="7" t="n">
        <v>1</v>
      </c>
      <c r="J5326" s="10" t="n">
        <v>44.73</v>
      </c>
      <c r="K5326" s="11" t="n">
        <v>0</v>
      </c>
      <c r="L5326" s="10">
        <f>I5326*J5326*(1-K5326)</f>
        <v/>
      </c>
      <c r="M5326" s="10" t="n">
        <v>24.75</v>
      </c>
      <c r="N5326" s="10">
        <f>L5326-M5326</f>
        <v/>
      </c>
    </row>
    <row r="5327">
      <c r="A5327" s="7" t="inlineStr">
        <is>
          <t>ORD-00603</t>
        </is>
      </c>
      <c r="B5327" s="8" t="n">
        <v>45961</v>
      </c>
      <c r="C5327" s="9" t="n">
        <v>45931</v>
      </c>
      <c r="D5327" s="7" t="n">
        <v>2025</v>
      </c>
      <c r="E5327" s="7" t="inlineStr">
        <is>
          <t>West</t>
        </is>
      </c>
      <c r="F5327" s="7" t="inlineStr">
        <is>
          <t>Technology</t>
        </is>
      </c>
      <c r="G5327" s="7" t="inlineStr">
        <is>
          <t>Headphones</t>
        </is>
      </c>
      <c r="H5327" s="7" t="inlineStr">
        <is>
          <t>Home Office</t>
        </is>
      </c>
      <c r="I5327" s="7" t="n">
        <v>1</v>
      </c>
      <c r="J5327" s="10" t="n">
        <v>120.4</v>
      </c>
      <c r="K5327" s="11" t="n">
        <v>0.05</v>
      </c>
      <c r="L5327" s="10">
        <f>I5327*J5327*(1-K5327)</f>
        <v/>
      </c>
      <c r="M5327" s="10" t="n">
        <v>72</v>
      </c>
      <c r="N5327" s="10">
        <f>L5327-M5327</f>
        <v/>
      </c>
    </row>
    <row r="5328">
      <c r="A5328" s="7" t="inlineStr">
        <is>
          <t>ORD-05707</t>
        </is>
      </c>
      <c r="B5328" s="8" t="n">
        <v>45961</v>
      </c>
      <c r="C5328" s="9" t="n">
        <v>45931</v>
      </c>
      <c r="D5328" s="7" t="n">
        <v>2025</v>
      </c>
      <c r="E5328" s="7" t="inlineStr">
        <is>
          <t>East</t>
        </is>
      </c>
      <c r="F5328" s="7" t="inlineStr">
        <is>
          <t>Technology</t>
        </is>
      </c>
      <c r="G5328" s="7" t="inlineStr">
        <is>
          <t>Keyboard</t>
        </is>
      </c>
      <c r="H5328" s="7" t="inlineStr">
        <is>
          <t>Corporate</t>
        </is>
      </c>
      <c r="I5328" s="7" t="n">
        <v>2</v>
      </c>
      <c r="J5328" s="10" t="n">
        <v>43.25</v>
      </c>
      <c r="K5328" s="11" t="n">
        <v>0</v>
      </c>
      <c r="L5328" s="10">
        <f>I5328*J5328*(1-K5328)</f>
        <v/>
      </c>
      <c r="M5328" s="10" t="n">
        <v>49.5</v>
      </c>
      <c r="N5328" s="10">
        <f>L5328-M5328</f>
        <v/>
      </c>
    </row>
    <row r="5329">
      <c r="A5329" s="7" t="inlineStr">
        <is>
          <t>ORD-05676</t>
        </is>
      </c>
      <c r="B5329" s="8" t="n">
        <v>45961</v>
      </c>
      <c r="C5329" s="9" t="n">
        <v>45931</v>
      </c>
      <c r="D5329" s="7" t="n">
        <v>2025</v>
      </c>
      <c r="E5329" s="7" t="inlineStr">
        <is>
          <t>West</t>
        </is>
      </c>
      <c r="F5329" s="7" t="inlineStr">
        <is>
          <t>Office Supplies</t>
        </is>
      </c>
      <c r="G5329" s="7" t="inlineStr">
        <is>
          <t>Binder</t>
        </is>
      </c>
      <c r="H5329" s="7" t="inlineStr">
        <is>
          <t>Consumer</t>
        </is>
      </c>
      <c r="I5329" s="7" t="n">
        <v>14</v>
      </c>
      <c r="J5329" s="10" t="n">
        <v>7.86</v>
      </c>
      <c r="K5329" s="11" t="n">
        <v>0</v>
      </c>
      <c r="L5329" s="10">
        <f>I5329*J5329*(1-K5329)</f>
        <v/>
      </c>
      <c r="M5329" s="10" t="n">
        <v>44.8</v>
      </c>
      <c r="N5329" s="10">
        <f>L5329-M5329</f>
        <v/>
      </c>
    </row>
    <row r="5330">
      <c r="A5330" s="7" t="inlineStr">
        <is>
          <t>ORD-04030</t>
        </is>
      </c>
      <c r="B5330" s="8" t="n">
        <v>45962</v>
      </c>
      <c r="C5330" s="9" t="n">
        <v>45962</v>
      </c>
      <c r="D5330" s="7" t="n">
        <v>2025</v>
      </c>
      <c r="E5330" s="7" t="inlineStr">
        <is>
          <t>South</t>
        </is>
      </c>
      <c r="F5330" s="7" t="inlineStr">
        <is>
          <t>Office Supplies</t>
        </is>
      </c>
      <c r="G5330" s="7" t="inlineStr">
        <is>
          <t>Paper</t>
        </is>
      </c>
      <c r="H5330" s="7" t="inlineStr">
        <is>
          <t>Consumer</t>
        </is>
      </c>
      <c r="I5330" s="7" t="n">
        <v>8</v>
      </c>
      <c r="J5330" s="10" t="n">
        <v>26.19</v>
      </c>
      <c r="K5330" s="11" t="n">
        <v>0.1</v>
      </c>
      <c r="L5330" s="10">
        <f>I5330*J5330*(1-K5330)</f>
        <v/>
      </c>
      <c r="M5330" s="10" t="n">
        <v>100</v>
      </c>
      <c r="N5330" s="10">
        <f>L5330-M5330</f>
        <v/>
      </c>
    </row>
    <row r="5331">
      <c r="A5331" s="7" t="inlineStr">
        <is>
          <t>ORD-05355</t>
        </is>
      </c>
      <c r="B5331" s="8" t="n">
        <v>45962</v>
      </c>
      <c r="C5331" s="9" t="n">
        <v>45962</v>
      </c>
      <c r="D5331" s="7" t="n">
        <v>2025</v>
      </c>
      <c r="E5331" s="7" t="inlineStr">
        <is>
          <t>East</t>
        </is>
      </c>
      <c r="F5331" s="7" t="inlineStr">
        <is>
          <t>Office Supplies</t>
        </is>
      </c>
      <c r="G5331" s="7" t="inlineStr">
        <is>
          <t>Pens</t>
        </is>
      </c>
      <c r="H5331" s="7" t="inlineStr">
        <is>
          <t>Corporate</t>
        </is>
      </c>
      <c r="I5331" s="7" t="n">
        <v>5</v>
      </c>
      <c r="J5331" s="10" t="n">
        <v>12.45</v>
      </c>
      <c r="K5331" s="11" t="n">
        <v>0</v>
      </c>
      <c r="L5331" s="10">
        <f>I5331*J5331*(1-K5331)</f>
        <v/>
      </c>
      <c r="M5331" s="10" t="n">
        <v>27</v>
      </c>
      <c r="N5331" s="10">
        <f>L5331-M5331</f>
        <v/>
      </c>
    </row>
    <row r="5332">
      <c r="A5332" s="7" t="inlineStr">
        <is>
          <t>ORD-04100</t>
        </is>
      </c>
      <c r="B5332" s="8" t="n">
        <v>45962</v>
      </c>
      <c r="C5332" s="9" t="n">
        <v>45962</v>
      </c>
      <c r="D5332" s="7" t="n">
        <v>2025</v>
      </c>
      <c r="E5332" s="7" t="inlineStr">
        <is>
          <t>West</t>
        </is>
      </c>
      <c r="F5332" s="7" t="inlineStr">
        <is>
          <t>Technology</t>
        </is>
      </c>
      <c r="G5332" s="7" t="inlineStr">
        <is>
          <t>Monitor</t>
        </is>
      </c>
      <c r="H5332" s="7" t="inlineStr">
        <is>
          <t>Home Office</t>
        </is>
      </c>
      <c r="I5332" s="7" t="n">
        <v>2</v>
      </c>
      <c r="J5332" s="10" t="n">
        <v>248.32</v>
      </c>
      <c r="K5332" s="11" t="n">
        <v>0.1</v>
      </c>
      <c r="L5332" s="10">
        <f>I5332*J5332*(1-K5332)</f>
        <v/>
      </c>
      <c r="M5332" s="10" t="n">
        <v>360</v>
      </c>
      <c r="N5332" s="10">
        <f>L5332-M5332</f>
        <v/>
      </c>
    </row>
    <row r="5333">
      <c r="A5333" s="7" t="inlineStr">
        <is>
          <t>ORD-03563</t>
        </is>
      </c>
      <c r="B5333" s="8" t="n">
        <v>45962</v>
      </c>
      <c r="C5333" s="9" t="n">
        <v>45962</v>
      </c>
      <c r="D5333" s="7" t="n">
        <v>2025</v>
      </c>
      <c r="E5333" s="7" t="inlineStr">
        <is>
          <t>West</t>
        </is>
      </c>
      <c r="F5333" s="7" t="inlineStr">
        <is>
          <t>Technology</t>
        </is>
      </c>
      <c r="G5333" s="7" t="inlineStr">
        <is>
          <t>Smartphone</t>
        </is>
      </c>
      <c r="H5333" s="7" t="inlineStr">
        <is>
          <t>Corporate</t>
        </is>
      </c>
      <c r="I5333" s="7" t="n">
        <v>2</v>
      </c>
      <c r="J5333" s="10" t="n">
        <v>609.61</v>
      </c>
      <c r="K5333" s="11" t="n">
        <v>0.05</v>
      </c>
      <c r="L5333" s="10">
        <f>I5333*J5333*(1-K5333)</f>
        <v/>
      </c>
      <c r="M5333" s="10" t="n">
        <v>900</v>
      </c>
      <c r="N5333" s="10">
        <f>L5333-M5333</f>
        <v/>
      </c>
    </row>
    <row r="5334">
      <c r="A5334" s="7" t="inlineStr">
        <is>
          <t>ORD-01955</t>
        </is>
      </c>
      <c r="B5334" s="8" t="n">
        <v>45963</v>
      </c>
      <c r="C5334" s="9" t="n">
        <v>45962</v>
      </c>
      <c r="D5334" s="7" t="n">
        <v>2025</v>
      </c>
      <c r="E5334" s="7" t="inlineStr">
        <is>
          <t>North</t>
        </is>
      </c>
      <c r="F5334" s="7" t="inlineStr">
        <is>
          <t>Office Supplies</t>
        </is>
      </c>
      <c r="G5334" s="7" t="inlineStr">
        <is>
          <t>Binder</t>
        </is>
      </c>
      <c r="H5334" s="7" t="inlineStr">
        <is>
          <t>Home Office</t>
        </is>
      </c>
      <c r="I5334" s="7" t="n">
        <v>14</v>
      </c>
      <c r="J5334" s="10" t="n">
        <v>7.78</v>
      </c>
      <c r="K5334" s="11" t="n">
        <v>0</v>
      </c>
      <c r="L5334" s="10">
        <f>I5334*J5334*(1-K5334)</f>
        <v/>
      </c>
      <c r="M5334" s="10" t="n">
        <v>44.8</v>
      </c>
      <c r="N5334" s="10">
        <f>L5334-M5334</f>
        <v/>
      </c>
    </row>
    <row r="5335">
      <c r="A5335" s="7" t="inlineStr">
        <is>
          <t>ORD-01875</t>
        </is>
      </c>
      <c r="B5335" s="8" t="n">
        <v>45963</v>
      </c>
      <c r="C5335" s="9" t="n">
        <v>45962</v>
      </c>
      <c r="D5335" s="7" t="n">
        <v>2025</v>
      </c>
      <c r="E5335" s="7" t="inlineStr">
        <is>
          <t>East</t>
        </is>
      </c>
      <c r="F5335" s="7" t="inlineStr">
        <is>
          <t>Technology</t>
        </is>
      </c>
      <c r="G5335" s="7" t="inlineStr">
        <is>
          <t>Smartphone</t>
        </is>
      </c>
      <c r="H5335" s="7" t="inlineStr">
        <is>
          <t>Corporate</t>
        </is>
      </c>
      <c r="I5335" s="7" t="n">
        <v>3</v>
      </c>
      <c r="J5335" s="10" t="n">
        <v>602.36</v>
      </c>
      <c r="K5335" s="11" t="n">
        <v>0</v>
      </c>
      <c r="L5335" s="10">
        <f>I5335*J5335*(1-K5335)</f>
        <v/>
      </c>
      <c r="M5335" s="10" t="n">
        <v>1350</v>
      </c>
      <c r="N5335" s="10">
        <f>L5335-M5335</f>
        <v/>
      </c>
    </row>
    <row r="5336">
      <c r="A5336" s="7" t="inlineStr">
        <is>
          <t>ORD-03732</t>
        </is>
      </c>
      <c r="B5336" s="8" t="n">
        <v>45963</v>
      </c>
      <c r="C5336" s="9" t="n">
        <v>45962</v>
      </c>
      <c r="D5336" s="7" t="n">
        <v>2025</v>
      </c>
      <c r="E5336" s="7" t="inlineStr">
        <is>
          <t>East</t>
        </is>
      </c>
      <c r="F5336" s="7" t="inlineStr">
        <is>
          <t>Office Supplies</t>
        </is>
      </c>
      <c r="G5336" s="7" t="inlineStr">
        <is>
          <t>Pens</t>
        </is>
      </c>
      <c r="H5336" s="7" t="inlineStr">
        <is>
          <t>Corporate</t>
        </is>
      </c>
      <c r="I5336" s="7" t="n">
        <v>14</v>
      </c>
      <c r="J5336" s="10" t="n">
        <v>12.39</v>
      </c>
      <c r="K5336" s="11" t="n">
        <v>0.05</v>
      </c>
      <c r="L5336" s="10">
        <f>I5336*J5336*(1-K5336)</f>
        <v/>
      </c>
      <c r="M5336" s="10" t="n">
        <v>75.59999999999999</v>
      </c>
      <c r="N5336" s="10">
        <f>L5336-M5336</f>
        <v/>
      </c>
    </row>
    <row r="5337">
      <c r="A5337" s="7" t="inlineStr">
        <is>
          <t>ORD-05729</t>
        </is>
      </c>
      <c r="B5337" s="8" t="n">
        <v>45963</v>
      </c>
      <c r="C5337" s="9" t="n">
        <v>45962</v>
      </c>
      <c r="D5337" s="7" t="n">
        <v>2025</v>
      </c>
      <c r="E5337" s="7" t="inlineStr">
        <is>
          <t>South</t>
        </is>
      </c>
      <c r="F5337" s="7" t="inlineStr">
        <is>
          <t>Technology</t>
        </is>
      </c>
      <c r="G5337" s="7" t="inlineStr">
        <is>
          <t>Keyboard</t>
        </is>
      </c>
      <c r="H5337" s="7" t="inlineStr">
        <is>
          <t>Home Office</t>
        </is>
      </c>
      <c r="I5337" s="7" t="n">
        <v>1</v>
      </c>
      <c r="J5337" s="10" t="n">
        <v>43.94</v>
      </c>
      <c r="K5337" s="11" t="n">
        <v>0.05</v>
      </c>
      <c r="L5337" s="10">
        <f>I5337*J5337*(1-K5337)</f>
        <v/>
      </c>
      <c r="M5337" s="10" t="n">
        <v>24.75</v>
      </c>
      <c r="N5337" s="10">
        <f>L5337-M5337</f>
        <v/>
      </c>
    </row>
    <row r="5338">
      <c r="A5338" s="7" t="inlineStr">
        <is>
          <t>ORD-01852</t>
        </is>
      </c>
      <c r="B5338" s="8" t="n">
        <v>45963</v>
      </c>
      <c r="C5338" s="9" t="n">
        <v>45962</v>
      </c>
      <c r="D5338" s="7" t="n">
        <v>2025</v>
      </c>
      <c r="E5338" s="7" t="inlineStr">
        <is>
          <t>North</t>
        </is>
      </c>
      <c r="F5338" s="7" t="inlineStr">
        <is>
          <t>Office Supplies</t>
        </is>
      </c>
      <c r="G5338" s="7" t="inlineStr">
        <is>
          <t>Pens</t>
        </is>
      </c>
      <c r="H5338" s="7" t="inlineStr">
        <is>
          <t>Consumer</t>
        </is>
      </c>
      <c r="I5338" s="7" t="n">
        <v>12</v>
      </c>
      <c r="J5338" s="10" t="n">
        <v>11.85</v>
      </c>
      <c r="K5338" s="11" t="n">
        <v>0.3</v>
      </c>
      <c r="L5338" s="10">
        <f>I5338*J5338*(1-K5338)</f>
        <v/>
      </c>
      <c r="M5338" s="10" t="n">
        <v>64.8</v>
      </c>
      <c r="N5338" s="10">
        <f>L5338-M5338</f>
        <v/>
      </c>
    </row>
    <row r="5339">
      <c r="A5339" s="7" t="inlineStr">
        <is>
          <t>ORD-04471</t>
        </is>
      </c>
      <c r="B5339" s="8" t="n">
        <v>45963</v>
      </c>
      <c r="C5339" s="9" t="n">
        <v>45962</v>
      </c>
      <c r="D5339" s="7" t="n">
        <v>2025</v>
      </c>
      <c r="E5339" s="7" t="inlineStr">
        <is>
          <t>West</t>
        </is>
      </c>
      <c r="F5339" s="7" t="inlineStr">
        <is>
          <t>Technology</t>
        </is>
      </c>
      <c r="G5339" s="7" t="inlineStr">
        <is>
          <t>Smartphone</t>
        </is>
      </c>
      <c r="H5339" s="7" t="inlineStr">
        <is>
          <t>Consumer</t>
        </is>
      </c>
      <c r="I5339" s="7" t="n">
        <v>3</v>
      </c>
      <c r="J5339" s="10" t="n">
        <v>584.35</v>
      </c>
      <c r="K5339" s="11" t="n">
        <v>0</v>
      </c>
      <c r="L5339" s="10">
        <f>I5339*J5339*(1-K5339)</f>
        <v/>
      </c>
      <c r="M5339" s="10" t="n">
        <v>1350</v>
      </c>
      <c r="N5339" s="10">
        <f>L5339-M5339</f>
        <v/>
      </c>
    </row>
    <row r="5340">
      <c r="A5340" s="7" t="inlineStr">
        <is>
          <t>ORD-05994</t>
        </is>
      </c>
      <c r="B5340" s="8" t="n">
        <v>45964</v>
      </c>
      <c r="C5340" s="9" t="n">
        <v>45962</v>
      </c>
      <c r="D5340" s="7" t="n">
        <v>2025</v>
      </c>
      <c r="E5340" s="7" t="inlineStr">
        <is>
          <t>East</t>
        </is>
      </c>
      <c r="F5340" s="7" t="inlineStr">
        <is>
          <t>Office Supplies</t>
        </is>
      </c>
      <c r="G5340" s="7" t="inlineStr">
        <is>
          <t>Paper</t>
        </is>
      </c>
      <c r="H5340" s="7" t="inlineStr">
        <is>
          <t>Consumer</t>
        </is>
      </c>
      <c r="I5340" s="7" t="n">
        <v>11</v>
      </c>
      <c r="J5340" s="10" t="n">
        <v>25.24</v>
      </c>
      <c r="K5340" s="11" t="n">
        <v>0.2</v>
      </c>
      <c r="L5340" s="10">
        <f>I5340*J5340*(1-K5340)</f>
        <v/>
      </c>
      <c r="M5340" s="10" t="n">
        <v>137.5</v>
      </c>
      <c r="N5340" s="10">
        <f>L5340-M5340</f>
        <v/>
      </c>
    </row>
    <row r="5341">
      <c r="A5341" s="7" t="inlineStr">
        <is>
          <t>ORD-05798</t>
        </is>
      </c>
      <c r="B5341" s="8" t="n">
        <v>45964</v>
      </c>
      <c r="C5341" s="9" t="n">
        <v>45962</v>
      </c>
      <c r="D5341" s="7" t="n">
        <v>2025</v>
      </c>
      <c r="E5341" s="7" t="inlineStr">
        <is>
          <t>East</t>
        </is>
      </c>
      <c r="F5341" s="7" t="inlineStr">
        <is>
          <t>Office Supplies</t>
        </is>
      </c>
      <c r="G5341" s="7" t="inlineStr">
        <is>
          <t>Paper</t>
        </is>
      </c>
      <c r="H5341" s="7" t="inlineStr">
        <is>
          <t>Consumer</t>
        </is>
      </c>
      <c r="I5341" s="7" t="n">
        <v>12</v>
      </c>
      <c r="J5341" s="10" t="n">
        <v>26.14</v>
      </c>
      <c r="K5341" s="11" t="n">
        <v>0.05</v>
      </c>
      <c r="L5341" s="10">
        <f>I5341*J5341*(1-K5341)</f>
        <v/>
      </c>
      <c r="M5341" s="10" t="n">
        <v>150</v>
      </c>
      <c r="N5341" s="10">
        <f>L5341-M5341</f>
        <v/>
      </c>
    </row>
    <row r="5342">
      <c r="A5342" s="7" t="inlineStr">
        <is>
          <t>ORD-00554</t>
        </is>
      </c>
      <c r="B5342" s="8" t="n">
        <v>45964</v>
      </c>
      <c r="C5342" s="9" t="n">
        <v>45962</v>
      </c>
      <c r="D5342" s="7" t="n">
        <v>2025</v>
      </c>
      <c r="E5342" s="7" t="inlineStr">
        <is>
          <t>West</t>
        </is>
      </c>
      <c r="F5342" s="7" t="inlineStr">
        <is>
          <t>Office Supplies</t>
        </is>
      </c>
      <c r="G5342" s="7" t="inlineStr">
        <is>
          <t>Binder</t>
        </is>
      </c>
      <c r="H5342" s="7" t="inlineStr">
        <is>
          <t>Corporate</t>
        </is>
      </c>
      <c r="I5342" s="7" t="n">
        <v>15</v>
      </c>
      <c r="J5342" s="10" t="n">
        <v>7.68</v>
      </c>
      <c r="K5342" s="11" t="n">
        <v>0.1</v>
      </c>
      <c r="L5342" s="10">
        <f>I5342*J5342*(1-K5342)</f>
        <v/>
      </c>
      <c r="M5342" s="10" t="n">
        <v>48</v>
      </c>
      <c r="N5342" s="10">
        <f>L5342-M5342</f>
        <v/>
      </c>
    </row>
    <row r="5343">
      <c r="A5343" s="7" t="inlineStr">
        <is>
          <t>ORD-04157</t>
        </is>
      </c>
      <c r="B5343" s="8" t="n">
        <v>45964</v>
      </c>
      <c r="C5343" s="9" t="n">
        <v>45962</v>
      </c>
      <c r="D5343" s="7" t="n">
        <v>2025</v>
      </c>
      <c r="E5343" s="7" t="inlineStr">
        <is>
          <t>East</t>
        </is>
      </c>
      <c r="F5343" s="7" t="inlineStr">
        <is>
          <t>Technology</t>
        </is>
      </c>
      <c r="G5343" s="7" t="inlineStr">
        <is>
          <t>Laptop</t>
        </is>
      </c>
      <c r="H5343" s="7" t="inlineStr">
        <is>
          <t>Consumer</t>
        </is>
      </c>
      <c r="I5343" s="7" t="n">
        <v>3</v>
      </c>
      <c r="J5343" s="10" t="n">
        <v>898.8200000000001</v>
      </c>
      <c r="K5343" s="11" t="n">
        <v>0</v>
      </c>
      <c r="L5343" s="10">
        <f>I5343*J5343*(1-K5343)</f>
        <v/>
      </c>
      <c r="M5343" s="10" t="n">
        <v>2106</v>
      </c>
      <c r="N5343" s="10">
        <f>L5343-M5343</f>
        <v/>
      </c>
    </row>
    <row r="5344">
      <c r="A5344" s="7" t="inlineStr">
        <is>
          <t>ORD-03404</t>
        </is>
      </c>
      <c r="B5344" s="8" t="n">
        <v>45964</v>
      </c>
      <c r="C5344" s="9" t="n">
        <v>45962</v>
      </c>
      <c r="D5344" s="7" t="n">
        <v>2025</v>
      </c>
      <c r="E5344" s="7" t="inlineStr">
        <is>
          <t>East</t>
        </is>
      </c>
      <c r="F5344" s="7" t="inlineStr">
        <is>
          <t>Office Supplies</t>
        </is>
      </c>
      <c r="G5344" s="7" t="inlineStr">
        <is>
          <t>Paper</t>
        </is>
      </c>
      <c r="H5344" s="7" t="inlineStr">
        <is>
          <t>Corporate</t>
        </is>
      </c>
      <c r="I5344" s="7" t="n">
        <v>3</v>
      </c>
      <c r="J5344" s="10" t="n">
        <v>25</v>
      </c>
      <c r="K5344" s="11" t="n">
        <v>0.1</v>
      </c>
      <c r="L5344" s="10">
        <f>I5344*J5344*(1-K5344)</f>
        <v/>
      </c>
      <c r="M5344" s="10" t="n">
        <v>37.5</v>
      </c>
      <c r="N5344" s="10">
        <f>L5344-M5344</f>
        <v/>
      </c>
    </row>
    <row r="5345">
      <c r="A5345" s="7" t="inlineStr">
        <is>
          <t>ORD-04105</t>
        </is>
      </c>
      <c r="B5345" s="8" t="n">
        <v>45964</v>
      </c>
      <c r="C5345" s="9" t="n">
        <v>45962</v>
      </c>
      <c r="D5345" s="7" t="n">
        <v>2025</v>
      </c>
      <c r="E5345" s="7" t="inlineStr">
        <is>
          <t>South</t>
        </is>
      </c>
      <c r="F5345" s="7" t="inlineStr">
        <is>
          <t>Technology</t>
        </is>
      </c>
      <c r="G5345" s="7" t="inlineStr">
        <is>
          <t>Headphones</t>
        </is>
      </c>
      <c r="H5345" s="7" t="inlineStr">
        <is>
          <t>Corporate</t>
        </is>
      </c>
      <c r="I5345" s="7" t="n">
        <v>1</v>
      </c>
      <c r="J5345" s="10" t="n">
        <v>122.35</v>
      </c>
      <c r="K5345" s="11" t="n">
        <v>0.3</v>
      </c>
      <c r="L5345" s="10">
        <f>I5345*J5345*(1-K5345)</f>
        <v/>
      </c>
      <c r="M5345" s="10" t="n">
        <v>72</v>
      </c>
      <c r="N5345" s="10">
        <f>L5345-M5345</f>
        <v/>
      </c>
    </row>
    <row r="5346">
      <c r="A5346" s="7" t="inlineStr">
        <is>
          <t>ORD-01034</t>
        </is>
      </c>
      <c r="B5346" s="8" t="n">
        <v>45964</v>
      </c>
      <c r="C5346" s="9" t="n">
        <v>45962</v>
      </c>
      <c r="D5346" s="7" t="n">
        <v>2025</v>
      </c>
      <c r="E5346" s="7" t="inlineStr">
        <is>
          <t>West</t>
        </is>
      </c>
      <c r="F5346" s="7" t="inlineStr">
        <is>
          <t>Office Supplies</t>
        </is>
      </c>
      <c r="G5346" s="7" t="inlineStr">
        <is>
          <t>Pens</t>
        </is>
      </c>
      <c r="H5346" s="7" t="inlineStr">
        <is>
          <t>Consumer</t>
        </is>
      </c>
      <c r="I5346" s="7" t="n">
        <v>15</v>
      </c>
      <c r="J5346" s="10" t="n">
        <v>11.46</v>
      </c>
      <c r="K5346" s="11" t="n">
        <v>0.3</v>
      </c>
      <c r="L5346" s="10">
        <f>I5346*J5346*(1-K5346)</f>
        <v/>
      </c>
      <c r="M5346" s="10" t="n">
        <v>81</v>
      </c>
      <c r="N5346" s="10">
        <f>L5346-M5346</f>
        <v/>
      </c>
    </row>
    <row r="5347">
      <c r="A5347" s="7" t="inlineStr">
        <is>
          <t>ORD-03662</t>
        </is>
      </c>
      <c r="B5347" s="8" t="n">
        <v>45964</v>
      </c>
      <c r="C5347" s="9" t="n">
        <v>45962</v>
      </c>
      <c r="D5347" s="7" t="n">
        <v>2025</v>
      </c>
      <c r="E5347" s="7" t="inlineStr">
        <is>
          <t>South</t>
        </is>
      </c>
      <c r="F5347" s="7" t="inlineStr">
        <is>
          <t>Office Supplies</t>
        </is>
      </c>
      <c r="G5347" s="7" t="inlineStr">
        <is>
          <t>Stapler</t>
        </is>
      </c>
      <c r="H5347" s="7" t="inlineStr">
        <is>
          <t>Corporate</t>
        </is>
      </c>
      <c r="I5347" s="7" t="n">
        <v>15</v>
      </c>
      <c r="J5347" s="10" t="n">
        <v>15.54</v>
      </c>
      <c r="K5347" s="11" t="n">
        <v>0</v>
      </c>
      <c r="L5347" s="10">
        <f>I5347*J5347*(1-K5347)</f>
        <v/>
      </c>
      <c r="M5347" s="10" t="n">
        <v>112.5</v>
      </c>
      <c r="N5347" s="10">
        <f>L5347-M5347</f>
        <v/>
      </c>
    </row>
    <row r="5348">
      <c r="A5348" s="7" t="inlineStr">
        <is>
          <t>ORD-01649</t>
        </is>
      </c>
      <c r="B5348" s="8" t="n">
        <v>45964</v>
      </c>
      <c r="C5348" s="9" t="n">
        <v>45962</v>
      </c>
      <c r="D5348" s="7" t="n">
        <v>2025</v>
      </c>
      <c r="E5348" s="7" t="inlineStr">
        <is>
          <t>West</t>
        </is>
      </c>
      <c r="F5348" s="7" t="inlineStr">
        <is>
          <t>Office Supplies</t>
        </is>
      </c>
      <c r="G5348" s="7" t="inlineStr">
        <is>
          <t>Paper</t>
        </is>
      </c>
      <c r="H5348" s="7" t="inlineStr">
        <is>
          <t>Consumer</t>
        </is>
      </c>
      <c r="I5348" s="7" t="n">
        <v>15</v>
      </c>
      <c r="J5348" s="10" t="n">
        <v>25.98</v>
      </c>
      <c r="K5348" s="11" t="n">
        <v>0</v>
      </c>
      <c r="L5348" s="10">
        <f>I5348*J5348*(1-K5348)</f>
        <v/>
      </c>
      <c r="M5348" s="10" t="n">
        <v>187.5</v>
      </c>
      <c r="N5348" s="10">
        <f>L5348-M5348</f>
        <v/>
      </c>
    </row>
    <row r="5349">
      <c r="A5349" s="7" t="inlineStr">
        <is>
          <t>ORD-03930</t>
        </is>
      </c>
      <c r="B5349" s="8" t="n">
        <v>45965</v>
      </c>
      <c r="C5349" s="9" t="n">
        <v>45962</v>
      </c>
      <c r="D5349" s="7" t="n">
        <v>2025</v>
      </c>
      <c r="E5349" s="7" t="inlineStr">
        <is>
          <t>East</t>
        </is>
      </c>
      <c r="F5349" s="7" t="inlineStr">
        <is>
          <t>Office Supplies</t>
        </is>
      </c>
      <c r="G5349" s="7" t="inlineStr">
        <is>
          <t>Binder</t>
        </is>
      </c>
      <c r="H5349" s="7" t="inlineStr">
        <is>
          <t>Consumer</t>
        </is>
      </c>
      <c r="I5349" s="7" t="n">
        <v>11</v>
      </c>
      <c r="J5349" s="10" t="n">
        <v>8.32</v>
      </c>
      <c r="K5349" s="11" t="n">
        <v>0.1</v>
      </c>
      <c r="L5349" s="10">
        <f>I5349*J5349*(1-K5349)</f>
        <v/>
      </c>
      <c r="M5349" s="10" t="n">
        <v>35.2</v>
      </c>
      <c r="N5349" s="10">
        <f>L5349-M5349</f>
        <v/>
      </c>
    </row>
    <row r="5350">
      <c r="A5350" s="7" t="inlineStr">
        <is>
          <t>ORD-04735</t>
        </is>
      </c>
      <c r="B5350" s="8" t="n">
        <v>45965</v>
      </c>
      <c r="C5350" s="9" t="n">
        <v>45962</v>
      </c>
      <c r="D5350" s="7" t="n">
        <v>2025</v>
      </c>
      <c r="E5350" s="7" t="inlineStr">
        <is>
          <t>West</t>
        </is>
      </c>
      <c r="F5350" s="7" t="inlineStr">
        <is>
          <t>Office Supplies</t>
        </is>
      </c>
      <c r="G5350" s="7" t="inlineStr">
        <is>
          <t>Stapler</t>
        </is>
      </c>
      <c r="H5350" s="7" t="inlineStr">
        <is>
          <t>Consumer</t>
        </is>
      </c>
      <c r="I5350" s="7" t="n">
        <v>4</v>
      </c>
      <c r="J5350" s="10" t="n">
        <v>15.02</v>
      </c>
      <c r="K5350" s="11" t="n">
        <v>0</v>
      </c>
      <c r="L5350" s="10">
        <f>I5350*J5350*(1-K5350)</f>
        <v/>
      </c>
      <c r="M5350" s="10" t="n">
        <v>30</v>
      </c>
      <c r="N5350" s="10">
        <f>L5350-M5350</f>
        <v/>
      </c>
    </row>
    <row r="5351">
      <c r="A5351" s="7" t="inlineStr">
        <is>
          <t>ORD-04287</t>
        </is>
      </c>
      <c r="B5351" s="8" t="n">
        <v>45965</v>
      </c>
      <c r="C5351" s="9" t="n">
        <v>45962</v>
      </c>
      <c r="D5351" s="7" t="n">
        <v>2025</v>
      </c>
      <c r="E5351" s="7" t="inlineStr">
        <is>
          <t>North</t>
        </is>
      </c>
      <c r="F5351" s="7" t="inlineStr">
        <is>
          <t>Office Supplies</t>
        </is>
      </c>
      <c r="G5351" s="7" t="inlineStr">
        <is>
          <t>Pens</t>
        </is>
      </c>
      <c r="H5351" s="7" t="inlineStr">
        <is>
          <t>Consumer</t>
        </is>
      </c>
      <c r="I5351" s="7" t="n">
        <v>2</v>
      </c>
      <c r="J5351" s="10" t="n">
        <v>11.63</v>
      </c>
      <c r="K5351" s="11" t="n">
        <v>0</v>
      </c>
      <c r="L5351" s="10">
        <f>I5351*J5351*(1-K5351)</f>
        <v/>
      </c>
      <c r="M5351" s="10" t="n">
        <v>10.8</v>
      </c>
      <c r="N5351" s="10">
        <f>L5351-M5351</f>
        <v/>
      </c>
    </row>
    <row r="5352">
      <c r="A5352" s="7" t="inlineStr">
        <is>
          <t>ORD-04830</t>
        </is>
      </c>
      <c r="B5352" s="8" t="n">
        <v>45965</v>
      </c>
      <c r="C5352" s="9" t="n">
        <v>45962</v>
      </c>
      <c r="D5352" s="7" t="n">
        <v>2025</v>
      </c>
      <c r="E5352" s="7" t="inlineStr">
        <is>
          <t>East</t>
        </is>
      </c>
      <c r="F5352" s="7" t="inlineStr">
        <is>
          <t>Technology</t>
        </is>
      </c>
      <c r="G5352" s="7" t="inlineStr">
        <is>
          <t>Laptop</t>
        </is>
      </c>
      <c r="H5352" s="7" t="inlineStr">
        <is>
          <t>Corporate</t>
        </is>
      </c>
      <c r="I5352" s="7" t="n">
        <v>2</v>
      </c>
      <c r="J5352" s="10" t="n">
        <v>865.42</v>
      </c>
      <c r="K5352" s="11" t="n">
        <v>0.05</v>
      </c>
      <c r="L5352" s="10">
        <f>I5352*J5352*(1-K5352)</f>
        <v/>
      </c>
      <c r="M5352" s="10" t="n">
        <v>1404</v>
      </c>
      <c r="N5352" s="10">
        <f>L5352-M5352</f>
        <v/>
      </c>
    </row>
    <row r="5353">
      <c r="A5353" s="7" t="inlineStr">
        <is>
          <t>ORD-03478</t>
        </is>
      </c>
      <c r="B5353" s="8" t="n">
        <v>45965</v>
      </c>
      <c r="C5353" s="9" t="n">
        <v>45962</v>
      </c>
      <c r="D5353" s="7" t="n">
        <v>2025</v>
      </c>
      <c r="E5353" s="7" t="inlineStr">
        <is>
          <t>South</t>
        </is>
      </c>
      <c r="F5353" s="7" t="inlineStr">
        <is>
          <t>Technology</t>
        </is>
      </c>
      <c r="G5353" s="7" t="inlineStr">
        <is>
          <t>Monitor</t>
        </is>
      </c>
      <c r="H5353" s="7" t="inlineStr">
        <is>
          <t>Home Office</t>
        </is>
      </c>
      <c r="I5353" s="7" t="n">
        <v>3</v>
      </c>
      <c r="J5353" s="10" t="n">
        <v>239.34</v>
      </c>
      <c r="K5353" s="11" t="n">
        <v>0</v>
      </c>
      <c r="L5353" s="10">
        <f>I5353*J5353*(1-K5353)</f>
        <v/>
      </c>
      <c r="M5353" s="10" t="n">
        <v>540</v>
      </c>
      <c r="N5353" s="10">
        <f>L5353-M5353</f>
        <v/>
      </c>
    </row>
    <row r="5354">
      <c r="A5354" s="7" t="inlineStr">
        <is>
          <t>ORD-00101</t>
        </is>
      </c>
      <c r="B5354" s="8" t="n">
        <v>45965</v>
      </c>
      <c r="C5354" s="9" t="n">
        <v>45962</v>
      </c>
      <c r="D5354" s="7" t="n">
        <v>2025</v>
      </c>
      <c r="E5354" s="7" t="inlineStr">
        <is>
          <t>East</t>
        </is>
      </c>
      <c r="F5354" s="7" t="inlineStr">
        <is>
          <t>Furniture</t>
        </is>
      </c>
      <c r="G5354" s="7" t="inlineStr">
        <is>
          <t>Bookcase</t>
        </is>
      </c>
      <c r="H5354" s="7" t="inlineStr">
        <is>
          <t>Consumer</t>
        </is>
      </c>
      <c r="I5354" s="7" t="n">
        <v>2</v>
      </c>
      <c r="J5354" s="10" t="n">
        <v>174.92</v>
      </c>
      <c r="K5354" s="11" t="n">
        <v>0</v>
      </c>
      <c r="L5354" s="10">
        <f>I5354*J5354*(1-K5354)</f>
        <v/>
      </c>
      <c r="M5354" s="10" t="n">
        <v>288</v>
      </c>
      <c r="N5354" s="10">
        <f>L5354-M5354</f>
        <v/>
      </c>
    </row>
    <row r="5355">
      <c r="A5355" s="7" t="inlineStr">
        <is>
          <t>ORD-00577</t>
        </is>
      </c>
      <c r="B5355" s="8" t="n">
        <v>45965</v>
      </c>
      <c r="C5355" s="9" t="n">
        <v>45962</v>
      </c>
      <c r="D5355" s="7" t="n">
        <v>2025</v>
      </c>
      <c r="E5355" s="7" t="inlineStr">
        <is>
          <t>East</t>
        </is>
      </c>
      <c r="F5355" s="7" t="inlineStr">
        <is>
          <t>Office Supplies</t>
        </is>
      </c>
      <c r="G5355" s="7" t="inlineStr">
        <is>
          <t>Binder</t>
        </is>
      </c>
      <c r="H5355" s="7" t="inlineStr">
        <is>
          <t>Consumer</t>
        </is>
      </c>
      <c r="I5355" s="7" t="n">
        <v>2</v>
      </c>
      <c r="J5355" s="10" t="n">
        <v>7.66</v>
      </c>
      <c r="K5355" s="11" t="n">
        <v>0</v>
      </c>
      <c r="L5355" s="10">
        <f>I5355*J5355*(1-K5355)</f>
        <v/>
      </c>
      <c r="M5355" s="10" t="n">
        <v>6.4</v>
      </c>
      <c r="N5355" s="10">
        <f>L5355-M5355</f>
        <v/>
      </c>
    </row>
    <row r="5356">
      <c r="A5356" s="7" t="inlineStr">
        <is>
          <t>ORD-02257</t>
        </is>
      </c>
      <c r="B5356" s="8" t="n">
        <v>45965</v>
      </c>
      <c r="C5356" s="9" t="n">
        <v>45962</v>
      </c>
      <c r="D5356" s="7" t="n">
        <v>2025</v>
      </c>
      <c r="E5356" s="7" t="inlineStr">
        <is>
          <t>South</t>
        </is>
      </c>
      <c r="F5356" s="7" t="inlineStr">
        <is>
          <t>Office Supplies</t>
        </is>
      </c>
      <c r="G5356" s="7" t="inlineStr">
        <is>
          <t>Pens</t>
        </is>
      </c>
      <c r="H5356" s="7" t="inlineStr">
        <is>
          <t>Consumer</t>
        </is>
      </c>
      <c r="I5356" s="7" t="n">
        <v>10</v>
      </c>
      <c r="J5356" s="10" t="n">
        <v>12.12</v>
      </c>
      <c r="K5356" s="11" t="n">
        <v>0</v>
      </c>
      <c r="L5356" s="10">
        <f>I5356*J5356*(1-K5356)</f>
        <v/>
      </c>
      <c r="M5356" s="10" t="n">
        <v>54</v>
      </c>
      <c r="N5356" s="10">
        <f>L5356-M5356</f>
        <v/>
      </c>
    </row>
    <row r="5357">
      <c r="A5357" s="7" t="inlineStr">
        <is>
          <t>ORD-01564</t>
        </is>
      </c>
      <c r="B5357" s="8" t="n">
        <v>45965</v>
      </c>
      <c r="C5357" s="9" t="n">
        <v>45962</v>
      </c>
      <c r="D5357" s="7" t="n">
        <v>2025</v>
      </c>
      <c r="E5357" s="7" t="inlineStr">
        <is>
          <t>East</t>
        </is>
      </c>
      <c r="F5357" s="7" t="inlineStr">
        <is>
          <t>Office Supplies</t>
        </is>
      </c>
      <c r="G5357" s="7" t="inlineStr">
        <is>
          <t>Paper</t>
        </is>
      </c>
      <c r="H5357" s="7" t="inlineStr">
        <is>
          <t>Consumer</t>
        </is>
      </c>
      <c r="I5357" s="7" t="n">
        <v>5</v>
      </c>
      <c r="J5357" s="10" t="n">
        <v>23.88</v>
      </c>
      <c r="K5357" s="11" t="n">
        <v>0</v>
      </c>
      <c r="L5357" s="10">
        <f>I5357*J5357*(1-K5357)</f>
        <v/>
      </c>
      <c r="M5357" s="10" t="n">
        <v>62.5</v>
      </c>
      <c r="N5357" s="10">
        <f>L5357-M5357</f>
        <v/>
      </c>
    </row>
    <row r="5358">
      <c r="A5358" s="7" t="inlineStr">
        <is>
          <t>ORD-04130</t>
        </is>
      </c>
      <c r="B5358" s="8" t="n">
        <v>45965</v>
      </c>
      <c r="C5358" s="9" t="n">
        <v>45962</v>
      </c>
      <c r="D5358" s="7" t="n">
        <v>2025</v>
      </c>
      <c r="E5358" s="7" t="inlineStr">
        <is>
          <t>East</t>
        </is>
      </c>
      <c r="F5358" s="7" t="inlineStr">
        <is>
          <t>Office Supplies</t>
        </is>
      </c>
      <c r="G5358" s="7" t="inlineStr">
        <is>
          <t>Pens</t>
        </is>
      </c>
      <c r="H5358" s="7" t="inlineStr">
        <is>
          <t>Consumer</t>
        </is>
      </c>
      <c r="I5358" s="7" t="n">
        <v>7</v>
      </c>
      <c r="J5358" s="10" t="n">
        <v>11.76</v>
      </c>
      <c r="K5358" s="11" t="n">
        <v>0.05</v>
      </c>
      <c r="L5358" s="10">
        <f>I5358*J5358*(1-K5358)</f>
        <v/>
      </c>
      <c r="M5358" s="10" t="n">
        <v>37.8</v>
      </c>
      <c r="N5358" s="10">
        <f>L5358-M5358</f>
        <v/>
      </c>
    </row>
    <row r="5359">
      <c r="A5359" s="7" t="inlineStr">
        <is>
          <t>ORD-00695</t>
        </is>
      </c>
      <c r="B5359" s="8" t="n">
        <v>45965</v>
      </c>
      <c r="C5359" s="9" t="n">
        <v>45962</v>
      </c>
      <c r="D5359" s="7" t="n">
        <v>2025</v>
      </c>
      <c r="E5359" s="7" t="inlineStr">
        <is>
          <t>East</t>
        </is>
      </c>
      <c r="F5359" s="7" t="inlineStr">
        <is>
          <t>Office Supplies</t>
        </is>
      </c>
      <c r="G5359" s="7" t="inlineStr">
        <is>
          <t>Paper</t>
        </is>
      </c>
      <c r="H5359" s="7" t="inlineStr">
        <is>
          <t>Corporate</t>
        </is>
      </c>
      <c r="I5359" s="7" t="n">
        <v>12</v>
      </c>
      <c r="J5359" s="10" t="n">
        <v>24.25</v>
      </c>
      <c r="K5359" s="11" t="n">
        <v>0.05</v>
      </c>
      <c r="L5359" s="10">
        <f>I5359*J5359*(1-K5359)</f>
        <v/>
      </c>
      <c r="M5359" s="10" t="n">
        <v>150</v>
      </c>
      <c r="N5359" s="10">
        <f>L5359-M5359</f>
        <v/>
      </c>
    </row>
    <row r="5360">
      <c r="A5360" s="7" t="inlineStr">
        <is>
          <t>ORD-01795</t>
        </is>
      </c>
      <c r="B5360" s="8" t="n">
        <v>45965</v>
      </c>
      <c r="C5360" s="9" t="n">
        <v>45962</v>
      </c>
      <c r="D5360" s="7" t="n">
        <v>2025</v>
      </c>
      <c r="E5360" s="7" t="inlineStr">
        <is>
          <t>South</t>
        </is>
      </c>
      <c r="F5360" s="7" t="inlineStr">
        <is>
          <t>Office Supplies</t>
        </is>
      </c>
      <c r="G5360" s="7" t="inlineStr">
        <is>
          <t>Pens</t>
        </is>
      </c>
      <c r="H5360" s="7" t="inlineStr">
        <is>
          <t>Consumer</t>
        </is>
      </c>
      <c r="I5360" s="7" t="n">
        <v>15</v>
      </c>
      <c r="J5360" s="10" t="n">
        <v>11.71</v>
      </c>
      <c r="K5360" s="11" t="n">
        <v>0.05</v>
      </c>
      <c r="L5360" s="10">
        <f>I5360*J5360*(1-K5360)</f>
        <v/>
      </c>
      <c r="M5360" s="10" t="n">
        <v>81</v>
      </c>
      <c r="N5360" s="10">
        <f>L5360-M5360</f>
        <v/>
      </c>
    </row>
    <row r="5361">
      <c r="A5361" s="7" t="inlineStr">
        <is>
          <t>ORD-05214</t>
        </is>
      </c>
      <c r="B5361" s="8" t="n">
        <v>45966</v>
      </c>
      <c r="C5361" s="9" t="n">
        <v>45962</v>
      </c>
      <c r="D5361" s="7" t="n">
        <v>2025</v>
      </c>
      <c r="E5361" s="7" t="inlineStr">
        <is>
          <t>West</t>
        </is>
      </c>
      <c r="F5361" s="7" t="inlineStr">
        <is>
          <t>Furniture</t>
        </is>
      </c>
      <c r="G5361" s="7" t="inlineStr">
        <is>
          <t>Office Chair</t>
        </is>
      </c>
      <c r="H5361" s="7" t="inlineStr">
        <is>
          <t>Home Office</t>
        </is>
      </c>
      <c r="I5361" s="7" t="n">
        <v>1</v>
      </c>
      <c r="J5361" s="10" t="n">
        <v>222.05</v>
      </c>
      <c r="K5361" s="11" t="n">
        <v>0</v>
      </c>
      <c r="L5361" s="10">
        <f>I5361*J5361*(1-K5361)</f>
        <v/>
      </c>
      <c r="M5361" s="10" t="n">
        <v>180.4</v>
      </c>
      <c r="N5361" s="10">
        <f>L5361-M5361</f>
        <v/>
      </c>
    </row>
    <row r="5362">
      <c r="A5362" s="7" t="inlineStr">
        <is>
          <t>ORD-00420</t>
        </is>
      </c>
      <c r="B5362" s="8" t="n">
        <v>45966</v>
      </c>
      <c r="C5362" s="9" t="n">
        <v>45962</v>
      </c>
      <c r="D5362" s="7" t="n">
        <v>2025</v>
      </c>
      <c r="E5362" s="7" t="inlineStr">
        <is>
          <t>South</t>
        </is>
      </c>
      <c r="F5362" s="7" t="inlineStr">
        <is>
          <t>Technology</t>
        </is>
      </c>
      <c r="G5362" s="7" t="inlineStr">
        <is>
          <t>Smartphone</t>
        </is>
      </c>
      <c r="H5362" s="7" t="inlineStr">
        <is>
          <t>Consumer</t>
        </is>
      </c>
      <c r="I5362" s="7" t="n">
        <v>1</v>
      </c>
      <c r="J5362" s="10" t="n">
        <v>600.01</v>
      </c>
      <c r="K5362" s="11" t="n">
        <v>0</v>
      </c>
      <c r="L5362" s="10">
        <f>I5362*J5362*(1-K5362)</f>
        <v/>
      </c>
      <c r="M5362" s="10" t="n">
        <v>450</v>
      </c>
      <c r="N5362" s="10">
        <f>L5362-M5362</f>
        <v/>
      </c>
    </row>
    <row r="5363">
      <c r="A5363" s="7" t="inlineStr">
        <is>
          <t>ORD-05762</t>
        </is>
      </c>
      <c r="B5363" s="8" t="n">
        <v>45966</v>
      </c>
      <c r="C5363" s="9" t="n">
        <v>45962</v>
      </c>
      <c r="D5363" s="7" t="n">
        <v>2025</v>
      </c>
      <c r="E5363" s="7" t="inlineStr">
        <is>
          <t>East</t>
        </is>
      </c>
      <c r="F5363" s="7" t="inlineStr">
        <is>
          <t>Furniture</t>
        </is>
      </c>
      <c r="G5363" s="7" t="inlineStr">
        <is>
          <t>Office Chair</t>
        </is>
      </c>
      <c r="H5363" s="7" t="inlineStr">
        <is>
          <t>Corporate</t>
        </is>
      </c>
      <c r="I5363" s="7" t="n">
        <v>1</v>
      </c>
      <c r="J5363" s="10" t="n">
        <v>213.68</v>
      </c>
      <c r="K5363" s="11" t="n">
        <v>0.05</v>
      </c>
      <c r="L5363" s="10">
        <f>I5363*J5363*(1-K5363)</f>
        <v/>
      </c>
      <c r="M5363" s="10" t="n">
        <v>180.4</v>
      </c>
      <c r="N5363" s="10">
        <f>L5363-M5363</f>
        <v/>
      </c>
    </row>
    <row r="5364">
      <c r="A5364" s="7" t="inlineStr">
        <is>
          <t>ORD-04981</t>
        </is>
      </c>
      <c r="B5364" s="8" t="n">
        <v>45966</v>
      </c>
      <c r="C5364" s="9" t="n">
        <v>45962</v>
      </c>
      <c r="D5364" s="7" t="n">
        <v>2025</v>
      </c>
      <c r="E5364" s="7" t="inlineStr">
        <is>
          <t>East</t>
        </is>
      </c>
      <c r="F5364" s="7" t="inlineStr">
        <is>
          <t>Office Supplies</t>
        </is>
      </c>
      <c r="G5364" s="7" t="inlineStr">
        <is>
          <t>Printer Ink</t>
        </is>
      </c>
      <c r="H5364" s="7" t="inlineStr">
        <is>
          <t>Home Office</t>
        </is>
      </c>
      <c r="I5364" s="7" t="n">
        <v>12</v>
      </c>
      <c r="J5364" s="10" t="n">
        <v>60.1</v>
      </c>
      <c r="K5364" s="11" t="n">
        <v>0.1</v>
      </c>
      <c r="L5364" s="10">
        <f>I5364*J5364*(1-K5364)</f>
        <v/>
      </c>
      <c r="M5364" s="10" t="n">
        <v>432</v>
      </c>
      <c r="N5364" s="10">
        <f>L5364-M5364</f>
        <v/>
      </c>
    </row>
    <row r="5365">
      <c r="A5365" s="7" t="inlineStr">
        <is>
          <t>ORD-01057</t>
        </is>
      </c>
      <c r="B5365" s="8" t="n">
        <v>45966</v>
      </c>
      <c r="C5365" s="9" t="n">
        <v>45962</v>
      </c>
      <c r="D5365" s="7" t="n">
        <v>2025</v>
      </c>
      <c r="E5365" s="7" t="inlineStr">
        <is>
          <t>North</t>
        </is>
      </c>
      <c r="F5365" s="7" t="inlineStr">
        <is>
          <t>Office Supplies</t>
        </is>
      </c>
      <c r="G5365" s="7" t="inlineStr">
        <is>
          <t>Paper</t>
        </is>
      </c>
      <c r="H5365" s="7" t="inlineStr">
        <is>
          <t>Consumer</t>
        </is>
      </c>
      <c r="I5365" s="7" t="n">
        <v>2</v>
      </c>
      <c r="J5365" s="10" t="n">
        <v>24.79</v>
      </c>
      <c r="K5365" s="11" t="n">
        <v>0</v>
      </c>
      <c r="L5365" s="10">
        <f>I5365*J5365*(1-K5365)</f>
        <v/>
      </c>
      <c r="M5365" s="10" t="n">
        <v>25</v>
      </c>
      <c r="N5365" s="10">
        <f>L5365-M5365</f>
        <v/>
      </c>
    </row>
    <row r="5366">
      <c r="A5366" s="7" t="inlineStr">
        <is>
          <t>ORD-04069</t>
        </is>
      </c>
      <c r="B5366" s="8" t="n">
        <v>45966</v>
      </c>
      <c r="C5366" s="9" t="n">
        <v>45962</v>
      </c>
      <c r="D5366" s="7" t="n">
        <v>2025</v>
      </c>
      <c r="E5366" s="7" t="inlineStr">
        <is>
          <t>West</t>
        </is>
      </c>
      <c r="F5366" s="7" t="inlineStr">
        <is>
          <t>Technology</t>
        </is>
      </c>
      <c r="G5366" s="7" t="inlineStr">
        <is>
          <t>Headphones</t>
        </is>
      </c>
      <c r="H5366" s="7" t="inlineStr">
        <is>
          <t>Consumer</t>
        </is>
      </c>
      <c r="I5366" s="7" t="n">
        <v>3</v>
      </c>
      <c r="J5366" s="10" t="n">
        <v>124.88</v>
      </c>
      <c r="K5366" s="11" t="n">
        <v>0</v>
      </c>
      <c r="L5366" s="10">
        <f>I5366*J5366*(1-K5366)</f>
        <v/>
      </c>
      <c r="M5366" s="10" t="n">
        <v>216</v>
      </c>
      <c r="N5366" s="10">
        <f>L5366-M5366</f>
        <v/>
      </c>
    </row>
    <row r="5367">
      <c r="A5367" s="7" t="inlineStr">
        <is>
          <t>ORD-05604</t>
        </is>
      </c>
      <c r="B5367" s="8" t="n">
        <v>45966</v>
      </c>
      <c r="C5367" s="9" t="n">
        <v>45962</v>
      </c>
      <c r="D5367" s="7" t="n">
        <v>2025</v>
      </c>
      <c r="E5367" s="7" t="inlineStr">
        <is>
          <t>North</t>
        </is>
      </c>
      <c r="F5367" s="7" t="inlineStr">
        <is>
          <t>Furniture</t>
        </is>
      </c>
      <c r="G5367" s="7" t="inlineStr">
        <is>
          <t>Office Chair</t>
        </is>
      </c>
      <c r="H5367" s="7" t="inlineStr">
        <is>
          <t>Consumer</t>
        </is>
      </c>
      <c r="I5367" s="7" t="n">
        <v>2</v>
      </c>
      <c r="J5367" s="10" t="n">
        <v>220.75</v>
      </c>
      <c r="K5367" s="11" t="n">
        <v>0.1</v>
      </c>
      <c r="L5367" s="10">
        <f>I5367*J5367*(1-K5367)</f>
        <v/>
      </c>
      <c r="M5367" s="10" t="n">
        <v>360.8</v>
      </c>
      <c r="N5367" s="10">
        <f>L5367-M5367</f>
        <v/>
      </c>
    </row>
    <row r="5368">
      <c r="A5368" s="7" t="inlineStr">
        <is>
          <t>ORD-04588</t>
        </is>
      </c>
      <c r="B5368" s="8" t="n">
        <v>45967</v>
      </c>
      <c r="C5368" s="9" t="n">
        <v>45962</v>
      </c>
      <c r="D5368" s="7" t="n">
        <v>2025</v>
      </c>
      <c r="E5368" s="7" t="inlineStr">
        <is>
          <t>North</t>
        </is>
      </c>
      <c r="F5368" s="7" t="inlineStr">
        <is>
          <t>Office Supplies</t>
        </is>
      </c>
      <c r="G5368" s="7" t="inlineStr">
        <is>
          <t>Paper</t>
        </is>
      </c>
      <c r="H5368" s="7" t="inlineStr">
        <is>
          <t>Home Office</t>
        </is>
      </c>
      <c r="I5368" s="7" t="n">
        <v>5</v>
      </c>
      <c r="J5368" s="10" t="n">
        <v>26.07</v>
      </c>
      <c r="K5368" s="11" t="n">
        <v>0</v>
      </c>
      <c r="L5368" s="10">
        <f>I5368*J5368*(1-K5368)</f>
        <v/>
      </c>
      <c r="M5368" s="10" t="n">
        <v>62.5</v>
      </c>
      <c r="N5368" s="10">
        <f>L5368-M5368</f>
        <v/>
      </c>
    </row>
    <row r="5369">
      <c r="A5369" s="7" t="inlineStr">
        <is>
          <t>ORD-02525</t>
        </is>
      </c>
      <c r="B5369" s="8" t="n">
        <v>45967</v>
      </c>
      <c r="C5369" s="9" t="n">
        <v>45962</v>
      </c>
      <c r="D5369" s="7" t="n">
        <v>2025</v>
      </c>
      <c r="E5369" s="7" t="inlineStr">
        <is>
          <t>West</t>
        </is>
      </c>
      <c r="F5369" s="7" t="inlineStr">
        <is>
          <t>Office Supplies</t>
        </is>
      </c>
      <c r="G5369" s="7" t="inlineStr">
        <is>
          <t>Paper</t>
        </is>
      </c>
      <c r="H5369" s="7" t="inlineStr">
        <is>
          <t>Home Office</t>
        </is>
      </c>
      <c r="I5369" s="7" t="n">
        <v>3</v>
      </c>
      <c r="J5369" s="10" t="n">
        <v>25.68</v>
      </c>
      <c r="K5369" s="11" t="n">
        <v>0.05</v>
      </c>
      <c r="L5369" s="10">
        <f>I5369*J5369*(1-K5369)</f>
        <v/>
      </c>
      <c r="M5369" s="10" t="n">
        <v>37.5</v>
      </c>
      <c r="N5369" s="10">
        <f>L5369-M5369</f>
        <v/>
      </c>
    </row>
    <row r="5370">
      <c r="A5370" s="7" t="inlineStr">
        <is>
          <t>ORD-04444</t>
        </is>
      </c>
      <c r="B5370" s="8" t="n">
        <v>45967</v>
      </c>
      <c r="C5370" s="9" t="n">
        <v>45962</v>
      </c>
      <c r="D5370" s="7" t="n">
        <v>2025</v>
      </c>
      <c r="E5370" s="7" t="inlineStr">
        <is>
          <t>South</t>
        </is>
      </c>
      <c r="F5370" s="7" t="inlineStr">
        <is>
          <t>Office Supplies</t>
        </is>
      </c>
      <c r="G5370" s="7" t="inlineStr">
        <is>
          <t>Pens</t>
        </is>
      </c>
      <c r="H5370" s="7" t="inlineStr">
        <is>
          <t>Home Office</t>
        </is>
      </c>
      <c r="I5370" s="7" t="n">
        <v>3</v>
      </c>
      <c r="J5370" s="10" t="n">
        <v>11.42</v>
      </c>
      <c r="K5370" s="11" t="n">
        <v>0</v>
      </c>
      <c r="L5370" s="10">
        <f>I5370*J5370*(1-K5370)</f>
        <v/>
      </c>
      <c r="M5370" s="10" t="n">
        <v>16.2</v>
      </c>
      <c r="N5370" s="10">
        <f>L5370-M5370</f>
        <v/>
      </c>
    </row>
    <row r="5371">
      <c r="A5371" s="7" t="inlineStr">
        <is>
          <t>ORD-00854</t>
        </is>
      </c>
      <c r="B5371" s="8" t="n">
        <v>45967</v>
      </c>
      <c r="C5371" s="9" t="n">
        <v>45962</v>
      </c>
      <c r="D5371" s="7" t="n">
        <v>2025</v>
      </c>
      <c r="E5371" s="7" t="inlineStr">
        <is>
          <t>East</t>
        </is>
      </c>
      <c r="F5371" s="7" t="inlineStr">
        <is>
          <t>Office Supplies</t>
        </is>
      </c>
      <c r="G5371" s="7" t="inlineStr">
        <is>
          <t>Binder</t>
        </is>
      </c>
      <c r="H5371" s="7" t="inlineStr">
        <is>
          <t>Consumer</t>
        </is>
      </c>
      <c r="I5371" s="7" t="n">
        <v>4</v>
      </c>
      <c r="J5371" s="10" t="n">
        <v>7.77</v>
      </c>
      <c r="K5371" s="11" t="n">
        <v>0</v>
      </c>
      <c r="L5371" s="10">
        <f>I5371*J5371*(1-K5371)</f>
        <v/>
      </c>
      <c r="M5371" s="10" t="n">
        <v>12.8</v>
      </c>
      <c r="N5371" s="10">
        <f>L5371-M5371</f>
        <v/>
      </c>
    </row>
    <row r="5372">
      <c r="A5372" s="7" t="inlineStr">
        <is>
          <t>ORD-01447</t>
        </is>
      </c>
      <c r="B5372" s="8" t="n">
        <v>45967</v>
      </c>
      <c r="C5372" s="9" t="n">
        <v>45962</v>
      </c>
      <c r="D5372" s="7" t="n">
        <v>2025</v>
      </c>
      <c r="E5372" s="7" t="inlineStr">
        <is>
          <t>South</t>
        </is>
      </c>
      <c r="F5372" s="7" t="inlineStr">
        <is>
          <t>Technology</t>
        </is>
      </c>
      <c r="G5372" s="7" t="inlineStr">
        <is>
          <t>Keyboard</t>
        </is>
      </c>
      <c r="H5372" s="7" t="inlineStr">
        <is>
          <t>Home Office</t>
        </is>
      </c>
      <c r="I5372" s="7" t="n">
        <v>1</v>
      </c>
      <c r="J5372" s="10" t="n">
        <v>46.55</v>
      </c>
      <c r="K5372" s="11" t="n">
        <v>0</v>
      </c>
      <c r="L5372" s="10">
        <f>I5372*J5372*(1-K5372)</f>
        <v/>
      </c>
      <c r="M5372" s="10" t="n">
        <v>24.75</v>
      </c>
      <c r="N5372" s="10">
        <f>L5372-M5372</f>
        <v/>
      </c>
    </row>
    <row r="5373">
      <c r="A5373" s="7" t="inlineStr">
        <is>
          <t>ORD-05657</t>
        </is>
      </c>
      <c r="B5373" s="8" t="n">
        <v>45967</v>
      </c>
      <c r="C5373" s="9" t="n">
        <v>45962</v>
      </c>
      <c r="D5373" s="7" t="n">
        <v>2025</v>
      </c>
      <c r="E5373" s="7" t="inlineStr">
        <is>
          <t>East</t>
        </is>
      </c>
      <c r="F5373" s="7" t="inlineStr">
        <is>
          <t>Office Supplies</t>
        </is>
      </c>
      <c r="G5373" s="7" t="inlineStr">
        <is>
          <t>Binder</t>
        </is>
      </c>
      <c r="H5373" s="7" t="inlineStr">
        <is>
          <t>Corporate</t>
        </is>
      </c>
      <c r="I5373" s="7" t="n">
        <v>6</v>
      </c>
      <c r="J5373" s="10" t="n">
        <v>8.390000000000001</v>
      </c>
      <c r="K5373" s="11" t="n">
        <v>0.2</v>
      </c>
      <c r="L5373" s="10">
        <f>I5373*J5373*(1-K5373)</f>
        <v/>
      </c>
      <c r="M5373" s="10" t="n">
        <v>19.2</v>
      </c>
      <c r="N5373" s="10">
        <f>L5373-M5373</f>
        <v/>
      </c>
    </row>
    <row r="5374">
      <c r="A5374" s="7" t="inlineStr">
        <is>
          <t>ORD-05486</t>
        </is>
      </c>
      <c r="B5374" s="8" t="n">
        <v>45967</v>
      </c>
      <c r="C5374" s="9" t="n">
        <v>45962</v>
      </c>
      <c r="D5374" s="7" t="n">
        <v>2025</v>
      </c>
      <c r="E5374" s="7" t="inlineStr">
        <is>
          <t>East</t>
        </is>
      </c>
      <c r="F5374" s="7" t="inlineStr">
        <is>
          <t>Office Supplies</t>
        </is>
      </c>
      <c r="G5374" s="7" t="inlineStr">
        <is>
          <t>Paper</t>
        </is>
      </c>
      <c r="H5374" s="7" t="inlineStr">
        <is>
          <t>Consumer</t>
        </is>
      </c>
      <c r="I5374" s="7" t="n">
        <v>2</v>
      </c>
      <c r="J5374" s="10" t="n">
        <v>23.91</v>
      </c>
      <c r="K5374" s="11" t="n">
        <v>0.1</v>
      </c>
      <c r="L5374" s="10">
        <f>I5374*J5374*(1-K5374)</f>
        <v/>
      </c>
      <c r="M5374" s="10" t="n">
        <v>25</v>
      </c>
      <c r="N5374" s="10">
        <f>L5374-M5374</f>
        <v/>
      </c>
    </row>
    <row r="5375">
      <c r="A5375" s="7" t="inlineStr">
        <is>
          <t>ORD-02954</t>
        </is>
      </c>
      <c r="B5375" s="8" t="n">
        <v>45968</v>
      </c>
      <c r="C5375" s="9" t="n">
        <v>45962</v>
      </c>
      <c r="D5375" s="7" t="n">
        <v>2025</v>
      </c>
      <c r="E5375" s="7" t="inlineStr">
        <is>
          <t>North</t>
        </is>
      </c>
      <c r="F5375" s="7" t="inlineStr">
        <is>
          <t>Technology</t>
        </is>
      </c>
      <c r="G5375" s="7" t="inlineStr">
        <is>
          <t>Smartphone</t>
        </is>
      </c>
      <c r="H5375" s="7" t="inlineStr">
        <is>
          <t>Consumer</t>
        </is>
      </c>
      <c r="I5375" s="7" t="n">
        <v>1</v>
      </c>
      <c r="J5375" s="10" t="n">
        <v>616.16</v>
      </c>
      <c r="K5375" s="11" t="n">
        <v>0.2</v>
      </c>
      <c r="L5375" s="10">
        <f>I5375*J5375*(1-K5375)</f>
        <v/>
      </c>
      <c r="M5375" s="10" t="n">
        <v>450</v>
      </c>
      <c r="N5375" s="10">
        <f>L5375-M5375</f>
        <v/>
      </c>
    </row>
    <row r="5376">
      <c r="A5376" s="7" t="inlineStr">
        <is>
          <t>ORD-02527</t>
        </is>
      </c>
      <c r="B5376" s="8" t="n">
        <v>45968</v>
      </c>
      <c r="C5376" s="9" t="n">
        <v>45962</v>
      </c>
      <c r="D5376" s="7" t="n">
        <v>2025</v>
      </c>
      <c r="E5376" s="7" t="inlineStr">
        <is>
          <t>North</t>
        </is>
      </c>
      <c r="F5376" s="7" t="inlineStr">
        <is>
          <t>Office Supplies</t>
        </is>
      </c>
      <c r="G5376" s="7" t="inlineStr">
        <is>
          <t>Pens</t>
        </is>
      </c>
      <c r="H5376" s="7" t="inlineStr">
        <is>
          <t>Home Office</t>
        </is>
      </c>
      <c r="I5376" s="7" t="n">
        <v>3</v>
      </c>
      <c r="J5376" s="10" t="n">
        <v>12.22</v>
      </c>
      <c r="K5376" s="11" t="n">
        <v>0.2</v>
      </c>
      <c r="L5376" s="10">
        <f>I5376*J5376*(1-K5376)</f>
        <v/>
      </c>
      <c r="M5376" s="10" t="n">
        <v>16.2</v>
      </c>
      <c r="N5376" s="10">
        <f>L5376-M5376</f>
        <v/>
      </c>
    </row>
    <row r="5377">
      <c r="A5377" s="7" t="inlineStr">
        <is>
          <t>ORD-01601</t>
        </is>
      </c>
      <c r="B5377" s="8" t="n">
        <v>45968</v>
      </c>
      <c r="C5377" s="9" t="n">
        <v>45962</v>
      </c>
      <c r="D5377" s="7" t="n">
        <v>2025</v>
      </c>
      <c r="E5377" s="7" t="inlineStr">
        <is>
          <t>North</t>
        </is>
      </c>
      <c r="F5377" s="7" t="inlineStr">
        <is>
          <t>Furniture</t>
        </is>
      </c>
      <c r="G5377" s="7" t="inlineStr">
        <is>
          <t>Sofa</t>
        </is>
      </c>
      <c r="H5377" s="7" t="inlineStr">
        <is>
          <t>Corporate</t>
        </is>
      </c>
      <c r="I5377" s="7" t="n">
        <v>3</v>
      </c>
      <c r="J5377" s="10" t="n">
        <v>681.58</v>
      </c>
      <c r="K5377" s="11" t="n">
        <v>0</v>
      </c>
      <c r="L5377" s="10">
        <f>I5377*J5377*(1-K5377)</f>
        <v/>
      </c>
      <c r="M5377" s="10" t="n">
        <v>1848</v>
      </c>
      <c r="N5377" s="10">
        <f>L5377-M5377</f>
        <v/>
      </c>
    </row>
    <row r="5378">
      <c r="A5378" s="7" t="inlineStr">
        <is>
          <t>ORD-02596</t>
        </is>
      </c>
      <c r="B5378" s="8" t="n">
        <v>45968</v>
      </c>
      <c r="C5378" s="9" t="n">
        <v>45962</v>
      </c>
      <c r="D5378" s="7" t="n">
        <v>2025</v>
      </c>
      <c r="E5378" s="7" t="inlineStr">
        <is>
          <t>South</t>
        </is>
      </c>
      <c r="F5378" s="7" t="inlineStr">
        <is>
          <t>Office Supplies</t>
        </is>
      </c>
      <c r="G5378" s="7" t="inlineStr">
        <is>
          <t>Paper</t>
        </is>
      </c>
      <c r="H5378" s="7" t="inlineStr">
        <is>
          <t>Corporate</t>
        </is>
      </c>
      <c r="I5378" s="7" t="n">
        <v>2</v>
      </c>
      <c r="J5378" s="10" t="n">
        <v>23.77</v>
      </c>
      <c r="K5378" s="11" t="n">
        <v>0.1</v>
      </c>
      <c r="L5378" s="10">
        <f>I5378*J5378*(1-K5378)</f>
        <v/>
      </c>
      <c r="M5378" s="10" t="n">
        <v>25</v>
      </c>
      <c r="N5378" s="10">
        <f>L5378-M5378</f>
        <v/>
      </c>
    </row>
    <row r="5379">
      <c r="A5379" s="7" t="inlineStr">
        <is>
          <t>ORD-01692</t>
        </is>
      </c>
      <c r="B5379" s="8" t="n">
        <v>45968</v>
      </c>
      <c r="C5379" s="9" t="n">
        <v>45962</v>
      </c>
      <c r="D5379" s="7" t="n">
        <v>2025</v>
      </c>
      <c r="E5379" s="7" t="inlineStr">
        <is>
          <t>East</t>
        </is>
      </c>
      <c r="F5379" s="7" t="inlineStr">
        <is>
          <t>Office Supplies</t>
        </is>
      </c>
      <c r="G5379" s="7" t="inlineStr">
        <is>
          <t>Printer Ink</t>
        </is>
      </c>
      <c r="H5379" s="7" t="inlineStr">
        <is>
          <t>Corporate</t>
        </is>
      </c>
      <c r="I5379" s="7" t="n">
        <v>8</v>
      </c>
      <c r="J5379" s="10" t="n">
        <v>62.24</v>
      </c>
      <c r="K5379" s="11" t="n">
        <v>0</v>
      </c>
      <c r="L5379" s="10">
        <f>I5379*J5379*(1-K5379)</f>
        <v/>
      </c>
      <c r="M5379" s="10" t="n">
        <v>288</v>
      </c>
      <c r="N5379" s="10">
        <f>L5379-M5379</f>
        <v/>
      </c>
    </row>
    <row r="5380">
      <c r="A5380" s="7" t="inlineStr">
        <is>
          <t>ORD-05351</t>
        </is>
      </c>
      <c r="B5380" s="8" t="n">
        <v>45968</v>
      </c>
      <c r="C5380" s="9" t="n">
        <v>45962</v>
      </c>
      <c r="D5380" s="7" t="n">
        <v>2025</v>
      </c>
      <c r="E5380" s="7" t="inlineStr">
        <is>
          <t>West</t>
        </is>
      </c>
      <c r="F5380" s="7" t="inlineStr">
        <is>
          <t>Office Supplies</t>
        </is>
      </c>
      <c r="G5380" s="7" t="inlineStr">
        <is>
          <t>Binder</t>
        </is>
      </c>
      <c r="H5380" s="7" t="inlineStr">
        <is>
          <t>Consumer</t>
        </is>
      </c>
      <c r="I5380" s="7" t="n">
        <v>12</v>
      </c>
      <c r="J5380" s="10" t="n">
        <v>8.109999999999999</v>
      </c>
      <c r="K5380" s="11" t="n">
        <v>0.2</v>
      </c>
      <c r="L5380" s="10">
        <f>I5380*J5380*(1-K5380)</f>
        <v/>
      </c>
      <c r="M5380" s="10" t="n">
        <v>38.4</v>
      </c>
      <c r="N5380" s="10">
        <f>L5380-M5380</f>
        <v/>
      </c>
    </row>
    <row r="5381">
      <c r="A5381" s="7" t="inlineStr">
        <is>
          <t>ORD-02960</t>
        </is>
      </c>
      <c r="B5381" s="8" t="n">
        <v>45968</v>
      </c>
      <c r="C5381" s="9" t="n">
        <v>45962</v>
      </c>
      <c r="D5381" s="7" t="n">
        <v>2025</v>
      </c>
      <c r="E5381" s="7" t="inlineStr">
        <is>
          <t>South</t>
        </is>
      </c>
      <c r="F5381" s="7" t="inlineStr">
        <is>
          <t>Office Supplies</t>
        </is>
      </c>
      <c r="G5381" s="7" t="inlineStr">
        <is>
          <t>Printer Ink</t>
        </is>
      </c>
      <c r="H5381" s="7" t="inlineStr">
        <is>
          <t>Consumer</t>
        </is>
      </c>
      <c r="I5381" s="7" t="n">
        <v>9</v>
      </c>
      <c r="J5381" s="10" t="n">
        <v>61.12</v>
      </c>
      <c r="K5381" s="11" t="n">
        <v>0.3</v>
      </c>
      <c r="L5381" s="10">
        <f>I5381*J5381*(1-K5381)</f>
        <v/>
      </c>
      <c r="M5381" s="10" t="n">
        <v>324</v>
      </c>
      <c r="N5381" s="10">
        <f>L5381-M5381</f>
        <v/>
      </c>
    </row>
    <row r="5382">
      <c r="A5382" s="7" t="inlineStr">
        <is>
          <t>ORD-05739</t>
        </is>
      </c>
      <c r="B5382" s="8" t="n">
        <v>45968</v>
      </c>
      <c r="C5382" s="9" t="n">
        <v>45962</v>
      </c>
      <c r="D5382" s="7" t="n">
        <v>2025</v>
      </c>
      <c r="E5382" s="7" t="inlineStr">
        <is>
          <t>East</t>
        </is>
      </c>
      <c r="F5382" s="7" t="inlineStr">
        <is>
          <t>Technology</t>
        </is>
      </c>
      <c r="G5382" s="7" t="inlineStr">
        <is>
          <t>Smartphone</t>
        </is>
      </c>
      <c r="H5382" s="7" t="inlineStr">
        <is>
          <t>Consumer</t>
        </is>
      </c>
      <c r="I5382" s="7" t="n">
        <v>1</v>
      </c>
      <c r="J5382" s="10" t="n">
        <v>584.4299999999999</v>
      </c>
      <c r="K5382" s="11" t="n">
        <v>0.2</v>
      </c>
      <c r="L5382" s="10">
        <f>I5382*J5382*(1-K5382)</f>
        <v/>
      </c>
      <c r="M5382" s="10" t="n">
        <v>450</v>
      </c>
      <c r="N5382" s="10">
        <f>L5382-M5382</f>
        <v/>
      </c>
    </row>
    <row r="5383">
      <c r="A5383" s="7" t="inlineStr">
        <is>
          <t>ORD-04980</t>
        </is>
      </c>
      <c r="B5383" s="8" t="n">
        <v>45968</v>
      </c>
      <c r="C5383" s="9" t="n">
        <v>45962</v>
      </c>
      <c r="D5383" s="7" t="n">
        <v>2025</v>
      </c>
      <c r="E5383" s="7" t="inlineStr">
        <is>
          <t>East</t>
        </is>
      </c>
      <c r="F5383" s="7" t="inlineStr">
        <is>
          <t>Technology</t>
        </is>
      </c>
      <c r="G5383" s="7" t="inlineStr">
        <is>
          <t>Laptop</t>
        </is>
      </c>
      <c r="H5383" s="7" t="inlineStr">
        <is>
          <t>Home Office</t>
        </is>
      </c>
      <c r="I5383" s="7" t="n">
        <v>1</v>
      </c>
      <c r="J5383" s="10" t="n">
        <v>865.5599999999999</v>
      </c>
      <c r="K5383" s="11" t="n">
        <v>0</v>
      </c>
      <c r="L5383" s="10">
        <f>I5383*J5383*(1-K5383)</f>
        <v/>
      </c>
      <c r="M5383" s="10" t="n">
        <v>702</v>
      </c>
      <c r="N5383" s="10">
        <f>L5383-M5383</f>
        <v/>
      </c>
    </row>
    <row r="5384">
      <c r="A5384" s="7" t="inlineStr">
        <is>
          <t>ORD-03882</t>
        </is>
      </c>
      <c r="B5384" s="8" t="n">
        <v>45968</v>
      </c>
      <c r="C5384" s="9" t="n">
        <v>45962</v>
      </c>
      <c r="D5384" s="7" t="n">
        <v>2025</v>
      </c>
      <c r="E5384" s="7" t="inlineStr">
        <is>
          <t>West</t>
        </is>
      </c>
      <c r="F5384" s="7" t="inlineStr">
        <is>
          <t>Furniture</t>
        </is>
      </c>
      <c r="G5384" s="7" t="inlineStr">
        <is>
          <t>Desk</t>
        </is>
      </c>
      <c r="H5384" s="7" t="inlineStr">
        <is>
          <t>Consumer</t>
        </is>
      </c>
      <c r="I5384" s="7" t="n">
        <v>3</v>
      </c>
      <c r="J5384" s="10" t="n">
        <v>471.38</v>
      </c>
      <c r="K5384" s="11" t="n">
        <v>0.3</v>
      </c>
      <c r="L5384" s="10">
        <f>I5384*J5384*(1-K5384)</f>
        <v/>
      </c>
      <c r="M5384" s="10" t="n">
        <v>1147.5</v>
      </c>
      <c r="N5384" s="10">
        <f>L5384-M5384</f>
        <v/>
      </c>
    </row>
    <row r="5385">
      <c r="A5385" s="7" t="inlineStr">
        <is>
          <t>ORD-00677</t>
        </is>
      </c>
      <c r="B5385" s="8" t="n">
        <v>45969</v>
      </c>
      <c r="C5385" s="9" t="n">
        <v>45962</v>
      </c>
      <c r="D5385" s="7" t="n">
        <v>2025</v>
      </c>
      <c r="E5385" s="7" t="inlineStr">
        <is>
          <t>East</t>
        </is>
      </c>
      <c r="F5385" s="7" t="inlineStr">
        <is>
          <t>Office Supplies</t>
        </is>
      </c>
      <c r="G5385" s="7" t="inlineStr">
        <is>
          <t>Binder</t>
        </is>
      </c>
      <c r="H5385" s="7" t="inlineStr">
        <is>
          <t>Consumer</t>
        </is>
      </c>
      <c r="I5385" s="7" t="n">
        <v>11</v>
      </c>
      <c r="J5385" s="10" t="n">
        <v>8.34</v>
      </c>
      <c r="K5385" s="11" t="n">
        <v>0.2</v>
      </c>
      <c r="L5385" s="10">
        <f>I5385*J5385*(1-K5385)</f>
        <v/>
      </c>
      <c r="M5385" s="10" t="n">
        <v>35.2</v>
      </c>
      <c r="N5385" s="10">
        <f>L5385-M5385</f>
        <v/>
      </c>
    </row>
    <row r="5386">
      <c r="A5386" s="7" t="inlineStr">
        <is>
          <t>ORD-05232</t>
        </is>
      </c>
      <c r="B5386" s="8" t="n">
        <v>45969</v>
      </c>
      <c r="C5386" s="9" t="n">
        <v>45962</v>
      </c>
      <c r="D5386" s="7" t="n">
        <v>2025</v>
      </c>
      <c r="E5386" s="7" t="inlineStr">
        <is>
          <t>North</t>
        </is>
      </c>
      <c r="F5386" s="7" t="inlineStr">
        <is>
          <t>Office Supplies</t>
        </is>
      </c>
      <c r="G5386" s="7" t="inlineStr">
        <is>
          <t>Binder</t>
        </is>
      </c>
      <c r="H5386" s="7" t="inlineStr">
        <is>
          <t>Home Office</t>
        </is>
      </c>
      <c r="I5386" s="7" t="n">
        <v>3</v>
      </c>
      <c r="J5386" s="10" t="n">
        <v>8.109999999999999</v>
      </c>
      <c r="K5386" s="11" t="n">
        <v>0</v>
      </c>
      <c r="L5386" s="10">
        <f>I5386*J5386*(1-K5386)</f>
        <v/>
      </c>
      <c r="M5386" s="10" t="n">
        <v>9.6</v>
      </c>
      <c r="N5386" s="10">
        <f>L5386-M5386</f>
        <v/>
      </c>
    </row>
    <row r="5387">
      <c r="A5387" s="7" t="inlineStr">
        <is>
          <t>ORD-05597</t>
        </is>
      </c>
      <c r="B5387" s="8" t="n">
        <v>45969</v>
      </c>
      <c r="C5387" s="9" t="n">
        <v>45962</v>
      </c>
      <c r="D5387" s="7" t="n">
        <v>2025</v>
      </c>
      <c r="E5387" s="7" t="inlineStr">
        <is>
          <t>East</t>
        </is>
      </c>
      <c r="F5387" s="7" t="inlineStr">
        <is>
          <t>Office Supplies</t>
        </is>
      </c>
      <c r="G5387" s="7" t="inlineStr">
        <is>
          <t>Paper</t>
        </is>
      </c>
      <c r="H5387" s="7" t="inlineStr">
        <is>
          <t>Consumer</t>
        </is>
      </c>
      <c r="I5387" s="7" t="n">
        <v>7</v>
      </c>
      <c r="J5387" s="10" t="n">
        <v>25.01</v>
      </c>
      <c r="K5387" s="11" t="n">
        <v>0</v>
      </c>
      <c r="L5387" s="10">
        <f>I5387*J5387*(1-K5387)</f>
        <v/>
      </c>
      <c r="M5387" s="10" t="n">
        <v>87.5</v>
      </c>
      <c r="N5387" s="10">
        <f>L5387-M5387</f>
        <v/>
      </c>
    </row>
    <row r="5388">
      <c r="A5388" s="7" t="inlineStr">
        <is>
          <t>ORD-03159</t>
        </is>
      </c>
      <c r="B5388" s="8" t="n">
        <v>45969</v>
      </c>
      <c r="C5388" s="9" t="n">
        <v>45962</v>
      </c>
      <c r="D5388" s="7" t="n">
        <v>2025</v>
      </c>
      <c r="E5388" s="7" t="inlineStr">
        <is>
          <t>West</t>
        </is>
      </c>
      <c r="F5388" s="7" t="inlineStr">
        <is>
          <t>Office Supplies</t>
        </is>
      </c>
      <c r="G5388" s="7" t="inlineStr">
        <is>
          <t>Stapler</t>
        </is>
      </c>
      <c r="H5388" s="7" t="inlineStr">
        <is>
          <t>Corporate</t>
        </is>
      </c>
      <c r="I5388" s="7" t="n">
        <v>13</v>
      </c>
      <c r="J5388" s="10" t="n">
        <v>15.07</v>
      </c>
      <c r="K5388" s="11" t="n">
        <v>0.05</v>
      </c>
      <c r="L5388" s="10">
        <f>I5388*J5388*(1-K5388)</f>
        <v/>
      </c>
      <c r="M5388" s="10" t="n">
        <v>97.5</v>
      </c>
      <c r="N5388" s="10">
        <f>L5388-M5388</f>
        <v/>
      </c>
    </row>
    <row r="5389">
      <c r="A5389" s="7" t="inlineStr">
        <is>
          <t>ORD-01398</t>
        </is>
      </c>
      <c r="B5389" s="8" t="n">
        <v>45969</v>
      </c>
      <c r="C5389" s="9" t="n">
        <v>45962</v>
      </c>
      <c r="D5389" s="7" t="n">
        <v>2025</v>
      </c>
      <c r="E5389" s="7" t="inlineStr">
        <is>
          <t>West</t>
        </is>
      </c>
      <c r="F5389" s="7" t="inlineStr">
        <is>
          <t>Technology</t>
        </is>
      </c>
      <c r="G5389" s="7" t="inlineStr">
        <is>
          <t>Smartphone</t>
        </is>
      </c>
      <c r="H5389" s="7" t="inlineStr">
        <is>
          <t>Consumer</t>
        </is>
      </c>
      <c r="I5389" s="7" t="n">
        <v>1</v>
      </c>
      <c r="J5389" s="10" t="n">
        <v>571.86</v>
      </c>
      <c r="K5389" s="11" t="n">
        <v>0.3</v>
      </c>
      <c r="L5389" s="10">
        <f>I5389*J5389*(1-K5389)</f>
        <v/>
      </c>
      <c r="M5389" s="10" t="n">
        <v>450</v>
      </c>
      <c r="N5389" s="10">
        <f>L5389-M5389</f>
        <v/>
      </c>
    </row>
    <row r="5390">
      <c r="A5390" s="7" t="inlineStr">
        <is>
          <t>ORD-04109</t>
        </is>
      </c>
      <c r="B5390" s="8" t="n">
        <v>45969</v>
      </c>
      <c r="C5390" s="9" t="n">
        <v>45962</v>
      </c>
      <c r="D5390" s="7" t="n">
        <v>2025</v>
      </c>
      <c r="E5390" s="7" t="inlineStr">
        <is>
          <t>North</t>
        </is>
      </c>
      <c r="F5390" s="7" t="inlineStr">
        <is>
          <t>Office Supplies</t>
        </is>
      </c>
      <c r="G5390" s="7" t="inlineStr">
        <is>
          <t>Pens</t>
        </is>
      </c>
      <c r="H5390" s="7" t="inlineStr">
        <is>
          <t>Home Office</t>
        </is>
      </c>
      <c r="I5390" s="7" t="n">
        <v>9</v>
      </c>
      <c r="J5390" s="10" t="n">
        <v>12.29</v>
      </c>
      <c r="K5390" s="11" t="n">
        <v>0</v>
      </c>
      <c r="L5390" s="10">
        <f>I5390*J5390*(1-K5390)</f>
        <v/>
      </c>
      <c r="M5390" s="10" t="n">
        <v>48.6</v>
      </c>
      <c r="N5390" s="10">
        <f>L5390-M5390</f>
        <v/>
      </c>
    </row>
    <row r="5391">
      <c r="A5391" s="7" t="inlineStr">
        <is>
          <t>ORD-03378</t>
        </is>
      </c>
      <c r="B5391" s="8" t="n">
        <v>45969</v>
      </c>
      <c r="C5391" s="9" t="n">
        <v>45962</v>
      </c>
      <c r="D5391" s="7" t="n">
        <v>2025</v>
      </c>
      <c r="E5391" s="7" t="inlineStr">
        <is>
          <t>West</t>
        </is>
      </c>
      <c r="F5391" s="7" t="inlineStr">
        <is>
          <t>Technology</t>
        </is>
      </c>
      <c r="G5391" s="7" t="inlineStr">
        <is>
          <t>Headphones</t>
        </is>
      </c>
      <c r="H5391" s="7" t="inlineStr">
        <is>
          <t>Consumer</t>
        </is>
      </c>
      <c r="I5391" s="7" t="n">
        <v>2</v>
      </c>
      <c r="J5391" s="10" t="n">
        <v>125.3</v>
      </c>
      <c r="K5391" s="11" t="n">
        <v>0.2</v>
      </c>
      <c r="L5391" s="10">
        <f>I5391*J5391*(1-K5391)</f>
        <v/>
      </c>
      <c r="M5391" s="10" t="n">
        <v>144</v>
      </c>
      <c r="N5391" s="10">
        <f>L5391-M5391</f>
        <v/>
      </c>
    </row>
    <row r="5392">
      <c r="A5392" s="7" t="inlineStr">
        <is>
          <t>ORD-04732</t>
        </is>
      </c>
      <c r="B5392" s="8" t="n">
        <v>45969</v>
      </c>
      <c r="C5392" s="9" t="n">
        <v>45962</v>
      </c>
      <c r="D5392" s="7" t="n">
        <v>2025</v>
      </c>
      <c r="E5392" s="7" t="inlineStr">
        <is>
          <t>West</t>
        </is>
      </c>
      <c r="F5392" s="7" t="inlineStr">
        <is>
          <t>Office Supplies</t>
        </is>
      </c>
      <c r="G5392" s="7" t="inlineStr">
        <is>
          <t>Pens</t>
        </is>
      </c>
      <c r="H5392" s="7" t="inlineStr">
        <is>
          <t>Corporate</t>
        </is>
      </c>
      <c r="I5392" s="7" t="n">
        <v>6</v>
      </c>
      <c r="J5392" s="10" t="n">
        <v>12.25</v>
      </c>
      <c r="K5392" s="11" t="n">
        <v>0.2</v>
      </c>
      <c r="L5392" s="10">
        <f>I5392*J5392*(1-K5392)</f>
        <v/>
      </c>
      <c r="M5392" s="10" t="n">
        <v>32.4</v>
      </c>
      <c r="N5392" s="10">
        <f>L5392-M5392</f>
        <v/>
      </c>
    </row>
    <row r="5393">
      <c r="A5393" s="7" t="inlineStr">
        <is>
          <t>ORD-05526</t>
        </is>
      </c>
      <c r="B5393" s="8" t="n">
        <v>45969</v>
      </c>
      <c r="C5393" s="9" t="n">
        <v>45962</v>
      </c>
      <c r="D5393" s="7" t="n">
        <v>2025</v>
      </c>
      <c r="E5393" s="7" t="inlineStr">
        <is>
          <t>South</t>
        </is>
      </c>
      <c r="F5393" s="7" t="inlineStr">
        <is>
          <t>Office Supplies</t>
        </is>
      </c>
      <c r="G5393" s="7" t="inlineStr">
        <is>
          <t>Paper</t>
        </is>
      </c>
      <c r="H5393" s="7" t="inlineStr">
        <is>
          <t>Consumer</t>
        </is>
      </c>
      <c r="I5393" s="7" t="n">
        <v>14</v>
      </c>
      <c r="J5393" s="10" t="n">
        <v>26.21</v>
      </c>
      <c r="K5393" s="11" t="n">
        <v>0</v>
      </c>
      <c r="L5393" s="10">
        <f>I5393*J5393*(1-K5393)</f>
        <v/>
      </c>
      <c r="M5393" s="10" t="n">
        <v>175</v>
      </c>
      <c r="N5393" s="10">
        <f>L5393-M5393</f>
        <v/>
      </c>
    </row>
    <row r="5394">
      <c r="A5394" s="7" t="inlineStr">
        <is>
          <t>ORD-03585</t>
        </is>
      </c>
      <c r="B5394" s="8" t="n">
        <v>45969</v>
      </c>
      <c r="C5394" s="9" t="n">
        <v>45962</v>
      </c>
      <c r="D5394" s="7" t="n">
        <v>2025</v>
      </c>
      <c r="E5394" s="7" t="inlineStr">
        <is>
          <t>South</t>
        </is>
      </c>
      <c r="F5394" s="7" t="inlineStr">
        <is>
          <t>Technology</t>
        </is>
      </c>
      <c r="G5394" s="7" t="inlineStr">
        <is>
          <t>Smartphone</t>
        </is>
      </c>
      <c r="H5394" s="7" t="inlineStr">
        <is>
          <t>Home Office</t>
        </is>
      </c>
      <c r="I5394" s="7" t="n">
        <v>1</v>
      </c>
      <c r="J5394" s="10" t="n">
        <v>607.15</v>
      </c>
      <c r="K5394" s="11" t="n">
        <v>0.3</v>
      </c>
      <c r="L5394" s="10">
        <f>I5394*J5394*(1-K5394)</f>
        <v/>
      </c>
      <c r="M5394" s="10" t="n">
        <v>450</v>
      </c>
      <c r="N5394" s="10">
        <f>L5394-M5394</f>
        <v/>
      </c>
    </row>
    <row r="5395">
      <c r="A5395" s="7" t="inlineStr">
        <is>
          <t>ORD-03092</t>
        </is>
      </c>
      <c r="B5395" s="8" t="n">
        <v>45969</v>
      </c>
      <c r="C5395" s="9" t="n">
        <v>45962</v>
      </c>
      <c r="D5395" s="7" t="n">
        <v>2025</v>
      </c>
      <c r="E5395" s="7" t="inlineStr">
        <is>
          <t>East</t>
        </is>
      </c>
      <c r="F5395" s="7" t="inlineStr">
        <is>
          <t>Office Supplies</t>
        </is>
      </c>
      <c r="G5395" s="7" t="inlineStr">
        <is>
          <t>Stapler</t>
        </is>
      </c>
      <c r="H5395" s="7" t="inlineStr">
        <is>
          <t>Corporate</t>
        </is>
      </c>
      <c r="I5395" s="7" t="n">
        <v>11</v>
      </c>
      <c r="J5395" s="10" t="n">
        <v>14.27</v>
      </c>
      <c r="K5395" s="11" t="n">
        <v>0.1</v>
      </c>
      <c r="L5395" s="10">
        <f>I5395*J5395*(1-K5395)</f>
        <v/>
      </c>
      <c r="M5395" s="10" t="n">
        <v>82.5</v>
      </c>
      <c r="N5395" s="10">
        <f>L5395-M5395</f>
        <v/>
      </c>
    </row>
    <row r="5396">
      <c r="A5396" s="7" t="inlineStr">
        <is>
          <t>ORD-00162</t>
        </is>
      </c>
      <c r="B5396" s="8" t="n">
        <v>45969</v>
      </c>
      <c r="C5396" s="9" t="n">
        <v>45962</v>
      </c>
      <c r="D5396" s="7" t="n">
        <v>2025</v>
      </c>
      <c r="E5396" s="7" t="inlineStr">
        <is>
          <t>East</t>
        </is>
      </c>
      <c r="F5396" s="7" t="inlineStr">
        <is>
          <t>Office Supplies</t>
        </is>
      </c>
      <c r="G5396" s="7" t="inlineStr">
        <is>
          <t>Pens</t>
        </is>
      </c>
      <c r="H5396" s="7" t="inlineStr">
        <is>
          <t>Corporate</t>
        </is>
      </c>
      <c r="I5396" s="7" t="n">
        <v>10</v>
      </c>
      <c r="J5396" s="10" t="n">
        <v>11.89</v>
      </c>
      <c r="K5396" s="11" t="n">
        <v>0</v>
      </c>
      <c r="L5396" s="10">
        <f>I5396*J5396*(1-K5396)</f>
        <v/>
      </c>
      <c r="M5396" s="10" t="n">
        <v>54</v>
      </c>
      <c r="N5396" s="10">
        <f>L5396-M5396</f>
        <v/>
      </c>
    </row>
    <row r="5397">
      <c r="A5397" s="7" t="inlineStr">
        <is>
          <t>ORD-04386</t>
        </is>
      </c>
      <c r="B5397" s="8" t="n">
        <v>45969</v>
      </c>
      <c r="C5397" s="9" t="n">
        <v>45962</v>
      </c>
      <c r="D5397" s="7" t="n">
        <v>2025</v>
      </c>
      <c r="E5397" s="7" t="inlineStr">
        <is>
          <t>West</t>
        </is>
      </c>
      <c r="F5397" s="7" t="inlineStr">
        <is>
          <t>Technology</t>
        </is>
      </c>
      <c r="G5397" s="7" t="inlineStr">
        <is>
          <t>Laptop</t>
        </is>
      </c>
      <c r="H5397" s="7" t="inlineStr">
        <is>
          <t>Consumer</t>
        </is>
      </c>
      <c r="I5397" s="7" t="n">
        <v>2</v>
      </c>
      <c r="J5397" s="10" t="n">
        <v>886.36</v>
      </c>
      <c r="K5397" s="11" t="n">
        <v>0.1</v>
      </c>
      <c r="L5397" s="10">
        <f>I5397*J5397*(1-K5397)</f>
        <v/>
      </c>
      <c r="M5397" s="10" t="n">
        <v>1404</v>
      </c>
      <c r="N5397" s="10">
        <f>L5397-M5397</f>
        <v/>
      </c>
    </row>
    <row r="5398">
      <c r="A5398" s="7" t="inlineStr">
        <is>
          <t>ORD-03203</t>
        </is>
      </c>
      <c r="B5398" s="8" t="n">
        <v>45970</v>
      </c>
      <c r="C5398" s="9" t="n">
        <v>45962</v>
      </c>
      <c r="D5398" s="7" t="n">
        <v>2025</v>
      </c>
      <c r="E5398" s="7" t="inlineStr">
        <is>
          <t>East</t>
        </is>
      </c>
      <c r="F5398" s="7" t="inlineStr">
        <is>
          <t>Office Supplies</t>
        </is>
      </c>
      <c r="G5398" s="7" t="inlineStr">
        <is>
          <t>Pens</t>
        </is>
      </c>
      <c r="H5398" s="7" t="inlineStr">
        <is>
          <t>Corporate</t>
        </is>
      </c>
      <c r="I5398" s="7" t="n">
        <v>10</v>
      </c>
      <c r="J5398" s="10" t="n">
        <v>12.13</v>
      </c>
      <c r="K5398" s="11" t="n">
        <v>0.3</v>
      </c>
      <c r="L5398" s="10">
        <f>I5398*J5398*(1-K5398)</f>
        <v/>
      </c>
      <c r="M5398" s="10" t="n">
        <v>54</v>
      </c>
      <c r="N5398" s="10">
        <f>L5398-M5398</f>
        <v/>
      </c>
    </row>
    <row r="5399">
      <c r="A5399" s="7" t="inlineStr">
        <is>
          <t>ORD-04783</t>
        </is>
      </c>
      <c r="B5399" s="8" t="n">
        <v>45970</v>
      </c>
      <c r="C5399" s="9" t="n">
        <v>45962</v>
      </c>
      <c r="D5399" s="7" t="n">
        <v>2025</v>
      </c>
      <c r="E5399" s="7" t="inlineStr">
        <is>
          <t>West</t>
        </is>
      </c>
      <c r="F5399" s="7" t="inlineStr">
        <is>
          <t>Office Supplies</t>
        </is>
      </c>
      <c r="G5399" s="7" t="inlineStr">
        <is>
          <t>Stapler</t>
        </is>
      </c>
      <c r="H5399" s="7" t="inlineStr">
        <is>
          <t>Consumer</t>
        </is>
      </c>
      <c r="I5399" s="7" t="n">
        <v>6</v>
      </c>
      <c r="J5399" s="10" t="n">
        <v>15.56</v>
      </c>
      <c r="K5399" s="11" t="n">
        <v>0.05</v>
      </c>
      <c r="L5399" s="10">
        <f>I5399*J5399*(1-K5399)</f>
        <v/>
      </c>
      <c r="M5399" s="10" t="n">
        <v>45</v>
      </c>
      <c r="N5399" s="10">
        <f>L5399-M5399</f>
        <v/>
      </c>
    </row>
    <row r="5400">
      <c r="A5400" s="7" t="inlineStr">
        <is>
          <t>ORD-00321</t>
        </is>
      </c>
      <c r="B5400" s="8" t="n">
        <v>45970</v>
      </c>
      <c r="C5400" s="9" t="n">
        <v>45962</v>
      </c>
      <c r="D5400" s="7" t="n">
        <v>2025</v>
      </c>
      <c r="E5400" s="7" t="inlineStr">
        <is>
          <t>West</t>
        </is>
      </c>
      <c r="F5400" s="7" t="inlineStr">
        <is>
          <t>Office Supplies</t>
        </is>
      </c>
      <c r="G5400" s="7" t="inlineStr">
        <is>
          <t>Printer Ink</t>
        </is>
      </c>
      <c r="H5400" s="7" t="inlineStr">
        <is>
          <t>Consumer</t>
        </is>
      </c>
      <c r="I5400" s="7" t="n">
        <v>14</v>
      </c>
      <c r="J5400" s="10" t="n">
        <v>62.68</v>
      </c>
      <c r="K5400" s="11" t="n">
        <v>0.2</v>
      </c>
      <c r="L5400" s="10">
        <f>I5400*J5400*(1-K5400)</f>
        <v/>
      </c>
      <c r="M5400" s="10" t="n">
        <v>504</v>
      </c>
      <c r="N5400" s="10">
        <f>L5400-M5400</f>
        <v/>
      </c>
    </row>
    <row r="5401">
      <c r="A5401" s="7" t="inlineStr">
        <is>
          <t>ORD-04662</t>
        </is>
      </c>
      <c r="B5401" s="8" t="n">
        <v>45970</v>
      </c>
      <c r="C5401" s="9" t="n">
        <v>45962</v>
      </c>
      <c r="D5401" s="7" t="n">
        <v>2025</v>
      </c>
      <c r="E5401" s="7" t="inlineStr">
        <is>
          <t>South</t>
        </is>
      </c>
      <c r="F5401" s="7" t="inlineStr">
        <is>
          <t>Office Supplies</t>
        </is>
      </c>
      <c r="G5401" s="7" t="inlineStr">
        <is>
          <t>Paper</t>
        </is>
      </c>
      <c r="H5401" s="7" t="inlineStr">
        <is>
          <t>Home Office</t>
        </is>
      </c>
      <c r="I5401" s="7" t="n">
        <v>15</v>
      </c>
      <c r="J5401" s="10" t="n">
        <v>25.33</v>
      </c>
      <c r="K5401" s="11" t="n">
        <v>0.3</v>
      </c>
      <c r="L5401" s="10">
        <f>I5401*J5401*(1-K5401)</f>
        <v/>
      </c>
      <c r="M5401" s="10" t="n">
        <v>187.5</v>
      </c>
      <c r="N5401" s="10">
        <f>L5401-M5401</f>
        <v/>
      </c>
    </row>
    <row r="5402">
      <c r="A5402" s="7" t="inlineStr">
        <is>
          <t>ORD-05269</t>
        </is>
      </c>
      <c r="B5402" s="8" t="n">
        <v>45970</v>
      </c>
      <c r="C5402" s="9" t="n">
        <v>45962</v>
      </c>
      <c r="D5402" s="7" t="n">
        <v>2025</v>
      </c>
      <c r="E5402" s="7" t="inlineStr">
        <is>
          <t>West</t>
        </is>
      </c>
      <c r="F5402" s="7" t="inlineStr">
        <is>
          <t>Office Supplies</t>
        </is>
      </c>
      <c r="G5402" s="7" t="inlineStr">
        <is>
          <t>Paper</t>
        </is>
      </c>
      <c r="H5402" s="7" t="inlineStr">
        <is>
          <t>Corporate</t>
        </is>
      </c>
      <c r="I5402" s="7" t="n">
        <v>11</v>
      </c>
      <c r="J5402" s="10" t="n">
        <v>24.87</v>
      </c>
      <c r="K5402" s="11" t="n">
        <v>0</v>
      </c>
      <c r="L5402" s="10">
        <f>I5402*J5402*(1-K5402)</f>
        <v/>
      </c>
      <c r="M5402" s="10" t="n">
        <v>137.5</v>
      </c>
      <c r="N5402" s="10">
        <f>L5402-M5402</f>
        <v/>
      </c>
    </row>
    <row r="5403">
      <c r="A5403" s="7" t="inlineStr">
        <is>
          <t>ORD-05129</t>
        </is>
      </c>
      <c r="B5403" s="8" t="n">
        <v>45970</v>
      </c>
      <c r="C5403" s="9" t="n">
        <v>45962</v>
      </c>
      <c r="D5403" s="7" t="n">
        <v>2025</v>
      </c>
      <c r="E5403" s="7" t="inlineStr">
        <is>
          <t>West</t>
        </is>
      </c>
      <c r="F5403" s="7" t="inlineStr">
        <is>
          <t>Technology</t>
        </is>
      </c>
      <c r="G5403" s="7" t="inlineStr">
        <is>
          <t>Keyboard</t>
        </is>
      </c>
      <c r="H5403" s="7" t="inlineStr">
        <is>
          <t>Consumer</t>
        </is>
      </c>
      <c r="I5403" s="7" t="n">
        <v>1</v>
      </c>
      <c r="J5403" s="10" t="n">
        <v>43.09</v>
      </c>
      <c r="K5403" s="11" t="n">
        <v>0.05</v>
      </c>
      <c r="L5403" s="10">
        <f>I5403*J5403*(1-K5403)</f>
        <v/>
      </c>
      <c r="M5403" s="10" t="n">
        <v>24.75</v>
      </c>
      <c r="N5403" s="10">
        <f>L5403-M5403</f>
        <v/>
      </c>
    </row>
    <row r="5404">
      <c r="A5404" s="7" t="inlineStr">
        <is>
          <t>ORD-00974</t>
        </is>
      </c>
      <c r="B5404" s="8" t="n">
        <v>45970</v>
      </c>
      <c r="C5404" s="9" t="n">
        <v>45962</v>
      </c>
      <c r="D5404" s="7" t="n">
        <v>2025</v>
      </c>
      <c r="E5404" s="7" t="inlineStr">
        <is>
          <t>North</t>
        </is>
      </c>
      <c r="F5404" s="7" t="inlineStr">
        <is>
          <t>Technology</t>
        </is>
      </c>
      <c r="G5404" s="7" t="inlineStr">
        <is>
          <t>Smartphone</t>
        </is>
      </c>
      <c r="H5404" s="7" t="inlineStr">
        <is>
          <t>Home Office</t>
        </is>
      </c>
      <c r="I5404" s="7" t="n">
        <v>3</v>
      </c>
      <c r="J5404" s="10" t="n">
        <v>611.77</v>
      </c>
      <c r="K5404" s="11" t="n">
        <v>0</v>
      </c>
      <c r="L5404" s="10">
        <f>I5404*J5404*(1-K5404)</f>
        <v/>
      </c>
      <c r="M5404" s="10" t="n">
        <v>1350</v>
      </c>
      <c r="N5404" s="10">
        <f>L5404-M5404</f>
        <v/>
      </c>
    </row>
    <row r="5405">
      <c r="A5405" s="7" t="inlineStr">
        <is>
          <t>ORD-01665</t>
        </is>
      </c>
      <c r="B5405" s="8" t="n">
        <v>45970</v>
      </c>
      <c r="C5405" s="9" t="n">
        <v>45962</v>
      </c>
      <c r="D5405" s="7" t="n">
        <v>2025</v>
      </c>
      <c r="E5405" s="7" t="inlineStr">
        <is>
          <t>West</t>
        </is>
      </c>
      <c r="F5405" s="7" t="inlineStr">
        <is>
          <t>Technology</t>
        </is>
      </c>
      <c r="G5405" s="7" t="inlineStr">
        <is>
          <t>Keyboard</t>
        </is>
      </c>
      <c r="H5405" s="7" t="inlineStr">
        <is>
          <t>Corporate</t>
        </is>
      </c>
      <c r="I5405" s="7" t="n">
        <v>3</v>
      </c>
      <c r="J5405" s="10" t="n">
        <v>44.56</v>
      </c>
      <c r="K5405" s="11" t="n">
        <v>0.1</v>
      </c>
      <c r="L5405" s="10">
        <f>I5405*J5405*(1-K5405)</f>
        <v/>
      </c>
      <c r="M5405" s="10" t="n">
        <v>74.25</v>
      </c>
      <c r="N5405" s="10">
        <f>L5405-M5405</f>
        <v/>
      </c>
    </row>
    <row r="5406">
      <c r="A5406" s="7" t="inlineStr">
        <is>
          <t>ORD-00765</t>
        </is>
      </c>
      <c r="B5406" s="8" t="n">
        <v>45971</v>
      </c>
      <c r="C5406" s="9" t="n">
        <v>45962</v>
      </c>
      <c r="D5406" s="7" t="n">
        <v>2025</v>
      </c>
      <c r="E5406" s="7" t="inlineStr">
        <is>
          <t>West</t>
        </is>
      </c>
      <c r="F5406" s="7" t="inlineStr">
        <is>
          <t>Furniture</t>
        </is>
      </c>
      <c r="G5406" s="7" t="inlineStr">
        <is>
          <t>Sofa</t>
        </is>
      </c>
      <c r="H5406" s="7" t="inlineStr">
        <is>
          <t>Consumer</t>
        </is>
      </c>
      <c r="I5406" s="7" t="n">
        <v>4</v>
      </c>
      <c r="J5406" s="10" t="n">
        <v>721.36</v>
      </c>
      <c r="K5406" s="11" t="n">
        <v>0.2</v>
      </c>
      <c r="L5406" s="10">
        <f>I5406*J5406*(1-K5406)</f>
        <v/>
      </c>
      <c r="M5406" s="10" t="n">
        <v>2464</v>
      </c>
      <c r="N5406" s="10">
        <f>L5406-M5406</f>
        <v/>
      </c>
    </row>
    <row r="5407">
      <c r="A5407" s="7" t="inlineStr">
        <is>
          <t>ORD-03090</t>
        </is>
      </c>
      <c r="B5407" s="8" t="n">
        <v>45971</v>
      </c>
      <c r="C5407" s="9" t="n">
        <v>45962</v>
      </c>
      <c r="D5407" s="7" t="n">
        <v>2025</v>
      </c>
      <c r="E5407" s="7" t="inlineStr">
        <is>
          <t>East</t>
        </is>
      </c>
      <c r="F5407" s="7" t="inlineStr">
        <is>
          <t>Office Supplies</t>
        </is>
      </c>
      <c r="G5407" s="7" t="inlineStr">
        <is>
          <t>Paper</t>
        </is>
      </c>
      <c r="H5407" s="7" t="inlineStr">
        <is>
          <t>Corporate</t>
        </is>
      </c>
      <c r="I5407" s="7" t="n">
        <v>3</v>
      </c>
      <c r="J5407" s="10" t="n">
        <v>24.58</v>
      </c>
      <c r="K5407" s="11" t="n">
        <v>0.05</v>
      </c>
      <c r="L5407" s="10">
        <f>I5407*J5407*(1-K5407)</f>
        <v/>
      </c>
      <c r="M5407" s="10" t="n">
        <v>37.5</v>
      </c>
      <c r="N5407" s="10">
        <f>L5407-M5407</f>
        <v/>
      </c>
    </row>
    <row r="5408">
      <c r="A5408" s="7" t="inlineStr">
        <is>
          <t>ORD-00782</t>
        </is>
      </c>
      <c r="B5408" s="8" t="n">
        <v>45971</v>
      </c>
      <c r="C5408" s="9" t="n">
        <v>45962</v>
      </c>
      <c r="D5408" s="7" t="n">
        <v>2025</v>
      </c>
      <c r="E5408" s="7" t="inlineStr">
        <is>
          <t>East</t>
        </is>
      </c>
      <c r="F5408" s="7" t="inlineStr">
        <is>
          <t>Office Supplies</t>
        </is>
      </c>
      <c r="G5408" s="7" t="inlineStr">
        <is>
          <t>Stapler</t>
        </is>
      </c>
      <c r="H5408" s="7" t="inlineStr">
        <is>
          <t>Corporate</t>
        </is>
      </c>
      <c r="I5408" s="7" t="n">
        <v>5</v>
      </c>
      <c r="J5408" s="10" t="n">
        <v>14.78</v>
      </c>
      <c r="K5408" s="11" t="n">
        <v>0.1</v>
      </c>
      <c r="L5408" s="10">
        <f>I5408*J5408*(1-K5408)</f>
        <v/>
      </c>
      <c r="M5408" s="10" t="n">
        <v>37.5</v>
      </c>
      <c r="N5408" s="10">
        <f>L5408-M5408</f>
        <v/>
      </c>
    </row>
    <row r="5409">
      <c r="A5409" s="7" t="inlineStr">
        <is>
          <t>ORD-03515</t>
        </is>
      </c>
      <c r="B5409" s="8" t="n">
        <v>45971</v>
      </c>
      <c r="C5409" s="9" t="n">
        <v>45962</v>
      </c>
      <c r="D5409" s="7" t="n">
        <v>2025</v>
      </c>
      <c r="E5409" s="7" t="inlineStr">
        <is>
          <t>West</t>
        </is>
      </c>
      <c r="F5409" s="7" t="inlineStr">
        <is>
          <t>Office Supplies</t>
        </is>
      </c>
      <c r="G5409" s="7" t="inlineStr">
        <is>
          <t>Paper</t>
        </is>
      </c>
      <c r="H5409" s="7" t="inlineStr">
        <is>
          <t>Consumer</t>
        </is>
      </c>
      <c r="I5409" s="7" t="n">
        <v>10</v>
      </c>
      <c r="J5409" s="10" t="n">
        <v>25.12</v>
      </c>
      <c r="K5409" s="11" t="n">
        <v>0.05</v>
      </c>
      <c r="L5409" s="10">
        <f>I5409*J5409*(1-K5409)</f>
        <v/>
      </c>
      <c r="M5409" s="10" t="n">
        <v>125</v>
      </c>
      <c r="N5409" s="10">
        <f>L5409-M5409</f>
        <v/>
      </c>
    </row>
    <row r="5410">
      <c r="A5410" s="7" t="inlineStr">
        <is>
          <t>ORD-01701</t>
        </is>
      </c>
      <c r="B5410" s="8" t="n">
        <v>45971</v>
      </c>
      <c r="C5410" s="9" t="n">
        <v>45962</v>
      </c>
      <c r="D5410" s="7" t="n">
        <v>2025</v>
      </c>
      <c r="E5410" s="7" t="inlineStr">
        <is>
          <t>West</t>
        </is>
      </c>
      <c r="F5410" s="7" t="inlineStr">
        <is>
          <t>Technology</t>
        </is>
      </c>
      <c r="G5410" s="7" t="inlineStr">
        <is>
          <t>Headphones</t>
        </is>
      </c>
      <c r="H5410" s="7" t="inlineStr">
        <is>
          <t>Home Office</t>
        </is>
      </c>
      <c r="I5410" s="7" t="n">
        <v>1</v>
      </c>
      <c r="J5410" s="10" t="n">
        <v>125.77</v>
      </c>
      <c r="K5410" s="11" t="n">
        <v>0</v>
      </c>
      <c r="L5410" s="10">
        <f>I5410*J5410*(1-K5410)</f>
        <v/>
      </c>
      <c r="M5410" s="10" t="n">
        <v>72</v>
      </c>
      <c r="N5410" s="10">
        <f>L5410-M5410</f>
        <v/>
      </c>
    </row>
    <row r="5411">
      <c r="A5411" s="7" t="inlineStr">
        <is>
          <t>ORD-04647</t>
        </is>
      </c>
      <c r="B5411" s="8" t="n">
        <v>45971</v>
      </c>
      <c r="C5411" s="9" t="n">
        <v>45962</v>
      </c>
      <c r="D5411" s="7" t="n">
        <v>2025</v>
      </c>
      <c r="E5411" s="7" t="inlineStr">
        <is>
          <t>East</t>
        </is>
      </c>
      <c r="F5411" s="7" t="inlineStr">
        <is>
          <t>Office Supplies</t>
        </is>
      </c>
      <c r="G5411" s="7" t="inlineStr">
        <is>
          <t>Pens</t>
        </is>
      </c>
      <c r="H5411" s="7" t="inlineStr">
        <is>
          <t>Corporate</t>
        </is>
      </c>
      <c r="I5411" s="7" t="n">
        <v>8</v>
      </c>
      <c r="J5411" s="10" t="n">
        <v>12.15</v>
      </c>
      <c r="K5411" s="11" t="n">
        <v>0.05</v>
      </c>
      <c r="L5411" s="10">
        <f>I5411*J5411*(1-K5411)</f>
        <v/>
      </c>
      <c r="M5411" s="10" t="n">
        <v>43.2</v>
      </c>
      <c r="N5411" s="10">
        <f>L5411-M5411</f>
        <v/>
      </c>
    </row>
    <row r="5412">
      <c r="A5412" s="7" t="inlineStr">
        <is>
          <t>ORD-03049</t>
        </is>
      </c>
      <c r="B5412" s="8" t="n">
        <v>45971</v>
      </c>
      <c r="C5412" s="9" t="n">
        <v>45962</v>
      </c>
      <c r="D5412" s="7" t="n">
        <v>2025</v>
      </c>
      <c r="E5412" s="7" t="inlineStr">
        <is>
          <t>North</t>
        </is>
      </c>
      <c r="F5412" s="7" t="inlineStr">
        <is>
          <t>Technology</t>
        </is>
      </c>
      <c r="G5412" s="7" t="inlineStr">
        <is>
          <t>Monitor</t>
        </is>
      </c>
      <c r="H5412" s="7" t="inlineStr">
        <is>
          <t>Corporate</t>
        </is>
      </c>
      <c r="I5412" s="7" t="n">
        <v>2</v>
      </c>
      <c r="J5412" s="10" t="n">
        <v>239.29</v>
      </c>
      <c r="K5412" s="11" t="n">
        <v>0</v>
      </c>
      <c r="L5412" s="10">
        <f>I5412*J5412*(1-K5412)</f>
        <v/>
      </c>
      <c r="M5412" s="10" t="n">
        <v>360</v>
      </c>
      <c r="N5412" s="10">
        <f>L5412-M5412</f>
        <v/>
      </c>
    </row>
    <row r="5413">
      <c r="A5413" s="7" t="inlineStr">
        <is>
          <t>ORD-05318</t>
        </is>
      </c>
      <c r="B5413" s="8" t="n">
        <v>45971</v>
      </c>
      <c r="C5413" s="9" t="n">
        <v>45962</v>
      </c>
      <c r="D5413" s="7" t="n">
        <v>2025</v>
      </c>
      <c r="E5413" s="7" t="inlineStr">
        <is>
          <t>West</t>
        </is>
      </c>
      <c r="F5413" s="7" t="inlineStr">
        <is>
          <t>Office Supplies</t>
        </is>
      </c>
      <c r="G5413" s="7" t="inlineStr">
        <is>
          <t>Paper</t>
        </is>
      </c>
      <c r="H5413" s="7" t="inlineStr">
        <is>
          <t>Consumer</t>
        </is>
      </c>
      <c r="I5413" s="7" t="n">
        <v>15</v>
      </c>
      <c r="J5413" s="10" t="n">
        <v>23.92</v>
      </c>
      <c r="K5413" s="11" t="n">
        <v>0</v>
      </c>
      <c r="L5413" s="10">
        <f>I5413*J5413*(1-K5413)</f>
        <v/>
      </c>
      <c r="M5413" s="10" t="n">
        <v>187.5</v>
      </c>
      <c r="N5413" s="10">
        <f>L5413-M5413</f>
        <v/>
      </c>
    </row>
    <row r="5414">
      <c r="A5414" s="7" t="inlineStr">
        <is>
          <t>ORD-04185</t>
        </is>
      </c>
      <c r="B5414" s="8" t="n">
        <v>45971</v>
      </c>
      <c r="C5414" s="9" t="n">
        <v>45962</v>
      </c>
      <c r="D5414" s="7" t="n">
        <v>2025</v>
      </c>
      <c r="E5414" s="7" t="inlineStr">
        <is>
          <t>West</t>
        </is>
      </c>
      <c r="F5414" s="7" t="inlineStr">
        <is>
          <t>Office Supplies</t>
        </is>
      </c>
      <c r="G5414" s="7" t="inlineStr">
        <is>
          <t>Printer Ink</t>
        </is>
      </c>
      <c r="H5414" s="7" t="inlineStr">
        <is>
          <t>Consumer</t>
        </is>
      </c>
      <c r="I5414" s="7" t="n">
        <v>9</v>
      </c>
      <c r="J5414" s="10" t="n">
        <v>58.48</v>
      </c>
      <c r="K5414" s="11" t="n">
        <v>0.1</v>
      </c>
      <c r="L5414" s="10">
        <f>I5414*J5414*(1-K5414)</f>
        <v/>
      </c>
      <c r="M5414" s="10" t="n">
        <v>324</v>
      </c>
      <c r="N5414" s="10">
        <f>L5414-M5414</f>
        <v/>
      </c>
    </row>
    <row r="5415">
      <c r="A5415" s="7" t="inlineStr">
        <is>
          <t>ORD-03243</t>
        </is>
      </c>
      <c r="B5415" s="8" t="n">
        <v>45971</v>
      </c>
      <c r="C5415" s="9" t="n">
        <v>45962</v>
      </c>
      <c r="D5415" s="7" t="n">
        <v>2025</v>
      </c>
      <c r="E5415" s="7" t="inlineStr">
        <is>
          <t>West</t>
        </is>
      </c>
      <c r="F5415" s="7" t="inlineStr">
        <is>
          <t>Technology</t>
        </is>
      </c>
      <c r="G5415" s="7" t="inlineStr">
        <is>
          <t>Headphones</t>
        </is>
      </c>
      <c r="H5415" s="7" t="inlineStr">
        <is>
          <t>Consumer</t>
        </is>
      </c>
      <c r="I5415" s="7" t="n">
        <v>2</v>
      </c>
      <c r="J5415" s="10" t="n">
        <v>115.1</v>
      </c>
      <c r="K5415" s="11" t="n">
        <v>0</v>
      </c>
      <c r="L5415" s="10">
        <f>I5415*J5415*(1-K5415)</f>
        <v/>
      </c>
      <c r="M5415" s="10" t="n">
        <v>144</v>
      </c>
      <c r="N5415" s="10">
        <f>L5415-M5415</f>
        <v/>
      </c>
    </row>
    <row r="5416">
      <c r="A5416" s="7" t="inlineStr">
        <is>
          <t>ORD-00402</t>
        </is>
      </c>
      <c r="B5416" s="8" t="n">
        <v>45971</v>
      </c>
      <c r="C5416" s="9" t="n">
        <v>45962</v>
      </c>
      <c r="D5416" s="7" t="n">
        <v>2025</v>
      </c>
      <c r="E5416" s="7" t="inlineStr">
        <is>
          <t>West</t>
        </is>
      </c>
      <c r="F5416" s="7" t="inlineStr">
        <is>
          <t>Furniture</t>
        </is>
      </c>
      <c r="G5416" s="7" t="inlineStr">
        <is>
          <t>Sofa</t>
        </is>
      </c>
      <c r="H5416" s="7" t="inlineStr">
        <is>
          <t>Corporate</t>
        </is>
      </c>
      <c r="I5416" s="7" t="n">
        <v>4</v>
      </c>
      <c r="J5416" s="10" t="n">
        <v>709.72</v>
      </c>
      <c r="K5416" s="11" t="n">
        <v>0</v>
      </c>
      <c r="L5416" s="10">
        <f>I5416*J5416*(1-K5416)</f>
        <v/>
      </c>
      <c r="M5416" s="10" t="n">
        <v>2464</v>
      </c>
      <c r="N5416" s="10">
        <f>L5416-M5416</f>
        <v/>
      </c>
    </row>
    <row r="5417">
      <c r="A5417" s="7" t="inlineStr">
        <is>
          <t>ORD-02762</t>
        </is>
      </c>
      <c r="B5417" s="8" t="n">
        <v>45971</v>
      </c>
      <c r="C5417" s="9" t="n">
        <v>45962</v>
      </c>
      <c r="D5417" s="7" t="n">
        <v>2025</v>
      </c>
      <c r="E5417" s="7" t="inlineStr">
        <is>
          <t>West</t>
        </is>
      </c>
      <c r="F5417" s="7" t="inlineStr">
        <is>
          <t>Office Supplies</t>
        </is>
      </c>
      <c r="G5417" s="7" t="inlineStr">
        <is>
          <t>Printer Ink</t>
        </is>
      </c>
      <c r="H5417" s="7" t="inlineStr">
        <is>
          <t>Corporate</t>
        </is>
      </c>
      <c r="I5417" s="7" t="n">
        <v>15</v>
      </c>
      <c r="J5417" s="10" t="n">
        <v>62.09</v>
      </c>
      <c r="K5417" s="11" t="n">
        <v>0</v>
      </c>
      <c r="L5417" s="10">
        <f>I5417*J5417*(1-K5417)</f>
        <v/>
      </c>
      <c r="M5417" s="10" t="n">
        <v>540</v>
      </c>
      <c r="N5417" s="10">
        <f>L5417-M5417</f>
        <v/>
      </c>
    </row>
    <row r="5418">
      <c r="A5418" s="7" t="inlineStr">
        <is>
          <t>ORD-00986</t>
        </is>
      </c>
      <c r="B5418" s="8" t="n">
        <v>45972</v>
      </c>
      <c r="C5418" s="9" t="n">
        <v>45962</v>
      </c>
      <c r="D5418" s="7" t="n">
        <v>2025</v>
      </c>
      <c r="E5418" s="7" t="inlineStr">
        <is>
          <t>South</t>
        </is>
      </c>
      <c r="F5418" s="7" t="inlineStr">
        <is>
          <t>Office Supplies</t>
        </is>
      </c>
      <c r="G5418" s="7" t="inlineStr">
        <is>
          <t>Paper</t>
        </is>
      </c>
      <c r="H5418" s="7" t="inlineStr">
        <is>
          <t>Corporate</t>
        </is>
      </c>
      <c r="I5418" s="7" t="n">
        <v>8</v>
      </c>
      <c r="J5418" s="10" t="n">
        <v>24.52</v>
      </c>
      <c r="K5418" s="11" t="n">
        <v>0.3</v>
      </c>
      <c r="L5418" s="10">
        <f>I5418*J5418*(1-K5418)</f>
        <v/>
      </c>
      <c r="M5418" s="10" t="n">
        <v>100</v>
      </c>
      <c r="N5418" s="10">
        <f>L5418-M5418</f>
        <v/>
      </c>
    </row>
    <row r="5419">
      <c r="A5419" s="7" t="inlineStr">
        <is>
          <t>ORD-04330</t>
        </is>
      </c>
      <c r="B5419" s="8" t="n">
        <v>45972</v>
      </c>
      <c r="C5419" s="9" t="n">
        <v>45962</v>
      </c>
      <c r="D5419" s="7" t="n">
        <v>2025</v>
      </c>
      <c r="E5419" s="7" t="inlineStr">
        <is>
          <t>North</t>
        </is>
      </c>
      <c r="F5419" s="7" t="inlineStr">
        <is>
          <t>Office Supplies</t>
        </is>
      </c>
      <c r="G5419" s="7" t="inlineStr">
        <is>
          <t>Paper</t>
        </is>
      </c>
      <c r="H5419" s="7" t="inlineStr">
        <is>
          <t>Consumer</t>
        </is>
      </c>
      <c r="I5419" s="7" t="n">
        <v>11</v>
      </c>
      <c r="J5419" s="10" t="n">
        <v>24.39</v>
      </c>
      <c r="K5419" s="11" t="n">
        <v>0.05</v>
      </c>
      <c r="L5419" s="10">
        <f>I5419*J5419*(1-K5419)</f>
        <v/>
      </c>
      <c r="M5419" s="10" t="n">
        <v>137.5</v>
      </c>
      <c r="N5419" s="10">
        <f>L5419-M5419</f>
        <v/>
      </c>
    </row>
    <row r="5420">
      <c r="A5420" s="7" t="inlineStr">
        <is>
          <t>ORD-04407</t>
        </is>
      </c>
      <c r="B5420" s="8" t="n">
        <v>45972</v>
      </c>
      <c r="C5420" s="9" t="n">
        <v>45962</v>
      </c>
      <c r="D5420" s="7" t="n">
        <v>2025</v>
      </c>
      <c r="E5420" s="7" t="inlineStr">
        <is>
          <t>South</t>
        </is>
      </c>
      <c r="F5420" s="7" t="inlineStr">
        <is>
          <t>Office Supplies</t>
        </is>
      </c>
      <c r="G5420" s="7" t="inlineStr">
        <is>
          <t>Pens</t>
        </is>
      </c>
      <c r="H5420" s="7" t="inlineStr">
        <is>
          <t>Consumer</t>
        </is>
      </c>
      <c r="I5420" s="7" t="n">
        <v>15</v>
      </c>
      <c r="J5420" s="10" t="n">
        <v>11.55</v>
      </c>
      <c r="K5420" s="11" t="n">
        <v>0.05</v>
      </c>
      <c r="L5420" s="10">
        <f>I5420*J5420*(1-K5420)</f>
        <v/>
      </c>
      <c r="M5420" s="10" t="n">
        <v>81</v>
      </c>
      <c r="N5420" s="10">
        <f>L5420-M5420</f>
        <v/>
      </c>
    </row>
    <row r="5421">
      <c r="A5421" s="7" t="inlineStr">
        <is>
          <t>ORD-02320</t>
        </is>
      </c>
      <c r="B5421" s="8" t="n">
        <v>45972</v>
      </c>
      <c r="C5421" s="9" t="n">
        <v>45962</v>
      </c>
      <c r="D5421" s="7" t="n">
        <v>2025</v>
      </c>
      <c r="E5421" s="7" t="inlineStr">
        <is>
          <t>East</t>
        </is>
      </c>
      <c r="F5421" s="7" t="inlineStr">
        <is>
          <t>Technology</t>
        </is>
      </c>
      <c r="G5421" s="7" t="inlineStr">
        <is>
          <t>Headphones</t>
        </is>
      </c>
      <c r="H5421" s="7" t="inlineStr">
        <is>
          <t>Corporate</t>
        </is>
      </c>
      <c r="I5421" s="7" t="n">
        <v>3</v>
      </c>
      <c r="J5421" s="10" t="n">
        <v>116.96</v>
      </c>
      <c r="K5421" s="11" t="n">
        <v>0</v>
      </c>
      <c r="L5421" s="10">
        <f>I5421*J5421*(1-K5421)</f>
        <v/>
      </c>
      <c r="M5421" s="10" t="n">
        <v>216</v>
      </c>
      <c r="N5421" s="10">
        <f>L5421-M5421</f>
        <v/>
      </c>
    </row>
    <row r="5422">
      <c r="A5422" s="7" t="inlineStr">
        <is>
          <t>ORD-05021</t>
        </is>
      </c>
      <c r="B5422" s="8" t="n">
        <v>45972</v>
      </c>
      <c r="C5422" s="9" t="n">
        <v>45962</v>
      </c>
      <c r="D5422" s="7" t="n">
        <v>2025</v>
      </c>
      <c r="E5422" s="7" t="inlineStr">
        <is>
          <t>East</t>
        </is>
      </c>
      <c r="F5422" s="7" t="inlineStr">
        <is>
          <t>Office Supplies</t>
        </is>
      </c>
      <c r="G5422" s="7" t="inlineStr">
        <is>
          <t>Pens</t>
        </is>
      </c>
      <c r="H5422" s="7" t="inlineStr">
        <is>
          <t>Corporate</t>
        </is>
      </c>
      <c r="I5422" s="7" t="n">
        <v>13</v>
      </c>
      <c r="J5422" s="10" t="n">
        <v>11.64</v>
      </c>
      <c r="K5422" s="11" t="n">
        <v>0.1</v>
      </c>
      <c r="L5422" s="10">
        <f>I5422*J5422*(1-K5422)</f>
        <v/>
      </c>
      <c r="M5422" s="10" t="n">
        <v>70.2</v>
      </c>
      <c r="N5422" s="10">
        <f>L5422-M5422</f>
        <v/>
      </c>
    </row>
    <row r="5423">
      <c r="A5423" s="7" t="inlineStr">
        <is>
          <t>ORD-04989</t>
        </is>
      </c>
      <c r="B5423" s="8" t="n">
        <v>45972</v>
      </c>
      <c r="C5423" s="9" t="n">
        <v>45962</v>
      </c>
      <c r="D5423" s="7" t="n">
        <v>2025</v>
      </c>
      <c r="E5423" s="7" t="inlineStr">
        <is>
          <t>West</t>
        </is>
      </c>
      <c r="F5423" s="7" t="inlineStr">
        <is>
          <t>Furniture</t>
        </is>
      </c>
      <c r="G5423" s="7" t="inlineStr">
        <is>
          <t>Bookcase</t>
        </is>
      </c>
      <c r="H5423" s="7" t="inlineStr">
        <is>
          <t>Corporate</t>
        </is>
      </c>
      <c r="I5423" s="7" t="n">
        <v>2</v>
      </c>
      <c r="J5423" s="10" t="n">
        <v>185.22</v>
      </c>
      <c r="K5423" s="11" t="n">
        <v>0.2</v>
      </c>
      <c r="L5423" s="10">
        <f>I5423*J5423*(1-K5423)</f>
        <v/>
      </c>
      <c r="M5423" s="10" t="n">
        <v>288</v>
      </c>
      <c r="N5423" s="10">
        <f>L5423-M5423</f>
        <v/>
      </c>
    </row>
    <row r="5424">
      <c r="A5424" s="7" t="inlineStr">
        <is>
          <t>ORD-04919</t>
        </is>
      </c>
      <c r="B5424" s="8" t="n">
        <v>45972</v>
      </c>
      <c r="C5424" s="9" t="n">
        <v>45962</v>
      </c>
      <c r="D5424" s="7" t="n">
        <v>2025</v>
      </c>
      <c r="E5424" s="7" t="inlineStr">
        <is>
          <t>South</t>
        </is>
      </c>
      <c r="F5424" s="7" t="inlineStr">
        <is>
          <t>Technology</t>
        </is>
      </c>
      <c r="G5424" s="7" t="inlineStr">
        <is>
          <t>Smartphone</t>
        </is>
      </c>
      <c r="H5424" s="7" t="inlineStr">
        <is>
          <t>Consumer</t>
        </is>
      </c>
      <c r="I5424" s="7" t="n">
        <v>3</v>
      </c>
      <c r="J5424" s="10" t="n">
        <v>627.86</v>
      </c>
      <c r="K5424" s="11" t="n">
        <v>0.05</v>
      </c>
      <c r="L5424" s="10">
        <f>I5424*J5424*(1-K5424)</f>
        <v/>
      </c>
      <c r="M5424" s="10" t="n">
        <v>1350</v>
      </c>
      <c r="N5424" s="10">
        <f>L5424-M5424</f>
        <v/>
      </c>
    </row>
    <row r="5425">
      <c r="A5425" s="7" t="inlineStr">
        <is>
          <t>ORD-01829</t>
        </is>
      </c>
      <c r="B5425" s="8" t="n">
        <v>45973</v>
      </c>
      <c r="C5425" s="9" t="n">
        <v>45962</v>
      </c>
      <c r="D5425" s="7" t="n">
        <v>2025</v>
      </c>
      <c r="E5425" s="7" t="inlineStr">
        <is>
          <t>South</t>
        </is>
      </c>
      <c r="F5425" s="7" t="inlineStr">
        <is>
          <t>Furniture</t>
        </is>
      </c>
      <c r="G5425" s="7" t="inlineStr">
        <is>
          <t>Bookcase</t>
        </is>
      </c>
      <c r="H5425" s="7" t="inlineStr">
        <is>
          <t>Consumer</t>
        </is>
      </c>
      <c r="I5425" s="7" t="n">
        <v>1</v>
      </c>
      <c r="J5425" s="10" t="n">
        <v>172.66</v>
      </c>
      <c r="K5425" s="11" t="n">
        <v>0.2</v>
      </c>
      <c r="L5425" s="10">
        <f>I5425*J5425*(1-K5425)</f>
        <v/>
      </c>
      <c r="M5425" s="10" t="n">
        <v>144</v>
      </c>
      <c r="N5425" s="10">
        <f>L5425-M5425</f>
        <v/>
      </c>
    </row>
    <row r="5426">
      <c r="A5426" s="7" t="inlineStr">
        <is>
          <t>ORD-01007</t>
        </is>
      </c>
      <c r="B5426" s="8" t="n">
        <v>45973</v>
      </c>
      <c r="C5426" s="9" t="n">
        <v>45962</v>
      </c>
      <c r="D5426" s="7" t="n">
        <v>2025</v>
      </c>
      <c r="E5426" s="7" t="inlineStr">
        <is>
          <t>South</t>
        </is>
      </c>
      <c r="F5426" s="7" t="inlineStr">
        <is>
          <t>Office Supplies</t>
        </is>
      </c>
      <c r="G5426" s="7" t="inlineStr">
        <is>
          <t>Printer Ink</t>
        </is>
      </c>
      <c r="H5426" s="7" t="inlineStr">
        <is>
          <t>Corporate</t>
        </is>
      </c>
      <c r="I5426" s="7" t="n">
        <v>2</v>
      </c>
      <c r="J5426" s="10" t="n">
        <v>57.19</v>
      </c>
      <c r="K5426" s="11" t="n">
        <v>0.2</v>
      </c>
      <c r="L5426" s="10">
        <f>I5426*J5426*(1-K5426)</f>
        <v/>
      </c>
      <c r="M5426" s="10" t="n">
        <v>72</v>
      </c>
      <c r="N5426" s="10">
        <f>L5426-M5426</f>
        <v/>
      </c>
    </row>
    <row r="5427">
      <c r="A5427" s="7" t="inlineStr">
        <is>
          <t>ORD-04763</t>
        </is>
      </c>
      <c r="B5427" s="8" t="n">
        <v>45973</v>
      </c>
      <c r="C5427" s="9" t="n">
        <v>45962</v>
      </c>
      <c r="D5427" s="7" t="n">
        <v>2025</v>
      </c>
      <c r="E5427" s="7" t="inlineStr">
        <is>
          <t>West</t>
        </is>
      </c>
      <c r="F5427" s="7" t="inlineStr">
        <is>
          <t>Office Supplies</t>
        </is>
      </c>
      <c r="G5427" s="7" t="inlineStr">
        <is>
          <t>Pens</t>
        </is>
      </c>
      <c r="H5427" s="7" t="inlineStr">
        <is>
          <t>Consumer</t>
        </is>
      </c>
      <c r="I5427" s="7" t="n">
        <v>9</v>
      </c>
      <c r="J5427" s="10" t="n">
        <v>11.54</v>
      </c>
      <c r="K5427" s="11" t="n">
        <v>0</v>
      </c>
      <c r="L5427" s="10">
        <f>I5427*J5427*(1-K5427)</f>
        <v/>
      </c>
      <c r="M5427" s="10" t="n">
        <v>48.6</v>
      </c>
      <c r="N5427" s="10">
        <f>L5427-M5427</f>
        <v/>
      </c>
    </row>
    <row r="5428">
      <c r="A5428" s="7" t="inlineStr">
        <is>
          <t>ORD-05065</t>
        </is>
      </c>
      <c r="B5428" s="8" t="n">
        <v>45973</v>
      </c>
      <c r="C5428" s="9" t="n">
        <v>45962</v>
      </c>
      <c r="D5428" s="7" t="n">
        <v>2025</v>
      </c>
      <c r="E5428" s="7" t="inlineStr">
        <is>
          <t>West</t>
        </is>
      </c>
      <c r="F5428" s="7" t="inlineStr">
        <is>
          <t>Technology</t>
        </is>
      </c>
      <c r="G5428" s="7" t="inlineStr">
        <is>
          <t>Headphones</t>
        </is>
      </c>
      <c r="H5428" s="7" t="inlineStr">
        <is>
          <t>Home Office</t>
        </is>
      </c>
      <c r="I5428" s="7" t="n">
        <v>2</v>
      </c>
      <c r="J5428" s="10" t="n">
        <v>122.12</v>
      </c>
      <c r="K5428" s="11" t="n">
        <v>0.05</v>
      </c>
      <c r="L5428" s="10">
        <f>I5428*J5428*(1-K5428)</f>
        <v/>
      </c>
      <c r="M5428" s="10" t="n">
        <v>144</v>
      </c>
      <c r="N5428" s="10">
        <f>L5428-M5428</f>
        <v/>
      </c>
    </row>
    <row r="5429">
      <c r="A5429" s="7" t="inlineStr">
        <is>
          <t>ORD-05328</t>
        </is>
      </c>
      <c r="B5429" s="8" t="n">
        <v>45973</v>
      </c>
      <c r="C5429" s="9" t="n">
        <v>45962</v>
      </c>
      <c r="D5429" s="7" t="n">
        <v>2025</v>
      </c>
      <c r="E5429" s="7" t="inlineStr">
        <is>
          <t>West</t>
        </is>
      </c>
      <c r="F5429" s="7" t="inlineStr">
        <is>
          <t>Technology</t>
        </is>
      </c>
      <c r="G5429" s="7" t="inlineStr">
        <is>
          <t>Monitor</t>
        </is>
      </c>
      <c r="H5429" s="7" t="inlineStr">
        <is>
          <t>Corporate</t>
        </is>
      </c>
      <c r="I5429" s="7" t="n">
        <v>2</v>
      </c>
      <c r="J5429" s="10" t="n">
        <v>239.06</v>
      </c>
      <c r="K5429" s="11" t="n">
        <v>0</v>
      </c>
      <c r="L5429" s="10">
        <f>I5429*J5429*(1-K5429)</f>
        <v/>
      </c>
      <c r="M5429" s="10" t="n">
        <v>360</v>
      </c>
      <c r="N5429" s="10">
        <f>L5429-M5429</f>
        <v/>
      </c>
    </row>
    <row r="5430">
      <c r="A5430" s="7" t="inlineStr">
        <is>
          <t>ORD-01760</t>
        </is>
      </c>
      <c r="B5430" s="8" t="n">
        <v>45973</v>
      </c>
      <c r="C5430" s="9" t="n">
        <v>45962</v>
      </c>
      <c r="D5430" s="7" t="n">
        <v>2025</v>
      </c>
      <c r="E5430" s="7" t="inlineStr">
        <is>
          <t>East</t>
        </is>
      </c>
      <c r="F5430" s="7" t="inlineStr">
        <is>
          <t>Office Supplies</t>
        </is>
      </c>
      <c r="G5430" s="7" t="inlineStr">
        <is>
          <t>Paper</t>
        </is>
      </c>
      <c r="H5430" s="7" t="inlineStr">
        <is>
          <t>Consumer</t>
        </is>
      </c>
      <c r="I5430" s="7" t="n">
        <v>5</v>
      </c>
      <c r="J5430" s="10" t="n">
        <v>24.95</v>
      </c>
      <c r="K5430" s="11" t="n">
        <v>0.05</v>
      </c>
      <c r="L5430" s="10">
        <f>I5430*J5430*(1-K5430)</f>
        <v/>
      </c>
      <c r="M5430" s="10" t="n">
        <v>62.5</v>
      </c>
      <c r="N5430" s="10">
        <f>L5430-M5430</f>
        <v/>
      </c>
    </row>
    <row r="5431">
      <c r="A5431" s="7" t="inlineStr">
        <is>
          <t>ORD-00265</t>
        </is>
      </c>
      <c r="B5431" s="8" t="n">
        <v>45973</v>
      </c>
      <c r="C5431" s="9" t="n">
        <v>45962</v>
      </c>
      <c r="D5431" s="7" t="n">
        <v>2025</v>
      </c>
      <c r="E5431" s="7" t="inlineStr">
        <is>
          <t>East</t>
        </is>
      </c>
      <c r="F5431" s="7" t="inlineStr">
        <is>
          <t>Office Supplies</t>
        </is>
      </c>
      <c r="G5431" s="7" t="inlineStr">
        <is>
          <t>Paper</t>
        </is>
      </c>
      <c r="H5431" s="7" t="inlineStr">
        <is>
          <t>Corporate</t>
        </is>
      </c>
      <c r="I5431" s="7" t="n">
        <v>5</v>
      </c>
      <c r="J5431" s="10" t="n">
        <v>24.08</v>
      </c>
      <c r="K5431" s="11" t="n">
        <v>0.05</v>
      </c>
      <c r="L5431" s="10">
        <f>I5431*J5431*(1-K5431)</f>
        <v/>
      </c>
      <c r="M5431" s="10" t="n">
        <v>62.5</v>
      </c>
      <c r="N5431" s="10">
        <f>L5431-M5431</f>
        <v/>
      </c>
    </row>
    <row r="5432">
      <c r="A5432" s="7" t="inlineStr">
        <is>
          <t>ORD-00503</t>
        </is>
      </c>
      <c r="B5432" s="8" t="n">
        <v>45973</v>
      </c>
      <c r="C5432" s="9" t="n">
        <v>45962</v>
      </c>
      <c r="D5432" s="7" t="n">
        <v>2025</v>
      </c>
      <c r="E5432" s="7" t="inlineStr">
        <is>
          <t>East</t>
        </is>
      </c>
      <c r="F5432" s="7" t="inlineStr">
        <is>
          <t>Office Supplies</t>
        </is>
      </c>
      <c r="G5432" s="7" t="inlineStr">
        <is>
          <t>Binder</t>
        </is>
      </c>
      <c r="H5432" s="7" t="inlineStr">
        <is>
          <t>Consumer</t>
        </is>
      </c>
      <c r="I5432" s="7" t="n">
        <v>9</v>
      </c>
      <c r="J5432" s="10" t="n">
        <v>7.99</v>
      </c>
      <c r="K5432" s="11" t="n">
        <v>0.05</v>
      </c>
      <c r="L5432" s="10">
        <f>I5432*J5432*(1-K5432)</f>
        <v/>
      </c>
      <c r="M5432" s="10" t="n">
        <v>28.8</v>
      </c>
      <c r="N5432" s="10">
        <f>L5432-M5432</f>
        <v/>
      </c>
    </row>
    <row r="5433">
      <c r="A5433" s="7" t="inlineStr">
        <is>
          <t>ORD-04086</t>
        </is>
      </c>
      <c r="B5433" s="8" t="n">
        <v>45974</v>
      </c>
      <c r="C5433" s="9" t="n">
        <v>45962</v>
      </c>
      <c r="D5433" s="7" t="n">
        <v>2025</v>
      </c>
      <c r="E5433" s="7" t="inlineStr">
        <is>
          <t>South</t>
        </is>
      </c>
      <c r="F5433" s="7" t="inlineStr">
        <is>
          <t>Office Supplies</t>
        </is>
      </c>
      <c r="G5433" s="7" t="inlineStr">
        <is>
          <t>Paper</t>
        </is>
      </c>
      <c r="H5433" s="7" t="inlineStr">
        <is>
          <t>Corporate</t>
        </is>
      </c>
      <c r="I5433" s="7" t="n">
        <v>13</v>
      </c>
      <c r="J5433" s="10" t="n">
        <v>24.72</v>
      </c>
      <c r="K5433" s="11" t="n">
        <v>0.05</v>
      </c>
      <c r="L5433" s="10">
        <f>I5433*J5433*(1-K5433)</f>
        <v/>
      </c>
      <c r="M5433" s="10" t="n">
        <v>162.5</v>
      </c>
      <c r="N5433" s="10">
        <f>L5433-M5433</f>
        <v/>
      </c>
    </row>
    <row r="5434">
      <c r="A5434" s="7" t="inlineStr">
        <is>
          <t>ORD-03924</t>
        </is>
      </c>
      <c r="B5434" s="8" t="n">
        <v>45974</v>
      </c>
      <c r="C5434" s="9" t="n">
        <v>45962</v>
      </c>
      <c r="D5434" s="7" t="n">
        <v>2025</v>
      </c>
      <c r="E5434" s="7" t="inlineStr">
        <is>
          <t>West</t>
        </is>
      </c>
      <c r="F5434" s="7" t="inlineStr">
        <is>
          <t>Office Supplies</t>
        </is>
      </c>
      <c r="G5434" s="7" t="inlineStr">
        <is>
          <t>Printer Ink</t>
        </is>
      </c>
      <c r="H5434" s="7" t="inlineStr">
        <is>
          <t>Corporate</t>
        </is>
      </c>
      <c r="I5434" s="7" t="n">
        <v>13</v>
      </c>
      <c r="J5434" s="10" t="n">
        <v>62.44</v>
      </c>
      <c r="K5434" s="11" t="n">
        <v>0.1</v>
      </c>
      <c r="L5434" s="10">
        <f>I5434*J5434*(1-K5434)</f>
        <v/>
      </c>
      <c r="M5434" s="10" t="n">
        <v>468</v>
      </c>
      <c r="N5434" s="10">
        <f>L5434-M5434</f>
        <v/>
      </c>
    </row>
    <row r="5435">
      <c r="A5435" s="7" t="inlineStr">
        <is>
          <t>ORD-03383</t>
        </is>
      </c>
      <c r="B5435" s="8" t="n">
        <v>45974</v>
      </c>
      <c r="C5435" s="9" t="n">
        <v>45962</v>
      </c>
      <c r="D5435" s="7" t="n">
        <v>2025</v>
      </c>
      <c r="E5435" s="7" t="inlineStr">
        <is>
          <t>East</t>
        </is>
      </c>
      <c r="F5435" s="7" t="inlineStr">
        <is>
          <t>Technology</t>
        </is>
      </c>
      <c r="G5435" s="7" t="inlineStr">
        <is>
          <t>Keyboard</t>
        </is>
      </c>
      <c r="H5435" s="7" t="inlineStr">
        <is>
          <t>Home Office</t>
        </is>
      </c>
      <c r="I5435" s="7" t="n">
        <v>2</v>
      </c>
      <c r="J5435" s="10" t="n">
        <v>44.44</v>
      </c>
      <c r="K5435" s="11" t="n">
        <v>0.2</v>
      </c>
      <c r="L5435" s="10">
        <f>I5435*J5435*(1-K5435)</f>
        <v/>
      </c>
      <c r="M5435" s="10" t="n">
        <v>49.5</v>
      </c>
      <c r="N5435" s="10">
        <f>L5435-M5435</f>
        <v/>
      </c>
    </row>
    <row r="5436">
      <c r="A5436" s="7" t="inlineStr">
        <is>
          <t>ORD-02215</t>
        </is>
      </c>
      <c r="B5436" s="8" t="n">
        <v>45974</v>
      </c>
      <c r="C5436" s="9" t="n">
        <v>45962</v>
      </c>
      <c r="D5436" s="7" t="n">
        <v>2025</v>
      </c>
      <c r="E5436" s="7" t="inlineStr">
        <is>
          <t>West</t>
        </is>
      </c>
      <c r="F5436" s="7" t="inlineStr">
        <is>
          <t>Office Supplies</t>
        </is>
      </c>
      <c r="G5436" s="7" t="inlineStr">
        <is>
          <t>Pens</t>
        </is>
      </c>
      <c r="H5436" s="7" t="inlineStr">
        <is>
          <t>Consumer</t>
        </is>
      </c>
      <c r="I5436" s="7" t="n">
        <v>8</v>
      </c>
      <c r="J5436" s="10" t="n">
        <v>11.77</v>
      </c>
      <c r="K5436" s="11" t="n">
        <v>0</v>
      </c>
      <c r="L5436" s="10">
        <f>I5436*J5436*(1-K5436)</f>
        <v/>
      </c>
      <c r="M5436" s="10" t="n">
        <v>43.2</v>
      </c>
      <c r="N5436" s="10">
        <f>L5436-M5436</f>
        <v/>
      </c>
    </row>
    <row r="5437">
      <c r="A5437" s="7" t="inlineStr">
        <is>
          <t>ORD-03202</t>
        </is>
      </c>
      <c r="B5437" s="8" t="n">
        <v>45974</v>
      </c>
      <c r="C5437" s="9" t="n">
        <v>45962</v>
      </c>
      <c r="D5437" s="7" t="n">
        <v>2025</v>
      </c>
      <c r="E5437" s="7" t="inlineStr">
        <is>
          <t>North</t>
        </is>
      </c>
      <c r="F5437" s="7" t="inlineStr">
        <is>
          <t>Technology</t>
        </is>
      </c>
      <c r="G5437" s="7" t="inlineStr">
        <is>
          <t>Laptop</t>
        </is>
      </c>
      <c r="H5437" s="7" t="inlineStr">
        <is>
          <t>Consumer</t>
        </is>
      </c>
      <c r="I5437" s="7" t="n">
        <v>3</v>
      </c>
      <c r="J5437" s="10" t="n">
        <v>862.98</v>
      </c>
      <c r="K5437" s="11" t="n">
        <v>0.05</v>
      </c>
      <c r="L5437" s="10">
        <f>I5437*J5437*(1-K5437)</f>
        <v/>
      </c>
      <c r="M5437" s="10" t="n">
        <v>2106</v>
      </c>
      <c r="N5437" s="10">
        <f>L5437-M5437</f>
        <v/>
      </c>
    </row>
    <row r="5438">
      <c r="A5438" s="7" t="inlineStr">
        <is>
          <t>ORD-02820</t>
        </is>
      </c>
      <c r="B5438" s="8" t="n">
        <v>45974</v>
      </c>
      <c r="C5438" s="9" t="n">
        <v>45962</v>
      </c>
      <c r="D5438" s="7" t="n">
        <v>2025</v>
      </c>
      <c r="E5438" s="7" t="inlineStr">
        <is>
          <t>North</t>
        </is>
      </c>
      <c r="F5438" s="7" t="inlineStr">
        <is>
          <t>Office Supplies</t>
        </is>
      </c>
      <c r="G5438" s="7" t="inlineStr">
        <is>
          <t>Printer Ink</t>
        </is>
      </c>
      <c r="H5438" s="7" t="inlineStr">
        <is>
          <t>Consumer</t>
        </is>
      </c>
      <c r="I5438" s="7" t="n">
        <v>15</v>
      </c>
      <c r="J5438" s="10" t="n">
        <v>60.32</v>
      </c>
      <c r="K5438" s="11" t="n">
        <v>0.2</v>
      </c>
      <c r="L5438" s="10">
        <f>I5438*J5438*(1-K5438)</f>
        <v/>
      </c>
      <c r="M5438" s="10" t="n">
        <v>540</v>
      </c>
      <c r="N5438" s="10">
        <f>L5438-M5438</f>
        <v/>
      </c>
    </row>
    <row r="5439">
      <c r="A5439" s="7" t="inlineStr">
        <is>
          <t>ORD-02909</t>
        </is>
      </c>
      <c r="B5439" s="8" t="n">
        <v>45974</v>
      </c>
      <c r="C5439" s="9" t="n">
        <v>45962</v>
      </c>
      <c r="D5439" s="7" t="n">
        <v>2025</v>
      </c>
      <c r="E5439" s="7" t="inlineStr">
        <is>
          <t>East</t>
        </is>
      </c>
      <c r="F5439" s="7" t="inlineStr">
        <is>
          <t>Technology</t>
        </is>
      </c>
      <c r="G5439" s="7" t="inlineStr">
        <is>
          <t>Keyboard</t>
        </is>
      </c>
      <c r="H5439" s="7" t="inlineStr">
        <is>
          <t>Consumer</t>
        </is>
      </c>
      <c r="I5439" s="7" t="n">
        <v>2</v>
      </c>
      <c r="J5439" s="10" t="n">
        <v>46.93</v>
      </c>
      <c r="K5439" s="11" t="n">
        <v>0</v>
      </c>
      <c r="L5439" s="10">
        <f>I5439*J5439*(1-K5439)</f>
        <v/>
      </c>
      <c r="M5439" s="10" t="n">
        <v>49.5</v>
      </c>
      <c r="N5439" s="10">
        <f>L5439-M5439</f>
        <v/>
      </c>
    </row>
    <row r="5440">
      <c r="A5440" s="7" t="inlineStr">
        <is>
          <t>ORD-04602</t>
        </is>
      </c>
      <c r="B5440" s="8" t="n">
        <v>45974</v>
      </c>
      <c r="C5440" s="9" t="n">
        <v>45962</v>
      </c>
      <c r="D5440" s="7" t="n">
        <v>2025</v>
      </c>
      <c r="E5440" s="7" t="inlineStr">
        <is>
          <t>South</t>
        </is>
      </c>
      <c r="F5440" s="7" t="inlineStr">
        <is>
          <t>Office Supplies</t>
        </is>
      </c>
      <c r="G5440" s="7" t="inlineStr">
        <is>
          <t>Binder</t>
        </is>
      </c>
      <c r="H5440" s="7" t="inlineStr">
        <is>
          <t>Consumer</t>
        </is>
      </c>
      <c r="I5440" s="7" t="n">
        <v>8</v>
      </c>
      <c r="J5440" s="10" t="n">
        <v>7.74</v>
      </c>
      <c r="K5440" s="11" t="n">
        <v>0</v>
      </c>
      <c r="L5440" s="10">
        <f>I5440*J5440*(1-K5440)</f>
        <v/>
      </c>
      <c r="M5440" s="10" t="n">
        <v>25.6</v>
      </c>
      <c r="N5440" s="10">
        <f>L5440-M5440</f>
        <v/>
      </c>
    </row>
    <row r="5441">
      <c r="A5441" s="7" t="inlineStr">
        <is>
          <t>ORD-02494</t>
        </is>
      </c>
      <c r="B5441" s="8" t="n">
        <v>45974</v>
      </c>
      <c r="C5441" s="9" t="n">
        <v>45962</v>
      </c>
      <c r="D5441" s="7" t="n">
        <v>2025</v>
      </c>
      <c r="E5441" s="7" t="inlineStr">
        <is>
          <t>North</t>
        </is>
      </c>
      <c r="F5441" s="7" t="inlineStr">
        <is>
          <t>Office Supplies</t>
        </is>
      </c>
      <c r="G5441" s="7" t="inlineStr">
        <is>
          <t>Stapler</t>
        </is>
      </c>
      <c r="H5441" s="7" t="inlineStr">
        <is>
          <t>Home Office</t>
        </is>
      </c>
      <c r="I5441" s="7" t="n">
        <v>12</v>
      </c>
      <c r="J5441" s="10" t="n">
        <v>15.63</v>
      </c>
      <c r="K5441" s="11" t="n">
        <v>0.3</v>
      </c>
      <c r="L5441" s="10">
        <f>I5441*J5441*(1-K5441)</f>
        <v/>
      </c>
      <c r="M5441" s="10" t="n">
        <v>90</v>
      </c>
      <c r="N5441" s="10">
        <f>L5441-M5441</f>
        <v/>
      </c>
    </row>
    <row r="5442">
      <c r="A5442" s="7" t="inlineStr">
        <is>
          <t>ORD-01638</t>
        </is>
      </c>
      <c r="B5442" s="8" t="n">
        <v>45974</v>
      </c>
      <c r="C5442" s="9" t="n">
        <v>45962</v>
      </c>
      <c r="D5442" s="7" t="n">
        <v>2025</v>
      </c>
      <c r="E5442" s="7" t="inlineStr">
        <is>
          <t>North</t>
        </is>
      </c>
      <c r="F5442" s="7" t="inlineStr">
        <is>
          <t>Office Supplies</t>
        </is>
      </c>
      <c r="G5442" s="7" t="inlineStr">
        <is>
          <t>Printer Ink</t>
        </is>
      </c>
      <c r="H5442" s="7" t="inlineStr">
        <is>
          <t>Consumer</t>
        </is>
      </c>
      <c r="I5442" s="7" t="n">
        <v>6</v>
      </c>
      <c r="J5442" s="10" t="n">
        <v>57.15</v>
      </c>
      <c r="K5442" s="11" t="n">
        <v>0</v>
      </c>
      <c r="L5442" s="10">
        <f>I5442*J5442*(1-K5442)</f>
        <v/>
      </c>
      <c r="M5442" s="10" t="n">
        <v>216</v>
      </c>
      <c r="N5442" s="10">
        <f>L5442-M5442</f>
        <v/>
      </c>
    </row>
    <row r="5443">
      <c r="A5443" s="7" t="inlineStr">
        <is>
          <t>ORD-03895</t>
        </is>
      </c>
      <c r="B5443" s="8" t="n">
        <v>45975</v>
      </c>
      <c r="C5443" s="9" t="n">
        <v>45962</v>
      </c>
      <c r="D5443" s="7" t="n">
        <v>2025</v>
      </c>
      <c r="E5443" s="7" t="inlineStr">
        <is>
          <t>East</t>
        </is>
      </c>
      <c r="F5443" s="7" t="inlineStr">
        <is>
          <t>Office Supplies</t>
        </is>
      </c>
      <c r="G5443" s="7" t="inlineStr">
        <is>
          <t>Stapler</t>
        </is>
      </c>
      <c r="H5443" s="7" t="inlineStr">
        <is>
          <t>Corporate</t>
        </is>
      </c>
      <c r="I5443" s="7" t="n">
        <v>14</v>
      </c>
      <c r="J5443" s="10" t="n">
        <v>15.23</v>
      </c>
      <c r="K5443" s="11" t="n">
        <v>0.1</v>
      </c>
      <c r="L5443" s="10">
        <f>I5443*J5443*(1-K5443)</f>
        <v/>
      </c>
      <c r="M5443" s="10" t="n">
        <v>105</v>
      </c>
      <c r="N5443" s="10">
        <f>L5443-M5443</f>
        <v/>
      </c>
    </row>
    <row r="5444">
      <c r="A5444" s="7" t="inlineStr">
        <is>
          <t>ORD-00631</t>
        </is>
      </c>
      <c r="B5444" s="8" t="n">
        <v>45975</v>
      </c>
      <c r="C5444" s="9" t="n">
        <v>45962</v>
      </c>
      <c r="D5444" s="7" t="n">
        <v>2025</v>
      </c>
      <c r="E5444" s="7" t="inlineStr">
        <is>
          <t>South</t>
        </is>
      </c>
      <c r="F5444" s="7" t="inlineStr">
        <is>
          <t>Technology</t>
        </is>
      </c>
      <c r="G5444" s="7" t="inlineStr">
        <is>
          <t>Keyboard</t>
        </is>
      </c>
      <c r="H5444" s="7" t="inlineStr">
        <is>
          <t>Consumer</t>
        </is>
      </c>
      <c r="I5444" s="7" t="n">
        <v>2</v>
      </c>
      <c r="J5444" s="10" t="n">
        <v>46.53</v>
      </c>
      <c r="K5444" s="11" t="n">
        <v>0.05</v>
      </c>
      <c r="L5444" s="10">
        <f>I5444*J5444*(1-K5444)</f>
        <v/>
      </c>
      <c r="M5444" s="10" t="n">
        <v>49.5</v>
      </c>
      <c r="N5444" s="10">
        <f>L5444-M5444</f>
        <v/>
      </c>
    </row>
    <row r="5445">
      <c r="A5445" s="7" t="inlineStr">
        <is>
          <t>ORD-00132</t>
        </is>
      </c>
      <c r="B5445" s="8" t="n">
        <v>45975</v>
      </c>
      <c r="C5445" s="9" t="n">
        <v>45962</v>
      </c>
      <c r="D5445" s="7" t="n">
        <v>2025</v>
      </c>
      <c r="E5445" s="7" t="inlineStr">
        <is>
          <t>South</t>
        </is>
      </c>
      <c r="F5445" s="7" t="inlineStr">
        <is>
          <t>Technology</t>
        </is>
      </c>
      <c r="G5445" s="7" t="inlineStr">
        <is>
          <t>Laptop</t>
        </is>
      </c>
      <c r="H5445" s="7" t="inlineStr">
        <is>
          <t>Consumer</t>
        </is>
      </c>
      <c r="I5445" s="7" t="n">
        <v>3</v>
      </c>
      <c r="J5445" s="10" t="n">
        <v>934</v>
      </c>
      <c r="K5445" s="11" t="n">
        <v>0</v>
      </c>
      <c r="L5445" s="10">
        <f>I5445*J5445*(1-K5445)</f>
        <v/>
      </c>
      <c r="M5445" s="10" t="n">
        <v>2106</v>
      </c>
      <c r="N5445" s="10">
        <f>L5445-M5445</f>
        <v/>
      </c>
    </row>
    <row r="5446">
      <c r="A5446" s="7" t="inlineStr">
        <is>
          <t>ORD-00293</t>
        </is>
      </c>
      <c r="B5446" s="8" t="n">
        <v>45975</v>
      </c>
      <c r="C5446" s="9" t="n">
        <v>45962</v>
      </c>
      <c r="D5446" s="7" t="n">
        <v>2025</v>
      </c>
      <c r="E5446" s="7" t="inlineStr">
        <is>
          <t>North</t>
        </is>
      </c>
      <c r="F5446" s="7" t="inlineStr">
        <is>
          <t>Office Supplies</t>
        </is>
      </c>
      <c r="G5446" s="7" t="inlineStr">
        <is>
          <t>Printer Ink</t>
        </is>
      </c>
      <c r="H5446" s="7" t="inlineStr">
        <is>
          <t>Consumer</t>
        </is>
      </c>
      <c r="I5446" s="7" t="n">
        <v>10</v>
      </c>
      <c r="J5446" s="10" t="n">
        <v>59.69</v>
      </c>
      <c r="K5446" s="11" t="n">
        <v>0</v>
      </c>
      <c r="L5446" s="10">
        <f>I5446*J5446*(1-K5446)</f>
        <v/>
      </c>
      <c r="M5446" s="10" t="n">
        <v>360</v>
      </c>
      <c r="N5446" s="10">
        <f>L5446-M5446</f>
        <v/>
      </c>
    </row>
    <row r="5447">
      <c r="A5447" s="7" t="inlineStr">
        <is>
          <t>ORD-00226</t>
        </is>
      </c>
      <c r="B5447" s="8" t="n">
        <v>45975</v>
      </c>
      <c r="C5447" s="9" t="n">
        <v>45962</v>
      </c>
      <c r="D5447" s="7" t="n">
        <v>2025</v>
      </c>
      <c r="E5447" s="7" t="inlineStr">
        <is>
          <t>West</t>
        </is>
      </c>
      <c r="F5447" s="7" t="inlineStr">
        <is>
          <t>Office Supplies</t>
        </is>
      </c>
      <c r="G5447" s="7" t="inlineStr">
        <is>
          <t>Pens</t>
        </is>
      </c>
      <c r="H5447" s="7" t="inlineStr">
        <is>
          <t>Consumer</t>
        </is>
      </c>
      <c r="I5447" s="7" t="n">
        <v>13</v>
      </c>
      <c r="J5447" s="10" t="n">
        <v>11.84</v>
      </c>
      <c r="K5447" s="11" t="n">
        <v>0</v>
      </c>
      <c r="L5447" s="10">
        <f>I5447*J5447*(1-K5447)</f>
        <v/>
      </c>
      <c r="M5447" s="10" t="n">
        <v>70.2</v>
      </c>
      <c r="N5447" s="10">
        <f>L5447-M5447</f>
        <v/>
      </c>
    </row>
    <row r="5448">
      <c r="A5448" s="7" t="inlineStr">
        <is>
          <t>ORD-01312</t>
        </is>
      </c>
      <c r="B5448" s="8" t="n">
        <v>45975</v>
      </c>
      <c r="C5448" s="9" t="n">
        <v>45962</v>
      </c>
      <c r="D5448" s="7" t="n">
        <v>2025</v>
      </c>
      <c r="E5448" s="7" t="inlineStr">
        <is>
          <t>West</t>
        </is>
      </c>
      <c r="F5448" s="7" t="inlineStr">
        <is>
          <t>Office Supplies</t>
        </is>
      </c>
      <c r="G5448" s="7" t="inlineStr">
        <is>
          <t>Pens</t>
        </is>
      </c>
      <c r="H5448" s="7" t="inlineStr">
        <is>
          <t>Corporate</t>
        </is>
      </c>
      <c r="I5448" s="7" t="n">
        <v>10</v>
      </c>
      <c r="J5448" s="10" t="n">
        <v>11.69</v>
      </c>
      <c r="K5448" s="11" t="n">
        <v>0.1</v>
      </c>
      <c r="L5448" s="10">
        <f>I5448*J5448*(1-K5448)</f>
        <v/>
      </c>
      <c r="M5448" s="10" t="n">
        <v>54</v>
      </c>
      <c r="N5448" s="10">
        <f>L5448-M5448</f>
        <v/>
      </c>
    </row>
    <row r="5449">
      <c r="A5449" s="7" t="inlineStr">
        <is>
          <t>ORD-01950</t>
        </is>
      </c>
      <c r="B5449" s="8" t="n">
        <v>45975</v>
      </c>
      <c r="C5449" s="9" t="n">
        <v>45962</v>
      </c>
      <c r="D5449" s="7" t="n">
        <v>2025</v>
      </c>
      <c r="E5449" s="7" t="inlineStr">
        <is>
          <t>North</t>
        </is>
      </c>
      <c r="F5449" s="7" t="inlineStr">
        <is>
          <t>Office Supplies</t>
        </is>
      </c>
      <c r="G5449" s="7" t="inlineStr">
        <is>
          <t>Printer Ink</t>
        </is>
      </c>
      <c r="H5449" s="7" t="inlineStr">
        <is>
          <t>Consumer</t>
        </is>
      </c>
      <c r="I5449" s="7" t="n">
        <v>7</v>
      </c>
      <c r="J5449" s="10" t="n">
        <v>60.81</v>
      </c>
      <c r="K5449" s="11" t="n">
        <v>0.1</v>
      </c>
      <c r="L5449" s="10">
        <f>I5449*J5449*(1-K5449)</f>
        <v/>
      </c>
      <c r="M5449" s="10" t="n">
        <v>252</v>
      </c>
      <c r="N5449" s="10">
        <f>L5449-M5449</f>
        <v/>
      </c>
    </row>
    <row r="5450">
      <c r="A5450" s="7" t="inlineStr">
        <is>
          <t>ORD-04044</t>
        </is>
      </c>
      <c r="B5450" s="8" t="n">
        <v>45975</v>
      </c>
      <c r="C5450" s="9" t="n">
        <v>45962</v>
      </c>
      <c r="D5450" s="7" t="n">
        <v>2025</v>
      </c>
      <c r="E5450" s="7" t="inlineStr">
        <is>
          <t>South</t>
        </is>
      </c>
      <c r="F5450" s="7" t="inlineStr">
        <is>
          <t>Technology</t>
        </is>
      </c>
      <c r="G5450" s="7" t="inlineStr">
        <is>
          <t>Laptop</t>
        </is>
      </c>
      <c r="H5450" s="7" t="inlineStr">
        <is>
          <t>Consumer</t>
        </is>
      </c>
      <c r="I5450" s="7" t="n">
        <v>1</v>
      </c>
      <c r="J5450" s="10" t="n">
        <v>887.49</v>
      </c>
      <c r="K5450" s="11" t="n">
        <v>0.2</v>
      </c>
      <c r="L5450" s="10">
        <f>I5450*J5450*(1-K5450)</f>
        <v/>
      </c>
      <c r="M5450" s="10" t="n">
        <v>702</v>
      </c>
      <c r="N5450" s="10">
        <f>L5450-M5450</f>
        <v/>
      </c>
    </row>
    <row r="5451">
      <c r="A5451" s="7" t="inlineStr">
        <is>
          <t>ORD-04755</t>
        </is>
      </c>
      <c r="B5451" s="8" t="n">
        <v>45975</v>
      </c>
      <c r="C5451" s="9" t="n">
        <v>45962</v>
      </c>
      <c r="D5451" s="7" t="n">
        <v>2025</v>
      </c>
      <c r="E5451" s="7" t="inlineStr">
        <is>
          <t>South</t>
        </is>
      </c>
      <c r="F5451" s="7" t="inlineStr">
        <is>
          <t>Technology</t>
        </is>
      </c>
      <c r="G5451" s="7" t="inlineStr">
        <is>
          <t>Keyboard</t>
        </is>
      </c>
      <c r="H5451" s="7" t="inlineStr">
        <is>
          <t>Corporate</t>
        </is>
      </c>
      <c r="I5451" s="7" t="n">
        <v>1</v>
      </c>
      <c r="J5451" s="10" t="n">
        <v>44.01</v>
      </c>
      <c r="K5451" s="11" t="n">
        <v>0</v>
      </c>
      <c r="L5451" s="10">
        <f>I5451*J5451*(1-K5451)</f>
        <v/>
      </c>
      <c r="M5451" s="10" t="n">
        <v>24.75</v>
      </c>
      <c r="N5451" s="10">
        <f>L5451-M5451</f>
        <v/>
      </c>
    </row>
    <row r="5452">
      <c r="A5452" s="7" t="inlineStr">
        <is>
          <t>ORD-00995</t>
        </is>
      </c>
      <c r="B5452" s="8" t="n">
        <v>45975</v>
      </c>
      <c r="C5452" s="9" t="n">
        <v>45962</v>
      </c>
      <c r="D5452" s="7" t="n">
        <v>2025</v>
      </c>
      <c r="E5452" s="7" t="inlineStr">
        <is>
          <t>South</t>
        </is>
      </c>
      <c r="F5452" s="7" t="inlineStr">
        <is>
          <t>Furniture</t>
        </is>
      </c>
      <c r="G5452" s="7" t="inlineStr">
        <is>
          <t>Sofa</t>
        </is>
      </c>
      <c r="H5452" s="7" t="inlineStr">
        <is>
          <t>Home Office</t>
        </is>
      </c>
      <c r="I5452" s="7" t="n">
        <v>2</v>
      </c>
      <c r="J5452" s="10" t="n">
        <v>677.62</v>
      </c>
      <c r="K5452" s="11" t="n">
        <v>0.3</v>
      </c>
      <c r="L5452" s="10">
        <f>I5452*J5452*(1-K5452)</f>
        <v/>
      </c>
      <c r="M5452" s="10" t="n">
        <v>1232</v>
      </c>
      <c r="N5452" s="10">
        <f>L5452-M5452</f>
        <v/>
      </c>
    </row>
    <row r="5453">
      <c r="A5453" s="7" t="inlineStr">
        <is>
          <t>ORD-03429</t>
        </is>
      </c>
      <c r="B5453" s="8" t="n">
        <v>45975</v>
      </c>
      <c r="C5453" s="9" t="n">
        <v>45962</v>
      </c>
      <c r="D5453" s="7" t="n">
        <v>2025</v>
      </c>
      <c r="E5453" s="7" t="inlineStr">
        <is>
          <t>South</t>
        </is>
      </c>
      <c r="F5453" s="7" t="inlineStr">
        <is>
          <t>Office Supplies</t>
        </is>
      </c>
      <c r="G5453" s="7" t="inlineStr">
        <is>
          <t>Stapler</t>
        </is>
      </c>
      <c r="H5453" s="7" t="inlineStr">
        <is>
          <t>Consumer</t>
        </is>
      </c>
      <c r="I5453" s="7" t="n">
        <v>15</v>
      </c>
      <c r="J5453" s="10" t="n">
        <v>15.49</v>
      </c>
      <c r="K5453" s="11" t="n">
        <v>0.2</v>
      </c>
      <c r="L5453" s="10">
        <f>I5453*J5453*(1-K5453)</f>
        <v/>
      </c>
      <c r="M5453" s="10" t="n">
        <v>112.5</v>
      </c>
      <c r="N5453" s="10">
        <f>L5453-M5453</f>
        <v/>
      </c>
    </row>
    <row r="5454">
      <c r="A5454" s="7" t="inlineStr">
        <is>
          <t>ORD-01083</t>
        </is>
      </c>
      <c r="B5454" s="8" t="n">
        <v>45975</v>
      </c>
      <c r="C5454" s="9" t="n">
        <v>45962</v>
      </c>
      <c r="D5454" s="7" t="n">
        <v>2025</v>
      </c>
      <c r="E5454" s="7" t="inlineStr">
        <is>
          <t>South</t>
        </is>
      </c>
      <c r="F5454" s="7" t="inlineStr">
        <is>
          <t>Office Supplies</t>
        </is>
      </c>
      <c r="G5454" s="7" t="inlineStr">
        <is>
          <t>Pens</t>
        </is>
      </c>
      <c r="H5454" s="7" t="inlineStr">
        <is>
          <t>Consumer</t>
        </is>
      </c>
      <c r="I5454" s="7" t="n">
        <v>2</v>
      </c>
      <c r="J5454" s="10" t="n">
        <v>11.57</v>
      </c>
      <c r="K5454" s="11" t="n">
        <v>0.2</v>
      </c>
      <c r="L5454" s="10">
        <f>I5454*J5454*(1-K5454)</f>
        <v/>
      </c>
      <c r="M5454" s="10" t="n">
        <v>10.8</v>
      </c>
      <c r="N5454" s="10">
        <f>L5454-M5454</f>
        <v/>
      </c>
    </row>
    <row r="5455">
      <c r="A5455" s="7" t="inlineStr">
        <is>
          <t>ORD-03042</t>
        </is>
      </c>
      <c r="B5455" s="8" t="n">
        <v>45975</v>
      </c>
      <c r="C5455" s="9" t="n">
        <v>45962</v>
      </c>
      <c r="D5455" s="7" t="n">
        <v>2025</v>
      </c>
      <c r="E5455" s="7" t="inlineStr">
        <is>
          <t>West</t>
        </is>
      </c>
      <c r="F5455" s="7" t="inlineStr">
        <is>
          <t>Furniture</t>
        </is>
      </c>
      <c r="G5455" s="7" t="inlineStr">
        <is>
          <t>Sofa</t>
        </is>
      </c>
      <c r="H5455" s="7" t="inlineStr">
        <is>
          <t>Home Office</t>
        </is>
      </c>
      <c r="I5455" s="7" t="n">
        <v>1</v>
      </c>
      <c r="J5455" s="10" t="n">
        <v>686.3</v>
      </c>
      <c r="K5455" s="11" t="n">
        <v>0.2</v>
      </c>
      <c r="L5455" s="10">
        <f>I5455*J5455*(1-K5455)</f>
        <v/>
      </c>
      <c r="M5455" s="10" t="n">
        <v>616</v>
      </c>
      <c r="N5455" s="10">
        <f>L5455-M5455</f>
        <v/>
      </c>
    </row>
    <row r="5456">
      <c r="A5456" s="7" t="inlineStr">
        <is>
          <t>ORD-00012</t>
        </is>
      </c>
      <c r="B5456" s="8" t="n">
        <v>45976</v>
      </c>
      <c r="C5456" s="9" t="n">
        <v>45962</v>
      </c>
      <c r="D5456" s="7" t="n">
        <v>2025</v>
      </c>
      <c r="E5456" s="7" t="inlineStr">
        <is>
          <t>South</t>
        </is>
      </c>
      <c r="F5456" s="7" t="inlineStr">
        <is>
          <t>Office Supplies</t>
        </is>
      </c>
      <c r="G5456" s="7" t="inlineStr">
        <is>
          <t>Printer Ink</t>
        </is>
      </c>
      <c r="H5456" s="7" t="inlineStr">
        <is>
          <t>Consumer</t>
        </is>
      </c>
      <c r="I5456" s="7" t="n">
        <v>6</v>
      </c>
      <c r="J5456" s="10" t="n">
        <v>59.48</v>
      </c>
      <c r="K5456" s="11" t="n">
        <v>0</v>
      </c>
      <c r="L5456" s="10">
        <f>I5456*J5456*(1-K5456)</f>
        <v/>
      </c>
      <c r="M5456" s="10" t="n">
        <v>216</v>
      </c>
      <c r="N5456" s="10">
        <f>L5456-M5456</f>
        <v/>
      </c>
    </row>
    <row r="5457">
      <c r="A5457" s="7" t="inlineStr">
        <is>
          <t>ORD-01986</t>
        </is>
      </c>
      <c r="B5457" s="8" t="n">
        <v>45976</v>
      </c>
      <c r="C5457" s="9" t="n">
        <v>45962</v>
      </c>
      <c r="D5457" s="7" t="n">
        <v>2025</v>
      </c>
      <c r="E5457" s="7" t="inlineStr">
        <is>
          <t>West</t>
        </is>
      </c>
      <c r="F5457" s="7" t="inlineStr">
        <is>
          <t>Office Supplies</t>
        </is>
      </c>
      <c r="G5457" s="7" t="inlineStr">
        <is>
          <t>Paper</t>
        </is>
      </c>
      <c r="H5457" s="7" t="inlineStr">
        <is>
          <t>Consumer</t>
        </is>
      </c>
      <c r="I5457" s="7" t="n">
        <v>7</v>
      </c>
      <c r="J5457" s="10" t="n">
        <v>25.54</v>
      </c>
      <c r="K5457" s="11" t="n">
        <v>0.05</v>
      </c>
      <c r="L5457" s="10">
        <f>I5457*J5457*(1-K5457)</f>
        <v/>
      </c>
      <c r="M5457" s="10" t="n">
        <v>87.5</v>
      </c>
      <c r="N5457" s="10">
        <f>L5457-M5457</f>
        <v/>
      </c>
    </row>
    <row r="5458">
      <c r="A5458" s="7" t="inlineStr">
        <is>
          <t>ORD-02580</t>
        </is>
      </c>
      <c r="B5458" s="8" t="n">
        <v>45976</v>
      </c>
      <c r="C5458" s="9" t="n">
        <v>45962</v>
      </c>
      <c r="D5458" s="7" t="n">
        <v>2025</v>
      </c>
      <c r="E5458" s="7" t="inlineStr">
        <is>
          <t>West</t>
        </is>
      </c>
      <c r="F5458" s="7" t="inlineStr">
        <is>
          <t>Furniture</t>
        </is>
      </c>
      <c r="G5458" s="7" t="inlineStr">
        <is>
          <t>Bookcase</t>
        </is>
      </c>
      <c r="H5458" s="7" t="inlineStr">
        <is>
          <t>Consumer</t>
        </is>
      </c>
      <c r="I5458" s="7" t="n">
        <v>4</v>
      </c>
      <c r="J5458" s="10" t="n">
        <v>188.38</v>
      </c>
      <c r="K5458" s="11" t="n">
        <v>0.1</v>
      </c>
      <c r="L5458" s="10">
        <f>I5458*J5458*(1-K5458)</f>
        <v/>
      </c>
      <c r="M5458" s="10" t="n">
        <v>576</v>
      </c>
      <c r="N5458" s="10">
        <f>L5458-M5458</f>
        <v/>
      </c>
    </row>
    <row r="5459">
      <c r="A5459" s="7" t="inlineStr">
        <is>
          <t>ORD-01946</t>
        </is>
      </c>
      <c r="B5459" s="8" t="n">
        <v>45976</v>
      </c>
      <c r="C5459" s="9" t="n">
        <v>45962</v>
      </c>
      <c r="D5459" s="7" t="n">
        <v>2025</v>
      </c>
      <c r="E5459" s="7" t="inlineStr">
        <is>
          <t>West</t>
        </is>
      </c>
      <c r="F5459" s="7" t="inlineStr">
        <is>
          <t>Office Supplies</t>
        </is>
      </c>
      <c r="G5459" s="7" t="inlineStr">
        <is>
          <t>Binder</t>
        </is>
      </c>
      <c r="H5459" s="7" t="inlineStr">
        <is>
          <t>Corporate</t>
        </is>
      </c>
      <c r="I5459" s="7" t="n">
        <v>14</v>
      </c>
      <c r="J5459" s="10" t="n">
        <v>8.18</v>
      </c>
      <c r="K5459" s="11" t="n">
        <v>0</v>
      </c>
      <c r="L5459" s="10">
        <f>I5459*J5459*(1-K5459)</f>
        <v/>
      </c>
      <c r="M5459" s="10" t="n">
        <v>44.8</v>
      </c>
      <c r="N5459" s="10">
        <f>L5459-M5459</f>
        <v/>
      </c>
    </row>
    <row r="5460">
      <c r="A5460" s="7" t="inlineStr">
        <is>
          <t>ORD-03558</t>
        </is>
      </c>
      <c r="B5460" s="8" t="n">
        <v>45976</v>
      </c>
      <c r="C5460" s="9" t="n">
        <v>45962</v>
      </c>
      <c r="D5460" s="7" t="n">
        <v>2025</v>
      </c>
      <c r="E5460" s="7" t="inlineStr">
        <is>
          <t>South</t>
        </is>
      </c>
      <c r="F5460" s="7" t="inlineStr">
        <is>
          <t>Technology</t>
        </is>
      </c>
      <c r="G5460" s="7" t="inlineStr">
        <is>
          <t>Monitor</t>
        </is>
      </c>
      <c r="H5460" s="7" t="inlineStr">
        <is>
          <t>Consumer</t>
        </is>
      </c>
      <c r="I5460" s="7" t="n">
        <v>3</v>
      </c>
      <c r="J5460" s="10" t="n">
        <v>253.73</v>
      </c>
      <c r="K5460" s="11" t="n">
        <v>0.05</v>
      </c>
      <c r="L5460" s="10">
        <f>I5460*J5460*(1-K5460)</f>
        <v/>
      </c>
      <c r="M5460" s="10" t="n">
        <v>540</v>
      </c>
      <c r="N5460" s="10">
        <f>L5460-M5460</f>
        <v/>
      </c>
    </row>
    <row r="5461">
      <c r="A5461" s="7" t="inlineStr">
        <is>
          <t>ORD-01285</t>
        </is>
      </c>
      <c r="B5461" s="8" t="n">
        <v>45976</v>
      </c>
      <c r="C5461" s="9" t="n">
        <v>45962</v>
      </c>
      <c r="D5461" s="7" t="n">
        <v>2025</v>
      </c>
      <c r="E5461" s="7" t="inlineStr">
        <is>
          <t>North</t>
        </is>
      </c>
      <c r="F5461" s="7" t="inlineStr">
        <is>
          <t>Technology</t>
        </is>
      </c>
      <c r="G5461" s="7" t="inlineStr">
        <is>
          <t>Keyboard</t>
        </is>
      </c>
      <c r="H5461" s="7" t="inlineStr">
        <is>
          <t>Home Office</t>
        </is>
      </c>
      <c r="I5461" s="7" t="n">
        <v>2</v>
      </c>
      <c r="J5461" s="10" t="n">
        <v>45.4</v>
      </c>
      <c r="K5461" s="11" t="n">
        <v>0</v>
      </c>
      <c r="L5461" s="10">
        <f>I5461*J5461*(1-K5461)</f>
        <v/>
      </c>
      <c r="M5461" s="10" t="n">
        <v>49.5</v>
      </c>
      <c r="N5461" s="10">
        <f>L5461-M5461</f>
        <v/>
      </c>
    </row>
    <row r="5462">
      <c r="A5462" s="7" t="inlineStr">
        <is>
          <t>ORD-05116</t>
        </is>
      </c>
      <c r="B5462" s="8" t="n">
        <v>45976</v>
      </c>
      <c r="C5462" s="9" t="n">
        <v>45962</v>
      </c>
      <c r="D5462" s="7" t="n">
        <v>2025</v>
      </c>
      <c r="E5462" s="7" t="inlineStr">
        <is>
          <t>East</t>
        </is>
      </c>
      <c r="F5462" s="7" t="inlineStr">
        <is>
          <t>Office Supplies</t>
        </is>
      </c>
      <c r="G5462" s="7" t="inlineStr">
        <is>
          <t>Stapler</t>
        </is>
      </c>
      <c r="H5462" s="7" t="inlineStr">
        <is>
          <t>Home Office</t>
        </is>
      </c>
      <c r="I5462" s="7" t="n">
        <v>12</v>
      </c>
      <c r="J5462" s="10" t="n">
        <v>14.31</v>
      </c>
      <c r="K5462" s="11" t="n">
        <v>0.2</v>
      </c>
      <c r="L5462" s="10">
        <f>I5462*J5462*(1-K5462)</f>
        <v/>
      </c>
      <c r="M5462" s="10" t="n">
        <v>90</v>
      </c>
      <c r="N5462" s="10">
        <f>L5462-M5462</f>
        <v/>
      </c>
    </row>
    <row r="5463">
      <c r="A5463" s="7" t="inlineStr">
        <is>
          <t>ORD-03205</t>
        </is>
      </c>
      <c r="B5463" s="8" t="n">
        <v>45977</v>
      </c>
      <c r="C5463" s="9" t="n">
        <v>45962</v>
      </c>
      <c r="D5463" s="7" t="n">
        <v>2025</v>
      </c>
      <c r="E5463" s="7" t="inlineStr">
        <is>
          <t>West</t>
        </is>
      </c>
      <c r="F5463" s="7" t="inlineStr">
        <is>
          <t>Office Supplies</t>
        </is>
      </c>
      <c r="G5463" s="7" t="inlineStr">
        <is>
          <t>Printer Ink</t>
        </is>
      </c>
      <c r="H5463" s="7" t="inlineStr">
        <is>
          <t>Consumer</t>
        </is>
      </c>
      <c r="I5463" s="7" t="n">
        <v>14</v>
      </c>
      <c r="J5463" s="10" t="n">
        <v>61.8</v>
      </c>
      <c r="K5463" s="11" t="n">
        <v>0</v>
      </c>
      <c r="L5463" s="10">
        <f>I5463*J5463*(1-K5463)</f>
        <v/>
      </c>
      <c r="M5463" s="10" t="n">
        <v>504</v>
      </c>
      <c r="N5463" s="10">
        <f>L5463-M5463</f>
        <v/>
      </c>
    </row>
    <row r="5464">
      <c r="A5464" s="7" t="inlineStr">
        <is>
          <t>ORD-05429</t>
        </is>
      </c>
      <c r="B5464" s="8" t="n">
        <v>45977</v>
      </c>
      <c r="C5464" s="9" t="n">
        <v>45962</v>
      </c>
      <c r="D5464" s="7" t="n">
        <v>2025</v>
      </c>
      <c r="E5464" s="7" t="inlineStr">
        <is>
          <t>West</t>
        </is>
      </c>
      <c r="F5464" s="7" t="inlineStr">
        <is>
          <t>Office Supplies</t>
        </is>
      </c>
      <c r="G5464" s="7" t="inlineStr">
        <is>
          <t>Paper</t>
        </is>
      </c>
      <c r="H5464" s="7" t="inlineStr">
        <is>
          <t>Corporate</t>
        </is>
      </c>
      <c r="I5464" s="7" t="n">
        <v>5</v>
      </c>
      <c r="J5464" s="10" t="n">
        <v>25.74</v>
      </c>
      <c r="K5464" s="11" t="n">
        <v>0</v>
      </c>
      <c r="L5464" s="10">
        <f>I5464*J5464*(1-K5464)</f>
        <v/>
      </c>
      <c r="M5464" s="10" t="n">
        <v>62.5</v>
      </c>
      <c r="N5464" s="10">
        <f>L5464-M5464</f>
        <v/>
      </c>
    </row>
    <row r="5465">
      <c r="A5465" s="7" t="inlineStr">
        <is>
          <t>ORD-03759</t>
        </is>
      </c>
      <c r="B5465" s="8" t="n">
        <v>45977</v>
      </c>
      <c r="C5465" s="9" t="n">
        <v>45962</v>
      </c>
      <c r="D5465" s="7" t="n">
        <v>2025</v>
      </c>
      <c r="E5465" s="7" t="inlineStr">
        <is>
          <t>West</t>
        </is>
      </c>
      <c r="F5465" s="7" t="inlineStr">
        <is>
          <t>Office Supplies</t>
        </is>
      </c>
      <c r="G5465" s="7" t="inlineStr">
        <is>
          <t>Paper</t>
        </is>
      </c>
      <c r="H5465" s="7" t="inlineStr">
        <is>
          <t>Corporate</t>
        </is>
      </c>
      <c r="I5465" s="7" t="n">
        <v>7</v>
      </c>
      <c r="J5465" s="10" t="n">
        <v>24.81</v>
      </c>
      <c r="K5465" s="11" t="n">
        <v>0.05</v>
      </c>
      <c r="L5465" s="10">
        <f>I5465*J5465*(1-K5465)</f>
        <v/>
      </c>
      <c r="M5465" s="10" t="n">
        <v>87.5</v>
      </c>
      <c r="N5465" s="10">
        <f>L5465-M5465</f>
        <v/>
      </c>
    </row>
    <row r="5466">
      <c r="A5466" s="7" t="inlineStr">
        <is>
          <t>ORD-03396</t>
        </is>
      </c>
      <c r="B5466" s="8" t="n">
        <v>45977</v>
      </c>
      <c r="C5466" s="9" t="n">
        <v>45962</v>
      </c>
      <c r="D5466" s="7" t="n">
        <v>2025</v>
      </c>
      <c r="E5466" s="7" t="inlineStr">
        <is>
          <t>South</t>
        </is>
      </c>
      <c r="F5466" s="7" t="inlineStr">
        <is>
          <t>Technology</t>
        </is>
      </c>
      <c r="G5466" s="7" t="inlineStr">
        <is>
          <t>Headphones</t>
        </is>
      </c>
      <c r="H5466" s="7" t="inlineStr">
        <is>
          <t>Home Office</t>
        </is>
      </c>
      <c r="I5466" s="7" t="n">
        <v>3</v>
      </c>
      <c r="J5466" s="10" t="n">
        <v>120.26</v>
      </c>
      <c r="K5466" s="11" t="n">
        <v>0</v>
      </c>
      <c r="L5466" s="10">
        <f>I5466*J5466*(1-K5466)</f>
        <v/>
      </c>
      <c r="M5466" s="10" t="n">
        <v>216</v>
      </c>
      <c r="N5466" s="10">
        <f>L5466-M5466</f>
        <v/>
      </c>
    </row>
    <row r="5467">
      <c r="A5467" s="7" t="inlineStr">
        <is>
          <t>ORD-02116</t>
        </is>
      </c>
      <c r="B5467" s="8" t="n">
        <v>45977</v>
      </c>
      <c r="C5467" s="9" t="n">
        <v>45962</v>
      </c>
      <c r="D5467" s="7" t="n">
        <v>2025</v>
      </c>
      <c r="E5467" s="7" t="inlineStr">
        <is>
          <t>North</t>
        </is>
      </c>
      <c r="F5467" s="7" t="inlineStr">
        <is>
          <t>Furniture</t>
        </is>
      </c>
      <c r="G5467" s="7" t="inlineStr">
        <is>
          <t>Bookcase</t>
        </is>
      </c>
      <c r="H5467" s="7" t="inlineStr">
        <is>
          <t>Consumer</t>
        </is>
      </c>
      <c r="I5467" s="7" t="n">
        <v>4</v>
      </c>
      <c r="J5467" s="10" t="n">
        <v>188.93</v>
      </c>
      <c r="K5467" s="11" t="n">
        <v>0.3</v>
      </c>
      <c r="L5467" s="10">
        <f>I5467*J5467*(1-K5467)</f>
        <v/>
      </c>
      <c r="M5467" s="10" t="n">
        <v>576</v>
      </c>
      <c r="N5467" s="10">
        <f>L5467-M5467</f>
        <v/>
      </c>
    </row>
    <row r="5468">
      <c r="A5468" s="7" t="inlineStr">
        <is>
          <t>ORD-05356</t>
        </is>
      </c>
      <c r="B5468" s="8" t="n">
        <v>45977</v>
      </c>
      <c r="C5468" s="9" t="n">
        <v>45962</v>
      </c>
      <c r="D5468" s="7" t="n">
        <v>2025</v>
      </c>
      <c r="E5468" s="7" t="inlineStr">
        <is>
          <t>West</t>
        </is>
      </c>
      <c r="F5468" s="7" t="inlineStr">
        <is>
          <t>Technology</t>
        </is>
      </c>
      <c r="G5468" s="7" t="inlineStr">
        <is>
          <t>Laptop</t>
        </is>
      </c>
      <c r="H5468" s="7" t="inlineStr">
        <is>
          <t>Home Office</t>
        </is>
      </c>
      <c r="I5468" s="7" t="n">
        <v>3</v>
      </c>
      <c r="J5468" s="10" t="n">
        <v>915.4</v>
      </c>
      <c r="K5468" s="11" t="n">
        <v>0.2</v>
      </c>
      <c r="L5468" s="10">
        <f>I5468*J5468*(1-K5468)</f>
        <v/>
      </c>
      <c r="M5468" s="10" t="n">
        <v>2106</v>
      </c>
      <c r="N5468" s="10">
        <f>L5468-M5468</f>
        <v/>
      </c>
    </row>
    <row r="5469">
      <c r="A5469" s="7" t="inlineStr">
        <is>
          <t>ORD-01821</t>
        </is>
      </c>
      <c r="B5469" s="8" t="n">
        <v>45977</v>
      </c>
      <c r="C5469" s="9" t="n">
        <v>45962</v>
      </c>
      <c r="D5469" s="7" t="n">
        <v>2025</v>
      </c>
      <c r="E5469" s="7" t="inlineStr">
        <is>
          <t>South</t>
        </is>
      </c>
      <c r="F5469" s="7" t="inlineStr">
        <is>
          <t>Office Supplies</t>
        </is>
      </c>
      <c r="G5469" s="7" t="inlineStr">
        <is>
          <t>Printer Ink</t>
        </is>
      </c>
      <c r="H5469" s="7" t="inlineStr">
        <is>
          <t>Home Office</t>
        </is>
      </c>
      <c r="I5469" s="7" t="n">
        <v>14</v>
      </c>
      <c r="J5469" s="10" t="n">
        <v>57.51</v>
      </c>
      <c r="K5469" s="11" t="n">
        <v>0.05</v>
      </c>
      <c r="L5469" s="10">
        <f>I5469*J5469*(1-K5469)</f>
        <v/>
      </c>
      <c r="M5469" s="10" t="n">
        <v>504</v>
      </c>
      <c r="N5469" s="10">
        <f>L5469-M5469</f>
        <v/>
      </c>
    </row>
    <row r="5470">
      <c r="A5470" s="7" t="inlineStr">
        <is>
          <t>ORD-00591</t>
        </is>
      </c>
      <c r="B5470" s="8" t="n">
        <v>45977</v>
      </c>
      <c r="C5470" s="9" t="n">
        <v>45962</v>
      </c>
      <c r="D5470" s="7" t="n">
        <v>2025</v>
      </c>
      <c r="E5470" s="7" t="inlineStr">
        <is>
          <t>West</t>
        </is>
      </c>
      <c r="F5470" s="7" t="inlineStr">
        <is>
          <t>Furniture</t>
        </is>
      </c>
      <c r="G5470" s="7" t="inlineStr">
        <is>
          <t>Office Chair</t>
        </is>
      </c>
      <c r="H5470" s="7" t="inlineStr">
        <is>
          <t>Corporate</t>
        </is>
      </c>
      <c r="I5470" s="7" t="n">
        <v>4</v>
      </c>
      <c r="J5470" s="10" t="n">
        <v>209.93</v>
      </c>
      <c r="K5470" s="11" t="n">
        <v>0.2</v>
      </c>
      <c r="L5470" s="10">
        <f>I5470*J5470*(1-K5470)</f>
        <v/>
      </c>
      <c r="M5470" s="10" t="n">
        <v>721.6</v>
      </c>
      <c r="N5470" s="10">
        <f>L5470-M5470</f>
        <v/>
      </c>
    </row>
    <row r="5471">
      <c r="A5471" s="7" t="inlineStr">
        <is>
          <t>ORD-01306</t>
        </is>
      </c>
      <c r="B5471" s="8" t="n">
        <v>45977</v>
      </c>
      <c r="C5471" s="9" t="n">
        <v>45962</v>
      </c>
      <c r="D5471" s="7" t="n">
        <v>2025</v>
      </c>
      <c r="E5471" s="7" t="inlineStr">
        <is>
          <t>East</t>
        </is>
      </c>
      <c r="F5471" s="7" t="inlineStr">
        <is>
          <t>Furniture</t>
        </is>
      </c>
      <c r="G5471" s="7" t="inlineStr">
        <is>
          <t>Office Chair</t>
        </is>
      </c>
      <c r="H5471" s="7" t="inlineStr">
        <is>
          <t>Consumer</t>
        </is>
      </c>
      <c r="I5471" s="7" t="n">
        <v>1</v>
      </c>
      <c r="J5471" s="10" t="n">
        <v>225.19</v>
      </c>
      <c r="K5471" s="11" t="n">
        <v>0.1</v>
      </c>
      <c r="L5471" s="10">
        <f>I5471*J5471*(1-K5471)</f>
        <v/>
      </c>
      <c r="M5471" s="10" t="n">
        <v>180.4</v>
      </c>
      <c r="N5471" s="10">
        <f>L5471-M5471</f>
        <v/>
      </c>
    </row>
    <row r="5472">
      <c r="A5472" s="7" t="inlineStr">
        <is>
          <t>ORD-03786</t>
        </is>
      </c>
      <c r="B5472" s="8" t="n">
        <v>45977</v>
      </c>
      <c r="C5472" s="9" t="n">
        <v>45962</v>
      </c>
      <c r="D5472" s="7" t="n">
        <v>2025</v>
      </c>
      <c r="E5472" s="7" t="inlineStr">
        <is>
          <t>South</t>
        </is>
      </c>
      <c r="F5472" s="7" t="inlineStr">
        <is>
          <t>Office Supplies</t>
        </is>
      </c>
      <c r="G5472" s="7" t="inlineStr">
        <is>
          <t>Pens</t>
        </is>
      </c>
      <c r="H5472" s="7" t="inlineStr">
        <is>
          <t>Consumer</t>
        </is>
      </c>
      <c r="I5472" s="7" t="n">
        <v>14</v>
      </c>
      <c r="J5472" s="10" t="n">
        <v>11.71</v>
      </c>
      <c r="K5472" s="11" t="n">
        <v>0.3</v>
      </c>
      <c r="L5472" s="10">
        <f>I5472*J5472*(1-K5472)</f>
        <v/>
      </c>
      <c r="M5472" s="10" t="n">
        <v>75.59999999999999</v>
      </c>
      <c r="N5472" s="10">
        <f>L5472-M5472</f>
        <v/>
      </c>
    </row>
    <row r="5473">
      <c r="A5473" s="7" t="inlineStr">
        <is>
          <t>ORD-02656</t>
        </is>
      </c>
      <c r="B5473" s="8" t="n">
        <v>45977</v>
      </c>
      <c r="C5473" s="9" t="n">
        <v>45962</v>
      </c>
      <c r="D5473" s="7" t="n">
        <v>2025</v>
      </c>
      <c r="E5473" s="7" t="inlineStr">
        <is>
          <t>West</t>
        </is>
      </c>
      <c r="F5473" s="7" t="inlineStr">
        <is>
          <t>Office Supplies</t>
        </is>
      </c>
      <c r="G5473" s="7" t="inlineStr">
        <is>
          <t>Paper</t>
        </is>
      </c>
      <c r="H5473" s="7" t="inlineStr">
        <is>
          <t>Consumer</t>
        </is>
      </c>
      <c r="I5473" s="7" t="n">
        <v>10</v>
      </c>
      <c r="J5473" s="10" t="n">
        <v>25.99</v>
      </c>
      <c r="K5473" s="11" t="n">
        <v>0.1</v>
      </c>
      <c r="L5473" s="10">
        <f>I5473*J5473*(1-K5473)</f>
        <v/>
      </c>
      <c r="M5473" s="10" t="n">
        <v>125</v>
      </c>
      <c r="N5473" s="10">
        <f>L5473-M5473</f>
        <v/>
      </c>
    </row>
    <row r="5474">
      <c r="A5474" s="7" t="inlineStr">
        <is>
          <t>ORD-00431</t>
        </is>
      </c>
      <c r="B5474" s="8" t="n">
        <v>45977</v>
      </c>
      <c r="C5474" s="9" t="n">
        <v>45962</v>
      </c>
      <c r="D5474" s="7" t="n">
        <v>2025</v>
      </c>
      <c r="E5474" s="7" t="inlineStr">
        <is>
          <t>East</t>
        </is>
      </c>
      <c r="F5474" s="7" t="inlineStr">
        <is>
          <t>Office Supplies</t>
        </is>
      </c>
      <c r="G5474" s="7" t="inlineStr">
        <is>
          <t>Binder</t>
        </is>
      </c>
      <c r="H5474" s="7" t="inlineStr">
        <is>
          <t>Consumer</t>
        </is>
      </c>
      <c r="I5474" s="7" t="n">
        <v>7</v>
      </c>
      <c r="J5474" s="10" t="n">
        <v>7.65</v>
      </c>
      <c r="K5474" s="11" t="n">
        <v>0</v>
      </c>
      <c r="L5474" s="10">
        <f>I5474*J5474*(1-K5474)</f>
        <v/>
      </c>
      <c r="M5474" s="10" t="n">
        <v>22.4</v>
      </c>
      <c r="N5474" s="10">
        <f>L5474-M5474</f>
        <v/>
      </c>
    </row>
    <row r="5475">
      <c r="A5475" s="7" t="inlineStr">
        <is>
          <t>ORD-00219</t>
        </is>
      </c>
      <c r="B5475" s="8" t="n">
        <v>45977</v>
      </c>
      <c r="C5475" s="9" t="n">
        <v>45962</v>
      </c>
      <c r="D5475" s="7" t="n">
        <v>2025</v>
      </c>
      <c r="E5475" s="7" t="inlineStr">
        <is>
          <t>West</t>
        </is>
      </c>
      <c r="F5475" s="7" t="inlineStr">
        <is>
          <t>Furniture</t>
        </is>
      </c>
      <c r="G5475" s="7" t="inlineStr">
        <is>
          <t>Bookcase</t>
        </is>
      </c>
      <c r="H5475" s="7" t="inlineStr">
        <is>
          <t>Home Office</t>
        </is>
      </c>
      <c r="I5475" s="7" t="n">
        <v>3</v>
      </c>
      <c r="J5475" s="10" t="n">
        <v>182.36</v>
      </c>
      <c r="K5475" s="11" t="n">
        <v>0.2</v>
      </c>
      <c r="L5475" s="10">
        <f>I5475*J5475*(1-K5475)</f>
        <v/>
      </c>
      <c r="M5475" s="10" t="n">
        <v>432</v>
      </c>
      <c r="N5475" s="10">
        <f>L5475-M5475</f>
        <v/>
      </c>
    </row>
    <row r="5476">
      <c r="A5476" s="7" t="inlineStr">
        <is>
          <t>ORD-02146</t>
        </is>
      </c>
      <c r="B5476" s="8" t="n">
        <v>45978</v>
      </c>
      <c r="C5476" s="9" t="n">
        <v>45962</v>
      </c>
      <c r="D5476" s="7" t="n">
        <v>2025</v>
      </c>
      <c r="E5476" s="7" t="inlineStr">
        <is>
          <t>East</t>
        </is>
      </c>
      <c r="F5476" s="7" t="inlineStr">
        <is>
          <t>Office Supplies</t>
        </is>
      </c>
      <c r="G5476" s="7" t="inlineStr">
        <is>
          <t>Pens</t>
        </is>
      </c>
      <c r="H5476" s="7" t="inlineStr">
        <is>
          <t>Home Office</t>
        </is>
      </c>
      <c r="I5476" s="7" t="n">
        <v>3</v>
      </c>
      <c r="J5476" s="10" t="n">
        <v>12.36</v>
      </c>
      <c r="K5476" s="11" t="n">
        <v>0.05</v>
      </c>
      <c r="L5476" s="10">
        <f>I5476*J5476*(1-K5476)</f>
        <v/>
      </c>
      <c r="M5476" s="10" t="n">
        <v>16.2</v>
      </c>
      <c r="N5476" s="10">
        <f>L5476-M5476</f>
        <v/>
      </c>
    </row>
    <row r="5477">
      <c r="A5477" s="7" t="inlineStr">
        <is>
          <t>ORD-04013</t>
        </is>
      </c>
      <c r="B5477" s="8" t="n">
        <v>45978</v>
      </c>
      <c r="C5477" s="9" t="n">
        <v>45962</v>
      </c>
      <c r="D5477" s="7" t="n">
        <v>2025</v>
      </c>
      <c r="E5477" s="7" t="inlineStr">
        <is>
          <t>West</t>
        </is>
      </c>
      <c r="F5477" s="7" t="inlineStr">
        <is>
          <t>Office Supplies</t>
        </is>
      </c>
      <c r="G5477" s="7" t="inlineStr">
        <is>
          <t>Binder</t>
        </is>
      </c>
      <c r="H5477" s="7" t="inlineStr">
        <is>
          <t>Corporate</t>
        </is>
      </c>
      <c r="I5477" s="7" t="n">
        <v>13</v>
      </c>
      <c r="J5477" s="10" t="n">
        <v>7.87</v>
      </c>
      <c r="K5477" s="11" t="n">
        <v>0</v>
      </c>
      <c r="L5477" s="10">
        <f>I5477*J5477*(1-K5477)</f>
        <v/>
      </c>
      <c r="M5477" s="10" t="n">
        <v>41.6</v>
      </c>
      <c r="N5477" s="10">
        <f>L5477-M5477</f>
        <v/>
      </c>
    </row>
    <row r="5478">
      <c r="A5478" s="7" t="inlineStr">
        <is>
          <t>ORD-01250</t>
        </is>
      </c>
      <c r="B5478" s="8" t="n">
        <v>45978</v>
      </c>
      <c r="C5478" s="9" t="n">
        <v>45962</v>
      </c>
      <c r="D5478" s="7" t="n">
        <v>2025</v>
      </c>
      <c r="E5478" s="7" t="inlineStr">
        <is>
          <t>South</t>
        </is>
      </c>
      <c r="F5478" s="7" t="inlineStr">
        <is>
          <t>Technology</t>
        </is>
      </c>
      <c r="G5478" s="7" t="inlineStr">
        <is>
          <t>Smartphone</t>
        </is>
      </c>
      <c r="H5478" s="7" t="inlineStr">
        <is>
          <t>Consumer</t>
        </is>
      </c>
      <c r="I5478" s="7" t="n">
        <v>1</v>
      </c>
      <c r="J5478" s="10" t="n">
        <v>589.04</v>
      </c>
      <c r="K5478" s="11" t="n">
        <v>0</v>
      </c>
      <c r="L5478" s="10">
        <f>I5478*J5478*(1-K5478)</f>
        <v/>
      </c>
      <c r="M5478" s="10" t="n">
        <v>450</v>
      </c>
      <c r="N5478" s="10">
        <f>L5478-M5478</f>
        <v/>
      </c>
    </row>
    <row r="5479">
      <c r="A5479" s="7" t="inlineStr">
        <is>
          <t>ORD-02044</t>
        </is>
      </c>
      <c r="B5479" s="8" t="n">
        <v>45978</v>
      </c>
      <c r="C5479" s="9" t="n">
        <v>45962</v>
      </c>
      <c r="D5479" s="7" t="n">
        <v>2025</v>
      </c>
      <c r="E5479" s="7" t="inlineStr">
        <is>
          <t>East</t>
        </is>
      </c>
      <c r="F5479" s="7" t="inlineStr">
        <is>
          <t>Technology</t>
        </is>
      </c>
      <c r="G5479" s="7" t="inlineStr">
        <is>
          <t>Smartphone</t>
        </is>
      </c>
      <c r="H5479" s="7" t="inlineStr">
        <is>
          <t>Home Office</t>
        </is>
      </c>
      <c r="I5479" s="7" t="n">
        <v>2</v>
      </c>
      <c r="J5479" s="10" t="n">
        <v>576.22</v>
      </c>
      <c r="K5479" s="11" t="n">
        <v>0</v>
      </c>
      <c r="L5479" s="10">
        <f>I5479*J5479*(1-K5479)</f>
        <v/>
      </c>
      <c r="M5479" s="10" t="n">
        <v>900</v>
      </c>
      <c r="N5479" s="10">
        <f>L5479-M5479</f>
        <v/>
      </c>
    </row>
    <row r="5480">
      <c r="A5480" s="7" t="inlineStr">
        <is>
          <t>ORD-02218</t>
        </is>
      </c>
      <c r="B5480" s="8" t="n">
        <v>45978</v>
      </c>
      <c r="C5480" s="9" t="n">
        <v>45962</v>
      </c>
      <c r="D5480" s="7" t="n">
        <v>2025</v>
      </c>
      <c r="E5480" s="7" t="inlineStr">
        <is>
          <t>East</t>
        </is>
      </c>
      <c r="F5480" s="7" t="inlineStr">
        <is>
          <t>Office Supplies</t>
        </is>
      </c>
      <c r="G5480" s="7" t="inlineStr">
        <is>
          <t>Binder</t>
        </is>
      </c>
      <c r="H5480" s="7" t="inlineStr">
        <is>
          <t>Corporate</t>
        </is>
      </c>
      <c r="I5480" s="7" t="n">
        <v>7</v>
      </c>
      <c r="J5480" s="10" t="n">
        <v>7.85</v>
      </c>
      <c r="K5480" s="11" t="n">
        <v>0</v>
      </c>
      <c r="L5480" s="10">
        <f>I5480*J5480*(1-K5480)</f>
        <v/>
      </c>
      <c r="M5480" s="10" t="n">
        <v>22.4</v>
      </c>
      <c r="N5480" s="10">
        <f>L5480-M5480</f>
        <v/>
      </c>
    </row>
    <row r="5481">
      <c r="A5481" s="7" t="inlineStr">
        <is>
          <t>ORD-05144</t>
        </is>
      </c>
      <c r="B5481" s="8" t="n">
        <v>45978</v>
      </c>
      <c r="C5481" s="9" t="n">
        <v>45962</v>
      </c>
      <c r="D5481" s="7" t="n">
        <v>2025</v>
      </c>
      <c r="E5481" s="7" t="inlineStr">
        <is>
          <t>West</t>
        </is>
      </c>
      <c r="F5481" s="7" t="inlineStr">
        <is>
          <t>Office Supplies</t>
        </is>
      </c>
      <c r="G5481" s="7" t="inlineStr">
        <is>
          <t>Paper</t>
        </is>
      </c>
      <c r="H5481" s="7" t="inlineStr">
        <is>
          <t>Consumer</t>
        </is>
      </c>
      <c r="I5481" s="7" t="n">
        <v>4</v>
      </c>
      <c r="J5481" s="10" t="n">
        <v>25.28</v>
      </c>
      <c r="K5481" s="11" t="n">
        <v>0.05</v>
      </c>
      <c r="L5481" s="10">
        <f>I5481*J5481*(1-K5481)</f>
        <v/>
      </c>
      <c r="M5481" s="10" t="n">
        <v>50</v>
      </c>
      <c r="N5481" s="10">
        <f>L5481-M5481</f>
        <v/>
      </c>
    </row>
    <row r="5482">
      <c r="A5482" s="7" t="inlineStr">
        <is>
          <t>ORD-01948</t>
        </is>
      </c>
      <c r="B5482" s="8" t="n">
        <v>45978</v>
      </c>
      <c r="C5482" s="9" t="n">
        <v>45962</v>
      </c>
      <c r="D5482" s="7" t="n">
        <v>2025</v>
      </c>
      <c r="E5482" s="7" t="inlineStr">
        <is>
          <t>East</t>
        </is>
      </c>
      <c r="F5482" s="7" t="inlineStr">
        <is>
          <t>Technology</t>
        </is>
      </c>
      <c r="G5482" s="7" t="inlineStr">
        <is>
          <t>Smartphone</t>
        </is>
      </c>
      <c r="H5482" s="7" t="inlineStr">
        <is>
          <t>Consumer</t>
        </is>
      </c>
      <c r="I5482" s="7" t="n">
        <v>2</v>
      </c>
      <c r="J5482" s="10" t="n">
        <v>584</v>
      </c>
      <c r="K5482" s="11" t="n">
        <v>0</v>
      </c>
      <c r="L5482" s="10">
        <f>I5482*J5482*(1-K5482)</f>
        <v/>
      </c>
      <c r="M5482" s="10" t="n">
        <v>900</v>
      </c>
      <c r="N5482" s="10">
        <f>L5482-M5482</f>
        <v/>
      </c>
    </row>
    <row r="5483">
      <c r="A5483" s="7" t="inlineStr">
        <is>
          <t>ORD-05561</t>
        </is>
      </c>
      <c r="B5483" s="8" t="n">
        <v>45978</v>
      </c>
      <c r="C5483" s="9" t="n">
        <v>45962</v>
      </c>
      <c r="D5483" s="7" t="n">
        <v>2025</v>
      </c>
      <c r="E5483" s="7" t="inlineStr">
        <is>
          <t>North</t>
        </is>
      </c>
      <c r="F5483" s="7" t="inlineStr">
        <is>
          <t>Furniture</t>
        </is>
      </c>
      <c r="G5483" s="7" t="inlineStr">
        <is>
          <t>Office Chair</t>
        </is>
      </c>
      <c r="H5483" s="7" t="inlineStr">
        <is>
          <t>Consumer</t>
        </is>
      </c>
      <c r="I5483" s="7" t="n">
        <v>4</v>
      </c>
      <c r="J5483" s="10" t="n">
        <v>229.01</v>
      </c>
      <c r="K5483" s="11" t="n">
        <v>0</v>
      </c>
      <c r="L5483" s="10">
        <f>I5483*J5483*(1-K5483)</f>
        <v/>
      </c>
      <c r="M5483" s="10" t="n">
        <v>721.6</v>
      </c>
      <c r="N5483" s="10">
        <f>L5483-M5483</f>
        <v/>
      </c>
    </row>
    <row r="5484">
      <c r="A5484" s="7" t="inlineStr">
        <is>
          <t>ORD-02190</t>
        </is>
      </c>
      <c r="B5484" s="8" t="n">
        <v>45978</v>
      </c>
      <c r="C5484" s="9" t="n">
        <v>45962</v>
      </c>
      <c r="D5484" s="7" t="n">
        <v>2025</v>
      </c>
      <c r="E5484" s="7" t="inlineStr">
        <is>
          <t>South</t>
        </is>
      </c>
      <c r="F5484" s="7" t="inlineStr">
        <is>
          <t>Office Supplies</t>
        </is>
      </c>
      <c r="G5484" s="7" t="inlineStr">
        <is>
          <t>Paper</t>
        </is>
      </c>
      <c r="H5484" s="7" t="inlineStr">
        <is>
          <t>Home Office</t>
        </is>
      </c>
      <c r="I5484" s="7" t="n">
        <v>12</v>
      </c>
      <c r="J5484" s="10" t="n">
        <v>24.5</v>
      </c>
      <c r="K5484" s="11" t="n">
        <v>0.1</v>
      </c>
      <c r="L5484" s="10">
        <f>I5484*J5484*(1-K5484)</f>
        <v/>
      </c>
      <c r="M5484" s="10" t="n">
        <v>150</v>
      </c>
      <c r="N5484" s="10">
        <f>L5484-M5484</f>
        <v/>
      </c>
    </row>
    <row r="5485">
      <c r="A5485" s="7" t="inlineStr">
        <is>
          <t>ORD-03889</t>
        </is>
      </c>
      <c r="B5485" s="8" t="n">
        <v>45978</v>
      </c>
      <c r="C5485" s="9" t="n">
        <v>45962</v>
      </c>
      <c r="D5485" s="7" t="n">
        <v>2025</v>
      </c>
      <c r="E5485" s="7" t="inlineStr">
        <is>
          <t>West</t>
        </is>
      </c>
      <c r="F5485" s="7" t="inlineStr">
        <is>
          <t>Office Supplies</t>
        </is>
      </c>
      <c r="G5485" s="7" t="inlineStr">
        <is>
          <t>Paper</t>
        </is>
      </c>
      <c r="H5485" s="7" t="inlineStr">
        <is>
          <t>Home Office</t>
        </is>
      </c>
      <c r="I5485" s="7" t="n">
        <v>6</v>
      </c>
      <c r="J5485" s="10" t="n">
        <v>25.35</v>
      </c>
      <c r="K5485" s="11" t="n">
        <v>0.2</v>
      </c>
      <c r="L5485" s="10">
        <f>I5485*J5485*(1-K5485)</f>
        <v/>
      </c>
      <c r="M5485" s="10" t="n">
        <v>75</v>
      </c>
      <c r="N5485" s="10">
        <f>L5485-M5485</f>
        <v/>
      </c>
    </row>
    <row r="5486">
      <c r="A5486" s="7" t="inlineStr">
        <is>
          <t>ORD-02134</t>
        </is>
      </c>
      <c r="B5486" s="8" t="n">
        <v>45978</v>
      </c>
      <c r="C5486" s="9" t="n">
        <v>45962</v>
      </c>
      <c r="D5486" s="7" t="n">
        <v>2025</v>
      </c>
      <c r="E5486" s="7" t="inlineStr">
        <is>
          <t>North</t>
        </is>
      </c>
      <c r="F5486" s="7" t="inlineStr">
        <is>
          <t>Technology</t>
        </is>
      </c>
      <c r="G5486" s="7" t="inlineStr">
        <is>
          <t>Keyboard</t>
        </is>
      </c>
      <c r="H5486" s="7" t="inlineStr">
        <is>
          <t>Corporate</t>
        </is>
      </c>
      <c r="I5486" s="7" t="n">
        <v>2</v>
      </c>
      <c r="J5486" s="10" t="n">
        <v>45.45</v>
      </c>
      <c r="K5486" s="11" t="n">
        <v>0.1</v>
      </c>
      <c r="L5486" s="10">
        <f>I5486*J5486*(1-K5486)</f>
        <v/>
      </c>
      <c r="M5486" s="10" t="n">
        <v>49.5</v>
      </c>
      <c r="N5486" s="10">
        <f>L5486-M5486</f>
        <v/>
      </c>
    </row>
    <row r="5487">
      <c r="A5487" s="7" t="inlineStr">
        <is>
          <t>ORD-02869</t>
        </is>
      </c>
      <c r="B5487" s="8" t="n">
        <v>45979</v>
      </c>
      <c r="C5487" s="9" t="n">
        <v>45962</v>
      </c>
      <c r="D5487" s="7" t="n">
        <v>2025</v>
      </c>
      <c r="E5487" s="7" t="inlineStr">
        <is>
          <t>East</t>
        </is>
      </c>
      <c r="F5487" s="7" t="inlineStr">
        <is>
          <t>Furniture</t>
        </is>
      </c>
      <c r="G5487" s="7" t="inlineStr">
        <is>
          <t>Office Chair</t>
        </is>
      </c>
      <c r="H5487" s="7" t="inlineStr">
        <is>
          <t>Corporate</t>
        </is>
      </c>
      <c r="I5487" s="7" t="n">
        <v>3</v>
      </c>
      <c r="J5487" s="10" t="n">
        <v>218.67</v>
      </c>
      <c r="K5487" s="11" t="n">
        <v>0.3</v>
      </c>
      <c r="L5487" s="10">
        <f>I5487*J5487*(1-K5487)</f>
        <v/>
      </c>
      <c r="M5487" s="10" t="n">
        <v>541.2</v>
      </c>
      <c r="N5487" s="10">
        <f>L5487-M5487</f>
        <v/>
      </c>
    </row>
    <row r="5488">
      <c r="A5488" s="7" t="inlineStr">
        <is>
          <t>ORD-02974</t>
        </is>
      </c>
      <c r="B5488" s="8" t="n">
        <v>45979</v>
      </c>
      <c r="C5488" s="9" t="n">
        <v>45962</v>
      </c>
      <c r="D5488" s="7" t="n">
        <v>2025</v>
      </c>
      <c r="E5488" s="7" t="inlineStr">
        <is>
          <t>West</t>
        </is>
      </c>
      <c r="F5488" s="7" t="inlineStr">
        <is>
          <t>Furniture</t>
        </is>
      </c>
      <c r="G5488" s="7" t="inlineStr">
        <is>
          <t>Bookcase</t>
        </is>
      </c>
      <c r="H5488" s="7" t="inlineStr">
        <is>
          <t>Home Office</t>
        </is>
      </c>
      <c r="I5488" s="7" t="n">
        <v>3</v>
      </c>
      <c r="J5488" s="10" t="n">
        <v>176</v>
      </c>
      <c r="K5488" s="11" t="n">
        <v>0.3</v>
      </c>
      <c r="L5488" s="10">
        <f>I5488*J5488*(1-K5488)</f>
        <v/>
      </c>
      <c r="M5488" s="10" t="n">
        <v>432</v>
      </c>
      <c r="N5488" s="10">
        <f>L5488-M5488</f>
        <v/>
      </c>
    </row>
    <row r="5489">
      <c r="A5489" s="7" t="inlineStr">
        <is>
          <t>ORD-02066</t>
        </is>
      </c>
      <c r="B5489" s="8" t="n">
        <v>45979</v>
      </c>
      <c r="C5489" s="9" t="n">
        <v>45962</v>
      </c>
      <c r="D5489" s="7" t="n">
        <v>2025</v>
      </c>
      <c r="E5489" s="7" t="inlineStr">
        <is>
          <t>West</t>
        </is>
      </c>
      <c r="F5489" s="7" t="inlineStr">
        <is>
          <t>Office Supplies</t>
        </is>
      </c>
      <c r="G5489" s="7" t="inlineStr">
        <is>
          <t>Binder</t>
        </is>
      </c>
      <c r="H5489" s="7" t="inlineStr">
        <is>
          <t>Corporate</t>
        </is>
      </c>
      <c r="I5489" s="7" t="n">
        <v>11</v>
      </c>
      <c r="J5489" s="10" t="n">
        <v>8.119999999999999</v>
      </c>
      <c r="K5489" s="11" t="n">
        <v>0.05</v>
      </c>
      <c r="L5489" s="10">
        <f>I5489*J5489*(1-K5489)</f>
        <v/>
      </c>
      <c r="M5489" s="10" t="n">
        <v>35.2</v>
      </c>
      <c r="N5489" s="10">
        <f>L5489-M5489</f>
        <v/>
      </c>
    </row>
    <row r="5490">
      <c r="A5490" s="7" t="inlineStr">
        <is>
          <t>ORD-01557</t>
        </is>
      </c>
      <c r="B5490" s="8" t="n">
        <v>45979</v>
      </c>
      <c r="C5490" s="9" t="n">
        <v>45962</v>
      </c>
      <c r="D5490" s="7" t="n">
        <v>2025</v>
      </c>
      <c r="E5490" s="7" t="inlineStr">
        <is>
          <t>West</t>
        </is>
      </c>
      <c r="F5490" s="7" t="inlineStr">
        <is>
          <t>Technology</t>
        </is>
      </c>
      <c r="G5490" s="7" t="inlineStr">
        <is>
          <t>Laptop</t>
        </is>
      </c>
      <c r="H5490" s="7" t="inlineStr">
        <is>
          <t>Corporate</t>
        </is>
      </c>
      <c r="I5490" s="7" t="n">
        <v>2</v>
      </c>
      <c r="J5490" s="10" t="n">
        <v>935.89</v>
      </c>
      <c r="K5490" s="11" t="n">
        <v>0.1</v>
      </c>
      <c r="L5490" s="10">
        <f>I5490*J5490*(1-K5490)</f>
        <v/>
      </c>
      <c r="M5490" s="10" t="n">
        <v>1404</v>
      </c>
      <c r="N5490" s="10">
        <f>L5490-M5490</f>
        <v/>
      </c>
    </row>
    <row r="5491">
      <c r="A5491" s="7" t="inlineStr">
        <is>
          <t>ORD-00361</t>
        </is>
      </c>
      <c r="B5491" s="8" t="n">
        <v>45979</v>
      </c>
      <c r="C5491" s="9" t="n">
        <v>45962</v>
      </c>
      <c r="D5491" s="7" t="n">
        <v>2025</v>
      </c>
      <c r="E5491" s="7" t="inlineStr">
        <is>
          <t>East</t>
        </is>
      </c>
      <c r="F5491" s="7" t="inlineStr">
        <is>
          <t>Office Supplies</t>
        </is>
      </c>
      <c r="G5491" s="7" t="inlineStr">
        <is>
          <t>Binder</t>
        </is>
      </c>
      <c r="H5491" s="7" t="inlineStr">
        <is>
          <t>Consumer</t>
        </is>
      </c>
      <c r="I5491" s="7" t="n">
        <v>13</v>
      </c>
      <c r="J5491" s="10" t="n">
        <v>7.82</v>
      </c>
      <c r="K5491" s="11" t="n">
        <v>0.1</v>
      </c>
      <c r="L5491" s="10">
        <f>I5491*J5491*(1-K5491)</f>
        <v/>
      </c>
      <c r="M5491" s="10" t="n">
        <v>41.6</v>
      </c>
      <c r="N5491" s="10">
        <f>L5491-M5491</f>
        <v/>
      </c>
    </row>
    <row r="5492">
      <c r="A5492" s="7" t="inlineStr">
        <is>
          <t>ORD-00758</t>
        </is>
      </c>
      <c r="B5492" s="8" t="n">
        <v>45979</v>
      </c>
      <c r="C5492" s="9" t="n">
        <v>45962</v>
      </c>
      <c r="D5492" s="7" t="n">
        <v>2025</v>
      </c>
      <c r="E5492" s="7" t="inlineStr">
        <is>
          <t>North</t>
        </is>
      </c>
      <c r="F5492" s="7" t="inlineStr">
        <is>
          <t>Furniture</t>
        </is>
      </c>
      <c r="G5492" s="7" t="inlineStr">
        <is>
          <t>Office Chair</t>
        </is>
      </c>
      <c r="H5492" s="7" t="inlineStr">
        <is>
          <t>Consumer</t>
        </is>
      </c>
      <c r="I5492" s="7" t="n">
        <v>1</v>
      </c>
      <c r="J5492" s="10" t="n">
        <v>222.48</v>
      </c>
      <c r="K5492" s="11" t="n">
        <v>0.3</v>
      </c>
      <c r="L5492" s="10">
        <f>I5492*J5492*(1-K5492)</f>
        <v/>
      </c>
      <c r="M5492" s="10" t="n">
        <v>180.4</v>
      </c>
      <c r="N5492" s="10">
        <f>L5492-M5492</f>
        <v/>
      </c>
    </row>
    <row r="5493">
      <c r="A5493" s="7" t="inlineStr">
        <is>
          <t>ORD-05208</t>
        </is>
      </c>
      <c r="B5493" s="8" t="n">
        <v>45979</v>
      </c>
      <c r="C5493" s="9" t="n">
        <v>45962</v>
      </c>
      <c r="D5493" s="7" t="n">
        <v>2025</v>
      </c>
      <c r="E5493" s="7" t="inlineStr">
        <is>
          <t>South</t>
        </is>
      </c>
      <c r="F5493" s="7" t="inlineStr">
        <is>
          <t>Office Supplies</t>
        </is>
      </c>
      <c r="G5493" s="7" t="inlineStr">
        <is>
          <t>Pens</t>
        </is>
      </c>
      <c r="H5493" s="7" t="inlineStr">
        <is>
          <t>Consumer</t>
        </is>
      </c>
      <c r="I5493" s="7" t="n">
        <v>2</v>
      </c>
      <c r="J5493" s="10" t="n">
        <v>11.56</v>
      </c>
      <c r="K5493" s="11" t="n">
        <v>0</v>
      </c>
      <c r="L5493" s="10">
        <f>I5493*J5493*(1-K5493)</f>
        <v/>
      </c>
      <c r="M5493" s="10" t="n">
        <v>10.8</v>
      </c>
      <c r="N5493" s="10">
        <f>L5493-M5493</f>
        <v/>
      </c>
    </row>
    <row r="5494">
      <c r="A5494" s="7" t="inlineStr">
        <is>
          <t>ORD-01431</t>
        </is>
      </c>
      <c r="B5494" s="8" t="n">
        <v>45979</v>
      </c>
      <c r="C5494" s="9" t="n">
        <v>45962</v>
      </c>
      <c r="D5494" s="7" t="n">
        <v>2025</v>
      </c>
      <c r="E5494" s="7" t="inlineStr">
        <is>
          <t>North</t>
        </is>
      </c>
      <c r="F5494" s="7" t="inlineStr">
        <is>
          <t>Furniture</t>
        </is>
      </c>
      <c r="G5494" s="7" t="inlineStr">
        <is>
          <t>Desk</t>
        </is>
      </c>
      <c r="H5494" s="7" t="inlineStr">
        <is>
          <t>Home Office</t>
        </is>
      </c>
      <c r="I5494" s="7" t="n">
        <v>1</v>
      </c>
      <c r="J5494" s="10" t="n">
        <v>460.78</v>
      </c>
      <c r="K5494" s="11" t="n">
        <v>0</v>
      </c>
      <c r="L5494" s="10">
        <f>I5494*J5494*(1-K5494)</f>
        <v/>
      </c>
      <c r="M5494" s="10" t="n">
        <v>382.5</v>
      </c>
      <c r="N5494" s="10">
        <f>L5494-M5494</f>
        <v/>
      </c>
    </row>
    <row r="5495">
      <c r="A5495" s="7" t="inlineStr">
        <is>
          <t>ORD-05390</t>
        </is>
      </c>
      <c r="B5495" s="8" t="n">
        <v>45979</v>
      </c>
      <c r="C5495" s="9" t="n">
        <v>45962</v>
      </c>
      <c r="D5495" s="7" t="n">
        <v>2025</v>
      </c>
      <c r="E5495" s="7" t="inlineStr">
        <is>
          <t>West</t>
        </is>
      </c>
      <c r="F5495" s="7" t="inlineStr">
        <is>
          <t>Office Supplies</t>
        </is>
      </c>
      <c r="G5495" s="7" t="inlineStr">
        <is>
          <t>Pens</t>
        </is>
      </c>
      <c r="H5495" s="7" t="inlineStr">
        <is>
          <t>Home Office</t>
        </is>
      </c>
      <c r="I5495" s="7" t="n">
        <v>12</v>
      </c>
      <c r="J5495" s="10" t="n">
        <v>11.87</v>
      </c>
      <c r="K5495" s="11" t="n">
        <v>0</v>
      </c>
      <c r="L5495" s="10">
        <f>I5495*J5495*(1-K5495)</f>
        <v/>
      </c>
      <c r="M5495" s="10" t="n">
        <v>64.8</v>
      </c>
      <c r="N5495" s="10">
        <f>L5495-M5495</f>
        <v/>
      </c>
    </row>
    <row r="5496">
      <c r="A5496" s="7" t="inlineStr">
        <is>
          <t>ORD-02902</t>
        </is>
      </c>
      <c r="B5496" s="8" t="n">
        <v>45979</v>
      </c>
      <c r="C5496" s="9" t="n">
        <v>45962</v>
      </c>
      <c r="D5496" s="7" t="n">
        <v>2025</v>
      </c>
      <c r="E5496" s="7" t="inlineStr">
        <is>
          <t>North</t>
        </is>
      </c>
      <c r="F5496" s="7" t="inlineStr">
        <is>
          <t>Office Supplies</t>
        </is>
      </c>
      <c r="G5496" s="7" t="inlineStr">
        <is>
          <t>Paper</t>
        </is>
      </c>
      <c r="H5496" s="7" t="inlineStr">
        <is>
          <t>Consumer</t>
        </is>
      </c>
      <c r="I5496" s="7" t="n">
        <v>2</v>
      </c>
      <c r="J5496" s="10" t="n">
        <v>25.55</v>
      </c>
      <c r="K5496" s="11" t="n">
        <v>0.1</v>
      </c>
      <c r="L5496" s="10">
        <f>I5496*J5496*(1-K5496)</f>
        <v/>
      </c>
      <c r="M5496" s="10" t="n">
        <v>25</v>
      </c>
      <c r="N5496" s="10">
        <f>L5496-M5496</f>
        <v/>
      </c>
    </row>
    <row r="5497">
      <c r="A5497" s="7" t="inlineStr">
        <is>
          <t>ORD-02410</t>
        </is>
      </c>
      <c r="B5497" s="8" t="n">
        <v>45980</v>
      </c>
      <c r="C5497" s="9" t="n">
        <v>45962</v>
      </c>
      <c r="D5497" s="7" t="n">
        <v>2025</v>
      </c>
      <c r="E5497" s="7" t="inlineStr">
        <is>
          <t>South</t>
        </is>
      </c>
      <c r="F5497" s="7" t="inlineStr">
        <is>
          <t>Furniture</t>
        </is>
      </c>
      <c r="G5497" s="7" t="inlineStr">
        <is>
          <t>Bookcase</t>
        </is>
      </c>
      <c r="H5497" s="7" t="inlineStr">
        <is>
          <t>Corporate</t>
        </is>
      </c>
      <c r="I5497" s="7" t="n">
        <v>3</v>
      </c>
      <c r="J5497" s="10" t="n">
        <v>186.82</v>
      </c>
      <c r="K5497" s="11" t="n">
        <v>0.2</v>
      </c>
      <c r="L5497" s="10">
        <f>I5497*J5497*(1-K5497)</f>
        <v/>
      </c>
      <c r="M5497" s="10" t="n">
        <v>432</v>
      </c>
      <c r="N5497" s="10">
        <f>L5497-M5497</f>
        <v/>
      </c>
    </row>
    <row r="5498">
      <c r="A5498" s="7" t="inlineStr">
        <is>
          <t>ORD-05425</t>
        </is>
      </c>
      <c r="B5498" s="8" t="n">
        <v>45980</v>
      </c>
      <c r="C5498" s="9" t="n">
        <v>45962</v>
      </c>
      <c r="D5498" s="7" t="n">
        <v>2025</v>
      </c>
      <c r="E5498" s="7" t="inlineStr">
        <is>
          <t>West</t>
        </is>
      </c>
      <c r="F5498" s="7" t="inlineStr">
        <is>
          <t>Office Supplies</t>
        </is>
      </c>
      <c r="G5498" s="7" t="inlineStr">
        <is>
          <t>Stapler</t>
        </is>
      </c>
      <c r="H5498" s="7" t="inlineStr">
        <is>
          <t>Home Office</t>
        </is>
      </c>
      <c r="I5498" s="7" t="n">
        <v>9</v>
      </c>
      <c r="J5498" s="10" t="n">
        <v>14.72</v>
      </c>
      <c r="K5498" s="11" t="n">
        <v>0</v>
      </c>
      <c r="L5498" s="10">
        <f>I5498*J5498*(1-K5498)</f>
        <v/>
      </c>
      <c r="M5498" s="10" t="n">
        <v>67.5</v>
      </c>
      <c r="N5498" s="10">
        <f>L5498-M5498</f>
        <v/>
      </c>
    </row>
    <row r="5499">
      <c r="A5499" s="7" t="inlineStr">
        <is>
          <t>ORD-03200</t>
        </is>
      </c>
      <c r="B5499" s="8" t="n">
        <v>45980</v>
      </c>
      <c r="C5499" s="9" t="n">
        <v>45962</v>
      </c>
      <c r="D5499" s="7" t="n">
        <v>2025</v>
      </c>
      <c r="E5499" s="7" t="inlineStr">
        <is>
          <t>East</t>
        </is>
      </c>
      <c r="F5499" s="7" t="inlineStr">
        <is>
          <t>Office Supplies</t>
        </is>
      </c>
      <c r="G5499" s="7" t="inlineStr">
        <is>
          <t>Binder</t>
        </is>
      </c>
      <c r="H5499" s="7" t="inlineStr">
        <is>
          <t>Corporate</t>
        </is>
      </c>
      <c r="I5499" s="7" t="n">
        <v>13</v>
      </c>
      <c r="J5499" s="10" t="n">
        <v>8.210000000000001</v>
      </c>
      <c r="K5499" s="11" t="n">
        <v>0</v>
      </c>
      <c r="L5499" s="10">
        <f>I5499*J5499*(1-K5499)</f>
        <v/>
      </c>
      <c r="M5499" s="10" t="n">
        <v>41.6</v>
      </c>
      <c r="N5499" s="10">
        <f>L5499-M5499</f>
        <v/>
      </c>
    </row>
    <row r="5500">
      <c r="A5500" s="7" t="inlineStr">
        <is>
          <t>ORD-01286</t>
        </is>
      </c>
      <c r="B5500" s="8" t="n">
        <v>45980</v>
      </c>
      <c r="C5500" s="9" t="n">
        <v>45962</v>
      </c>
      <c r="D5500" s="7" t="n">
        <v>2025</v>
      </c>
      <c r="E5500" s="7" t="inlineStr">
        <is>
          <t>North</t>
        </is>
      </c>
      <c r="F5500" s="7" t="inlineStr">
        <is>
          <t>Office Supplies</t>
        </is>
      </c>
      <c r="G5500" s="7" t="inlineStr">
        <is>
          <t>Pens</t>
        </is>
      </c>
      <c r="H5500" s="7" t="inlineStr">
        <is>
          <t>Corporate</t>
        </is>
      </c>
      <c r="I5500" s="7" t="n">
        <v>5</v>
      </c>
      <c r="J5500" s="10" t="n">
        <v>12.49</v>
      </c>
      <c r="K5500" s="11" t="n">
        <v>0</v>
      </c>
      <c r="L5500" s="10">
        <f>I5500*J5500*(1-K5500)</f>
        <v/>
      </c>
      <c r="M5500" s="10" t="n">
        <v>27</v>
      </c>
      <c r="N5500" s="10">
        <f>L5500-M5500</f>
        <v/>
      </c>
    </row>
    <row r="5501">
      <c r="A5501" s="7" t="inlineStr">
        <is>
          <t>ORD-05764</t>
        </is>
      </c>
      <c r="B5501" s="8" t="n">
        <v>45980</v>
      </c>
      <c r="C5501" s="9" t="n">
        <v>45962</v>
      </c>
      <c r="D5501" s="7" t="n">
        <v>2025</v>
      </c>
      <c r="E5501" s="7" t="inlineStr">
        <is>
          <t>West</t>
        </is>
      </c>
      <c r="F5501" s="7" t="inlineStr">
        <is>
          <t>Technology</t>
        </is>
      </c>
      <c r="G5501" s="7" t="inlineStr">
        <is>
          <t>Keyboard</t>
        </is>
      </c>
      <c r="H5501" s="7" t="inlineStr">
        <is>
          <t>Consumer</t>
        </is>
      </c>
      <c r="I5501" s="7" t="n">
        <v>1</v>
      </c>
      <c r="J5501" s="10" t="n">
        <v>43.6</v>
      </c>
      <c r="K5501" s="11" t="n">
        <v>0</v>
      </c>
      <c r="L5501" s="10">
        <f>I5501*J5501*(1-K5501)</f>
        <v/>
      </c>
      <c r="M5501" s="10" t="n">
        <v>24.75</v>
      </c>
      <c r="N5501" s="10">
        <f>L5501-M5501</f>
        <v/>
      </c>
    </row>
    <row r="5502">
      <c r="A5502" s="7" t="inlineStr">
        <is>
          <t>ORD-04760</t>
        </is>
      </c>
      <c r="B5502" s="8" t="n">
        <v>45980</v>
      </c>
      <c r="C5502" s="9" t="n">
        <v>45962</v>
      </c>
      <c r="D5502" s="7" t="n">
        <v>2025</v>
      </c>
      <c r="E5502" s="7" t="inlineStr">
        <is>
          <t>North</t>
        </is>
      </c>
      <c r="F5502" s="7" t="inlineStr">
        <is>
          <t>Furniture</t>
        </is>
      </c>
      <c r="G5502" s="7" t="inlineStr">
        <is>
          <t>Sofa</t>
        </is>
      </c>
      <c r="H5502" s="7" t="inlineStr">
        <is>
          <t>Home Office</t>
        </is>
      </c>
      <c r="I5502" s="7" t="n">
        <v>4</v>
      </c>
      <c r="J5502" s="10" t="n">
        <v>714.3099999999999</v>
      </c>
      <c r="K5502" s="11" t="n">
        <v>0.3</v>
      </c>
      <c r="L5502" s="10">
        <f>I5502*J5502*(1-K5502)</f>
        <v/>
      </c>
      <c r="M5502" s="10" t="n">
        <v>2464</v>
      </c>
      <c r="N5502" s="10">
        <f>L5502-M5502</f>
        <v/>
      </c>
    </row>
    <row r="5503">
      <c r="A5503" s="7" t="inlineStr">
        <is>
          <t>ORD-02420</t>
        </is>
      </c>
      <c r="B5503" s="8" t="n">
        <v>45980</v>
      </c>
      <c r="C5503" s="9" t="n">
        <v>45962</v>
      </c>
      <c r="D5503" s="7" t="n">
        <v>2025</v>
      </c>
      <c r="E5503" s="7" t="inlineStr">
        <is>
          <t>West</t>
        </is>
      </c>
      <c r="F5503" s="7" t="inlineStr">
        <is>
          <t>Office Supplies</t>
        </is>
      </c>
      <c r="G5503" s="7" t="inlineStr">
        <is>
          <t>Printer Ink</t>
        </is>
      </c>
      <c r="H5503" s="7" t="inlineStr">
        <is>
          <t>Consumer</t>
        </is>
      </c>
      <c r="I5503" s="7" t="n">
        <v>9</v>
      </c>
      <c r="J5503" s="10" t="n">
        <v>62.64</v>
      </c>
      <c r="K5503" s="11" t="n">
        <v>0.2</v>
      </c>
      <c r="L5503" s="10">
        <f>I5503*J5503*(1-K5503)</f>
        <v/>
      </c>
      <c r="M5503" s="10" t="n">
        <v>324</v>
      </c>
      <c r="N5503" s="10">
        <f>L5503-M5503</f>
        <v/>
      </c>
    </row>
    <row r="5504">
      <c r="A5504" s="7" t="inlineStr">
        <is>
          <t>ORD-05455</t>
        </is>
      </c>
      <c r="B5504" s="8" t="n">
        <v>45980</v>
      </c>
      <c r="C5504" s="9" t="n">
        <v>45962</v>
      </c>
      <c r="D5504" s="7" t="n">
        <v>2025</v>
      </c>
      <c r="E5504" s="7" t="inlineStr">
        <is>
          <t>South</t>
        </is>
      </c>
      <c r="F5504" s="7" t="inlineStr">
        <is>
          <t>Technology</t>
        </is>
      </c>
      <c r="G5504" s="7" t="inlineStr">
        <is>
          <t>Keyboard</t>
        </is>
      </c>
      <c r="H5504" s="7" t="inlineStr">
        <is>
          <t>Consumer</t>
        </is>
      </c>
      <c r="I5504" s="7" t="n">
        <v>2</v>
      </c>
      <c r="J5504" s="10" t="n">
        <v>42.85</v>
      </c>
      <c r="K5504" s="11" t="n">
        <v>0.2</v>
      </c>
      <c r="L5504" s="10">
        <f>I5504*J5504*(1-K5504)</f>
        <v/>
      </c>
      <c r="M5504" s="10" t="n">
        <v>49.5</v>
      </c>
      <c r="N5504" s="10">
        <f>L5504-M5504</f>
        <v/>
      </c>
    </row>
    <row r="5505">
      <c r="A5505" s="7" t="inlineStr">
        <is>
          <t>ORD-05565</t>
        </is>
      </c>
      <c r="B5505" s="8" t="n">
        <v>45980</v>
      </c>
      <c r="C5505" s="9" t="n">
        <v>45962</v>
      </c>
      <c r="D5505" s="7" t="n">
        <v>2025</v>
      </c>
      <c r="E5505" s="7" t="inlineStr">
        <is>
          <t>West</t>
        </is>
      </c>
      <c r="F5505" s="7" t="inlineStr">
        <is>
          <t>Office Supplies</t>
        </is>
      </c>
      <c r="G5505" s="7" t="inlineStr">
        <is>
          <t>Printer Ink</t>
        </is>
      </c>
      <c r="H5505" s="7" t="inlineStr">
        <is>
          <t>Corporate</t>
        </is>
      </c>
      <c r="I5505" s="7" t="n">
        <v>13</v>
      </c>
      <c r="J5505" s="10" t="n">
        <v>58.66</v>
      </c>
      <c r="K5505" s="11" t="n">
        <v>0.3</v>
      </c>
      <c r="L5505" s="10">
        <f>I5505*J5505*(1-K5505)</f>
        <v/>
      </c>
      <c r="M5505" s="10" t="n">
        <v>468</v>
      </c>
      <c r="N5505" s="10">
        <f>L5505-M5505</f>
        <v/>
      </c>
    </row>
    <row r="5506">
      <c r="A5506" s="7" t="inlineStr">
        <is>
          <t>ORD-02624</t>
        </is>
      </c>
      <c r="B5506" s="8" t="n">
        <v>45980</v>
      </c>
      <c r="C5506" s="9" t="n">
        <v>45962</v>
      </c>
      <c r="D5506" s="7" t="n">
        <v>2025</v>
      </c>
      <c r="E5506" s="7" t="inlineStr">
        <is>
          <t>South</t>
        </is>
      </c>
      <c r="F5506" s="7" t="inlineStr">
        <is>
          <t>Office Supplies</t>
        </is>
      </c>
      <c r="G5506" s="7" t="inlineStr">
        <is>
          <t>Binder</t>
        </is>
      </c>
      <c r="H5506" s="7" t="inlineStr">
        <is>
          <t>Corporate</t>
        </is>
      </c>
      <c r="I5506" s="7" t="n">
        <v>11</v>
      </c>
      <c r="J5506" s="10" t="n">
        <v>8.31</v>
      </c>
      <c r="K5506" s="11" t="n">
        <v>0.2</v>
      </c>
      <c r="L5506" s="10">
        <f>I5506*J5506*(1-K5506)</f>
        <v/>
      </c>
      <c r="M5506" s="10" t="n">
        <v>35.2</v>
      </c>
      <c r="N5506" s="10">
        <f>L5506-M5506</f>
        <v/>
      </c>
    </row>
    <row r="5507">
      <c r="A5507" s="7" t="inlineStr">
        <is>
          <t>ORD-03479</t>
        </is>
      </c>
      <c r="B5507" s="8" t="n">
        <v>45980</v>
      </c>
      <c r="C5507" s="9" t="n">
        <v>45962</v>
      </c>
      <c r="D5507" s="7" t="n">
        <v>2025</v>
      </c>
      <c r="E5507" s="7" t="inlineStr">
        <is>
          <t>East</t>
        </is>
      </c>
      <c r="F5507" s="7" t="inlineStr">
        <is>
          <t>Office Supplies</t>
        </is>
      </c>
      <c r="G5507" s="7" t="inlineStr">
        <is>
          <t>Stapler</t>
        </is>
      </c>
      <c r="H5507" s="7" t="inlineStr">
        <is>
          <t>Consumer</t>
        </is>
      </c>
      <c r="I5507" s="7" t="n">
        <v>11</v>
      </c>
      <c r="J5507" s="10" t="n">
        <v>14.36</v>
      </c>
      <c r="K5507" s="11" t="n">
        <v>0.1</v>
      </c>
      <c r="L5507" s="10">
        <f>I5507*J5507*(1-K5507)</f>
        <v/>
      </c>
      <c r="M5507" s="10" t="n">
        <v>82.5</v>
      </c>
      <c r="N5507" s="10">
        <f>L5507-M5507</f>
        <v/>
      </c>
    </row>
    <row r="5508">
      <c r="A5508" s="7" t="inlineStr">
        <is>
          <t>ORD-01114</t>
        </is>
      </c>
      <c r="B5508" s="8" t="n">
        <v>45980</v>
      </c>
      <c r="C5508" s="9" t="n">
        <v>45962</v>
      </c>
      <c r="D5508" s="7" t="n">
        <v>2025</v>
      </c>
      <c r="E5508" s="7" t="inlineStr">
        <is>
          <t>East</t>
        </is>
      </c>
      <c r="F5508" s="7" t="inlineStr">
        <is>
          <t>Office Supplies</t>
        </is>
      </c>
      <c r="G5508" s="7" t="inlineStr">
        <is>
          <t>Paper</t>
        </is>
      </c>
      <c r="H5508" s="7" t="inlineStr">
        <is>
          <t>Consumer</t>
        </is>
      </c>
      <c r="I5508" s="7" t="n">
        <v>3</v>
      </c>
      <c r="J5508" s="10" t="n">
        <v>25.35</v>
      </c>
      <c r="K5508" s="11" t="n">
        <v>0.05</v>
      </c>
      <c r="L5508" s="10">
        <f>I5508*J5508*(1-K5508)</f>
        <v/>
      </c>
      <c r="M5508" s="10" t="n">
        <v>37.5</v>
      </c>
      <c r="N5508" s="10">
        <f>L5508-M5508</f>
        <v/>
      </c>
    </row>
    <row r="5509">
      <c r="A5509" s="7" t="inlineStr">
        <is>
          <t>ORD-03311</t>
        </is>
      </c>
      <c r="B5509" s="8" t="n">
        <v>45981</v>
      </c>
      <c r="C5509" s="9" t="n">
        <v>45962</v>
      </c>
      <c r="D5509" s="7" t="n">
        <v>2025</v>
      </c>
      <c r="E5509" s="7" t="inlineStr">
        <is>
          <t>West</t>
        </is>
      </c>
      <c r="F5509" s="7" t="inlineStr">
        <is>
          <t>Office Supplies</t>
        </is>
      </c>
      <c r="G5509" s="7" t="inlineStr">
        <is>
          <t>Printer Ink</t>
        </is>
      </c>
      <c r="H5509" s="7" t="inlineStr">
        <is>
          <t>Corporate</t>
        </is>
      </c>
      <c r="I5509" s="7" t="n">
        <v>7</v>
      </c>
      <c r="J5509" s="10" t="n">
        <v>60.92</v>
      </c>
      <c r="K5509" s="11" t="n">
        <v>0</v>
      </c>
      <c r="L5509" s="10">
        <f>I5509*J5509*(1-K5509)</f>
        <v/>
      </c>
      <c r="M5509" s="10" t="n">
        <v>252</v>
      </c>
      <c r="N5509" s="10">
        <f>L5509-M5509</f>
        <v/>
      </c>
    </row>
    <row r="5510">
      <c r="A5510" s="7" t="inlineStr">
        <is>
          <t>ORD-01867</t>
        </is>
      </c>
      <c r="B5510" s="8" t="n">
        <v>45981</v>
      </c>
      <c r="C5510" s="9" t="n">
        <v>45962</v>
      </c>
      <c r="D5510" s="7" t="n">
        <v>2025</v>
      </c>
      <c r="E5510" s="7" t="inlineStr">
        <is>
          <t>West</t>
        </is>
      </c>
      <c r="F5510" s="7" t="inlineStr">
        <is>
          <t>Office Supplies</t>
        </is>
      </c>
      <c r="G5510" s="7" t="inlineStr">
        <is>
          <t>Printer Ink</t>
        </is>
      </c>
      <c r="H5510" s="7" t="inlineStr">
        <is>
          <t>Corporate</t>
        </is>
      </c>
      <c r="I5510" s="7" t="n">
        <v>11</v>
      </c>
      <c r="J5510" s="10" t="n">
        <v>61.86</v>
      </c>
      <c r="K5510" s="11" t="n">
        <v>0.3</v>
      </c>
      <c r="L5510" s="10">
        <f>I5510*J5510*(1-K5510)</f>
        <v/>
      </c>
      <c r="M5510" s="10" t="n">
        <v>396</v>
      </c>
      <c r="N5510" s="10">
        <f>L5510-M5510</f>
        <v/>
      </c>
    </row>
    <row r="5511">
      <c r="A5511" s="7" t="inlineStr">
        <is>
          <t>ORD-00235</t>
        </is>
      </c>
      <c r="B5511" s="8" t="n">
        <v>45981</v>
      </c>
      <c r="C5511" s="9" t="n">
        <v>45962</v>
      </c>
      <c r="D5511" s="7" t="n">
        <v>2025</v>
      </c>
      <c r="E5511" s="7" t="inlineStr">
        <is>
          <t>East</t>
        </is>
      </c>
      <c r="F5511" s="7" t="inlineStr">
        <is>
          <t>Office Supplies</t>
        </is>
      </c>
      <c r="G5511" s="7" t="inlineStr">
        <is>
          <t>Binder</t>
        </is>
      </c>
      <c r="H5511" s="7" t="inlineStr">
        <is>
          <t>Home Office</t>
        </is>
      </c>
      <c r="I5511" s="7" t="n">
        <v>15</v>
      </c>
      <c r="J5511" s="10" t="n">
        <v>7.82</v>
      </c>
      <c r="K5511" s="11" t="n">
        <v>0</v>
      </c>
      <c r="L5511" s="10">
        <f>I5511*J5511*(1-K5511)</f>
        <v/>
      </c>
      <c r="M5511" s="10" t="n">
        <v>48</v>
      </c>
      <c r="N5511" s="10">
        <f>L5511-M5511</f>
        <v/>
      </c>
    </row>
    <row r="5512">
      <c r="A5512" s="7" t="inlineStr">
        <is>
          <t>ORD-03783</t>
        </is>
      </c>
      <c r="B5512" s="8" t="n">
        <v>45981</v>
      </c>
      <c r="C5512" s="9" t="n">
        <v>45962</v>
      </c>
      <c r="D5512" s="7" t="n">
        <v>2025</v>
      </c>
      <c r="E5512" s="7" t="inlineStr">
        <is>
          <t>South</t>
        </is>
      </c>
      <c r="F5512" s="7" t="inlineStr">
        <is>
          <t>Office Supplies</t>
        </is>
      </c>
      <c r="G5512" s="7" t="inlineStr">
        <is>
          <t>Paper</t>
        </is>
      </c>
      <c r="H5512" s="7" t="inlineStr">
        <is>
          <t>Consumer</t>
        </is>
      </c>
      <c r="I5512" s="7" t="n">
        <v>3</v>
      </c>
      <c r="J5512" s="10" t="n">
        <v>24.22</v>
      </c>
      <c r="K5512" s="11" t="n">
        <v>0.1</v>
      </c>
      <c r="L5512" s="10">
        <f>I5512*J5512*(1-K5512)</f>
        <v/>
      </c>
      <c r="M5512" s="10" t="n">
        <v>37.5</v>
      </c>
      <c r="N5512" s="10">
        <f>L5512-M5512</f>
        <v/>
      </c>
    </row>
    <row r="5513">
      <c r="A5513" s="7" t="inlineStr">
        <is>
          <t>ORD-05085</t>
        </is>
      </c>
      <c r="B5513" s="8" t="n">
        <v>45981</v>
      </c>
      <c r="C5513" s="9" t="n">
        <v>45962</v>
      </c>
      <c r="D5513" s="7" t="n">
        <v>2025</v>
      </c>
      <c r="E5513" s="7" t="inlineStr">
        <is>
          <t>West</t>
        </is>
      </c>
      <c r="F5513" s="7" t="inlineStr">
        <is>
          <t>Technology</t>
        </is>
      </c>
      <c r="G5513" s="7" t="inlineStr">
        <is>
          <t>Smartphone</t>
        </is>
      </c>
      <c r="H5513" s="7" t="inlineStr">
        <is>
          <t>Home Office</t>
        </is>
      </c>
      <c r="I5513" s="7" t="n">
        <v>1</v>
      </c>
      <c r="J5513" s="10" t="n">
        <v>600.3099999999999</v>
      </c>
      <c r="K5513" s="11" t="n">
        <v>0.1</v>
      </c>
      <c r="L5513" s="10">
        <f>I5513*J5513*(1-K5513)</f>
        <v/>
      </c>
      <c r="M5513" s="10" t="n">
        <v>450</v>
      </c>
      <c r="N5513" s="10">
        <f>L5513-M5513</f>
        <v/>
      </c>
    </row>
    <row r="5514">
      <c r="A5514" s="7" t="inlineStr">
        <is>
          <t>ORD-01074</t>
        </is>
      </c>
      <c r="B5514" s="8" t="n">
        <v>45982</v>
      </c>
      <c r="C5514" s="9" t="n">
        <v>45962</v>
      </c>
      <c r="D5514" s="7" t="n">
        <v>2025</v>
      </c>
      <c r="E5514" s="7" t="inlineStr">
        <is>
          <t>East</t>
        </is>
      </c>
      <c r="F5514" s="7" t="inlineStr">
        <is>
          <t>Office Supplies</t>
        </is>
      </c>
      <c r="G5514" s="7" t="inlineStr">
        <is>
          <t>Stapler</t>
        </is>
      </c>
      <c r="H5514" s="7" t="inlineStr">
        <is>
          <t>Consumer</t>
        </is>
      </c>
      <c r="I5514" s="7" t="n">
        <v>9</v>
      </c>
      <c r="J5514" s="10" t="n">
        <v>15.23</v>
      </c>
      <c r="K5514" s="11" t="n">
        <v>0</v>
      </c>
      <c r="L5514" s="10">
        <f>I5514*J5514*(1-K5514)</f>
        <v/>
      </c>
      <c r="M5514" s="10" t="n">
        <v>67.5</v>
      </c>
      <c r="N5514" s="10">
        <f>L5514-M5514</f>
        <v/>
      </c>
    </row>
    <row r="5515">
      <c r="A5515" s="7" t="inlineStr">
        <is>
          <t>ORD-03809</t>
        </is>
      </c>
      <c r="B5515" s="8" t="n">
        <v>45982</v>
      </c>
      <c r="C5515" s="9" t="n">
        <v>45962</v>
      </c>
      <c r="D5515" s="7" t="n">
        <v>2025</v>
      </c>
      <c r="E5515" s="7" t="inlineStr">
        <is>
          <t>East</t>
        </is>
      </c>
      <c r="F5515" s="7" t="inlineStr">
        <is>
          <t>Office Supplies</t>
        </is>
      </c>
      <c r="G5515" s="7" t="inlineStr">
        <is>
          <t>Paper</t>
        </is>
      </c>
      <c r="H5515" s="7" t="inlineStr">
        <is>
          <t>Consumer</t>
        </is>
      </c>
      <c r="I5515" s="7" t="n">
        <v>11</v>
      </c>
      <c r="J5515" s="10" t="n">
        <v>24.74</v>
      </c>
      <c r="K5515" s="11" t="n">
        <v>0.3</v>
      </c>
      <c r="L5515" s="10">
        <f>I5515*J5515*(1-K5515)</f>
        <v/>
      </c>
      <c r="M5515" s="10" t="n">
        <v>137.5</v>
      </c>
      <c r="N5515" s="10">
        <f>L5515-M5515</f>
        <v/>
      </c>
    </row>
    <row r="5516">
      <c r="A5516" s="7" t="inlineStr">
        <is>
          <t>ORD-00883</t>
        </is>
      </c>
      <c r="B5516" s="8" t="n">
        <v>45982</v>
      </c>
      <c r="C5516" s="9" t="n">
        <v>45962</v>
      </c>
      <c r="D5516" s="7" t="n">
        <v>2025</v>
      </c>
      <c r="E5516" s="7" t="inlineStr">
        <is>
          <t>East</t>
        </is>
      </c>
      <c r="F5516" s="7" t="inlineStr">
        <is>
          <t>Furniture</t>
        </is>
      </c>
      <c r="G5516" s="7" t="inlineStr">
        <is>
          <t>Bookcase</t>
        </is>
      </c>
      <c r="H5516" s="7" t="inlineStr">
        <is>
          <t>Consumer</t>
        </is>
      </c>
      <c r="I5516" s="7" t="n">
        <v>4</v>
      </c>
      <c r="J5516" s="10" t="n">
        <v>181.29</v>
      </c>
      <c r="K5516" s="11" t="n">
        <v>0</v>
      </c>
      <c r="L5516" s="10">
        <f>I5516*J5516*(1-K5516)</f>
        <v/>
      </c>
      <c r="M5516" s="10" t="n">
        <v>576</v>
      </c>
      <c r="N5516" s="10">
        <f>L5516-M5516</f>
        <v/>
      </c>
    </row>
    <row r="5517">
      <c r="A5517" s="7" t="inlineStr">
        <is>
          <t>ORD-01229</t>
        </is>
      </c>
      <c r="B5517" s="8" t="n">
        <v>45982</v>
      </c>
      <c r="C5517" s="9" t="n">
        <v>45962</v>
      </c>
      <c r="D5517" s="7" t="n">
        <v>2025</v>
      </c>
      <c r="E5517" s="7" t="inlineStr">
        <is>
          <t>West</t>
        </is>
      </c>
      <c r="F5517" s="7" t="inlineStr">
        <is>
          <t>Office Supplies</t>
        </is>
      </c>
      <c r="G5517" s="7" t="inlineStr">
        <is>
          <t>Pens</t>
        </is>
      </c>
      <c r="H5517" s="7" t="inlineStr">
        <is>
          <t>Consumer</t>
        </is>
      </c>
      <c r="I5517" s="7" t="n">
        <v>15</v>
      </c>
      <c r="J5517" s="10" t="n">
        <v>12.07</v>
      </c>
      <c r="K5517" s="11" t="n">
        <v>0</v>
      </c>
      <c r="L5517" s="10">
        <f>I5517*J5517*(1-K5517)</f>
        <v/>
      </c>
      <c r="M5517" s="10" t="n">
        <v>81</v>
      </c>
      <c r="N5517" s="10">
        <f>L5517-M5517</f>
        <v/>
      </c>
    </row>
    <row r="5518">
      <c r="A5518" s="7" t="inlineStr">
        <is>
          <t>ORD-03829</t>
        </is>
      </c>
      <c r="B5518" s="8" t="n">
        <v>45982</v>
      </c>
      <c r="C5518" s="9" t="n">
        <v>45962</v>
      </c>
      <c r="D5518" s="7" t="n">
        <v>2025</v>
      </c>
      <c r="E5518" s="7" t="inlineStr">
        <is>
          <t>East</t>
        </is>
      </c>
      <c r="F5518" s="7" t="inlineStr">
        <is>
          <t>Office Supplies</t>
        </is>
      </c>
      <c r="G5518" s="7" t="inlineStr">
        <is>
          <t>Binder</t>
        </is>
      </c>
      <c r="H5518" s="7" t="inlineStr">
        <is>
          <t>Corporate</t>
        </is>
      </c>
      <c r="I5518" s="7" t="n">
        <v>11</v>
      </c>
      <c r="J5518" s="10" t="n">
        <v>8.390000000000001</v>
      </c>
      <c r="K5518" s="11" t="n">
        <v>0</v>
      </c>
      <c r="L5518" s="10">
        <f>I5518*J5518*(1-K5518)</f>
        <v/>
      </c>
      <c r="M5518" s="10" t="n">
        <v>35.2</v>
      </c>
      <c r="N5518" s="10">
        <f>L5518-M5518</f>
        <v/>
      </c>
    </row>
    <row r="5519">
      <c r="A5519" s="7" t="inlineStr">
        <is>
          <t>ORD-04317</t>
        </is>
      </c>
      <c r="B5519" s="8" t="n">
        <v>45982</v>
      </c>
      <c r="C5519" s="9" t="n">
        <v>45962</v>
      </c>
      <c r="D5519" s="7" t="n">
        <v>2025</v>
      </c>
      <c r="E5519" s="7" t="inlineStr">
        <is>
          <t>East</t>
        </is>
      </c>
      <c r="F5519" s="7" t="inlineStr">
        <is>
          <t>Office Supplies</t>
        </is>
      </c>
      <c r="G5519" s="7" t="inlineStr">
        <is>
          <t>Pens</t>
        </is>
      </c>
      <c r="H5519" s="7" t="inlineStr">
        <is>
          <t>Corporate</t>
        </is>
      </c>
      <c r="I5519" s="7" t="n">
        <v>4</v>
      </c>
      <c r="J5519" s="10" t="n">
        <v>12.28</v>
      </c>
      <c r="K5519" s="11" t="n">
        <v>0.2</v>
      </c>
      <c r="L5519" s="10">
        <f>I5519*J5519*(1-K5519)</f>
        <v/>
      </c>
      <c r="M5519" s="10" t="n">
        <v>21.6</v>
      </c>
      <c r="N5519" s="10">
        <f>L5519-M5519</f>
        <v/>
      </c>
    </row>
    <row r="5520">
      <c r="A5520" s="7" t="inlineStr">
        <is>
          <t>ORD-03605</t>
        </is>
      </c>
      <c r="B5520" s="8" t="n">
        <v>45982</v>
      </c>
      <c r="C5520" s="9" t="n">
        <v>45962</v>
      </c>
      <c r="D5520" s="7" t="n">
        <v>2025</v>
      </c>
      <c r="E5520" s="7" t="inlineStr">
        <is>
          <t>West</t>
        </is>
      </c>
      <c r="F5520" s="7" t="inlineStr">
        <is>
          <t>Office Supplies</t>
        </is>
      </c>
      <c r="G5520" s="7" t="inlineStr">
        <is>
          <t>Paper</t>
        </is>
      </c>
      <c r="H5520" s="7" t="inlineStr">
        <is>
          <t>Corporate</t>
        </is>
      </c>
      <c r="I5520" s="7" t="n">
        <v>3</v>
      </c>
      <c r="J5520" s="10" t="n">
        <v>25.54</v>
      </c>
      <c r="K5520" s="11" t="n">
        <v>0.3</v>
      </c>
      <c r="L5520" s="10">
        <f>I5520*J5520*(1-K5520)</f>
        <v/>
      </c>
      <c r="M5520" s="10" t="n">
        <v>37.5</v>
      </c>
      <c r="N5520" s="10">
        <f>L5520-M5520</f>
        <v/>
      </c>
    </row>
    <row r="5521">
      <c r="A5521" s="7" t="inlineStr">
        <is>
          <t>ORD-00340</t>
        </is>
      </c>
      <c r="B5521" s="8" t="n">
        <v>45982</v>
      </c>
      <c r="C5521" s="9" t="n">
        <v>45962</v>
      </c>
      <c r="D5521" s="7" t="n">
        <v>2025</v>
      </c>
      <c r="E5521" s="7" t="inlineStr">
        <is>
          <t>South</t>
        </is>
      </c>
      <c r="F5521" s="7" t="inlineStr">
        <is>
          <t>Office Supplies</t>
        </is>
      </c>
      <c r="G5521" s="7" t="inlineStr">
        <is>
          <t>Paper</t>
        </is>
      </c>
      <c r="H5521" s="7" t="inlineStr">
        <is>
          <t>Corporate</t>
        </is>
      </c>
      <c r="I5521" s="7" t="n">
        <v>9</v>
      </c>
      <c r="J5521" s="10" t="n">
        <v>26.19</v>
      </c>
      <c r="K5521" s="11" t="n">
        <v>0</v>
      </c>
      <c r="L5521" s="10">
        <f>I5521*J5521*(1-K5521)</f>
        <v/>
      </c>
      <c r="M5521" s="10" t="n">
        <v>112.5</v>
      </c>
      <c r="N5521" s="10">
        <f>L5521-M5521</f>
        <v/>
      </c>
    </row>
    <row r="5522">
      <c r="A5522" s="7" t="inlineStr">
        <is>
          <t>ORD-01391</t>
        </is>
      </c>
      <c r="B5522" s="8" t="n">
        <v>45982</v>
      </c>
      <c r="C5522" s="9" t="n">
        <v>45962</v>
      </c>
      <c r="D5522" s="7" t="n">
        <v>2025</v>
      </c>
      <c r="E5522" s="7" t="inlineStr">
        <is>
          <t>West</t>
        </is>
      </c>
      <c r="F5522" s="7" t="inlineStr">
        <is>
          <t>Furniture</t>
        </is>
      </c>
      <c r="G5522" s="7" t="inlineStr">
        <is>
          <t>Office Chair</t>
        </is>
      </c>
      <c r="H5522" s="7" t="inlineStr">
        <is>
          <t>Corporate</t>
        </is>
      </c>
      <c r="I5522" s="7" t="n">
        <v>4</v>
      </c>
      <c r="J5522" s="10" t="n">
        <v>222.08</v>
      </c>
      <c r="K5522" s="11" t="n">
        <v>0.3</v>
      </c>
      <c r="L5522" s="10">
        <f>I5522*J5522*(1-K5522)</f>
        <v/>
      </c>
      <c r="M5522" s="10" t="n">
        <v>721.6</v>
      </c>
      <c r="N5522" s="10">
        <f>L5522-M5522</f>
        <v/>
      </c>
    </row>
    <row r="5523">
      <c r="A5523" s="7" t="inlineStr">
        <is>
          <t>ORD-02789</t>
        </is>
      </c>
      <c r="B5523" s="8" t="n">
        <v>45982</v>
      </c>
      <c r="C5523" s="9" t="n">
        <v>45962</v>
      </c>
      <c r="D5523" s="7" t="n">
        <v>2025</v>
      </c>
      <c r="E5523" s="7" t="inlineStr">
        <is>
          <t>East</t>
        </is>
      </c>
      <c r="F5523" s="7" t="inlineStr">
        <is>
          <t>Office Supplies</t>
        </is>
      </c>
      <c r="G5523" s="7" t="inlineStr">
        <is>
          <t>Stapler</t>
        </is>
      </c>
      <c r="H5523" s="7" t="inlineStr">
        <is>
          <t>Consumer</t>
        </is>
      </c>
      <c r="I5523" s="7" t="n">
        <v>3</v>
      </c>
      <c r="J5523" s="10" t="n">
        <v>14.93</v>
      </c>
      <c r="K5523" s="11" t="n">
        <v>0</v>
      </c>
      <c r="L5523" s="10">
        <f>I5523*J5523*(1-K5523)</f>
        <v/>
      </c>
      <c r="M5523" s="10" t="n">
        <v>22.5</v>
      </c>
      <c r="N5523" s="10">
        <f>L5523-M5523</f>
        <v/>
      </c>
    </row>
    <row r="5524">
      <c r="A5524" s="7" t="inlineStr">
        <is>
          <t>ORD-00191</t>
        </is>
      </c>
      <c r="B5524" s="8" t="n">
        <v>45983</v>
      </c>
      <c r="C5524" s="9" t="n">
        <v>45962</v>
      </c>
      <c r="D5524" s="7" t="n">
        <v>2025</v>
      </c>
      <c r="E5524" s="7" t="inlineStr">
        <is>
          <t>North</t>
        </is>
      </c>
      <c r="F5524" s="7" t="inlineStr">
        <is>
          <t>Office Supplies</t>
        </is>
      </c>
      <c r="G5524" s="7" t="inlineStr">
        <is>
          <t>Printer Ink</t>
        </is>
      </c>
      <c r="H5524" s="7" t="inlineStr">
        <is>
          <t>Corporate</t>
        </is>
      </c>
      <c r="I5524" s="7" t="n">
        <v>15</v>
      </c>
      <c r="J5524" s="10" t="n">
        <v>60.45</v>
      </c>
      <c r="K5524" s="11" t="n">
        <v>0</v>
      </c>
      <c r="L5524" s="10">
        <f>I5524*J5524*(1-K5524)</f>
        <v/>
      </c>
      <c r="M5524" s="10" t="n">
        <v>540</v>
      </c>
      <c r="N5524" s="10">
        <f>L5524-M5524</f>
        <v/>
      </c>
    </row>
    <row r="5525">
      <c r="A5525" s="7" t="inlineStr">
        <is>
          <t>ORD-00382</t>
        </is>
      </c>
      <c r="B5525" s="8" t="n">
        <v>45983</v>
      </c>
      <c r="C5525" s="9" t="n">
        <v>45962</v>
      </c>
      <c r="D5525" s="7" t="n">
        <v>2025</v>
      </c>
      <c r="E5525" s="7" t="inlineStr">
        <is>
          <t>North</t>
        </is>
      </c>
      <c r="F5525" s="7" t="inlineStr">
        <is>
          <t>Technology</t>
        </is>
      </c>
      <c r="G5525" s="7" t="inlineStr">
        <is>
          <t>Smartphone</t>
        </is>
      </c>
      <c r="H5525" s="7" t="inlineStr">
        <is>
          <t>Consumer</t>
        </is>
      </c>
      <c r="I5525" s="7" t="n">
        <v>3</v>
      </c>
      <c r="J5525" s="10" t="n">
        <v>615.29</v>
      </c>
      <c r="K5525" s="11" t="n">
        <v>0.2</v>
      </c>
      <c r="L5525" s="10">
        <f>I5525*J5525*(1-K5525)</f>
        <v/>
      </c>
      <c r="M5525" s="10" t="n">
        <v>1350</v>
      </c>
      <c r="N5525" s="10">
        <f>L5525-M5525</f>
        <v/>
      </c>
    </row>
    <row r="5526">
      <c r="A5526" s="7" t="inlineStr">
        <is>
          <t>ORD-02202</t>
        </is>
      </c>
      <c r="B5526" s="8" t="n">
        <v>45983</v>
      </c>
      <c r="C5526" s="9" t="n">
        <v>45962</v>
      </c>
      <c r="D5526" s="7" t="n">
        <v>2025</v>
      </c>
      <c r="E5526" s="7" t="inlineStr">
        <is>
          <t>North</t>
        </is>
      </c>
      <c r="F5526" s="7" t="inlineStr">
        <is>
          <t>Technology</t>
        </is>
      </c>
      <c r="G5526" s="7" t="inlineStr">
        <is>
          <t>Monitor</t>
        </is>
      </c>
      <c r="H5526" s="7" t="inlineStr">
        <is>
          <t>Home Office</t>
        </is>
      </c>
      <c r="I5526" s="7" t="n">
        <v>2</v>
      </c>
      <c r="J5526" s="10" t="n">
        <v>255.79</v>
      </c>
      <c r="K5526" s="11" t="n">
        <v>0.3</v>
      </c>
      <c r="L5526" s="10">
        <f>I5526*J5526*(1-K5526)</f>
        <v/>
      </c>
      <c r="M5526" s="10" t="n">
        <v>360</v>
      </c>
      <c r="N5526" s="10">
        <f>L5526-M5526</f>
        <v/>
      </c>
    </row>
    <row r="5527">
      <c r="A5527" s="7" t="inlineStr">
        <is>
          <t>ORD-01471</t>
        </is>
      </c>
      <c r="B5527" s="8" t="n">
        <v>45983</v>
      </c>
      <c r="C5527" s="9" t="n">
        <v>45962</v>
      </c>
      <c r="D5527" s="7" t="n">
        <v>2025</v>
      </c>
      <c r="E5527" s="7" t="inlineStr">
        <is>
          <t>West</t>
        </is>
      </c>
      <c r="F5527" s="7" t="inlineStr">
        <is>
          <t>Furniture</t>
        </is>
      </c>
      <c r="G5527" s="7" t="inlineStr">
        <is>
          <t>Bookcase</t>
        </is>
      </c>
      <c r="H5527" s="7" t="inlineStr">
        <is>
          <t>Corporate</t>
        </is>
      </c>
      <c r="I5527" s="7" t="n">
        <v>2</v>
      </c>
      <c r="J5527" s="10" t="n">
        <v>180.87</v>
      </c>
      <c r="K5527" s="11" t="n">
        <v>0.05</v>
      </c>
      <c r="L5527" s="10">
        <f>I5527*J5527*(1-K5527)</f>
        <v/>
      </c>
      <c r="M5527" s="10" t="n">
        <v>288</v>
      </c>
      <c r="N5527" s="10">
        <f>L5527-M5527</f>
        <v/>
      </c>
    </row>
    <row r="5528">
      <c r="A5528" s="7" t="inlineStr">
        <is>
          <t>ORD-02508</t>
        </is>
      </c>
      <c r="B5528" s="8" t="n">
        <v>45983</v>
      </c>
      <c r="C5528" s="9" t="n">
        <v>45962</v>
      </c>
      <c r="D5528" s="7" t="n">
        <v>2025</v>
      </c>
      <c r="E5528" s="7" t="inlineStr">
        <is>
          <t>West</t>
        </is>
      </c>
      <c r="F5528" s="7" t="inlineStr">
        <is>
          <t>Office Supplies</t>
        </is>
      </c>
      <c r="G5528" s="7" t="inlineStr">
        <is>
          <t>Paper</t>
        </is>
      </c>
      <c r="H5528" s="7" t="inlineStr">
        <is>
          <t>Consumer</t>
        </is>
      </c>
      <c r="I5528" s="7" t="n">
        <v>8</v>
      </c>
      <c r="J5528" s="10" t="n">
        <v>24.75</v>
      </c>
      <c r="K5528" s="11" t="n">
        <v>0</v>
      </c>
      <c r="L5528" s="10">
        <f>I5528*J5528*(1-K5528)</f>
        <v/>
      </c>
      <c r="M5528" s="10" t="n">
        <v>100</v>
      </c>
      <c r="N5528" s="10">
        <f>L5528-M5528</f>
        <v/>
      </c>
    </row>
    <row r="5529">
      <c r="A5529" s="7" t="inlineStr">
        <is>
          <t>ORD-03312</t>
        </is>
      </c>
      <c r="B5529" s="8" t="n">
        <v>45983</v>
      </c>
      <c r="C5529" s="9" t="n">
        <v>45962</v>
      </c>
      <c r="D5529" s="7" t="n">
        <v>2025</v>
      </c>
      <c r="E5529" s="7" t="inlineStr">
        <is>
          <t>East</t>
        </is>
      </c>
      <c r="F5529" s="7" t="inlineStr">
        <is>
          <t>Office Supplies</t>
        </is>
      </c>
      <c r="G5529" s="7" t="inlineStr">
        <is>
          <t>Printer Ink</t>
        </is>
      </c>
      <c r="H5529" s="7" t="inlineStr">
        <is>
          <t>Home Office</t>
        </is>
      </c>
      <c r="I5529" s="7" t="n">
        <v>12</v>
      </c>
      <c r="J5529" s="10" t="n">
        <v>62.01</v>
      </c>
      <c r="K5529" s="11" t="n">
        <v>0.1</v>
      </c>
      <c r="L5529" s="10">
        <f>I5529*J5529*(1-K5529)</f>
        <v/>
      </c>
      <c r="M5529" s="10" t="n">
        <v>432</v>
      </c>
      <c r="N5529" s="10">
        <f>L5529-M5529</f>
        <v/>
      </c>
    </row>
    <row r="5530">
      <c r="A5530" s="7" t="inlineStr">
        <is>
          <t>ORD-00174</t>
        </is>
      </c>
      <c r="B5530" s="8" t="n">
        <v>45983</v>
      </c>
      <c r="C5530" s="9" t="n">
        <v>45962</v>
      </c>
      <c r="D5530" s="7" t="n">
        <v>2025</v>
      </c>
      <c r="E5530" s="7" t="inlineStr">
        <is>
          <t>East</t>
        </is>
      </c>
      <c r="F5530" s="7" t="inlineStr">
        <is>
          <t>Office Supplies</t>
        </is>
      </c>
      <c r="G5530" s="7" t="inlineStr">
        <is>
          <t>Printer Ink</t>
        </is>
      </c>
      <c r="H5530" s="7" t="inlineStr">
        <is>
          <t>Corporate</t>
        </is>
      </c>
      <c r="I5530" s="7" t="n">
        <v>6</v>
      </c>
      <c r="J5530" s="10" t="n">
        <v>62.33</v>
      </c>
      <c r="K5530" s="11" t="n">
        <v>0</v>
      </c>
      <c r="L5530" s="10">
        <f>I5530*J5530*(1-K5530)</f>
        <v/>
      </c>
      <c r="M5530" s="10" t="n">
        <v>216</v>
      </c>
      <c r="N5530" s="10">
        <f>L5530-M5530</f>
        <v/>
      </c>
    </row>
    <row r="5531">
      <c r="A5531" s="7" t="inlineStr">
        <is>
          <t>ORD-01439</t>
        </is>
      </c>
      <c r="B5531" s="8" t="n">
        <v>45983</v>
      </c>
      <c r="C5531" s="9" t="n">
        <v>45962</v>
      </c>
      <c r="D5531" s="7" t="n">
        <v>2025</v>
      </c>
      <c r="E5531" s="7" t="inlineStr">
        <is>
          <t>West</t>
        </is>
      </c>
      <c r="F5531" s="7" t="inlineStr">
        <is>
          <t>Technology</t>
        </is>
      </c>
      <c r="G5531" s="7" t="inlineStr">
        <is>
          <t>Keyboard</t>
        </is>
      </c>
      <c r="H5531" s="7" t="inlineStr">
        <is>
          <t>Consumer</t>
        </is>
      </c>
      <c r="I5531" s="7" t="n">
        <v>2</v>
      </c>
      <c r="J5531" s="10" t="n">
        <v>44.23</v>
      </c>
      <c r="K5531" s="11" t="n">
        <v>0.3</v>
      </c>
      <c r="L5531" s="10">
        <f>I5531*J5531*(1-K5531)</f>
        <v/>
      </c>
      <c r="M5531" s="10" t="n">
        <v>49.5</v>
      </c>
      <c r="N5531" s="10">
        <f>L5531-M5531</f>
        <v/>
      </c>
    </row>
    <row r="5532">
      <c r="A5532" s="7" t="inlineStr">
        <is>
          <t>ORD-03731</t>
        </is>
      </c>
      <c r="B5532" s="8" t="n">
        <v>45983</v>
      </c>
      <c r="C5532" s="9" t="n">
        <v>45962</v>
      </c>
      <c r="D5532" s="7" t="n">
        <v>2025</v>
      </c>
      <c r="E5532" s="7" t="inlineStr">
        <is>
          <t>West</t>
        </is>
      </c>
      <c r="F5532" s="7" t="inlineStr">
        <is>
          <t>Office Supplies</t>
        </is>
      </c>
      <c r="G5532" s="7" t="inlineStr">
        <is>
          <t>Paper</t>
        </is>
      </c>
      <c r="H5532" s="7" t="inlineStr">
        <is>
          <t>Consumer</t>
        </is>
      </c>
      <c r="I5532" s="7" t="n">
        <v>8</v>
      </c>
      <c r="J5532" s="10" t="n">
        <v>24.43</v>
      </c>
      <c r="K5532" s="11" t="n">
        <v>0.05</v>
      </c>
      <c r="L5532" s="10">
        <f>I5532*J5532*(1-K5532)</f>
        <v/>
      </c>
      <c r="M5532" s="10" t="n">
        <v>100</v>
      </c>
      <c r="N5532" s="10">
        <f>L5532-M5532</f>
        <v/>
      </c>
    </row>
    <row r="5533">
      <c r="A5533" s="7" t="inlineStr">
        <is>
          <t>ORD-05089</t>
        </is>
      </c>
      <c r="B5533" s="8" t="n">
        <v>45983</v>
      </c>
      <c r="C5533" s="9" t="n">
        <v>45962</v>
      </c>
      <c r="D5533" s="7" t="n">
        <v>2025</v>
      </c>
      <c r="E5533" s="7" t="inlineStr">
        <is>
          <t>North</t>
        </is>
      </c>
      <c r="F5533" s="7" t="inlineStr">
        <is>
          <t>Office Supplies</t>
        </is>
      </c>
      <c r="G5533" s="7" t="inlineStr">
        <is>
          <t>Pens</t>
        </is>
      </c>
      <c r="H5533" s="7" t="inlineStr">
        <is>
          <t>Corporate</t>
        </is>
      </c>
      <c r="I5533" s="7" t="n">
        <v>8</v>
      </c>
      <c r="J5533" s="10" t="n">
        <v>12.53</v>
      </c>
      <c r="K5533" s="11" t="n">
        <v>0.1</v>
      </c>
      <c r="L5533" s="10">
        <f>I5533*J5533*(1-K5533)</f>
        <v/>
      </c>
      <c r="M5533" s="10" t="n">
        <v>43.2</v>
      </c>
      <c r="N5533" s="10">
        <f>L5533-M5533</f>
        <v/>
      </c>
    </row>
    <row r="5534">
      <c r="A5534" s="7" t="inlineStr">
        <is>
          <t>ORD-02104</t>
        </is>
      </c>
      <c r="B5534" s="8" t="n">
        <v>45983</v>
      </c>
      <c r="C5534" s="9" t="n">
        <v>45962</v>
      </c>
      <c r="D5534" s="7" t="n">
        <v>2025</v>
      </c>
      <c r="E5534" s="7" t="inlineStr">
        <is>
          <t>South</t>
        </is>
      </c>
      <c r="F5534" s="7" t="inlineStr">
        <is>
          <t>Office Supplies</t>
        </is>
      </c>
      <c r="G5534" s="7" t="inlineStr">
        <is>
          <t>Printer Ink</t>
        </is>
      </c>
      <c r="H5534" s="7" t="inlineStr">
        <is>
          <t>Home Office</t>
        </is>
      </c>
      <c r="I5534" s="7" t="n">
        <v>15</v>
      </c>
      <c r="J5534" s="10" t="n">
        <v>62.33</v>
      </c>
      <c r="K5534" s="11" t="n">
        <v>0.1</v>
      </c>
      <c r="L5534" s="10">
        <f>I5534*J5534*(1-K5534)</f>
        <v/>
      </c>
      <c r="M5534" s="10" t="n">
        <v>540</v>
      </c>
      <c r="N5534" s="10">
        <f>L5534-M5534</f>
        <v/>
      </c>
    </row>
    <row r="5535">
      <c r="A5535" s="7" t="inlineStr">
        <is>
          <t>ORD-05114</t>
        </is>
      </c>
      <c r="B5535" s="8" t="n">
        <v>45983</v>
      </c>
      <c r="C5535" s="9" t="n">
        <v>45962</v>
      </c>
      <c r="D5535" s="7" t="n">
        <v>2025</v>
      </c>
      <c r="E5535" s="7" t="inlineStr">
        <is>
          <t>East</t>
        </is>
      </c>
      <c r="F5535" s="7" t="inlineStr">
        <is>
          <t>Furniture</t>
        </is>
      </c>
      <c r="G5535" s="7" t="inlineStr">
        <is>
          <t>Desk</t>
        </is>
      </c>
      <c r="H5535" s="7" t="inlineStr">
        <is>
          <t>Corporate</t>
        </is>
      </c>
      <c r="I5535" s="7" t="n">
        <v>2</v>
      </c>
      <c r="J5535" s="10" t="n">
        <v>468.23</v>
      </c>
      <c r="K5535" s="11" t="n">
        <v>0.05</v>
      </c>
      <c r="L5535" s="10">
        <f>I5535*J5535*(1-K5535)</f>
        <v/>
      </c>
      <c r="M5535" s="10" t="n">
        <v>765</v>
      </c>
      <c r="N5535" s="10">
        <f>L5535-M5535</f>
        <v/>
      </c>
    </row>
    <row r="5536">
      <c r="A5536" s="7" t="inlineStr">
        <is>
          <t>ORD-00377</t>
        </is>
      </c>
      <c r="B5536" s="8" t="n">
        <v>45983</v>
      </c>
      <c r="C5536" s="9" t="n">
        <v>45962</v>
      </c>
      <c r="D5536" s="7" t="n">
        <v>2025</v>
      </c>
      <c r="E5536" s="7" t="inlineStr">
        <is>
          <t>West</t>
        </is>
      </c>
      <c r="F5536" s="7" t="inlineStr">
        <is>
          <t>Office Supplies</t>
        </is>
      </c>
      <c r="G5536" s="7" t="inlineStr">
        <is>
          <t>Binder</t>
        </is>
      </c>
      <c r="H5536" s="7" t="inlineStr">
        <is>
          <t>Consumer</t>
        </is>
      </c>
      <c r="I5536" s="7" t="n">
        <v>14</v>
      </c>
      <c r="J5536" s="10" t="n">
        <v>7.99</v>
      </c>
      <c r="K5536" s="11" t="n">
        <v>0</v>
      </c>
      <c r="L5536" s="10">
        <f>I5536*J5536*(1-K5536)</f>
        <v/>
      </c>
      <c r="M5536" s="10" t="n">
        <v>44.8</v>
      </c>
      <c r="N5536" s="10">
        <f>L5536-M5536</f>
        <v/>
      </c>
    </row>
    <row r="5537">
      <c r="A5537" s="7" t="inlineStr">
        <is>
          <t>ORD-03181</t>
        </is>
      </c>
      <c r="B5537" s="8" t="n">
        <v>45983</v>
      </c>
      <c r="C5537" s="9" t="n">
        <v>45962</v>
      </c>
      <c r="D5537" s="7" t="n">
        <v>2025</v>
      </c>
      <c r="E5537" s="7" t="inlineStr">
        <is>
          <t>East</t>
        </is>
      </c>
      <c r="F5537" s="7" t="inlineStr">
        <is>
          <t>Office Supplies</t>
        </is>
      </c>
      <c r="G5537" s="7" t="inlineStr">
        <is>
          <t>Paper</t>
        </is>
      </c>
      <c r="H5537" s="7" t="inlineStr">
        <is>
          <t>Consumer</t>
        </is>
      </c>
      <c r="I5537" s="7" t="n">
        <v>5</v>
      </c>
      <c r="J5537" s="10" t="n">
        <v>25.08</v>
      </c>
      <c r="K5537" s="11" t="n">
        <v>0</v>
      </c>
      <c r="L5537" s="10">
        <f>I5537*J5537*(1-K5537)</f>
        <v/>
      </c>
      <c r="M5537" s="10" t="n">
        <v>62.5</v>
      </c>
      <c r="N5537" s="10">
        <f>L5537-M5537</f>
        <v/>
      </c>
    </row>
    <row r="5538">
      <c r="A5538" s="7" t="inlineStr">
        <is>
          <t>ORD-01586</t>
        </is>
      </c>
      <c r="B5538" s="8" t="n">
        <v>45984</v>
      </c>
      <c r="C5538" s="9" t="n">
        <v>45962</v>
      </c>
      <c r="D5538" s="7" t="n">
        <v>2025</v>
      </c>
      <c r="E5538" s="7" t="inlineStr">
        <is>
          <t>East</t>
        </is>
      </c>
      <c r="F5538" s="7" t="inlineStr">
        <is>
          <t>Office Supplies</t>
        </is>
      </c>
      <c r="G5538" s="7" t="inlineStr">
        <is>
          <t>Binder</t>
        </is>
      </c>
      <c r="H5538" s="7" t="inlineStr">
        <is>
          <t>Home Office</t>
        </is>
      </c>
      <c r="I5538" s="7" t="n">
        <v>15</v>
      </c>
      <c r="J5538" s="10" t="n">
        <v>8.109999999999999</v>
      </c>
      <c r="K5538" s="11" t="n">
        <v>0.05</v>
      </c>
      <c r="L5538" s="10">
        <f>I5538*J5538*(1-K5538)</f>
        <v/>
      </c>
      <c r="M5538" s="10" t="n">
        <v>48</v>
      </c>
      <c r="N5538" s="10">
        <f>L5538-M5538</f>
        <v/>
      </c>
    </row>
    <row r="5539">
      <c r="A5539" s="7" t="inlineStr">
        <is>
          <t>ORD-00143</t>
        </is>
      </c>
      <c r="B5539" s="8" t="n">
        <v>45984</v>
      </c>
      <c r="C5539" s="9" t="n">
        <v>45962</v>
      </c>
      <c r="D5539" s="7" t="n">
        <v>2025</v>
      </c>
      <c r="E5539" s="7" t="inlineStr">
        <is>
          <t>West</t>
        </is>
      </c>
      <c r="F5539" s="7" t="inlineStr">
        <is>
          <t>Office Supplies</t>
        </is>
      </c>
      <c r="G5539" s="7" t="inlineStr">
        <is>
          <t>Stapler</t>
        </is>
      </c>
      <c r="H5539" s="7" t="inlineStr">
        <is>
          <t>Home Office</t>
        </is>
      </c>
      <c r="I5539" s="7" t="n">
        <v>11</v>
      </c>
      <c r="J5539" s="10" t="n">
        <v>15.01</v>
      </c>
      <c r="K5539" s="11" t="n">
        <v>0.1</v>
      </c>
      <c r="L5539" s="10">
        <f>I5539*J5539*(1-K5539)</f>
        <v/>
      </c>
      <c r="M5539" s="10" t="n">
        <v>82.5</v>
      </c>
      <c r="N5539" s="10">
        <f>L5539-M5539</f>
        <v/>
      </c>
    </row>
    <row r="5540">
      <c r="A5540" s="7" t="inlineStr">
        <is>
          <t>ORD-04622</t>
        </is>
      </c>
      <c r="B5540" s="8" t="n">
        <v>45984</v>
      </c>
      <c r="C5540" s="9" t="n">
        <v>45962</v>
      </c>
      <c r="D5540" s="7" t="n">
        <v>2025</v>
      </c>
      <c r="E5540" s="7" t="inlineStr">
        <is>
          <t>East</t>
        </is>
      </c>
      <c r="F5540" s="7" t="inlineStr">
        <is>
          <t>Technology</t>
        </is>
      </c>
      <c r="G5540" s="7" t="inlineStr">
        <is>
          <t>Laptop</t>
        </is>
      </c>
      <c r="H5540" s="7" t="inlineStr">
        <is>
          <t>Consumer</t>
        </is>
      </c>
      <c r="I5540" s="7" t="n">
        <v>2</v>
      </c>
      <c r="J5540" s="10" t="n">
        <v>925.85</v>
      </c>
      <c r="K5540" s="11" t="n">
        <v>0</v>
      </c>
      <c r="L5540" s="10">
        <f>I5540*J5540*(1-K5540)</f>
        <v/>
      </c>
      <c r="M5540" s="10" t="n">
        <v>1404</v>
      </c>
      <c r="N5540" s="10">
        <f>L5540-M5540</f>
        <v/>
      </c>
    </row>
    <row r="5541">
      <c r="A5541" s="7" t="inlineStr">
        <is>
          <t>ORD-03457</t>
        </is>
      </c>
      <c r="B5541" s="8" t="n">
        <v>45984</v>
      </c>
      <c r="C5541" s="9" t="n">
        <v>45962</v>
      </c>
      <c r="D5541" s="7" t="n">
        <v>2025</v>
      </c>
      <c r="E5541" s="7" t="inlineStr">
        <is>
          <t>West</t>
        </is>
      </c>
      <c r="F5541" s="7" t="inlineStr">
        <is>
          <t>Office Supplies</t>
        </is>
      </c>
      <c r="G5541" s="7" t="inlineStr">
        <is>
          <t>Binder</t>
        </is>
      </c>
      <c r="H5541" s="7" t="inlineStr">
        <is>
          <t>Corporate</t>
        </is>
      </c>
      <c r="I5541" s="7" t="n">
        <v>14</v>
      </c>
      <c r="J5541" s="10" t="n">
        <v>8.01</v>
      </c>
      <c r="K5541" s="11" t="n">
        <v>0.2</v>
      </c>
      <c r="L5541" s="10">
        <f>I5541*J5541*(1-K5541)</f>
        <v/>
      </c>
      <c r="M5541" s="10" t="n">
        <v>44.8</v>
      </c>
      <c r="N5541" s="10">
        <f>L5541-M5541</f>
        <v/>
      </c>
    </row>
    <row r="5542">
      <c r="A5542" s="7" t="inlineStr">
        <is>
          <t>ORD-03110</t>
        </is>
      </c>
      <c r="B5542" s="8" t="n">
        <v>45984</v>
      </c>
      <c r="C5542" s="9" t="n">
        <v>45962</v>
      </c>
      <c r="D5542" s="7" t="n">
        <v>2025</v>
      </c>
      <c r="E5542" s="7" t="inlineStr">
        <is>
          <t>East</t>
        </is>
      </c>
      <c r="F5542" s="7" t="inlineStr">
        <is>
          <t>Furniture</t>
        </is>
      </c>
      <c r="G5542" s="7" t="inlineStr">
        <is>
          <t>Office Chair</t>
        </is>
      </c>
      <c r="H5542" s="7" t="inlineStr">
        <is>
          <t>Home Office</t>
        </is>
      </c>
      <c r="I5542" s="7" t="n">
        <v>2</v>
      </c>
      <c r="J5542" s="10" t="n">
        <v>227.63</v>
      </c>
      <c r="K5542" s="11" t="n">
        <v>0.3</v>
      </c>
      <c r="L5542" s="10">
        <f>I5542*J5542*(1-K5542)</f>
        <v/>
      </c>
      <c r="M5542" s="10" t="n">
        <v>360.8</v>
      </c>
      <c r="N5542" s="10">
        <f>L5542-M5542</f>
        <v/>
      </c>
    </row>
    <row r="5543">
      <c r="A5543" s="7" t="inlineStr">
        <is>
          <t>ORD-01676</t>
        </is>
      </c>
      <c r="B5543" s="8" t="n">
        <v>45984</v>
      </c>
      <c r="C5543" s="9" t="n">
        <v>45962</v>
      </c>
      <c r="D5543" s="7" t="n">
        <v>2025</v>
      </c>
      <c r="E5543" s="7" t="inlineStr">
        <is>
          <t>East</t>
        </is>
      </c>
      <c r="F5543" s="7" t="inlineStr">
        <is>
          <t>Technology</t>
        </is>
      </c>
      <c r="G5543" s="7" t="inlineStr">
        <is>
          <t>Headphones</t>
        </is>
      </c>
      <c r="H5543" s="7" t="inlineStr">
        <is>
          <t>Home Office</t>
        </is>
      </c>
      <c r="I5543" s="7" t="n">
        <v>3</v>
      </c>
      <c r="J5543" s="10" t="n">
        <v>122.52</v>
      </c>
      <c r="K5543" s="11" t="n">
        <v>0.2</v>
      </c>
      <c r="L5543" s="10">
        <f>I5543*J5543*(1-K5543)</f>
        <v/>
      </c>
      <c r="M5543" s="10" t="n">
        <v>216</v>
      </c>
      <c r="N5543" s="10">
        <f>L5543-M5543</f>
        <v/>
      </c>
    </row>
    <row r="5544">
      <c r="A5544" s="7" t="inlineStr">
        <is>
          <t>ORD-04332</t>
        </is>
      </c>
      <c r="B5544" s="8" t="n">
        <v>45985</v>
      </c>
      <c r="C5544" s="9" t="n">
        <v>45962</v>
      </c>
      <c r="D5544" s="7" t="n">
        <v>2025</v>
      </c>
      <c r="E5544" s="7" t="inlineStr">
        <is>
          <t>North</t>
        </is>
      </c>
      <c r="F5544" s="7" t="inlineStr">
        <is>
          <t>Furniture</t>
        </is>
      </c>
      <c r="G5544" s="7" t="inlineStr">
        <is>
          <t>Office Chair</t>
        </is>
      </c>
      <c r="H5544" s="7" t="inlineStr">
        <is>
          <t>Corporate</t>
        </is>
      </c>
      <c r="I5544" s="7" t="n">
        <v>4</v>
      </c>
      <c r="J5544" s="10" t="n">
        <v>215.99</v>
      </c>
      <c r="K5544" s="11" t="n">
        <v>0.3</v>
      </c>
      <c r="L5544" s="10">
        <f>I5544*J5544*(1-K5544)</f>
        <v/>
      </c>
      <c r="M5544" s="10" t="n">
        <v>721.6</v>
      </c>
      <c r="N5544" s="10">
        <f>L5544-M5544</f>
        <v/>
      </c>
    </row>
    <row r="5545">
      <c r="A5545" s="7" t="inlineStr">
        <is>
          <t>ORD-00955</t>
        </is>
      </c>
      <c r="B5545" s="8" t="n">
        <v>45985</v>
      </c>
      <c r="C5545" s="9" t="n">
        <v>45962</v>
      </c>
      <c r="D5545" s="7" t="n">
        <v>2025</v>
      </c>
      <c r="E5545" s="7" t="inlineStr">
        <is>
          <t>South</t>
        </is>
      </c>
      <c r="F5545" s="7" t="inlineStr">
        <is>
          <t>Office Supplies</t>
        </is>
      </c>
      <c r="G5545" s="7" t="inlineStr">
        <is>
          <t>Binder</t>
        </is>
      </c>
      <c r="H5545" s="7" t="inlineStr">
        <is>
          <t>Home Office</t>
        </is>
      </c>
      <c r="I5545" s="7" t="n">
        <v>15</v>
      </c>
      <c r="J5545" s="10" t="n">
        <v>7.69</v>
      </c>
      <c r="K5545" s="11" t="n">
        <v>0</v>
      </c>
      <c r="L5545" s="10">
        <f>I5545*J5545*(1-K5545)</f>
        <v/>
      </c>
      <c r="M5545" s="10" t="n">
        <v>48</v>
      </c>
      <c r="N5545" s="10">
        <f>L5545-M5545</f>
        <v/>
      </c>
    </row>
    <row r="5546">
      <c r="A5546" s="7" t="inlineStr">
        <is>
          <t>ORD-05162</t>
        </is>
      </c>
      <c r="B5546" s="8" t="n">
        <v>45985</v>
      </c>
      <c r="C5546" s="9" t="n">
        <v>45962</v>
      </c>
      <c r="D5546" s="7" t="n">
        <v>2025</v>
      </c>
      <c r="E5546" s="7" t="inlineStr">
        <is>
          <t>South</t>
        </is>
      </c>
      <c r="F5546" s="7" t="inlineStr">
        <is>
          <t>Furniture</t>
        </is>
      </c>
      <c r="G5546" s="7" t="inlineStr">
        <is>
          <t>Bookcase</t>
        </is>
      </c>
      <c r="H5546" s="7" t="inlineStr">
        <is>
          <t>Corporate</t>
        </is>
      </c>
      <c r="I5546" s="7" t="n">
        <v>4</v>
      </c>
      <c r="J5546" s="10" t="n">
        <v>187.87</v>
      </c>
      <c r="K5546" s="11" t="n">
        <v>0.1</v>
      </c>
      <c r="L5546" s="10">
        <f>I5546*J5546*(1-K5546)</f>
        <v/>
      </c>
      <c r="M5546" s="10" t="n">
        <v>576</v>
      </c>
      <c r="N5546" s="10">
        <f>L5546-M5546</f>
        <v/>
      </c>
    </row>
    <row r="5547">
      <c r="A5547" s="7" t="inlineStr">
        <is>
          <t>ORD-02856</t>
        </is>
      </c>
      <c r="B5547" s="8" t="n">
        <v>45985</v>
      </c>
      <c r="C5547" s="9" t="n">
        <v>45962</v>
      </c>
      <c r="D5547" s="7" t="n">
        <v>2025</v>
      </c>
      <c r="E5547" s="7" t="inlineStr">
        <is>
          <t>West</t>
        </is>
      </c>
      <c r="F5547" s="7" t="inlineStr">
        <is>
          <t>Office Supplies</t>
        </is>
      </c>
      <c r="G5547" s="7" t="inlineStr">
        <is>
          <t>Paper</t>
        </is>
      </c>
      <c r="H5547" s="7" t="inlineStr">
        <is>
          <t>Corporate</t>
        </is>
      </c>
      <c r="I5547" s="7" t="n">
        <v>7</v>
      </c>
      <c r="J5547" s="10" t="n">
        <v>24.15</v>
      </c>
      <c r="K5547" s="11" t="n">
        <v>0.2</v>
      </c>
      <c r="L5547" s="10">
        <f>I5547*J5547*(1-K5547)</f>
        <v/>
      </c>
      <c r="M5547" s="10" t="n">
        <v>87.5</v>
      </c>
      <c r="N5547" s="10">
        <f>L5547-M5547</f>
        <v/>
      </c>
    </row>
    <row r="5548">
      <c r="A5548" s="7" t="inlineStr">
        <is>
          <t>ORD-03771</t>
        </is>
      </c>
      <c r="B5548" s="8" t="n">
        <v>45985</v>
      </c>
      <c r="C5548" s="9" t="n">
        <v>45962</v>
      </c>
      <c r="D5548" s="7" t="n">
        <v>2025</v>
      </c>
      <c r="E5548" s="7" t="inlineStr">
        <is>
          <t>East</t>
        </is>
      </c>
      <c r="F5548" s="7" t="inlineStr">
        <is>
          <t>Office Supplies</t>
        </is>
      </c>
      <c r="G5548" s="7" t="inlineStr">
        <is>
          <t>Stapler</t>
        </is>
      </c>
      <c r="H5548" s="7" t="inlineStr">
        <is>
          <t>Home Office</t>
        </is>
      </c>
      <c r="I5548" s="7" t="n">
        <v>2</v>
      </c>
      <c r="J5548" s="10" t="n">
        <v>14.95</v>
      </c>
      <c r="K5548" s="11" t="n">
        <v>0</v>
      </c>
      <c r="L5548" s="10">
        <f>I5548*J5548*(1-K5548)</f>
        <v/>
      </c>
      <c r="M5548" s="10" t="n">
        <v>15</v>
      </c>
      <c r="N5548" s="10">
        <f>L5548-M5548</f>
        <v/>
      </c>
    </row>
    <row r="5549">
      <c r="A5549" s="7" t="inlineStr">
        <is>
          <t>ORD-04309</t>
        </is>
      </c>
      <c r="B5549" s="8" t="n">
        <v>45985</v>
      </c>
      <c r="C5549" s="9" t="n">
        <v>45962</v>
      </c>
      <c r="D5549" s="7" t="n">
        <v>2025</v>
      </c>
      <c r="E5549" s="7" t="inlineStr">
        <is>
          <t>South</t>
        </is>
      </c>
      <c r="F5549" s="7" t="inlineStr">
        <is>
          <t>Office Supplies</t>
        </is>
      </c>
      <c r="G5549" s="7" t="inlineStr">
        <is>
          <t>Stapler</t>
        </is>
      </c>
      <c r="H5549" s="7" t="inlineStr">
        <is>
          <t>Home Office</t>
        </is>
      </c>
      <c r="I5549" s="7" t="n">
        <v>13</v>
      </c>
      <c r="J5549" s="10" t="n">
        <v>15.19</v>
      </c>
      <c r="K5549" s="11" t="n">
        <v>0</v>
      </c>
      <c r="L5549" s="10">
        <f>I5549*J5549*(1-K5549)</f>
        <v/>
      </c>
      <c r="M5549" s="10" t="n">
        <v>97.5</v>
      </c>
      <c r="N5549" s="10">
        <f>L5549-M5549</f>
        <v/>
      </c>
    </row>
    <row r="5550">
      <c r="A5550" s="7" t="inlineStr">
        <is>
          <t>ORD-02507</t>
        </is>
      </c>
      <c r="B5550" s="8" t="n">
        <v>45985</v>
      </c>
      <c r="C5550" s="9" t="n">
        <v>45962</v>
      </c>
      <c r="D5550" s="7" t="n">
        <v>2025</v>
      </c>
      <c r="E5550" s="7" t="inlineStr">
        <is>
          <t>East</t>
        </is>
      </c>
      <c r="F5550" s="7" t="inlineStr">
        <is>
          <t>Technology</t>
        </is>
      </c>
      <c r="G5550" s="7" t="inlineStr">
        <is>
          <t>Headphones</t>
        </is>
      </c>
      <c r="H5550" s="7" t="inlineStr">
        <is>
          <t>Corporate</t>
        </is>
      </c>
      <c r="I5550" s="7" t="n">
        <v>2</v>
      </c>
      <c r="J5550" s="10" t="n">
        <v>117.08</v>
      </c>
      <c r="K5550" s="11" t="n">
        <v>0</v>
      </c>
      <c r="L5550" s="10">
        <f>I5550*J5550*(1-K5550)</f>
        <v/>
      </c>
      <c r="M5550" s="10" t="n">
        <v>144</v>
      </c>
      <c r="N5550" s="10">
        <f>L5550-M5550</f>
        <v/>
      </c>
    </row>
    <row r="5551">
      <c r="A5551" s="7" t="inlineStr">
        <is>
          <t>ORD-02888</t>
        </is>
      </c>
      <c r="B5551" s="8" t="n">
        <v>45986</v>
      </c>
      <c r="C5551" s="9" t="n">
        <v>45962</v>
      </c>
      <c r="D5551" s="7" t="n">
        <v>2025</v>
      </c>
      <c r="E5551" s="7" t="inlineStr">
        <is>
          <t>East</t>
        </is>
      </c>
      <c r="F5551" s="7" t="inlineStr">
        <is>
          <t>Furniture</t>
        </is>
      </c>
      <c r="G5551" s="7" t="inlineStr">
        <is>
          <t>Office Chair</t>
        </is>
      </c>
      <c r="H5551" s="7" t="inlineStr">
        <is>
          <t>Home Office</t>
        </is>
      </c>
      <c r="I5551" s="7" t="n">
        <v>2</v>
      </c>
      <c r="J5551" s="10" t="n">
        <v>211.01</v>
      </c>
      <c r="K5551" s="11" t="n">
        <v>0.05</v>
      </c>
      <c r="L5551" s="10">
        <f>I5551*J5551*(1-K5551)</f>
        <v/>
      </c>
      <c r="M5551" s="10" t="n">
        <v>360.8</v>
      </c>
      <c r="N5551" s="10">
        <f>L5551-M5551</f>
        <v/>
      </c>
    </row>
    <row r="5552">
      <c r="A5552" s="7" t="inlineStr">
        <is>
          <t>ORD-00468</t>
        </is>
      </c>
      <c r="B5552" s="8" t="n">
        <v>45986</v>
      </c>
      <c r="C5552" s="9" t="n">
        <v>45962</v>
      </c>
      <c r="D5552" s="7" t="n">
        <v>2025</v>
      </c>
      <c r="E5552" s="7" t="inlineStr">
        <is>
          <t>South</t>
        </is>
      </c>
      <c r="F5552" s="7" t="inlineStr">
        <is>
          <t>Technology</t>
        </is>
      </c>
      <c r="G5552" s="7" t="inlineStr">
        <is>
          <t>Smartphone</t>
        </is>
      </c>
      <c r="H5552" s="7" t="inlineStr">
        <is>
          <t>Consumer</t>
        </is>
      </c>
      <c r="I5552" s="7" t="n">
        <v>2</v>
      </c>
      <c r="J5552" s="10" t="n">
        <v>602.63</v>
      </c>
      <c r="K5552" s="11" t="n">
        <v>0</v>
      </c>
      <c r="L5552" s="10">
        <f>I5552*J5552*(1-K5552)</f>
        <v/>
      </c>
      <c r="M5552" s="10" t="n">
        <v>900</v>
      </c>
      <c r="N5552" s="10">
        <f>L5552-M5552</f>
        <v/>
      </c>
    </row>
    <row r="5553">
      <c r="A5553" s="7" t="inlineStr">
        <is>
          <t>ORD-05847</t>
        </is>
      </c>
      <c r="B5553" s="8" t="n">
        <v>45986</v>
      </c>
      <c r="C5553" s="9" t="n">
        <v>45962</v>
      </c>
      <c r="D5553" s="7" t="n">
        <v>2025</v>
      </c>
      <c r="E5553" s="7" t="inlineStr">
        <is>
          <t>South</t>
        </is>
      </c>
      <c r="F5553" s="7" t="inlineStr">
        <is>
          <t>Furniture</t>
        </is>
      </c>
      <c r="G5553" s="7" t="inlineStr">
        <is>
          <t>Office Chair</t>
        </is>
      </c>
      <c r="H5553" s="7" t="inlineStr">
        <is>
          <t>Home Office</t>
        </is>
      </c>
      <c r="I5553" s="7" t="n">
        <v>3</v>
      </c>
      <c r="J5553" s="10" t="n">
        <v>229.94</v>
      </c>
      <c r="K5553" s="11" t="n">
        <v>0.1</v>
      </c>
      <c r="L5553" s="10">
        <f>I5553*J5553*(1-K5553)</f>
        <v/>
      </c>
      <c r="M5553" s="10" t="n">
        <v>541.2</v>
      </c>
      <c r="N5553" s="10">
        <f>L5553-M5553</f>
        <v/>
      </c>
    </row>
    <row r="5554">
      <c r="A5554" s="7" t="inlineStr">
        <is>
          <t>ORD-01844</t>
        </is>
      </c>
      <c r="B5554" s="8" t="n">
        <v>45986</v>
      </c>
      <c r="C5554" s="9" t="n">
        <v>45962</v>
      </c>
      <c r="D5554" s="7" t="n">
        <v>2025</v>
      </c>
      <c r="E5554" s="7" t="inlineStr">
        <is>
          <t>East</t>
        </is>
      </c>
      <c r="F5554" s="7" t="inlineStr">
        <is>
          <t>Office Supplies</t>
        </is>
      </c>
      <c r="G5554" s="7" t="inlineStr">
        <is>
          <t>Paper</t>
        </is>
      </c>
      <c r="H5554" s="7" t="inlineStr">
        <is>
          <t>Corporate</t>
        </is>
      </c>
      <c r="I5554" s="7" t="n">
        <v>2</v>
      </c>
      <c r="J5554" s="10" t="n">
        <v>24.77</v>
      </c>
      <c r="K5554" s="11" t="n">
        <v>0</v>
      </c>
      <c r="L5554" s="10">
        <f>I5554*J5554*(1-K5554)</f>
        <v/>
      </c>
      <c r="M5554" s="10" t="n">
        <v>25</v>
      </c>
      <c r="N5554" s="10">
        <f>L5554-M5554</f>
        <v/>
      </c>
    </row>
    <row r="5555">
      <c r="A5555" s="7" t="inlineStr">
        <is>
          <t>ORD-04914</t>
        </is>
      </c>
      <c r="B5555" s="8" t="n">
        <v>45986</v>
      </c>
      <c r="C5555" s="9" t="n">
        <v>45962</v>
      </c>
      <c r="D5555" s="7" t="n">
        <v>2025</v>
      </c>
      <c r="E5555" s="7" t="inlineStr">
        <is>
          <t>South</t>
        </is>
      </c>
      <c r="F5555" s="7" t="inlineStr">
        <is>
          <t>Office Supplies</t>
        </is>
      </c>
      <c r="G5555" s="7" t="inlineStr">
        <is>
          <t>Printer Ink</t>
        </is>
      </c>
      <c r="H5555" s="7" t="inlineStr">
        <is>
          <t>Corporate</t>
        </is>
      </c>
      <c r="I5555" s="7" t="n">
        <v>13</v>
      </c>
      <c r="J5555" s="10" t="n">
        <v>61.64</v>
      </c>
      <c r="K5555" s="11" t="n">
        <v>0.2</v>
      </c>
      <c r="L5555" s="10">
        <f>I5555*J5555*(1-K5555)</f>
        <v/>
      </c>
      <c r="M5555" s="10" t="n">
        <v>468</v>
      </c>
      <c r="N5555" s="10">
        <f>L5555-M5555</f>
        <v/>
      </c>
    </row>
    <row r="5556">
      <c r="A5556" s="7" t="inlineStr">
        <is>
          <t>ORD-00937</t>
        </is>
      </c>
      <c r="B5556" s="8" t="n">
        <v>45986</v>
      </c>
      <c r="C5556" s="9" t="n">
        <v>45962</v>
      </c>
      <c r="D5556" s="7" t="n">
        <v>2025</v>
      </c>
      <c r="E5556" s="7" t="inlineStr">
        <is>
          <t>North</t>
        </is>
      </c>
      <c r="F5556" s="7" t="inlineStr">
        <is>
          <t>Technology</t>
        </is>
      </c>
      <c r="G5556" s="7" t="inlineStr">
        <is>
          <t>Monitor</t>
        </is>
      </c>
      <c r="H5556" s="7" t="inlineStr">
        <is>
          <t>Consumer</t>
        </is>
      </c>
      <c r="I5556" s="7" t="n">
        <v>1</v>
      </c>
      <c r="J5556" s="10" t="n">
        <v>255.84</v>
      </c>
      <c r="K5556" s="11" t="n">
        <v>0</v>
      </c>
      <c r="L5556" s="10">
        <f>I5556*J5556*(1-K5556)</f>
        <v/>
      </c>
      <c r="M5556" s="10" t="n">
        <v>180</v>
      </c>
      <c r="N5556" s="10">
        <f>L5556-M5556</f>
        <v/>
      </c>
    </row>
    <row r="5557">
      <c r="A5557" s="7" t="inlineStr">
        <is>
          <t>ORD-04814</t>
        </is>
      </c>
      <c r="B5557" s="8" t="n">
        <v>45986</v>
      </c>
      <c r="C5557" s="9" t="n">
        <v>45962</v>
      </c>
      <c r="D5557" s="7" t="n">
        <v>2025</v>
      </c>
      <c r="E5557" s="7" t="inlineStr">
        <is>
          <t>South</t>
        </is>
      </c>
      <c r="F5557" s="7" t="inlineStr">
        <is>
          <t>Office Supplies</t>
        </is>
      </c>
      <c r="G5557" s="7" t="inlineStr">
        <is>
          <t>Binder</t>
        </is>
      </c>
      <c r="H5557" s="7" t="inlineStr">
        <is>
          <t>Corporate</t>
        </is>
      </c>
      <c r="I5557" s="7" t="n">
        <v>8</v>
      </c>
      <c r="J5557" s="10" t="n">
        <v>8.130000000000001</v>
      </c>
      <c r="K5557" s="11" t="n">
        <v>0.2</v>
      </c>
      <c r="L5557" s="10">
        <f>I5557*J5557*(1-K5557)</f>
        <v/>
      </c>
      <c r="M5557" s="10" t="n">
        <v>25.6</v>
      </c>
      <c r="N5557" s="10">
        <f>L5557-M5557</f>
        <v/>
      </c>
    </row>
    <row r="5558">
      <c r="A5558" s="7" t="inlineStr">
        <is>
          <t>ORD-02599</t>
        </is>
      </c>
      <c r="B5558" s="8" t="n">
        <v>45987</v>
      </c>
      <c r="C5558" s="9" t="n">
        <v>45962</v>
      </c>
      <c r="D5558" s="7" t="n">
        <v>2025</v>
      </c>
      <c r="E5558" s="7" t="inlineStr">
        <is>
          <t>East</t>
        </is>
      </c>
      <c r="F5558" s="7" t="inlineStr">
        <is>
          <t>Office Supplies</t>
        </is>
      </c>
      <c r="G5558" s="7" t="inlineStr">
        <is>
          <t>Pens</t>
        </is>
      </c>
      <c r="H5558" s="7" t="inlineStr">
        <is>
          <t>Corporate</t>
        </is>
      </c>
      <c r="I5558" s="7" t="n">
        <v>13</v>
      </c>
      <c r="J5558" s="10" t="n">
        <v>12.24</v>
      </c>
      <c r="K5558" s="11" t="n">
        <v>0</v>
      </c>
      <c r="L5558" s="10">
        <f>I5558*J5558*(1-K5558)</f>
        <v/>
      </c>
      <c r="M5558" s="10" t="n">
        <v>70.2</v>
      </c>
      <c r="N5558" s="10">
        <f>L5558-M5558</f>
        <v/>
      </c>
    </row>
    <row r="5559">
      <c r="A5559" s="7" t="inlineStr">
        <is>
          <t>ORD-03301</t>
        </is>
      </c>
      <c r="B5559" s="8" t="n">
        <v>45987</v>
      </c>
      <c r="C5559" s="9" t="n">
        <v>45962</v>
      </c>
      <c r="D5559" s="7" t="n">
        <v>2025</v>
      </c>
      <c r="E5559" s="7" t="inlineStr">
        <is>
          <t>South</t>
        </is>
      </c>
      <c r="F5559" s="7" t="inlineStr">
        <is>
          <t>Technology</t>
        </is>
      </c>
      <c r="G5559" s="7" t="inlineStr">
        <is>
          <t>Smartphone</t>
        </is>
      </c>
      <c r="H5559" s="7" t="inlineStr">
        <is>
          <t>Consumer</t>
        </is>
      </c>
      <c r="I5559" s="7" t="n">
        <v>2</v>
      </c>
      <c r="J5559" s="10" t="n">
        <v>582.4299999999999</v>
      </c>
      <c r="K5559" s="11" t="n">
        <v>0.3</v>
      </c>
      <c r="L5559" s="10">
        <f>I5559*J5559*(1-K5559)</f>
        <v/>
      </c>
      <c r="M5559" s="10" t="n">
        <v>900</v>
      </c>
      <c r="N5559" s="10">
        <f>L5559-M5559</f>
        <v/>
      </c>
    </row>
    <row r="5560">
      <c r="A5560" s="7" t="inlineStr">
        <is>
          <t>ORD-01414</t>
        </is>
      </c>
      <c r="B5560" s="8" t="n">
        <v>45987</v>
      </c>
      <c r="C5560" s="9" t="n">
        <v>45962</v>
      </c>
      <c r="D5560" s="7" t="n">
        <v>2025</v>
      </c>
      <c r="E5560" s="7" t="inlineStr">
        <is>
          <t>East</t>
        </is>
      </c>
      <c r="F5560" s="7" t="inlineStr">
        <is>
          <t>Office Supplies</t>
        </is>
      </c>
      <c r="G5560" s="7" t="inlineStr">
        <is>
          <t>Paper</t>
        </is>
      </c>
      <c r="H5560" s="7" t="inlineStr">
        <is>
          <t>Consumer</t>
        </is>
      </c>
      <c r="I5560" s="7" t="n">
        <v>5</v>
      </c>
      <c r="J5560" s="10" t="n">
        <v>25.84</v>
      </c>
      <c r="K5560" s="11" t="n">
        <v>0.05</v>
      </c>
      <c r="L5560" s="10">
        <f>I5560*J5560*(1-K5560)</f>
        <v/>
      </c>
      <c r="M5560" s="10" t="n">
        <v>62.5</v>
      </c>
      <c r="N5560" s="10">
        <f>L5560-M5560</f>
        <v/>
      </c>
    </row>
    <row r="5561">
      <c r="A5561" s="7" t="inlineStr">
        <is>
          <t>ORD-01978</t>
        </is>
      </c>
      <c r="B5561" s="8" t="n">
        <v>45987</v>
      </c>
      <c r="C5561" s="9" t="n">
        <v>45962</v>
      </c>
      <c r="D5561" s="7" t="n">
        <v>2025</v>
      </c>
      <c r="E5561" s="7" t="inlineStr">
        <is>
          <t>North</t>
        </is>
      </c>
      <c r="F5561" s="7" t="inlineStr">
        <is>
          <t>Furniture</t>
        </is>
      </c>
      <c r="G5561" s="7" t="inlineStr">
        <is>
          <t>Office Chair</t>
        </is>
      </c>
      <c r="H5561" s="7" t="inlineStr">
        <is>
          <t>Home Office</t>
        </is>
      </c>
      <c r="I5561" s="7" t="n">
        <v>1</v>
      </c>
      <c r="J5561" s="10" t="n">
        <v>211.7</v>
      </c>
      <c r="K5561" s="11" t="n">
        <v>0</v>
      </c>
      <c r="L5561" s="10">
        <f>I5561*J5561*(1-K5561)</f>
        <v/>
      </c>
      <c r="M5561" s="10" t="n">
        <v>180.4</v>
      </c>
      <c r="N5561" s="10">
        <f>L5561-M5561</f>
        <v/>
      </c>
    </row>
    <row r="5562">
      <c r="A5562" s="7" t="inlineStr">
        <is>
          <t>ORD-02037</t>
        </is>
      </c>
      <c r="B5562" s="8" t="n">
        <v>45987</v>
      </c>
      <c r="C5562" s="9" t="n">
        <v>45962</v>
      </c>
      <c r="D5562" s="7" t="n">
        <v>2025</v>
      </c>
      <c r="E5562" s="7" t="inlineStr">
        <is>
          <t>East</t>
        </is>
      </c>
      <c r="F5562" s="7" t="inlineStr">
        <is>
          <t>Furniture</t>
        </is>
      </c>
      <c r="G5562" s="7" t="inlineStr">
        <is>
          <t>Bookcase</t>
        </is>
      </c>
      <c r="H5562" s="7" t="inlineStr">
        <is>
          <t>Home Office</t>
        </is>
      </c>
      <c r="I5562" s="7" t="n">
        <v>3</v>
      </c>
      <c r="J5562" s="10" t="n">
        <v>177.55</v>
      </c>
      <c r="K5562" s="11" t="n">
        <v>0.3</v>
      </c>
      <c r="L5562" s="10">
        <f>I5562*J5562*(1-K5562)</f>
        <v/>
      </c>
      <c r="M5562" s="10" t="n">
        <v>432</v>
      </c>
      <c r="N5562" s="10">
        <f>L5562-M5562</f>
        <v/>
      </c>
    </row>
    <row r="5563">
      <c r="A5563" s="7" t="inlineStr">
        <is>
          <t>ORD-05473</t>
        </is>
      </c>
      <c r="B5563" s="8" t="n">
        <v>45988</v>
      </c>
      <c r="C5563" s="9" t="n">
        <v>45962</v>
      </c>
      <c r="D5563" s="7" t="n">
        <v>2025</v>
      </c>
      <c r="E5563" s="7" t="inlineStr">
        <is>
          <t>West</t>
        </is>
      </c>
      <c r="F5563" s="7" t="inlineStr">
        <is>
          <t>Office Supplies</t>
        </is>
      </c>
      <c r="G5563" s="7" t="inlineStr">
        <is>
          <t>Stapler</t>
        </is>
      </c>
      <c r="H5563" s="7" t="inlineStr">
        <is>
          <t>Corporate</t>
        </is>
      </c>
      <c r="I5563" s="7" t="n">
        <v>12</v>
      </c>
      <c r="J5563" s="10" t="n">
        <v>14.99</v>
      </c>
      <c r="K5563" s="11" t="n">
        <v>0.3</v>
      </c>
      <c r="L5563" s="10">
        <f>I5563*J5563*(1-K5563)</f>
        <v/>
      </c>
      <c r="M5563" s="10" t="n">
        <v>90</v>
      </c>
      <c r="N5563" s="10">
        <f>L5563-M5563</f>
        <v/>
      </c>
    </row>
    <row r="5564">
      <c r="A5564" s="7" t="inlineStr">
        <is>
          <t>ORD-03388</t>
        </is>
      </c>
      <c r="B5564" s="8" t="n">
        <v>45988</v>
      </c>
      <c r="C5564" s="9" t="n">
        <v>45962</v>
      </c>
      <c r="D5564" s="7" t="n">
        <v>2025</v>
      </c>
      <c r="E5564" s="7" t="inlineStr">
        <is>
          <t>South</t>
        </is>
      </c>
      <c r="F5564" s="7" t="inlineStr">
        <is>
          <t>Office Supplies</t>
        </is>
      </c>
      <c r="G5564" s="7" t="inlineStr">
        <is>
          <t>Binder</t>
        </is>
      </c>
      <c r="H5564" s="7" t="inlineStr">
        <is>
          <t>Consumer</t>
        </is>
      </c>
      <c r="I5564" s="7" t="n">
        <v>14</v>
      </c>
      <c r="J5564" s="10" t="n">
        <v>7.97</v>
      </c>
      <c r="K5564" s="11" t="n">
        <v>0.1</v>
      </c>
      <c r="L5564" s="10">
        <f>I5564*J5564*(1-K5564)</f>
        <v/>
      </c>
      <c r="M5564" s="10" t="n">
        <v>44.8</v>
      </c>
      <c r="N5564" s="10">
        <f>L5564-M5564</f>
        <v/>
      </c>
    </row>
    <row r="5565">
      <c r="A5565" s="7" t="inlineStr">
        <is>
          <t>ORD-03130</t>
        </is>
      </c>
      <c r="B5565" s="8" t="n">
        <v>45988</v>
      </c>
      <c r="C5565" s="9" t="n">
        <v>45962</v>
      </c>
      <c r="D5565" s="7" t="n">
        <v>2025</v>
      </c>
      <c r="E5565" s="7" t="inlineStr">
        <is>
          <t>South</t>
        </is>
      </c>
      <c r="F5565" s="7" t="inlineStr">
        <is>
          <t>Technology</t>
        </is>
      </c>
      <c r="G5565" s="7" t="inlineStr">
        <is>
          <t>Laptop</t>
        </is>
      </c>
      <c r="H5565" s="7" t="inlineStr">
        <is>
          <t>Consumer</t>
        </is>
      </c>
      <c r="I5565" s="7" t="n">
        <v>2</v>
      </c>
      <c r="J5565" s="10" t="n">
        <v>895.64</v>
      </c>
      <c r="K5565" s="11" t="n">
        <v>0.2</v>
      </c>
      <c r="L5565" s="10">
        <f>I5565*J5565*(1-K5565)</f>
        <v/>
      </c>
      <c r="M5565" s="10" t="n">
        <v>1404</v>
      </c>
      <c r="N5565" s="10">
        <f>L5565-M5565</f>
        <v/>
      </c>
    </row>
    <row r="5566">
      <c r="A5566" s="7" t="inlineStr">
        <is>
          <t>ORD-02480</t>
        </is>
      </c>
      <c r="B5566" s="8" t="n">
        <v>45988</v>
      </c>
      <c r="C5566" s="9" t="n">
        <v>45962</v>
      </c>
      <c r="D5566" s="7" t="n">
        <v>2025</v>
      </c>
      <c r="E5566" s="7" t="inlineStr">
        <is>
          <t>South</t>
        </is>
      </c>
      <c r="F5566" s="7" t="inlineStr">
        <is>
          <t>Office Supplies</t>
        </is>
      </c>
      <c r="G5566" s="7" t="inlineStr">
        <is>
          <t>Binder</t>
        </is>
      </c>
      <c r="H5566" s="7" t="inlineStr">
        <is>
          <t>Consumer</t>
        </is>
      </c>
      <c r="I5566" s="7" t="n">
        <v>15</v>
      </c>
      <c r="J5566" s="10" t="n">
        <v>7.7</v>
      </c>
      <c r="K5566" s="11" t="n">
        <v>0.2</v>
      </c>
      <c r="L5566" s="10">
        <f>I5566*J5566*(1-K5566)</f>
        <v/>
      </c>
      <c r="M5566" s="10" t="n">
        <v>48</v>
      </c>
      <c r="N5566" s="10">
        <f>L5566-M5566</f>
        <v/>
      </c>
    </row>
    <row r="5567">
      <c r="A5567" s="7" t="inlineStr">
        <is>
          <t>ORD-02766</t>
        </is>
      </c>
      <c r="B5567" s="8" t="n">
        <v>45988</v>
      </c>
      <c r="C5567" s="9" t="n">
        <v>45962</v>
      </c>
      <c r="D5567" s="7" t="n">
        <v>2025</v>
      </c>
      <c r="E5567" s="7" t="inlineStr">
        <is>
          <t>East</t>
        </is>
      </c>
      <c r="F5567" s="7" t="inlineStr">
        <is>
          <t>Office Supplies</t>
        </is>
      </c>
      <c r="G5567" s="7" t="inlineStr">
        <is>
          <t>Stapler</t>
        </is>
      </c>
      <c r="H5567" s="7" t="inlineStr">
        <is>
          <t>Home Office</t>
        </is>
      </c>
      <c r="I5567" s="7" t="n">
        <v>3</v>
      </c>
      <c r="J5567" s="10" t="n">
        <v>14.46</v>
      </c>
      <c r="K5567" s="11" t="n">
        <v>0.1</v>
      </c>
      <c r="L5567" s="10">
        <f>I5567*J5567*(1-K5567)</f>
        <v/>
      </c>
      <c r="M5567" s="10" t="n">
        <v>22.5</v>
      </c>
      <c r="N5567" s="10">
        <f>L5567-M5567</f>
        <v/>
      </c>
    </row>
    <row r="5568">
      <c r="A5568" s="7" t="inlineStr">
        <is>
          <t>ORD-04681</t>
        </is>
      </c>
      <c r="B5568" s="8" t="n">
        <v>45988</v>
      </c>
      <c r="C5568" s="9" t="n">
        <v>45962</v>
      </c>
      <c r="D5568" s="7" t="n">
        <v>2025</v>
      </c>
      <c r="E5568" s="7" t="inlineStr">
        <is>
          <t>East</t>
        </is>
      </c>
      <c r="F5568" s="7" t="inlineStr">
        <is>
          <t>Office Supplies</t>
        </is>
      </c>
      <c r="G5568" s="7" t="inlineStr">
        <is>
          <t>Binder</t>
        </is>
      </c>
      <c r="H5568" s="7" t="inlineStr">
        <is>
          <t>Consumer</t>
        </is>
      </c>
      <c r="I5568" s="7" t="n">
        <v>9</v>
      </c>
      <c r="J5568" s="10" t="n">
        <v>7.75</v>
      </c>
      <c r="K5568" s="11" t="n">
        <v>0.3</v>
      </c>
      <c r="L5568" s="10">
        <f>I5568*J5568*(1-K5568)</f>
        <v/>
      </c>
      <c r="M5568" s="10" t="n">
        <v>28.8</v>
      </c>
      <c r="N5568" s="10">
        <f>L5568-M5568</f>
        <v/>
      </c>
    </row>
    <row r="5569">
      <c r="A5569" s="7" t="inlineStr">
        <is>
          <t>ORD-01655</t>
        </is>
      </c>
      <c r="B5569" s="8" t="n">
        <v>45988</v>
      </c>
      <c r="C5569" s="9" t="n">
        <v>45962</v>
      </c>
      <c r="D5569" s="7" t="n">
        <v>2025</v>
      </c>
      <c r="E5569" s="7" t="inlineStr">
        <is>
          <t>West</t>
        </is>
      </c>
      <c r="F5569" s="7" t="inlineStr">
        <is>
          <t>Office Supplies</t>
        </is>
      </c>
      <c r="G5569" s="7" t="inlineStr">
        <is>
          <t>Paper</t>
        </is>
      </c>
      <c r="H5569" s="7" t="inlineStr">
        <is>
          <t>Consumer</t>
        </is>
      </c>
      <c r="I5569" s="7" t="n">
        <v>3</v>
      </c>
      <c r="J5569" s="10" t="n">
        <v>25.05</v>
      </c>
      <c r="K5569" s="11" t="n">
        <v>0.1</v>
      </c>
      <c r="L5569" s="10">
        <f>I5569*J5569*(1-K5569)</f>
        <v/>
      </c>
      <c r="M5569" s="10" t="n">
        <v>37.5</v>
      </c>
      <c r="N5569" s="10">
        <f>L5569-M5569</f>
        <v/>
      </c>
    </row>
    <row r="5570">
      <c r="A5570" s="7" t="inlineStr">
        <is>
          <t>ORD-03953</t>
        </is>
      </c>
      <c r="B5570" s="8" t="n">
        <v>45988</v>
      </c>
      <c r="C5570" s="9" t="n">
        <v>45962</v>
      </c>
      <c r="D5570" s="7" t="n">
        <v>2025</v>
      </c>
      <c r="E5570" s="7" t="inlineStr">
        <is>
          <t>South</t>
        </is>
      </c>
      <c r="F5570" s="7" t="inlineStr">
        <is>
          <t>Office Supplies</t>
        </is>
      </c>
      <c r="G5570" s="7" t="inlineStr">
        <is>
          <t>Stapler</t>
        </is>
      </c>
      <c r="H5570" s="7" t="inlineStr">
        <is>
          <t>Corporate</t>
        </is>
      </c>
      <c r="I5570" s="7" t="n">
        <v>14</v>
      </c>
      <c r="J5570" s="10" t="n">
        <v>14.9</v>
      </c>
      <c r="K5570" s="11" t="n">
        <v>0.3</v>
      </c>
      <c r="L5570" s="10">
        <f>I5570*J5570*(1-K5570)</f>
        <v/>
      </c>
      <c r="M5570" s="10" t="n">
        <v>105</v>
      </c>
      <c r="N5570" s="10">
        <f>L5570-M5570</f>
        <v/>
      </c>
    </row>
    <row r="5571">
      <c r="A5571" s="7" t="inlineStr">
        <is>
          <t>ORD-03331</t>
        </is>
      </c>
      <c r="B5571" s="8" t="n">
        <v>45988</v>
      </c>
      <c r="C5571" s="9" t="n">
        <v>45962</v>
      </c>
      <c r="D5571" s="7" t="n">
        <v>2025</v>
      </c>
      <c r="E5571" s="7" t="inlineStr">
        <is>
          <t>South</t>
        </is>
      </c>
      <c r="F5571" s="7" t="inlineStr">
        <is>
          <t>Office Supplies</t>
        </is>
      </c>
      <c r="G5571" s="7" t="inlineStr">
        <is>
          <t>Pens</t>
        </is>
      </c>
      <c r="H5571" s="7" t="inlineStr">
        <is>
          <t>Home Office</t>
        </is>
      </c>
      <c r="I5571" s="7" t="n">
        <v>6</v>
      </c>
      <c r="J5571" s="10" t="n">
        <v>12.3</v>
      </c>
      <c r="K5571" s="11" t="n">
        <v>0.05</v>
      </c>
      <c r="L5571" s="10">
        <f>I5571*J5571*(1-K5571)</f>
        <v/>
      </c>
      <c r="M5571" s="10" t="n">
        <v>32.4</v>
      </c>
      <c r="N5571" s="10">
        <f>L5571-M5571</f>
        <v/>
      </c>
    </row>
    <row r="5572">
      <c r="A5572" s="7" t="inlineStr">
        <is>
          <t>ORD-05439</t>
        </is>
      </c>
      <c r="B5572" s="8" t="n">
        <v>45988</v>
      </c>
      <c r="C5572" s="9" t="n">
        <v>45962</v>
      </c>
      <c r="D5572" s="7" t="n">
        <v>2025</v>
      </c>
      <c r="E5572" s="7" t="inlineStr">
        <is>
          <t>South</t>
        </is>
      </c>
      <c r="F5572" s="7" t="inlineStr">
        <is>
          <t>Office Supplies</t>
        </is>
      </c>
      <c r="G5572" s="7" t="inlineStr">
        <is>
          <t>Paper</t>
        </is>
      </c>
      <c r="H5572" s="7" t="inlineStr">
        <is>
          <t>Consumer</t>
        </is>
      </c>
      <c r="I5572" s="7" t="n">
        <v>11</v>
      </c>
      <c r="J5572" s="10" t="n">
        <v>25.14</v>
      </c>
      <c r="K5572" s="11" t="n">
        <v>0</v>
      </c>
      <c r="L5572" s="10">
        <f>I5572*J5572*(1-K5572)</f>
        <v/>
      </c>
      <c r="M5572" s="10" t="n">
        <v>137.5</v>
      </c>
      <c r="N5572" s="10">
        <f>L5572-M5572</f>
        <v/>
      </c>
    </row>
    <row r="5573">
      <c r="A5573" s="7" t="inlineStr">
        <is>
          <t>ORD-00347</t>
        </is>
      </c>
      <c r="B5573" s="8" t="n">
        <v>45989</v>
      </c>
      <c r="C5573" s="9" t="n">
        <v>45962</v>
      </c>
      <c r="D5573" s="7" t="n">
        <v>2025</v>
      </c>
      <c r="E5573" s="7" t="inlineStr">
        <is>
          <t>North</t>
        </is>
      </c>
      <c r="F5573" s="7" t="inlineStr">
        <is>
          <t>Office Supplies</t>
        </is>
      </c>
      <c r="G5573" s="7" t="inlineStr">
        <is>
          <t>Binder</t>
        </is>
      </c>
      <c r="H5573" s="7" t="inlineStr">
        <is>
          <t>Consumer</t>
        </is>
      </c>
      <c r="I5573" s="7" t="n">
        <v>7</v>
      </c>
      <c r="J5573" s="10" t="n">
        <v>8</v>
      </c>
      <c r="K5573" s="11" t="n">
        <v>0.3</v>
      </c>
      <c r="L5573" s="10">
        <f>I5573*J5573*(1-K5573)</f>
        <v/>
      </c>
      <c r="M5573" s="10" t="n">
        <v>22.4</v>
      </c>
      <c r="N5573" s="10">
        <f>L5573-M5573</f>
        <v/>
      </c>
    </row>
    <row r="5574">
      <c r="A5574" s="7" t="inlineStr">
        <is>
          <t>ORD-01731</t>
        </is>
      </c>
      <c r="B5574" s="8" t="n">
        <v>45989</v>
      </c>
      <c r="C5574" s="9" t="n">
        <v>45962</v>
      </c>
      <c r="D5574" s="7" t="n">
        <v>2025</v>
      </c>
      <c r="E5574" s="7" t="inlineStr">
        <is>
          <t>South</t>
        </is>
      </c>
      <c r="F5574" s="7" t="inlineStr">
        <is>
          <t>Office Supplies</t>
        </is>
      </c>
      <c r="G5574" s="7" t="inlineStr">
        <is>
          <t>Binder</t>
        </is>
      </c>
      <c r="H5574" s="7" t="inlineStr">
        <is>
          <t>Corporate</t>
        </is>
      </c>
      <c r="I5574" s="7" t="n">
        <v>5</v>
      </c>
      <c r="J5574" s="10" t="n">
        <v>7.75</v>
      </c>
      <c r="K5574" s="11" t="n">
        <v>0</v>
      </c>
      <c r="L5574" s="10">
        <f>I5574*J5574*(1-K5574)</f>
        <v/>
      </c>
      <c r="M5574" s="10" t="n">
        <v>16</v>
      </c>
      <c r="N5574" s="10">
        <f>L5574-M5574</f>
        <v/>
      </c>
    </row>
    <row r="5575">
      <c r="A5575" s="7" t="inlineStr">
        <is>
          <t>ORD-01310</t>
        </is>
      </c>
      <c r="B5575" s="8" t="n">
        <v>45989</v>
      </c>
      <c r="C5575" s="9" t="n">
        <v>45962</v>
      </c>
      <c r="D5575" s="7" t="n">
        <v>2025</v>
      </c>
      <c r="E5575" s="7" t="inlineStr">
        <is>
          <t>East</t>
        </is>
      </c>
      <c r="F5575" s="7" t="inlineStr">
        <is>
          <t>Office Supplies</t>
        </is>
      </c>
      <c r="G5575" s="7" t="inlineStr">
        <is>
          <t>Binder</t>
        </is>
      </c>
      <c r="H5575" s="7" t="inlineStr">
        <is>
          <t>Consumer</t>
        </is>
      </c>
      <c r="I5575" s="7" t="n">
        <v>13</v>
      </c>
      <c r="J5575" s="10" t="n">
        <v>7.73</v>
      </c>
      <c r="K5575" s="11" t="n">
        <v>0.2</v>
      </c>
      <c r="L5575" s="10">
        <f>I5575*J5575*(1-K5575)</f>
        <v/>
      </c>
      <c r="M5575" s="10" t="n">
        <v>41.6</v>
      </c>
      <c r="N5575" s="10">
        <f>L5575-M5575</f>
        <v/>
      </c>
    </row>
    <row r="5576">
      <c r="A5576" s="7" t="inlineStr">
        <is>
          <t>ORD-00463</t>
        </is>
      </c>
      <c r="B5576" s="8" t="n">
        <v>45989</v>
      </c>
      <c r="C5576" s="9" t="n">
        <v>45962</v>
      </c>
      <c r="D5576" s="7" t="n">
        <v>2025</v>
      </c>
      <c r="E5576" s="7" t="inlineStr">
        <is>
          <t>South</t>
        </is>
      </c>
      <c r="F5576" s="7" t="inlineStr">
        <is>
          <t>Furniture</t>
        </is>
      </c>
      <c r="G5576" s="7" t="inlineStr">
        <is>
          <t>Office Chair</t>
        </is>
      </c>
      <c r="H5576" s="7" t="inlineStr">
        <is>
          <t>Consumer</t>
        </is>
      </c>
      <c r="I5576" s="7" t="n">
        <v>1</v>
      </c>
      <c r="J5576" s="10" t="n">
        <v>210.45</v>
      </c>
      <c r="K5576" s="11" t="n">
        <v>0</v>
      </c>
      <c r="L5576" s="10">
        <f>I5576*J5576*(1-K5576)</f>
        <v/>
      </c>
      <c r="M5576" s="10" t="n">
        <v>180.4</v>
      </c>
      <c r="N5576" s="10">
        <f>L5576-M5576</f>
        <v/>
      </c>
    </row>
    <row r="5577">
      <c r="A5577" s="7" t="inlineStr">
        <is>
          <t>ORD-02061</t>
        </is>
      </c>
      <c r="B5577" s="8" t="n">
        <v>45989</v>
      </c>
      <c r="C5577" s="9" t="n">
        <v>45962</v>
      </c>
      <c r="D5577" s="7" t="n">
        <v>2025</v>
      </c>
      <c r="E5577" s="7" t="inlineStr">
        <is>
          <t>South</t>
        </is>
      </c>
      <c r="F5577" s="7" t="inlineStr">
        <is>
          <t>Office Supplies</t>
        </is>
      </c>
      <c r="G5577" s="7" t="inlineStr">
        <is>
          <t>Pens</t>
        </is>
      </c>
      <c r="H5577" s="7" t="inlineStr">
        <is>
          <t>Consumer</t>
        </is>
      </c>
      <c r="I5577" s="7" t="n">
        <v>10</v>
      </c>
      <c r="J5577" s="10" t="n">
        <v>12.24</v>
      </c>
      <c r="K5577" s="11" t="n">
        <v>0.3</v>
      </c>
      <c r="L5577" s="10">
        <f>I5577*J5577*(1-K5577)</f>
        <v/>
      </c>
      <c r="M5577" s="10" t="n">
        <v>54</v>
      </c>
      <c r="N5577" s="10">
        <f>L5577-M5577</f>
        <v/>
      </c>
    </row>
    <row r="5578">
      <c r="A5578" s="7" t="inlineStr">
        <is>
          <t>ORD-01459</t>
        </is>
      </c>
      <c r="B5578" s="8" t="n">
        <v>45989</v>
      </c>
      <c r="C5578" s="9" t="n">
        <v>45962</v>
      </c>
      <c r="D5578" s="7" t="n">
        <v>2025</v>
      </c>
      <c r="E5578" s="7" t="inlineStr">
        <is>
          <t>West</t>
        </is>
      </c>
      <c r="F5578" s="7" t="inlineStr">
        <is>
          <t>Office Supplies</t>
        </is>
      </c>
      <c r="G5578" s="7" t="inlineStr">
        <is>
          <t>Binder</t>
        </is>
      </c>
      <c r="H5578" s="7" t="inlineStr">
        <is>
          <t>Corporate</t>
        </is>
      </c>
      <c r="I5578" s="7" t="n">
        <v>4</v>
      </c>
      <c r="J5578" s="10" t="n">
        <v>7.72</v>
      </c>
      <c r="K5578" s="11" t="n">
        <v>0.2</v>
      </c>
      <c r="L5578" s="10">
        <f>I5578*J5578*(1-K5578)</f>
        <v/>
      </c>
      <c r="M5578" s="10" t="n">
        <v>12.8</v>
      </c>
      <c r="N5578" s="10">
        <f>L5578-M5578</f>
        <v/>
      </c>
    </row>
    <row r="5579">
      <c r="A5579" s="7" t="inlineStr">
        <is>
          <t>ORD-01372</t>
        </is>
      </c>
      <c r="B5579" s="8" t="n">
        <v>45990</v>
      </c>
      <c r="C5579" s="9" t="n">
        <v>45962</v>
      </c>
      <c r="D5579" s="7" t="n">
        <v>2025</v>
      </c>
      <c r="E5579" s="7" t="inlineStr">
        <is>
          <t>North</t>
        </is>
      </c>
      <c r="F5579" s="7" t="inlineStr">
        <is>
          <t>Office Supplies</t>
        </is>
      </c>
      <c r="G5579" s="7" t="inlineStr">
        <is>
          <t>Stapler</t>
        </is>
      </c>
      <c r="H5579" s="7" t="inlineStr">
        <is>
          <t>Corporate</t>
        </is>
      </c>
      <c r="I5579" s="7" t="n">
        <v>9</v>
      </c>
      <c r="J5579" s="10" t="n">
        <v>14.66</v>
      </c>
      <c r="K5579" s="11" t="n">
        <v>0.1</v>
      </c>
      <c r="L5579" s="10">
        <f>I5579*J5579*(1-K5579)</f>
        <v/>
      </c>
      <c r="M5579" s="10" t="n">
        <v>67.5</v>
      </c>
      <c r="N5579" s="10">
        <f>L5579-M5579</f>
        <v/>
      </c>
    </row>
    <row r="5580">
      <c r="A5580" s="7" t="inlineStr">
        <is>
          <t>ORD-01027</t>
        </is>
      </c>
      <c r="B5580" s="8" t="n">
        <v>45990</v>
      </c>
      <c r="C5580" s="9" t="n">
        <v>45962</v>
      </c>
      <c r="D5580" s="7" t="n">
        <v>2025</v>
      </c>
      <c r="E5580" s="7" t="inlineStr">
        <is>
          <t>East</t>
        </is>
      </c>
      <c r="F5580" s="7" t="inlineStr">
        <is>
          <t>Technology</t>
        </is>
      </c>
      <c r="G5580" s="7" t="inlineStr">
        <is>
          <t>Smartphone</t>
        </is>
      </c>
      <c r="H5580" s="7" t="inlineStr">
        <is>
          <t>Consumer</t>
        </is>
      </c>
      <c r="I5580" s="7" t="n">
        <v>1</v>
      </c>
      <c r="J5580" s="10" t="n">
        <v>586.59</v>
      </c>
      <c r="K5580" s="11" t="n">
        <v>0.05</v>
      </c>
      <c r="L5580" s="10">
        <f>I5580*J5580*(1-K5580)</f>
        <v/>
      </c>
      <c r="M5580" s="10" t="n">
        <v>450</v>
      </c>
      <c r="N5580" s="10">
        <f>L5580-M5580</f>
        <v/>
      </c>
    </row>
    <row r="5581">
      <c r="A5581" s="7" t="inlineStr">
        <is>
          <t>ORD-02219</t>
        </is>
      </c>
      <c r="B5581" s="8" t="n">
        <v>45990</v>
      </c>
      <c r="C5581" s="9" t="n">
        <v>45962</v>
      </c>
      <c r="D5581" s="7" t="n">
        <v>2025</v>
      </c>
      <c r="E5581" s="7" t="inlineStr">
        <is>
          <t>East</t>
        </is>
      </c>
      <c r="F5581" s="7" t="inlineStr">
        <is>
          <t>Office Supplies</t>
        </is>
      </c>
      <c r="G5581" s="7" t="inlineStr">
        <is>
          <t>Pens</t>
        </is>
      </c>
      <c r="H5581" s="7" t="inlineStr">
        <is>
          <t>Corporate</t>
        </is>
      </c>
      <c r="I5581" s="7" t="n">
        <v>12</v>
      </c>
      <c r="J5581" s="10" t="n">
        <v>11.51</v>
      </c>
      <c r="K5581" s="11" t="n">
        <v>0.2</v>
      </c>
      <c r="L5581" s="10">
        <f>I5581*J5581*(1-K5581)</f>
        <v/>
      </c>
      <c r="M5581" s="10" t="n">
        <v>64.8</v>
      </c>
      <c r="N5581" s="10">
        <f>L5581-M5581</f>
        <v/>
      </c>
    </row>
    <row r="5582">
      <c r="A5582" s="7" t="inlineStr">
        <is>
          <t>ORD-03958</t>
        </is>
      </c>
      <c r="B5582" s="8" t="n">
        <v>45990</v>
      </c>
      <c r="C5582" s="9" t="n">
        <v>45962</v>
      </c>
      <c r="D5582" s="7" t="n">
        <v>2025</v>
      </c>
      <c r="E5582" s="7" t="inlineStr">
        <is>
          <t>West</t>
        </is>
      </c>
      <c r="F5582" s="7" t="inlineStr">
        <is>
          <t>Office Supplies</t>
        </is>
      </c>
      <c r="G5582" s="7" t="inlineStr">
        <is>
          <t>Binder</t>
        </is>
      </c>
      <c r="H5582" s="7" t="inlineStr">
        <is>
          <t>Corporate</t>
        </is>
      </c>
      <c r="I5582" s="7" t="n">
        <v>15</v>
      </c>
      <c r="J5582" s="10" t="n">
        <v>8.19</v>
      </c>
      <c r="K5582" s="11" t="n">
        <v>0.05</v>
      </c>
      <c r="L5582" s="10">
        <f>I5582*J5582*(1-K5582)</f>
        <v/>
      </c>
      <c r="M5582" s="10" t="n">
        <v>48</v>
      </c>
      <c r="N5582" s="10">
        <f>L5582-M5582</f>
        <v/>
      </c>
    </row>
    <row r="5583">
      <c r="A5583" s="7" t="inlineStr">
        <is>
          <t>ORD-04026</t>
        </is>
      </c>
      <c r="B5583" s="8" t="n">
        <v>45990</v>
      </c>
      <c r="C5583" s="9" t="n">
        <v>45962</v>
      </c>
      <c r="D5583" s="7" t="n">
        <v>2025</v>
      </c>
      <c r="E5583" s="7" t="inlineStr">
        <is>
          <t>West</t>
        </is>
      </c>
      <c r="F5583" s="7" t="inlineStr">
        <is>
          <t>Technology</t>
        </is>
      </c>
      <c r="G5583" s="7" t="inlineStr">
        <is>
          <t>Headphones</t>
        </is>
      </c>
      <c r="H5583" s="7" t="inlineStr">
        <is>
          <t>Home Office</t>
        </is>
      </c>
      <c r="I5583" s="7" t="n">
        <v>3</v>
      </c>
      <c r="J5583" s="10" t="n">
        <v>123.37</v>
      </c>
      <c r="K5583" s="11" t="n">
        <v>0.3</v>
      </c>
      <c r="L5583" s="10">
        <f>I5583*J5583*(1-K5583)</f>
        <v/>
      </c>
      <c r="M5583" s="10" t="n">
        <v>216</v>
      </c>
      <c r="N5583" s="10">
        <f>L5583-M5583</f>
        <v/>
      </c>
    </row>
    <row r="5584">
      <c r="A5584" s="7" t="inlineStr">
        <is>
          <t>ORD-02301</t>
        </is>
      </c>
      <c r="B5584" s="8" t="n">
        <v>45991</v>
      </c>
      <c r="C5584" s="9" t="n">
        <v>45962</v>
      </c>
      <c r="D5584" s="7" t="n">
        <v>2025</v>
      </c>
      <c r="E5584" s="7" t="inlineStr">
        <is>
          <t>South</t>
        </is>
      </c>
      <c r="F5584" s="7" t="inlineStr">
        <is>
          <t>Office Supplies</t>
        </is>
      </c>
      <c r="G5584" s="7" t="inlineStr">
        <is>
          <t>Stapler</t>
        </is>
      </c>
      <c r="H5584" s="7" t="inlineStr">
        <is>
          <t>Home Office</t>
        </is>
      </c>
      <c r="I5584" s="7" t="n">
        <v>15</v>
      </c>
      <c r="J5584" s="10" t="n">
        <v>15.39</v>
      </c>
      <c r="K5584" s="11" t="n">
        <v>0</v>
      </c>
      <c r="L5584" s="10">
        <f>I5584*J5584*(1-K5584)</f>
        <v/>
      </c>
      <c r="M5584" s="10" t="n">
        <v>112.5</v>
      </c>
      <c r="N5584" s="10">
        <f>L5584-M5584</f>
        <v/>
      </c>
    </row>
    <row r="5585">
      <c r="A5585" s="7" t="inlineStr">
        <is>
          <t>ORD-01454</t>
        </is>
      </c>
      <c r="B5585" s="8" t="n">
        <v>45991</v>
      </c>
      <c r="C5585" s="9" t="n">
        <v>45962</v>
      </c>
      <c r="D5585" s="7" t="n">
        <v>2025</v>
      </c>
      <c r="E5585" s="7" t="inlineStr">
        <is>
          <t>South</t>
        </is>
      </c>
      <c r="F5585" s="7" t="inlineStr">
        <is>
          <t>Technology</t>
        </is>
      </c>
      <c r="G5585" s="7" t="inlineStr">
        <is>
          <t>Headphones</t>
        </is>
      </c>
      <c r="H5585" s="7" t="inlineStr">
        <is>
          <t>Corporate</t>
        </is>
      </c>
      <c r="I5585" s="7" t="n">
        <v>1</v>
      </c>
      <c r="J5585" s="10" t="n">
        <v>116.98</v>
      </c>
      <c r="K5585" s="11" t="n">
        <v>0</v>
      </c>
      <c r="L5585" s="10">
        <f>I5585*J5585*(1-K5585)</f>
        <v/>
      </c>
      <c r="M5585" s="10" t="n">
        <v>72</v>
      </c>
      <c r="N5585" s="10">
        <f>L5585-M5585</f>
        <v/>
      </c>
    </row>
    <row r="5586">
      <c r="A5586" s="7" t="inlineStr">
        <is>
          <t>ORD-03865</t>
        </is>
      </c>
      <c r="B5586" s="8" t="n">
        <v>45991</v>
      </c>
      <c r="C5586" s="9" t="n">
        <v>45962</v>
      </c>
      <c r="D5586" s="7" t="n">
        <v>2025</v>
      </c>
      <c r="E5586" s="7" t="inlineStr">
        <is>
          <t>West</t>
        </is>
      </c>
      <c r="F5586" s="7" t="inlineStr">
        <is>
          <t>Office Supplies</t>
        </is>
      </c>
      <c r="G5586" s="7" t="inlineStr">
        <is>
          <t>Binder</t>
        </is>
      </c>
      <c r="H5586" s="7" t="inlineStr">
        <is>
          <t>Corporate</t>
        </is>
      </c>
      <c r="I5586" s="7" t="n">
        <v>2</v>
      </c>
      <c r="J5586" s="10" t="n">
        <v>8.369999999999999</v>
      </c>
      <c r="K5586" s="11" t="n">
        <v>0</v>
      </c>
      <c r="L5586" s="10">
        <f>I5586*J5586*(1-K5586)</f>
        <v/>
      </c>
      <c r="M5586" s="10" t="n">
        <v>6.4</v>
      </c>
      <c r="N5586" s="10">
        <f>L5586-M5586</f>
        <v/>
      </c>
    </row>
    <row r="5587">
      <c r="A5587" s="7" t="inlineStr">
        <is>
          <t>ORD-04051</t>
        </is>
      </c>
      <c r="B5587" s="8" t="n">
        <v>45991</v>
      </c>
      <c r="C5587" s="9" t="n">
        <v>45962</v>
      </c>
      <c r="D5587" s="7" t="n">
        <v>2025</v>
      </c>
      <c r="E5587" s="7" t="inlineStr">
        <is>
          <t>West</t>
        </is>
      </c>
      <c r="F5587" s="7" t="inlineStr">
        <is>
          <t>Office Supplies</t>
        </is>
      </c>
      <c r="G5587" s="7" t="inlineStr">
        <is>
          <t>Pens</t>
        </is>
      </c>
      <c r="H5587" s="7" t="inlineStr">
        <is>
          <t>Corporate</t>
        </is>
      </c>
      <c r="I5587" s="7" t="n">
        <v>9</v>
      </c>
      <c r="J5587" s="10" t="n">
        <v>12.03</v>
      </c>
      <c r="K5587" s="11" t="n">
        <v>0</v>
      </c>
      <c r="L5587" s="10">
        <f>I5587*J5587*(1-K5587)</f>
        <v/>
      </c>
      <c r="M5587" s="10" t="n">
        <v>48.6</v>
      </c>
      <c r="N5587" s="10">
        <f>L5587-M5587</f>
        <v/>
      </c>
    </row>
    <row r="5588">
      <c r="A5588" s="7" t="inlineStr">
        <is>
          <t>ORD-03017</t>
        </is>
      </c>
      <c r="B5588" s="8" t="n">
        <v>45991</v>
      </c>
      <c r="C5588" s="9" t="n">
        <v>45962</v>
      </c>
      <c r="D5588" s="7" t="n">
        <v>2025</v>
      </c>
      <c r="E5588" s="7" t="inlineStr">
        <is>
          <t>South</t>
        </is>
      </c>
      <c r="F5588" s="7" t="inlineStr">
        <is>
          <t>Office Supplies</t>
        </is>
      </c>
      <c r="G5588" s="7" t="inlineStr">
        <is>
          <t>Paper</t>
        </is>
      </c>
      <c r="H5588" s="7" t="inlineStr">
        <is>
          <t>Consumer</t>
        </is>
      </c>
      <c r="I5588" s="7" t="n">
        <v>7</v>
      </c>
      <c r="J5588" s="10" t="n">
        <v>23.89</v>
      </c>
      <c r="K5588" s="11" t="n">
        <v>0</v>
      </c>
      <c r="L5588" s="10">
        <f>I5588*J5588*(1-K5588)</f>
        <v/>
      </c>
      <c r="M5588" s="10" t="n">
        <v>87.5</v>
      </c>
      <c r="N5588" s="10">
        <f>L5588-M5588</f>
        <v/>
      </c>
    </row>
    <row r="5589">
      <c r="A5589" s="7" t="inlineStr">
        <is>
          <t>ORD-02691</t>
        </is>
      </c>
      <c r="B5589" s="8" t="n">
        <v>45991</v>
      </c>
      <c r="C5589" s="9" t="n">
        <v>45962</v>
      </c>
      <c r="D5589" s="7" t="n">
        <v>2025</v>
      </c>
      <c r="E5589" s="7" t="inlineStr">
        <is>
          <t>East</t>
        </is>
      </c>
      <c r="F5589" s="7" t="inlineStr">
        <is>
          <t>Office Supplies</t>
        </is>
      </c>
      <c r="G5589" s="7" t="inlineStr">
        <is>
          <t>Stapler</t>
        </is>
      </c>
      <c r="H5589" s="7" t="inlineStr">
        <is>
          <t>Home Office</t>
        </is>
      </c>
      <c r="I5589" s="7" t="n">
        <v>5</v>
      </c>
      <c r="J5589" s="10" t="n">
        <v>15.1</v>
      </c>
      <c r="K5589" s="11" t="n">
        <v>0</v>
      </c>
      <c r="L5589" s="10">
        <f>I5589*J5589*(1-K5589)</f>
        <v/>
      </c>
      <c r="M5589" s="10" t="n">
        <v>37.5</v>
      </c>
      <c r="N5589" s="10">
        <f>L5589-M5589</f>
        <v/>
      </c>
    </row>
    <row r="5590">
      <c r="A5590" s="7" t="inlineStr">
        <is>
          <t>ORD-01593</t>
        </is>
      </c>
      <c r="B5590" s="8" t="n">
        <v>45991</v>
      </c>
      <c r="C5590" s="9" t="n">
        <v>45962</v>
      </c>
      <c r="D5590" s="7" t="n">
        <v>2025</v>
      </c>
      <c r="E5590" s="7" t="inlineStr">
        <is>
          <t>North</t>
        </is>
      </c>
      <c r="F5590" s="7" t="inlineStr">
        <is>
          <t>Furniture</t>
        </is>
      </c>
      <c r="G5590" s="7" t="inlineStr">
        <is>
          <t>Office Chair</t>
        </is>
      </c>
      <c r="H5590" s="7" t="inlineStr">
        <is>
          <t>Corporate</t>
        </is>
      </c>
      <c r="I5590" s="7" t="n">
        <v>2</v>
      </c>
      <c r="J5590" s="10" t="n">
        <v>222.12</v>
      </c>
      <c r="K5590" s="11" t="n">
        <v>0.2</v>
      </c>
      <c r="L5590" s="10">
        <f>I5590*J5590*(1-K5590)</f>
        <v/>
      </c>
      <c r="M5590" s="10" t="n">
        <v>360.8</v>
      </c>
      <c r="N5590" s="10">
        <f>L5590-M5590</f>
        <v/>
      </c>
    </row>
    <row r="5591">
      <c r="A5591" s="7" t="inlineStr">
        <is>
          <t>ORD-01264</t>
        </is>
      </c>
      <c r="B5591" s="8" t="n">
        <v>45991</v>
      </c>
      <c r="C5591" s="9" t="n">
        <v>45962</v>
      </c>
      <c r="D5591" s="7" t="n">
        <v>2025</v>
      </c>
      <c r="E5591" s="7" t="inlineStr">
        <is>
          <t>West</t>
        </is>
      </c>
      <c r="F5591" s="7" t="inlineStr">
        <is>
          <t>Furniture</t>
        </is>
      </c>
      <c r="G5591" s="7" t="inlineStr">
        <is>
          <t>Office Chair</t>
        </is>
      </c>
      <c r="H5591" s="7" t="inlineStr">
        <is>
          <t>Consumer</t>
        </is>
      </c>
      <c r="I5591" s="7" t="n">
        <v>4</v>
      </c>
      <c r="J5591" s="10" t="n">
        <v>226.51</v>
      </c>
      <c r="K5591" s="11" t="n">
        <v>0.2</v>
      </c>
      <c r="L5591" s="10">
        <f>I5591*J5591*(1-K5591)</f>
        <v/>
      </c>
      <c r="M5591" s="10" t="n">
        <v>721.6</v>
      </c>
      <c r="N5591" s="10">
        <f>L5591-M5591</f>
        <v/>
      </c>
    </row>
    <row r="5592">
      <c r="A5592" s="7" t="inlineStr">
        <is>
          <t>ORD-04856</t>
        </is>
      </c>
      <c r="B5592" s="8" t="n">
        <v>45991</v>
      </c>
      <c r="C5592" s="9" t="n">
        <v>45962</v>
      </c>
      <c r="D5592" s="7" t="n">
        <v>2025</v>
      </c>
      <c r="E5592" s="7" t="inlineStr">
        <is>
          <t>West</t>
        </is>
      </c>
      <c r="F5592" s="7" t="inlineStr">
        <is>
          <t>Furniture</t>
        </is>
      </c>
      <c r="G5592" s="7" t="inlineStr">
        <is>
          <t>Bookcase</t>
        </is>
      </c>
      <c r="H5592" s="7" t="inlineStr">
        <is>
          <t>Consumer</t>
        </is>
      </c>
      <c r="I5592" s="7" t="n">
        <v>2</v>
      </c>
      <c r="J5592" s="10" t="n">
        <v>187.54</v>
      </c>
      <c r="K5592" s="11" t="n">
        <v>0</v>
      </c>
      <c r="L5592" s="10">
        <f>I5592*J5592*(1-K5592)</f>
        <v/>
      </c>
      <c r="M5592" s="10" t="n">
        <v>288</v>
      </c>
      <c r="N5592" s="10">
        <f>L5592-M5592</f>
        <v/>
      </c>
    </row>
    <row r="5593">
      <c r="A5593" s="7" t="inlineStr">
        <is>
          <t>ORD-04346</t>
        </is>
      </c>
      <c r="B5593" s="8" t="n">
        <v>45991</v>
      </c>
      <c r="C5593" s="9" t="n">
        <v>45962</v>
      </c>
      <c r="D5593" s="7" t="n">
        <v>2025</v>
      </c>
      <c r="E5593" s="7" t="inlineStr">
        <is>
          <t>North</t>
        </is>
      </c>
      <c r="F5593" s="7" t="inlineStr">
        <is>
          <t>Office Supplies</t>
        </is>
      </c>
      <c r="G5593" s="7" t="inlineStr">
        <is>
          <t>Pens</t>
        </is>
      </c>
      <c r="H5593" s="7" t="inlineStr">
        <is>
          <t>Consumer</t>
        </is>
      </c>
      <c r="I5593" s="7" t="n">
        <v>15</v>
      </c>
      <c r="J5593" s="10" t="n">
        <v>12.22</v>
      </c>
      <c r="K5593" s="11" t="n">
        <v>0</v>
      </c>
      <c r="L5593" s="10">
        <f>I5593*J5593*(1-K5593)</f>
        <v/>
      </c>
      <c r="M5593" s="10" t="n">
        <v>81</v>
      </c>
      <c r="N5593" s="10">
        <f>L5593-M5593</f>
        <v/>
      </c>
    </row>
    <row r="5594">
      <c r="A5594" s="7" t="inlineStr">
        <is>
          <t>ORD-00320</t>
        </is>
      </c>
      <c r="B5594" s="8" t="n">
        <v>45991</v>
      </c>
      <c r="C5594" s="9" t="n">
        <v>45962</v>
      </c>
      <c r="D5594" s="7" t="n">
        <v>2025</v>
      </c>
      <c r="E5594" s="7" t="inlineStr">
        <is>
          <t>South</t>
        </is>
      </c>
      <c r="F5594" s="7" t="inlineStr">
        <is>
          <t>Technology</t>
        </is>
      </c>
      <c r="G5594" s="7" t="inlineStr">
        <is>
          <t>Laptop</t>
        </is>
      </c>
      <c r="H5594" s="7" t="inlineStr">
        <is>
          <t>Home Office</t>
        </is>
      </c>
      <c r="I5594" s="7" t="n">
        <v>3</v>
      </c>
      <c r="J5594" s="10" t="n">
        <v>889.6799999999999</v>
      </c>
      <c r="K5594" s="11" t="n">
        <v>0.05</v>
      </c>
      <c r="L5594" s="10">
        <f>I5594*J5594*(1-K5594)</f>
        <v/>
      </c>
      <c r="M5594" s="10" t="n">
        <v>2106</v>
      </c>
      <c r="N5594" s="10">
        <f>L5594-M5594</f>
        <v/>
      </c>
    </row>
    <row r="5595">
      <c r="A5595" s="7" t="inlineStr">
        <is>
          <t>ORD-05989</t>
        </is>
      </c>
      <c r="B5595" s="8" t="n">
        <v>45992</v>
      </c>
      <c r="C5595" s="9" t="n">
        <v>45992</v>
      </c>
      <c r="D5595" s="7" t="n">
        <v>2025</v>
      </c>
      <c r="E5595" s="7" t="inlineStr">
        <is>
          <t>North</t>
        </is>
      </c>
      <c r="F5595" s="7" t="inlineStr">
        <is>
          <t>Office Supplies</t>
        </is>
      </c>
      <c r="G5595" s="7" t="inlineStr">
        <is>
          <t>Binder</t>
        </is>
      </c>
      <c r="H5595" s="7" t="inlineStr">
        <is>
          <t>Corporate</t>
        </is>
      </c>
      <c r="I5595" s="7" t="n">
        <v>2</v>
      </c>
      <c r="J5595" s="10" t="n">
        <v>7.87</v>
      </c>
      <c r="K5595" s="11" t="n">
        <v>0.2</v>
      </c>
      <c r="L5595" s="10">
        <f>I5595*J5595*(1-K5595)</f>
        <v/>
      </c>
      <c r="M5595" s="10" t="n">
        <v>6.4</v>
      </c>
      <c r="N5595" s="10">
        <f>L5595-M5595</f>
        <v/>
      </c>
    </row>
    <row r="5596">
      <c r="A5596" s="7" t="inlineStr">
        <is>
          <t>ORD-04121</t>
        </is>
      </c>
      <c r="B5596" s="8" t="n">
        <v>45992</v>
      </c>
      <c r="C5596" s="9" t="n">
        <v>45992</v>
      </c>
      <c r="D5596" s="7" t="n">
        <v>2025</v>
      </c>
      <c r="E5596" s="7" t="inlineStr">
        <is>
          <t>West</t>
        </is>
      </c>
      <c r="F5596" s="7" t="inlineStr">
        <is>
          <t>Office Supplies</t>
        </is>
      </c>
      <c r="G5596" s="7" t="inlineStr">
        <is>
          <t>Paper</t>
        </is>
      </c>
      <c r="H5596" s="7" t="inlineStr">
        <is>
          <t>Consumer</t>
        </is>
      </c>
      <c r="I5596" s="7" t="n">
        <v>11</v>
      </c>
      <c r="J5596" s="10" t="n">
        <v>25.8</v>
      </c>
      <c r="K5596" s="11" t="n">
        <v>0</v>
      </c>
      <c r="L5596" s="10">
        <f>I5596*J5596*(1-K5596)</f>
        <v/>
      </c>
      <c r="M5596" s="10" t="n">
        <v>137.5</v>
      </c>
      <c r="N5596" s="10">
        <f>L5596-M5596</f>
        <v/>
      </c>
    </row>
    <row r="5597">
      <c r="A5597" s="7" t="inlineStr">
        <is>
          <t>ORD-02600</t>
        </is>
      </c>
      <c r="B5597" s="8" t="n">
        <v>45992</v>
      </c>
      <c r="C5597" s="9" t="n">
        <v>45992</v>
      </c>
      <c r="D5597" s="7" t="n">
        <v>2025</v>
      </c>
      <c r="E5597" s="7" t="inlineStr">
        <is>
          <t>East</t>
        </is>
      </c>
      <c r="F5597" s="7" t="inlineStr">
        <is>
          <t>Office Supplies</t>
        </is>
      </c>
      <c r="G5597" s="7" t="inlineStr">
        <is>
          <t>Paper</t>
        </is>
      </c>
      <c r="H5597" s="7" t="inlineStr">
        <is>
          <t>Corporate</t>
        </is>
      </c>
      <c r="I5597" s="7" t="n">
        <v>8</v>
      </c>
      <c r="J5597" s="10" t="n">
        <v>25.78</v>
      </c>
      <c r="K5597" s="11" t="n">
        <v>0.1</v>
      </c>
      <c r="L5597" s="10">
        <f>I5597*J5597*(1-K5597)</f>
        <v/>
      </c>
      <c r="M5597" s="10" t="n">
        <v>100</v>
      </c>
      <c r="N5597" s="10">
        <f>L5597-M5597</f>
        <v/>
      </c>
    </row>
    <row r="5598">
      <c r="A5598" s="7" t="inlineStr">
        <is>
          <t>ORD-05586</t>
        </is>
      </c>
      <c r="B5598" s="8" t="n">
        <v>45992</v>
      </c>
      <c r="C5598" s="9" t="n">
        <v>45992</v>
      </c>
      <c r="D5598" s="7" t="n">
        <v>2025</v>
      </c>
      <c r="E5598" s="7" t="inlineStr">
        <is>
          <t>North</t>
        </is>
      </c>
      <c r="F5598" s="7" t="inlineStr">
        <is>
          <t>Office Supplies</t>
        </is>
      </c>
      <c r="G5598" s="7" t="inlineStr">
        <is>
          <t>Paper</t>
        </is>
      </c>
      <c r="H5598" s="7" t="inlineStr">
        <is>
          <t>Home Office</t>
        </is>
      </c>
      <c r="I5598" s="7" t="n">
        <v>9</v>
      </c>
      <c r="J5598" s="10" t="n">
        <v>24.91</v>
      </c>
      <c r="K5598" s="11" t="n">
        <v>0</v>
      </c>
      <c r="L5598" s="10">
        <f>I5598*J5598*(1-K5598)</f>
        <v/>
      </c>
      <c r="M5598" s="10" t="n">
        <v>112.5</v>
      </c>
      <c r="N5598" s="10">
        <f>L5598-M5598</f>
        <v/>
      </c>
    </row>
    <row r="5599">
      <c r="A5599" s="7" t="inlineStr">
        <is>
          <t>ORD-01014</t>
        </is>
      </c>
      <c r="B5599" s="8" t="n">
        <v>45992</v>
      </c>
      <c r="C5599" s="9" t="n">
        <v>45992</v>
      </c>
      <c r="D5599" s="7" t="n">
        <v>2025</v>
      </c>
      <c r="E5599" s="7" t="inlineStr">
        <is>
          <t>South</t>
        </is>
      </c>
      <c r="F5599" s="7" t="inlineStr">
        <is>
          <t>Office Supplies</t>
        </is>
      </c>
      <c r="G5599" s="7" t="inlineStr">
        <is>
          <t>Binder</t>
        </is>
      </c>
      <c r="H5599" s="7" t="inlineStr">
        <is>
          <t>Consumer</t>
        </is>
      </c>
      <c r="I5599" s="7" t="n">
        <v>12</v>
      </c>
      <c r="J5599" s="10" t="n">
        <v>7.62</v>
      </c>
      <c r="K5599" s="11" t="n">
        <v>0.05</v>
      </c>
      <c r="L5599" s="10">
        <f>I5599*J5599*(1-K5599)</f>
        <v/>
      </c>
      <c r="M5599" s="10" t="n">
        <v>38.4</v>
      </c>
      <c r="N5599" s="10">
        <f>L5599-M5599</f>
        <v/>
      </c>
    </row>
    <row r="5600">
      <c r="A5600" s="7" t="inlineStr">
        <is>
          <t>ORD-02234</t>
        </is>
      </c>
      <c r="B5600" s="8" t="n">
        <v>45992</v>
      </c>
      <c r="C5600" s="9" t="n">
        <v>45992</v>
      </c>
      <c r="D5600" s="7" t="n">
        <v>2025</v>
      </c>
      <c r="E5600" s="7" t="inlineStr">
        <is>
          <t>South</t>
        </is>
      </c>
      <c r="F5600" s="7" t="inlineStr">
        <is>
          <t>Office Supplies</t>
        </is>
      </c>
      <c r="G5600" s="7" t="inlineStr">
        <is>
          <t>Binder</t>
        </is>
      </c>
      <c r="H5600" s="7" t="inlineStr">
        <is>
          <t>Consumer</t>
        </is>
      </c>
      <c r="I5600" s="7" t="n">
        <v>6</v>
      </c>
      <c r="J5600" s="10" t="n">
        <v>7.62</v>
      </c>
      <c r="K5600" s="11" t="n">
        <v>0</v>
      </c>
      <c r="L5600" s="10">
        <f>I5600*J5600*(1-K5600)</f>
        <v/>
      </c>
      <c r="M5600" s="10" t="n">
        <v>19.2</v>
      </c>
      <c r="N5600" s="10">
        <f>L5600-M5600</f>
        <v/>
      </c>
    </row>
    <row r="5601">
      <c r="A5601" s="7" t="inlineStr">
        <is>
          <t>ORD-02554</t>
        </is>
      </c>
      <c r="B5601" s="8" t="n">
        <v>45992</v>
      </c>
      <c r="C5601" s="9" t="n">
        <v>45992</v>
      </c>
      <c r="D5601" s="7" t="n">
        <v>2025</v>
      </c>
      <c r="E5601" s="7" t="inlineStr">
        <is>
          <t>South</t>
        </is>
      </c>
      <c r="F5601" s="7" t="inlineStr">
        <is>
          <t>Office Supplies</t>
        </is>
      </c>
      <c r="G5601" s="7" t="inlineStr">
        <is>
          <t>Paper</t>
        </is>
      </c>
      <c r="H5601" s="7" t="inlineStr">
        <is>
          <t>Home Office</t>
        </is>
      </c>
      <c r="I5601" s="7" t="n">
        <v>13</v>
      </c>
      <c r="J5601" s="10" t="n">
        <v>24.42</v>
      </c>
      <c r="K5601" s="11" t="n">
        <v>0.1</v>
      </c>
      <c r="L5601" s="10">
        <f>I5601*J5601*(1-K5601)</f>
        <v/>
      </c>
      <c r="M5601" s="10" t="n">
        <v>162.5</v>
      </c>
      <c r="N5601" s="10">
        <f>L5601-M5601</f>
        <v/>
      </c>
    </row>
    <row r="5602">
      <c r="A5602" s="7" t="inlineStr">
        <is>
          <t>ORD-02503</t>
        </is>
      </c>
      <c r="B5602" s="8" t="n">
        <v>45992</v>
      </c>
      <c r="C5602" s="9" t="n">
        <v>45992</v>
      </c>
      <c r="D5602" s="7" t="n">
        <v>2025</v>
      </c>
      <c r="E5602" s="7" t="inlineStr">
        <is>
          <t>West</t>
        </is>
      </c>
      <c r="F5602" s="7" t="inlineStr">
        <is>
          <t>Technology</t>
        </is>
      </c>
      <c r="G5602" s="7" t="inlineStr">
        <is>
          <t>Monitor</t>
        </is>
      </c>
      <c r="H5602" s="7" t="inlineStr">
        <is>
          <t>Consumer</t>
        </is>
      </c>
      <c r="I5602" s="7" t="n">
        <v>2</v>
      </c>
      <c r="J5602" s="10" t="n">
        <v>242.4</v>
      </c>
      <c r="K5602" s="11" t="n">
        <v>0.05</v>
      </c>
      <c r="L5602" s="10">
        <f>I5602*J5602*(1-K5602)</f>
        <v/>
      </c>
      <c r="M5602" s="10" t="n">
        <v>360</v>
      </c>
      <c r="N5602" s="10">
        <f>L5602-M5602</f>
        <v/>
      </c>
    </row>
    <row r="5603">
      <c r="A5603" s="7" t="inlineStr">
        <is>
          <t>ORD-03599</t>
        </is>
      </c>
      <c r="B5603" s="8" t="n">
        <v>45992</v>
      </c>
      <c r="C5603" s="9" t="n">
        <v>45992</v>
      </c>
      <c r="D5603" s="7" t="n">
        <v>2025</v>
      </c>
      <c r="E5603" s="7" t="inlineStr">
        <is>
          <t>South</t>
        </is>
      </c>
      <c r="F5603" s="7" t="inlineStr">
        <is>
          <t>Office Supplies</t>
        </is>
      </c>
      <c r="G5603" s="7" t="inlineStr">
        <is>
          <t>Paper</t>
        </is>
      </c>
      <c r="H5603" s="7" t="inlineStr">
        <is>
          <t>Corporate</t>
        </is>
      </c>
      <c r="I5603" s="7" t="n">
        <v>13</v>
      </c>
      <c r="J5603" s="10" t="n">
        <v>24.64</v>
      </c>
      <c r="K5603" s="11" t="n">
        <v>0.2</v>
      </c>
      <c r="L5603" s="10">
        <f>I5603*J5603*(1-K5603)</f>
        <v/>
      </c>
      <c r="M5603" s="10" t="n">
        <v>162.5</v>
      </c>
      <c r="N5603" s="10">
        <f>L5603-M5603</f>
        <v/>
      </c>
    </row>
    <row r="5604">
      <c r="A5604" s="7" t="inlineStr">
        <is>
          <t>ORD-05427</t>
        </is>
      </c>
      <c r="B5604" s="8" t="n">
        <v>45992</v>
      </c>
      <c r="C5604" s="9" t="n">
        <v>45992</v>
      </c>
      <c r="D5604" s="7" t="n">
        <v>2025</v>
      </c>
      <c r="E5604" s="7" t="inlineStr">
        <is>
          <t>North</t>
        </is>
      </c>
      <c r="F5604" s="7" t="inlineStr">
        <is>
          <t>Technology</t>
        </is>
      </c>
      <c r="G5604" s="7" t="inlineStr">
        <is>
          <t>Monitor</t>
        </is>
      </c>
      <c r="H5604" s="7" t="inlineStr">
        <is>
          <t>Consumer</t>
        </is>
      </c>
      <c r="I5604" s="7" t="n">
        <v>1</v>
      </c>
      <c r="J5604" s="10" t="n">
        <v>259.94</v>
      </c>
      <c r="K5604" s="11" t="n">
        <v>0</v>
      </c>
      <c r="L5604" s="10">
        <f>I5604*J5604*(1-K5604)</f>
        <v/>
      </c>
      <c r="M5604" s="10" t="n">
        <v>180</v>
      </c>
      <c r="N5604" s="10">
        <f>L5604-M5604</f>
        <v/>
      </c>
    </row>
    <row r="5605">
      <c r="A5605" s="7" t="inlineStr">
        <is>
          <t>ORD-00388</t>
        </is>
      </c>
      <c r="B5605" s="8" t="n">
        <v>45992</v>
      </c>
      <c r="C5605" s="9" t="n">
        <v>45992</v>
      </c>
      <c r="D5605" s="7" t="n">
        <v>2025</v>
      </c>
      <c r="E5605" s="7" t="inlineStr">
        <is>
          <t>West</t>
        </is>
      </c>
      <c r="F5605" s="7" t="inlineStr">
        <is>
          <t>Furniture</t>
        </is>
      </c>
      <c r="G5605" s="7" t="inlineStr">
        <is>
          <t>Office Chair</t>
        </is>
      </c>
      <c r="H5605" s="7" t="inlineStr">
        <is>
          <t>Corporate</t>
        </is>
      </c>
      <c r="I5605" s="7" t="n">
        <v>4</v>
      </c>
      <c r="J5605" s="10" t="n">
        <v>230.17</v>
      </c>
      <c r="K5605" s="11" t="n">
        <v>0.1</v>
      </c>
      <c r="L5605" s="10">
        <f>I5605*J5605*(1-K5605)</f>
        <v/>
      </c>
      <c r="M5605" s="10" t="n">
        <v>721.6</v>
      </c>
      <c r="N5605" s="10">
        <f>L5605-M5605</f>
        <v/>
      </c>
    </row>
    <row r="5606">
      <c r="A5606" s="7" t="inlineStr">
        <is>
          <t>ORD-05736</t>
        </is>
      </c>
      <c r="B5606" s="8" t="n">
        <v>45993</v>
      </c>
      <c r="C5606" s="9" t="n">
        <v>45992</v>
      </c>
      <c r="D5606" s="7" t="n">
        <v>2025</v>
      </c>
      <c r="E5606" s="7" t="inlineStr">
        <is>
          <t>North</t>
        </is>
      </c>
      <c r="F5606" s="7" t="inlineStr">
        <is>
          <t>Office Supplies</t>
        </is>
      </c>
      <c r="G5606" s="7" t="inlineStr">
        <is>
          <t>Binder</t>
        </is>
      </c>
      <c r="H5606" s="7" t="inlineStr">
        <is>
          <t>Home Office</t>
        </is>
      </c>
      <c r="I5606" s="7" t="n">
        <v>10</v>
      </c>
      <c r="J5606" s="10" t="n">
        <v>8.32</v>
      </c>
      <c r="K5606" s="11" t="n">
        <v>0.05</v>
      </c>
      <c r="L5606" s="10">
        <f>I5606*J5606*(1-K5606)</f>
        <v/>
      </c>
      <c r="M5606" s="10" t="n">
        <v>32</v>
      </c>
      <c r="N5606" s="10">
        <f>L5606-M5606</f>
        <v/>
      </c>
    </row>
    <row r="5607">
      <c r="A5607" s="7" t="inlineStr">
        <is>
          <t>ORD-03269</t>
        </is>
      </c>
      <c r="B5607" s="8" t="n">
        <v>45993</v>
      </c>
      <c r="C5607" s="9" t="n">
        <v>45992</v>
      </c>
      <c r="D5607" s="7" t="n">
        <v>2025</v>
      </c>
      <c r="E5607" s="7" t="inlineStr">
        <is>
          <t>North</t>
        </is>
      </c>
      <c r="F5607" s="7" t="inlineStr">
        <is>
          <t>Office Supplies</t>
        </is>
      </c>
      <c r="G5607" s="7" t="inlineStr">
        <is>
          <t>Stapler</t>
        </is>
      </c>
      <c r="H5607" s="7" t="inlineStr">
        <is>
          <t>Consumer</t>
        </is>
      </c>
      <c r="I5607" s="7" t="n">
        <v>4</v>
      </c>
      <c r="J5607" s="10" t="n">
        <v>14.73</v>
      </c>
      <c r="K5607" s="11" t="n">
        <v>0.1</v>
      </c>
      <c r="L5607" s="10">
        <f>I5607*J5607*(1-K5607)</f>
        <v/>
      </c>
      <c r="M5607" s="10" t="n">
        <v>30</v>
      </c>
      <c r="N5607" s="10">
        <f>L5607-M5607</f>
        <v/>
      </c>
    </row>
    <row r="5608">
      <c r="A5608" s="7" t="inlineStr">
        <is>
          <t>ORD-04357</t>
        </is>
      </c>
      <c r="B5608" s="8" t="n">
        <v>45993</v>
      </c>
      <c r="C5608" s="9" t="n">
        <v>45992</v>
      </c>
      <c r="D5608" s="7" t="n">
        <v>2025</v>
      </c>
      <c r="E5608" s="7" t="inlineStr">
        <is>
          <t>East</t>
        </is>
      </c>
      <c r="F5608" s="7" t="inlineStr">
        <is>
          <t>Office Supplies</t>
        </is>
      </c>
      <c r="G5608" s="7" t="inlineStr">
        <is>
          <t>Binder</t>
        </is>
      </c>
      <c r="H5608" s="7" t="inlineStr">
        <is>
          <t>Corporate</t>
        </is>
      </c>
      <c r="I5608" s="7" t="n">
        <v>7</v>
      </c>
      <c r="J5608" s="10" t="n">
        <v>7.84</v>
      </c>
      <c r="K5608" s="11" t="n">
        <v>0.05</v>
      </c>
      <c r="L5608" s="10">
        <f>I5608*J5608*(1-K5608)</f>
        <v/>
      </c>
      <c r="M5608" s="10" t="n">
        <v>22.4</v>
      </c>
      <c r="N5608" s="10">
        <f>L5608-M5608</f>
        <v/>
      </c>
    </row>
    <row r="5609">
      <c r="A5609" s="7" t="inlineStr">
        <is>
          <t>ORD-01951</t>
        </is>
      </c>
      <c r="B5609" s="8" t="n">
        <v>45993</v>
      </c>
      <c r="C5609" s="9" t="n">
        <v>45992</v>
      </c>
      <c r="D5609" s="7" t="n">
        <v>2025</v>
      </c>
      <c r="E5609" s="7" t="inlineStr">
        <is>
          <t>South</t>
        </is>
      </c>
      <c r="F5609" s="7" t="inlineStr">
        <is>
          <t>Office Supplies</t>
        </is>
      </c>
      <c r="G5609" s="7" t="inlineStr">
        <is>
          <t>Pens</t>
        </is>
      </c>
      <c r="H5609" s="7" t="inlineStr">
        <is>
          <t>Home Office</t>
        </is>
      </c>
      <c r="I5609" s="7" t="n">
        <v>13</v>
      </c>
      <c r="J5609" s="10" t="n">
        <v>12.15</v>
      </c>
      <c r="K5609" s="11" t="n">
        <v>0.2</v>
      </c>
      <c r="L5609" s="10">
        <f>I5609*J5609*(1-K5609)</f>
        <v/>
      </c>
      <c r="M5609" s="10" t="n">
        <v>70.2</v>
      </c>
      <c r="N5609" s="10">
        <f>L5609-M5609</f>
        <v/>
      </c>
    </row>
    <row r="5610">
      <c r="A5610" s="7" t="inlineStr">
        <is>
          <t>ORD-00170</t>
        </is>
      </c>
      <c r="B5610" s="8" t="n">
        <v>45993</v>
      </c>
      <c r="C5610" s="9" t="n">
        <v>45992</v>
      </c>
      <c r="D5610" s="7" t="n">
        <v>2025</v>
      </c>
      <c r="E5610" s="7" t="inlineStr">
        <is>
          <t>South</t>
        </is>
      </c>
      <c r="F5610" s="7" t="inlineStr">
        <is>
          <t>Office Supplies</t>
        </is>
      </c>
      <c r="G5610" s="7" t="inlineStr">
        <is>
          <t>Pens</t>
        </is>
      </c>
      <c r="H5610" s="7" t="inlineStr">
        <is>
          <t>Corporate</t>
        </is>
      </c>
      <c r="I5610" s="7" t="n">
        <v>6</v>
      </c>
      <c r="J5610" s="10" t="n">
        <v>12.49</v>
      </c>
      <c r="K5610" s="11" t="n">
        <v>0.05</v>
      </c>
      <c r="L5610" s="10">
        <f>I5610*J5610*(1-K5610)</f>
        <v/>
      </c>
      <c r="M5610" s="10" t="n">
        <v>32.4</v>
      </c>
      <c r="N5610" s="10">
        <f>L5610-M5610</f>
        <v/>
      </c>
    </row>
    <row r="5611">
      <c r="A5611" s="7" t="inlineStr">
        <is>
          <t>ORD-00965</t>
        </is>
      </c>
      <c r="B5611" s="8" t="n">
        <v>45993</v>
      </c>
      <c r="C5611" s="9" t="n">
        <v>45992</v>
      </c>
      <c r="D5611" s="7" t="n">
        <v>2025</v>
      </c>
      <c r="E5611" s="7" t="inlineStr">
        <is>
          <t>West</t>
        </is>
      </c>
      <c r="F5611" s="7" t="inlineStr">
        <is>
          <t>Office Supplies</t>
        </is>
      </c>
      <c r="G5611" s="7" t="inlineStr">
        <is>
          <t>Paper</t>
        </is>
      </c>
      <c r="H5611" s="7" t="inlineStr">
        <is>
          <t>Consumer</t>
        </is>
      </c>
      <c r="I5611" s="7" t="n">
        <v>8</v>
      </c>
      <c r="J5611" s="10" t="n">
        <v>25.05</v>
      </c>
      <c r="K5611" s="11" t="n">
        <v>0</v>
      </c>
      <c r="L5611" s="10">
        <f>I5611*J5611*(1-K5611)</f>
        <v/>
      </c>
      <c r="M5611" s="10" t="n">
        <v>100</v>
      </c>
      <c r="N5611" s="10">
        <f>L5611-M5611</f>
        <v/>
      </c>
    </row>
    <row r="5612">
      <c r="A5612" s="7" t="inlineStr">
        <is>
          <t>ORD-03688</t>
        </is>
      </c>
      <c r="B5612" s="8" t="n">
        <v>45993</v>
      </c>
      <c r="C5612" s="9" t="n">
        <v>45992</v>
      </c>
      <c r="D5612" s="7" t="n">
        <v>2025</v>
      </c>
      <c r="E5612" s="7" t="inlineStr">
        <is>
          <t>North</t>
        </is>
      </c>
      <c r="F5612" s="7" t="inlineStr">
        <is>
          <t>Office Supplies</t>
        </is>
      </c>
      <c r="G5612" s="7" t="inlineStr">
        <is>
          <t>Pens</t>
        </is>
      </c>
      <c r="H5612" s="7" t="inlineStr">
        <is>
          <t>Consumer</t>
        </is>
      </c>
      <c r="I5612" s="7" t="n">
        <v>6</v>
      </c>
      <c r="J5612" s="10" t="n">
        <v>12.02</v>
      </c>
      <c r="K5612" s="11" t="n">
        <v>0.1</v>
      </c>
      <c r="L5612" s="10">
        <f>I5612*J5612*(1-K5612)</f>
        <v/>
      </c>
      <c r="M5612" s="10" t="n">
        <v>32.4</v>
      </c>
      <c r="N5612" s="10">
        <f>L5612-M5612</f>
        <v/>
      </c>
    </row>
    <row r="5613">
      <c r="A5613" s="7" t="inlineStr">
        <is>
          <t>ORD-05366</t>
        </is>
      </c>
      <c r="B5613" s="8" t="n">
        <v>45993</v>
      </c>
      <c r="C5613" s="9" t="n">
        <v>45992</v>
      </c>
      <c r="D5613" s="7" t="n">
        <v>2025</v>
      </c>
      <c r="E5613" s="7" t="inlineStr">
        <is>
          <t>North</t>
        </is>
      </c>
      <c r="F5613" s="7" t="inlineStr">
        <is>
          <t>Office Supplies</t>
        </is>
      </c>
      <c r="G5613" s="7" t="inlineStr">
        <is>
          <t>Pens</t>
        </is>
      </c>
      <c r="H5613" s="7" t="inlineStr">
        <is>
          <t>Consumer</t>
        </is>
      </c>
      <c r="I5613" s="7" t="n">
        <v>12</v>
      </c>
      <c r="J5613" s="10" t="n">
        <v>12.17</v>
      </c>
      <c r="K5613" s="11" t="n">
        <v>0</v>
      </c>
      <c r="L5613" s="10">
        <f>I5613*J5613*(1-K5613)</f>
        <v/>
      </c>
      <c r="M5613" s="10" t="n">
        <v>64.8</v>
      </c>
      <c r="N5613" s="10">
        <f>L5613-M5613</f>
        <v/>
      </c>
    </row>
    <row r="5614">
      <c r="A5614" s="7" t="inlineStr">
        <is>
          <t>ORD-01920</t>
        </is>
      </c>
      <c r="B5614" s="8" t="n">
        <v>45994</v>
      </c>
      <c r="C5614" s="9" t="n">
        <v>45992</v>
      </c>
      <c r="D5614" s="7" t="n">
        <v>2025</v>
      </c>
      <c r="E5614" s="7" t="inlineStr">
        <is>
          <t>East</t>
        </is>
      </c>
      <c r="F5614" s="7" t="inlineStr">
        <is>
          <t>Office Supplies</t>
        </is>
      </c>
      <c r="G5614" s="7" t="inlineStr">
        <is>
          <t>Stapler</t>
        </is>
      </c>
      <c r="H5614" s="7" t="inlineStr">
        <is>
          <t>Home Office</t>
        </is>
      </c>
      <c r="I5614" s="7" t="n">
        <v>2</v>
      </c>
      <c r="J5614" s="10" t="n">
        <v>14.35</v>
      </c>
      <c r="K5614" s="11" t="n">
        <v>0.05</v>
      </c>
      <c r="L5614" s="10">
        <f>I5614*J5614*(1-K5614)</f>
        <v/>
      </c>
      <c r="M5614" s="10" t="n">
        <v>15</v>
      </c>
      <c r="N5614" s="10">
        <f>L5614-M5614</f>
        <v/>
      </c>
    </row>
    <row r="5615">
      <c r="A5615" s="7" t="inlineStr">
        <is>
          <t>ORD-03878</t>
        </is>
      </c>
      <c r="B5615" s="8" t="n">
        <v>45994</v>
      </c>
      <c r="C5615" s="9" t="n">
        <v>45992</v>
      </c>
      <c r="D5615" s="7" t="n">
        <v>2025</v>
      </c>
      <c r="E5615" s="7" t="inlineStr">
        <is>
          <t>North</t>
        </is>
      </c>
      <c r="F5615" s="7" t="inlineStr">
        <is>
          <t>Technology</t>
        </is>
      </c>
      <c r="G5615" s="7" t="inlineStr">
        <is>
          <t>Monitor</t>
        </is>
      </c>
      <c r="H5615" s="7" t="inlineStr">
        <is>
          <t>Home Office</t>
        </is>
      </c>
      <c r="I5615" s="7" t="n">
        <v>3</v>
      </c>
      <c r="J5615" s="10" t="n">
        <v>242.12</v>
      </c>
      <c r="K5615" s="11" t="n">
        <v>0.05</v>
      </c>
      <c r="L5615" s="10">
        <f>I5615*J5615*(1-K5615)</f>
        <v/>
      </c>
      <c r="M5615" s="10" t="n">
        <v>540</v>
      </c>
      <c r="N5615" s="10">
        <f>L5615-M5615</f>
        <v/>
      </c>
    </row>
    <row r="5616">
      <c r="A5616" s="7" t="inlineStr">
        <is>
          <t>ORD-01061</t>
        </is>
      </c>
      <c r="B5616" s="8" t="n">
        <v>45994</v>
      </c>
      <c r="C5616" s="9" t="n">
        <v>45992</v>
      </c>
      <c r="D5616" s="7" t="n">
        <v>2025</v>
      </c>
      <c r="E5616" s="7" t="inlineStr">
        <is>
          <t>West</t>
        </is>
      </c>
      <c r="F5616" s="7" t="inlineStr">
        <is>
          <t>Office Supplies</t>
        </is>
      </c>
      <c r="G5616" s="7" t="inlineStr">
        <is>
          <t>Paper</t>
        </is>
      </c>
      <c r="H5616" s="7" t="inlineStr">
        <is>
          <t>Consumer</t>
        </is>
      </c>
      <c r="I5616" s="7" t="n">
        <v>7</v>
      </c>
      <c r="J5616" s="10" t="n">
        <v>26.02</v>
      </c>
      <c r="K5616" s="11" t="n">
        <v>0.05</v>
      </c>
      <c r="L5616" s="10">
        <f>I5616*J5616*(1-K5616)</f>
        <v/>
      </c>
      <c r="M5616" s="10" t="n">
        <v>87.5</v>
      </c>
      <c r="N5616" s="10">
        <f>L5616-M5616</f>
        <v/>
      </c>
    </row>
    <row r="5617">
      <c r="A5617" s="7" t="inlineStr">
        <is>
          <t>ORD-04058</t>
        </is>
      </c>
      <c r="B5617" s="8" t="n">
        <v>45994</v>
      </c>
      <c r="C5617" s="9" t="n">
        <v>45992</v>
      </c>
      <c r="D5617" s="7" t="n">
        <v>2025</v>
      </c>
      <c r="E5617" s="7" t="inlineStr">
        <is>
          <t>East</t>
        </is>
      </c>
      <c r="F5617" s="7" t="inlineStr">
        <is>
          <t>Office Supplies</t>
        </is>
      </c>
      <c r="G5617" s="7" t="inlineStr">
        <is>
          <t>Pens</t>
        </is>
      </c>
      <c r="H5617" s="7" t="inlineStr">
        <is>
          <t>Corporate</t>
        </is>
      </c>
      <c r="I5617" s="7" t="n">
        <v>5</v>
      </c>
      <c r="J5617" s="10" t="n">
        <v>12.58</v>
      </c>
      <c r="K5617" s="11" t="n">
        <v>0.2</v>
      </c>
      <c r="L5617" s="10">
        <f>I5617*J5617*(1-K5617)</f>
        <v/>
      </c>
      <c r="M5617" s="10" t="n">
        <v>27</v>
      </c>
      <c r="N5617" s="10">
        <f>L5617-M5617</f>
        <v/>
      </c>
    </row>
    <row r="5618">
      <c r="A5618" s="7" t="inlineStr">
        <is>
          <t>ORD-03237</t>
        </is>
      </c>
      <c r="B5618" s="8" t="n">
        <v>45994</v>
      </c>
      <c r="C5618" s="9" t="n">
        <v>45992</v>
      </c>
      <c r="D5618" s="7" t="n">
        <v>2025</v>
      </c>
      <c r="E5618" s="7" t="inlineStr">
        <is>
          <t>East</t>
        </is>
      </c>
      <c r="F5618" s="7" t="inlineStr">
        <is>
          <t>Furniture</t>
        </is>
      </c>
      <c r="G5618" s="7" t="inlineStr">
        <is>
          <t>Bookcase</t>
        </is>
      </c>
      <c r="H5618" s="7" t="inlineStr">
        <is>
          <t>Corporate</t>
        </is>
      </c>
      <c r="I5618" s="7" t="n">
        <v>3</v>
      </c>
      <c r="J5618" s="10" t="n">
        <v>177.79</v>
      </c>
      <c r="K5618" s="11" t="n">
        <v>0.3</v>
      </c>
      <c r="L5618" s="10">
        <f>I5618*J5618*(1-K5618)</f>
        <v/>
      </c>
      <c r="M5618" s="10" t="n">
        <v>432</v>
      </c>
      <c r="N5618" s="10">
        <f>L5618-M5618</f>
        <v/>
      </c>
    </row>
    <row r="5619">
      <c r="A5619" s="7" t="inlineStr">
        <is>
          <t>ORD-03380</t>
        </is>
      </c>
      <c r="B5619" s="8" t="n">
        <v>45994</v>
      </c>
      <c r="C5619" s="9" t="n">
        <v>45992</v>
      </c>
      <c r="D5619" s="7" t="n">
        <v>2025</v>
      </c>
      <c r="E5619" s="7" t="inlineStr">
        <is>
          <t>West</t>
        </is>
      </c>
      <c r="F5619" s="7" t="inlineStr">
        <is>
          <t>Office Supplies</t>
        </is>
      </c>
      <c r="G5619" s="7" t="inlineStr">
        <is>
          <t>Printer Ink</t>
        </is>
      </c>
      <c r="H5619" s="7" t="inlineStr">
        <is>
          <t>Home Office</t>
        </is>
      </c>
      <c r="I5619" s="7" t="n">
        <v>15</v>
      </c>
      <c r="J5619" s="10" t="n">
        <v>62.22</v>
      </c>
      <c r="K5619" s="11" t="n">
        <v>0.2</v>
      </c>
      <c r="L5619" s="10">
        <f>I5619*J5619*(1-K5619)</f>
        <v/>
      </c>
      <c r="M5619" s="10" t="n">
        <v>540</v>
      </c>
      <c r="N5619" s="10">
        <f>L5619-M5619</f>
        <v/>
      </c>
    </row>
    <row r="5620">
      <c r="A5620" s="7" t="inlineStr">
        <is>
          <t>ORD-00916</t>
        </is>
      </c>
      <c r="B5620" s="8" t="n">
        <v>45994</v>
      </c>
      <c r="C5620" s="9" t="n">
        <v>45992</v>
      </c>
      <c r="D5620" s="7" t="n">
        <v>2025</v>
      </c>
      <c r="E5620" s="7" t="inlineStr">
        <is>
          <t>North</t>
        </is>
      </c>
      <c r="F5620" s="7" t="inlineStr">
        <is>
          <t>Technology</t>
        </is>
      </c>
      <c r="G5620" s="7" t="inlineStr">
        <is>
          <t>Monitor</t>
        </is>
      </c>
      <c r="H5620" s="7" t="inlineStr">
        <is>
          <t>Home Office</t>
        </is>
      </c>
      <c r="I5620" s="7" t="n">
        <v>2</v>
      </c>
      <c r="J5620" s="10" t="n">
        <v>254.98</v>
      </c>
      <c r="K5620" s="11" t="n">
        <v>0.1</v>
      </c>
      <c r="L5620" s="10">
        <f>I5620*J5620*(1-K5620)</f>
        <v/>
      </c>
      <c r="M5620" s="10" t="n">
        <v>360</v>
      </c>
      <c r="N5620" s="10">
        <f>L5620-M5620</f>
        <v/>
      </c>
    </row>
    <row r="5621">
      <c r="A5621" s="7" t="inlineStr">
        <is>
          <t>ORD-03971</t>
        </is>
      </c>
      <c r="B5621" s="8" t="n">
        <v>45994</v>
      </c>
      <c r="C5621" s="9" t="n">
        <v>45992</v>
      </c>
      <c r="D5621" s="7" t="n">
        <v>2025</v>
      </c>
      <c r="E5621" s="7" t="inlineStr">
        <is>
          <t>South</t>
        </is>
      </c>
      <c r="F5621" s="7" t="inlineStr">
        <is>
          <t>Office Supplies</t>
        </is>
      </c>
      <c r="G5621" s="7" t="inlineStr">
        <is>
          <t>Paper</t>
        </is>
      </c>
      <c r="H5621" s="7" t="inlineStr">
        <is>
          <t>Consumer</t>
        </is>
      </c>
      <c r="I5621" s="7" t="n">
        <v>7</v>
      </c>
      <c r="J5621" s="10" t="n">
        <v>24.79</v>
      </c>
      <c r="K5621" s="11" t="n">
        <v>0.2</v>
      </c>
      <c r="L5621" s="10">
        <f>I5621*J5621*(1-K5621)</f>
        <v/>
      </c>
      <c r="M5621" s="10" t="n">
        <v>87.5</v>
      </c>
      <c r="N5621" s="10">
        <f>L5621-M5621</f>
        <v/>
      </c>
    </row>
    <row r="5622">
      <c r="A5622" s="7" t="inlineStr">
        <is>
          <t>ORD-03101</t>
        </is>
      </c>
      <c r="B5622" s="8" t="n">
        <v>45994</v>
      </c>
      <c r="C5622" s="9" t="n">
        <v>45992</v>
      </c>
      <c r="D5622" s="7" t="n">
        <v>2025</v>
      </c>
      <c r="E5622" s="7" t="inlineStr">
        <is>
          <t>West</t>
        </is>
      </c>
      <c r="F5622" s="7" t="inlineStr">
        <is>
          <t>Technology</t>
        </is>
      </c>
      <c r="G5622" s="7" t="inlineStr">
        <is>
          <t>Smartphone</t>
        </is>
      </c>
      <c r="H5622" s="7" t="inlineStr">
        <is>
          <t>Corporate</t>
        </is>
      </c>
      <c r="I5622" s="7" t="n">
        <v>2</v>
      </c>
      <c r="J5622" s="10" t="n">
        <v>608.35</v>
      </c>
      <c r="K5622" s="11" t="n">
        <v>0.05</v>
      </c>
      <c r="L5622" s="10">
        <f>I5622*J5622*(1-K5622)</f>
        <v/>
      </c>
      <c r="M5622" s="10" t="n">
        <v>900</v>
      </c>
      <c r="N5622" s="10">
        <f>L5622-M5622</f>
        <v/>
      </c>
    </row>
    <row r="5623">
      <c r="A5623" s="7" t="inlineStr">
        <is>
          <t>ORD-02003</t>
        </is>
      </c>
      <c r="B5623" s="8" t="n">
        <v>45994</v>
      </c>
      <c r="C5623" s="9" t="n">
        <v>45992</v>
      </c>
      <c r="D5623" s="7" t="n">
        <v>2025</v>
      </c>
      <c r="E5623" s="7" t="inlineStr">
        <is>
          <t>West</t>
        </is>
      </c>
      <c r="F5623" s="7" t="inlineStr">
        <is>
          <t>Technology</t>
        </is>
      </c>
      <c r="G5623" s="7" t="inlineStr">
        <is>
          <t>Laptop</t>
        </is>
      </c>
      <c r="H5623" s="7" t="inlineStr">
        <is>
          <t>Corporate</t>
        </is>
      </c>
      <c r="I5623" s="7" t="n">
        <v>2</v>
      </c>
      <c r="J5623" s="10" t="n">
        <v>882.48</v>
      </c>
      <c r="K5623" s="11" t="n">
        <v>0</v>
      </c>
      <c r="L5623" s="10">
        <f>I5623*J5623*(1-K5623)</f>
        <v/>
      </c>
      <c r="M5623" s="10" t="n">
        <v>1404</v>
      </c>
      <c r="N5623" s="10">
        <f>L5623-M5623</f>
        <v/>
      </c>
    </row>
    <row r="5624">
      <c r="A5624" s="7" t="inlineStr">
        <is>
          <t>ORD-00967</t>
        </is>
      </c>
      <c r="B5624" s="8" t="n">
        <v>45994</v>
      </c>
      <c r="C5624" s="9" t="n">
        <v>45992</v>
      </c>
      <c r="D5624" s="7" t="n">
        <v>2025</v>
      </c>
      <c r="E5624" s="7" t="inlineStr">
        <is>
          <t>East</t>
        </is>
      </c>
      <c r="F5624" s="7" t="inlineStr">
        <is>
          <t>Office Supplies</t>
        </is>
      </c>
      <c r="G5624" s="7" t="inlineStr">
        <is>
          <t>Pens</t>
        </is>
      </c>
      <c r="H5624" s="7" t="inlineStr">
        <is>
          <t>Corporate</t>
        </is>
      </c>
      <c r="I5624" s="7" t="n">
        <v>2</v>
      </c>
      <c r="J5624" s="10" t="n">
        <v>11.44</v>
      </c>
      <c r="K5624" s="11" t="n">
        <v>0</v>
      </c>
      <c r="L5624" s="10">
        <f>I5624*J5624*(1-K5624)</f>
        <v/>
      </c>
      <c r="M5624" s="10" t="n">
        <v>10.8</v>
      </c>
      <c r="N5624" s="10">
        <f>L5624-M5624</f>
        <v/>
      </c>
    </row>
    <row r="5625">
      <c r="A5625" s="7" t="inlineStr">
        <is>
          <t>ORD-05748</t>
        </is>
      </c>
      <c r="B5625" s="8" t="n">
        <v>45994</v>
      </c>
      <c r="C5625" s="9" t="n">
        <v>45992</v>
      </c>
      <c r="D5625" s="7" t="n">
        <v>2025</v>
      </c>
      <c r="E5625" s="7" t="inlineStr">
        <is>
          <t>West</t>
        </is>
      </c>
      <c r="F5625" s="7" t="inlineStr">
        <is>
          <t>Technology</t>
        </is>
      </c>
      <c r="G5625" s="7" t="inlineStr">
        <is>
          <t>Smartphone</t>
        </is>
      </c>
      <c r="H5625" s="7" t="inlineStr">
        <is>
          <t>Corporate</t>
        </is>
      </c>
      <c r="I5625" s="7" t="n">
        <v>2</v>
      </c>
      <c r="J5625" s="10" t="n">
        <v>573.63</v>
      </c>
      <c r="K5625" s="11" t="n">
        <v>0.05</v>
      </c>
      <c r="L5625" s="10">
        <f>I5625*J5625*(1-K5625)</f>
        <v/>
      </c>
      <c r="M5625" s="10" t="n">
        <v>900</v>
      </c>
      <c r="N5625" s="10">
        <f>L5625-M5625</f>
        <v/>
      </c>
    </row>
    <row r="5626">
      <c r="A5626" s="7" t="inlineStr">
        <is>
          <t>ORD-00720</t>
        </is>
      </c>
      <c r="B5626" s="8" t="n">
        <v>45995</v>
      </c>
      <c r="C5626" s="9" t="n">
        <v>45992</v>
      </c>
      <c r="D5626" s="7" t="n">
        <v>2025</v>
      </c>
      <c r="E5626" s="7" t="inlineStr">
        <is>
          <t>East</t>
        </is>
      </c>
      <c r="F5626" s="7" t="inlineStr">
        <is>
          <t>Technology</t>
        </is>
      </c>
      <c r="G5626" s="7" t="inlineStr">
        <is>
          <t>Headphones</t>
        </is>
      </c>
      <c r="H5626" s="7" t="inlineStr">
        <is>
          <t>Consumer</t>
        </is>
      </c>
      <c r="I5626" s="7" t="n">
        <v>1</v>
      </c>
      <c r="J5626" s="10" t="n">
        <v>118.18</v>
      </c>
      <c r="K5626" s="11" t="n">
        <v>0.05</v>
      </c>
      <c r="L5626" s="10">
        <f>I5626*J5626*(1-K5626)</f>
        <v/>
      </c>
      <c r="M5626" s="10" t="n">
        <v>72</v>
      </c>
      <c r="N5626" s="10">
        <f>L5626-M5626</f>
        <v/>
      </c>
    </row>
    <row r="5627">
      <c r="A5627" s="7" t="inlineStr">
        <is>
          <t>ORD-00224</t>
        </is>
      </c>
      <c r="B5627" s="8" t="n">
        <v>45995</v>
      </c>
      <c r="C5627" s="9" t="n">
        <v>45992</v>
      </c>
      <c r="D5627" s="7" t="n">
        <v>2025</v>
      </c>
      <c r="E5627" s="7" t="inlineStr">
        <is>
          <t>West</t>
        </is>
      </c>
      <c r="F5627" s="7" t="inlineStr">
        <is>
          <t>Office Supplies</t>
        </is>
      </c>
      <c r="G5627" s="7" t="inlineStr">
        <is>
          <t>Printer Ink</t>
        </is>
      </c>
      <c r="H5627" s="7" t="inlineStr">
        <is>
          <t>Corporate</t>
        </is>
      </c>
      <c r="I5627" s="7" t="n">
        <v>2</v>
      </c>
      <c r="J5627" s="10" t="n">
        <v>61.9</v>
      </c>
      <c r="K5627" s="11" t="n">
        <v>0.05</v>
      </c>
      <c r="L5627" s="10">
        <f>I5627*J5627*(1-K5627)</f>
        <v/>
      </c>
      <c r="M5627" s="10" t="n">
        <v>72</v>
      </c>
      <c r="N5627" s="10">
        <f>L5627-M5627</f>
        <v/>
      </c>
    </row>
    <row r="5628">
      <c r="A5628" s="7" t="inlineStr">
        <is>
          <t>ORD-04794</t>
        </is>
      </c>
      <c r="B5628" s="8" t="n">
        <v>45995</v>
      </c>
      <c r="C5628" s="9" t="n">
        <v>45992</v>
      </c>
      <c r="D5628" s="7" t="n">
        <v>2025</v>
      </c>
      <c r="E5628" s="7" t="inlineStr">
        <is>
          <t>North</t>
        </is>
      </c>
      <c r="F5628" s="7" t="inlineStr">
        <is>
          <t>Office Supplies</t>
        </is>
      </c>
      <c r="G5628" s="7" t="inlineStr">
        <is>
          <t>Paper</t>
        </is>
      </c>
      <c r="H5628" s="7" t="inlineStr">
        <is>
          <t>Corporate</t>
        </is>
      </c>
      <c r="I5628" s="7" t="n">
        <v>12</v>
      </c>
      <c r="J5628" s="10" t="n">
        <v>25.15</v>
      </c>
      <c r="K5628" s="11" t="n">
        <v>0</v>
      </c>
      <c r="L5628" s="10">
        <f>I5628*J5628*(1-K5628)</f>
        <v/>
      </c>
      <c r="M5628" s="10" t="n">
        <v>150</v>
      </c>
      <c r="N5628" s="10">
        <f>L5628-M5628</f>
        <v/>
      </c>
    </row>
    <row r="5629">
      <c r="A5629" s="7" t="inlineStr">
        <is>
          <t>ORD-01518</t>
        </is>
      </c>
      <c r="B5629" s="8" t="n">
        <v>45995</v>
      </c>
      <c r="C5629" s="9" t="n">
        <v>45992</v>
      </c>
      <c r="D5629" s="7" t="n">
        <v>2025</v>
      </c>
      <c r="E5629" s="7" t="inlineStr">
        <is>
          <t>South</t>
        </is>
      </c>
      <c r="F5629" s="7" t="inlineStr">
        <is>
          <t>Technology</t>
        </is>
      </c>
      <c r="G5629" s="7" t="inlineStr">
        <is>
          <t>Headphones</t>
        </is>
      </c>
      <c r="H5629" s="7" t="inlineStr">
        <is>
          <t>Consumer</t>
        </is>
      </c>
      <c r="I5629" s="7" t="n">
        <v>1</v>
      </c>
      <c r="J5629" s="10" t="n">
        <v>121.99</v>
      </c>
      <c r="K5629" s="11" t="n">
        <v>0.2</v>
      </c>
      <c r="L5629" s="10">
        <f>I5629*J5629*(1-K5629)</f>
        <v/>
      </c>
      <c r="M5629" s="10" t="n">
        <v>72</v>
      </c>
      <c r="N5629" s="10">
        <f>L5629-M5629</f>
        <v/>
      </c>
    </row>
    <row r="5630">
      <c r="A5630" s="7" t="inlineStr">
        <is>
          <t>ORD-00892</t>
        </is>
      </c>
      <c r="B5630" s="8" t="n">
        <v>45995</v>
      </c>
      <c r="C5630" s="9" t="n">
        <v>45992</v>
      </c>
      <c r="D5630" s="7" t="n">
        <v>2025</v>
      </c>
      <c r="E5630" s="7" t="inlineStr">
        <is>
          <t>East</t>
        </is>
      </c>
      <c r="F5630" s="7" t="inlineStr">
        <is>
          <t>Office Supplies</t>
        </is>
      </c>
      <c r="G5630" s="7" t="inlineStr">
        <is>
          <t>Binder</t>
        </is>
      </c>
      <c r="H5630" s="7" t="inlineStr">
        <is>
          <t>Home Office</t>
        </is>
      </c>
      <c r="I5630" s="7" t="n">
        <v>8</v>
      </c>
      <c r="J5630" s="10" t="n">
        <v>7.85</v>
      </c>
      <c r="K5630" s="11" t="n">
        <v>0</v>
      </c>
      <c r="L5630" s="10">
        <f>I5630*J5630*(1-K5630)</f>
        <v/>
      </c>
      <c r="M5630" s="10" t="n">
        <v>25.6</v>
      </c>
      <c r="N5630" s="10">
        <f>L5630-M5630</f>
        <v/>
      </c>
    </row>
    <row r="5631">
      <c r="A5631" s="7" t="inlineStr">
        <is>
          <t>ORD-05529</t>
        </is>
      </c>
      <c r="B5631" s="8" t="n">
        <v>45995</v>
      </c>
      <c r="C5631" s="9" t="n">
        <v>45992</v>
      </c>
      <c r="D5631" s="7" t="n">
        <v>2025</v>
      </c>
      <c r="E5631" s="7" t="inlineStr">
        <is>
          <t>South</t>
        </is>
      </c>
      <c r="F5631" s="7" t="inlineStr">
        <is>
          <t>Office Supplies</t>
        </is>
      </c>
      <c r="G5631" s="7" t="inlineStr">
        <is>
          <t>Binder</t>
        </is>
      </c>
      <c r="H5631" s="7" t="inlineStr">
        <is>
          <t>Consumer</t>
        </is>
      </c>
      <c r="I5631" s="7" t="n">
        <v>10</v>
      </c>
      <c r="J5631" s="10" t="n">
        <v>7.89</v>
      </c>
      <c r="K5631" s="11" t="n">
        <v>0</v>
      </c>
      <c r="L5631" s="10">
        <f>I5631*J5631*(1-K5631)</f>
        <v/>
      </c>
      <c r="M5631" s="10" t="n">
        <v>32</v>
      </c>
      <c r="N5631" s="10">
        <f>L5631-M5631</f>
        <v/>
      </c>
    </row>
    <row r="5632">
      <c r="A5632" s="7" t="inlineStr">
        <is>
          <t>ORD-02824</t>
        </is>
      </c>
      <c r="B5632" s="8" t="n">
        <v>45995</v>
      </c>
      <c r="C5632" s="9" t="n">
        <v>45992</v>
      </c>
      <c r="D5632" s="7" t="n">
        <v>2025</v>
      </c>
      <c r="E5632" s="7" t="inlineStr">
        <is>
          <t>South</t>
        </is>
      </c>
      <c r="F5632" s="7" t="inlineStr">
        <is>
          <t>Office Supplies</t>
        </is>
      </c>
      <c r="G5632" s="7" t="inlineStr">
        <is>
          <t>Binder</t>
        </is>
      </c>
      <c r="H5632" s="7" t="inlineStr">
        <is>
          <t>Home Office</t>
        </is>
      </c>
      <c r="I5632" s="7" t="n">
        <v>14</v>
      </c>
      <c r="J5632" s="10" t="n">
        <v>7.87</v>
      </c>
      <c r="K5632" s="11" t="n">
        <v>0.2</v>
      </c>
      <c r="L5632" s="10">
        <f>I5632*J5632*(1-K5632)</f>
        <v/>
      </c>
      <c r="M5632" s="10" t="n">
        <v>44.8</v>
      </c>
      <c r="N5632" s="10">
        <f>L5632-M5632</f>
        <v/>
      </c>
    </row>
    <row r="5633">
      <c r="A5633" s="7" t="inlineStr">
        <is>
          <t>ORD-02949</t>
        </is>
      </c>
      <c r="B5633" s="8" t="n">
        <v>45996</v>
      </c>
      <c r="C5633" s="9" t="n">
        <v>45992</v>
      </c>
      <c r="D5633" s="7" t="n">
        <v>2025</v>
      </c>
      <c r="E5633" s="7" t="inlineStr">
        <is>
          <t>East</t>
        </is>
      </c>
      <c r="F5633" s="7" t="inlineStr">
        <is>
          <t>Technology</t>
        </is>
      </c>
      <c r="G5633" s="7" t="inlineStr">
        <is>
          <t>Smartphone</t>
        </is>
      </c>
      <c r="H5633" s="7" t="inlineStr">
        <is>
          <t>Home Office</t>
        </is>
      </c>
      <c r="I5633" s="7" t="n">
        <v>1</v>
      </c>
      <c r="J5633" s="10" t="n">
        <v>582.99</v>
      </c>
      <c r="K5633" s="11" t="n">
        <v>0</v>
      </c>
      <c r="L5633" s="10">
        <f>I5633*J5633*(1-K5633)</f>
        <v/>
      </c>
      <c r="M5633" s="10" t="n">
        <v>450</v>
      </c>
      <c r="N5633" s="10">
        <f>L5633-M5633</f>
        <v/>
      </c>
    </row>
    <row r="5634">
      <c r="A5634" s="7" t="inlineStr">
        <is>
          <t>ORD-02436</t>
        </is>
      </c>
      <c r="B5634" s="8" t="n">
        <v>45996</v>
      </c>
      <c r="C5634" s="9" t="n">
        <v>45992</v>
      </c>
      <c r="D5634" s="7" t="n">
        <v>2025</v>
      </c>
      <c r="E5634" s="7" t="inlineStr">
        <is>
          <t>South</t>
        </is>
      </c>
      <c r="F5634" s="7" t="inlineStr">
        <is>
          <t>Office Supplies</t>
        </is>
      </c>
      <c r="G5634" s="7" t="inlineStr">
        <is>
          <t>Paper</t>
        </is>
      </c>
      <c r="H5634" s="7" t="inlineStr">
        <is>
          <t>Corporate</t>
        </is>
      </c>
      <c r="I5634" s="7" t="n">
        <v>10</v>
      </c>
      <c r="J5634" s="10" t="n">
        <v>25.32</v>
      </c>
      <c r="K5634" s="11" t="n">
        <v>0.3</v>
      </c>
      <c r="L5634" s="10">
        <f>I5634*J5634*(1-K5634)</f>
        <v/>
      </c>
      <c r="M5634" s="10" t="n">
        <v>125</v>
      </c>
      <c r="N5634" s="10">
        <f>L5634-M5634</f>
        <v/>
      </c>
    </row>
    <row r="5635">
      <c r="A5635" s="7" t="inlineStr">
        <is>
          <t>ORD-05271</t>
        </is>
      </c>
      <c r="B5635" s="8" t="n">
        <v>45996</v>
      </c>
      <c r="C5635" s="9" t="n">
        <v>45992</v>
      </c>
      <c r="D5635" s="7" t="n">
        <v>2025</v>
      </c>
      <c r="E5635" s="7" t="inlineStr">
        <is>
          <t>West</t>
        </is>
      </c>
      <c r="F5635" s="7" t="inlineStr">
        <is>
          <t>Technology</t>
        </is>
      </c>
      <c r="G5635" s="7" t="inlineStr">
        <is>
          <t>Laptop</t>
        </is>
      </c>
      <c r="H5635" s="7" t="inlineStr">
        <is>
          <t>Consumer</t>
        </is>
      </c>
      <c r="I5635" s="7" t="n">
        <v>2</v>
      </c>
      <c r="J5635" s="10" t="n">
        <v>913.26</v>
      </c>
      <c r="K5635" s="11" t="n">
        <v>0.3</v>
      </c>
      <c r="L5635" s="10">
        <f>I5635*J5635*(1-K5635)</f>
        <v/>
      </c>
      <c r="M5635" s="10" t="n">
        <v>1404</v>
      </c>
      <c r="N5635" s="10">
        <f>L5635-M5635</f>
        <v/>
      </c>
    </row>
    <row r="5636">
      <c r="A5636" s="7" t="inlineStr">
        <is>
          <t>ORD-04259</t>
        </is>
      </c>
      <c r="B5636" s="8" t="n">
        <v>45996</v>
      </c>
      <c r="C5636" s="9" t="n">
        <v>45992</v>
      </c>
      <c r="D5636" s="7" t="n">
        <v>2025</v>
      </c>
      <c r="E5636" s="7" t="inlineStr">
        <is>
          <t>East</t>
        </is>
      </c>
      <c r="F5636" s="7" t="inlineStr">
        <is>
          <t>Technology</t>
        </is>
      </c>
      <c r="G5636" s="7" t="inlineStr">
        <is>
          <t>Laptop</t>
        </is>
      </c>
      <c r="H5636" s="7" t="inlineStr">
        <is>
          <t>Home Office</t>
        </is>
      </c>
      <c r="I5636" s="7" t="n">
        <v>3</v>
      </c>
      <c r="J5636" s="10" t="n">
        <v>934.21</v>
      </c>
      <c r="K5636" s="11" t="n">
        <v>0</v>
      </c>
      <c r="L5636" s="10">
        <f>I5636*J5636*(1-K5636)</f>
        <v/>
      </c>
      <c r="M5636" s="10" t="n">
        <v>2106</v>
      </c>
      <c r="N5636" s="10">
        <f>L5636-M5636</f>
        <v/>
      </c>
    </row>
    <row r="5637">
      <c r="A5637" s="7" t="inlineStr">
        <is>
          <t>ORD-05281</t>
        </is>
      </c>
      <c r="B5637" s="8" t="n">
        <v>45996</v>
      </c>
      <c r="C5637" s="9" t="n">
        <v>45992</v>
      </c>
      <c r="D5637" s="7" t="n">
        <v>2025</v>
      </c>
      <c r="E5637" s="7" t="inlineStr">
        <is>
          <t>West</t>
        </is>
      </c>
      <c r="F5637" s="7" t="inlineStr">
        <is>
          <t>Office Supplies</t>
        </is>
      </c>
      <c r="G5637" s="7" t="inlineStr">
        <is>
          <t>Paper</t>
        </is>
      </c>
      <c r="H5637" s="7" t="inlineStr">
        <is>
          <t>Consumer</t>
        </is>
      </c>
      <c r="I5637" s="7" t="n">
        <v>8</v>
      </c>
      <c r="J5637" s="10" t="n">
        <v>25.67</v>
      </c>
      <c r="K5637" s="11" t="n">
        <v>0.05</v>
      </c>
      <c r="L5637" s="10">
        <f>I5637*J5637*(1-K5637)</f>
        <v/>
      </c>
      <c r="M5637" s="10" t="n">
        <v>100</v>
      </c>
      <c r="N5637" s="10">
        <f>L5637-M5637</f>
        <v/>
      </c>
    </row>
    <row r="5638">
      <c r="A5638" s="7" t="inlineStr">
        <is>
          <t>ORD-00342</t>
        </is>
      </c>
      <c r="B5638" s="8" t="n">
        <v>45997</v>
      </c>
      <c r="C5638" s="9" t="n">
        <v>45992</v>
      </c>
      <c r="D5638" s="7" t="n">
        <v>2025</v>
      </c>
      <c r="E5638" s="7" t="inlineStr">
        <is>
          <t>North</t>
        </is>
      </c>
      <c r="F5638" s="7" t="inlineStr">
        <is>
          <t>Office Supplies</t>
        </is>
      </c>
      <c r="G5638" s="7" t="inlineStr">
        <is>
          <t>Pens</t>
        </is>
      </c>
      <c r="H5638" s="7" t="inlineStr">
        <is>
          <t>Home Office</t>
        </is>
      </c>
      <c r="I5638" s="7" t="n">
        <v>7</v>
      </c>
      <c r="J5638" s="10" t="n">
        <v>11.45</v>
      </c>
      <c r="K5638" s="11" t="n">
        <v>0.1</v>
      </c>
      <c r="L5638" s="10">
        <f>I5638*J5638*(1-K5638)</f>
        <v/>
      </c>
      <c r="M5638" s="10" t="n">
        <v>37.8</v>
      </c>
      <c r="N5638" s="10">
        <f>L5638-M5638</f>
        <v/>
      </c>
    </row>
    <row r="5639">
      <c r="A5639" s="7" t="inlineStr">
        <is>
          <t>ORD-00137</t>
        </is>
      </c>
      <c r="B5639" s="8" t="n">
        <v>45997</v>
      </c>
      <c r="C5639" s="9" t="n">
        <v>45992</v>
      </c>
      <c r="D5639" s="7" t="n">
        <v>2025</v>
      </c>
      <c r="E5639" s="7" t="inlineStr">
        <is>
          <t>North</t>
        </is>
      </c>
      <c r="F5639" s="7" t="inlineStr">
        <is>
          <t>Furniture</t>
        </is>
      </c>
      <c r="G5639" s="7" t="inlineStr">
        <is>
          <t>Office Chair</t>
        </is>
      </c>
      <c r="H5639" s="7" t="inlineStr">
        <is>
          <t>Consumer</t>
        </is>
      </c>
      <c r="I5639" s="7" t="n">
        <v>3</v>
      </c>
      <c r="J5639" s="10" t="n">
        <v>217.92</v>
      </c>
      <c r="K5639" s="11" t="n">
        <v>0</v>
      </c>
      <c r="L5639" s="10">
        <f>I5639*J5639*(1-K5639)</f>
        <v/>
      </c>
      <c r="M5639" s="10" t="n">
        <v>541.2</v>
      </c>
      <c r="N5639" s="10">
        <f>L5639-M5639</f>
        <v/>
      </c>
    </row>
    <row r="5640">
      <c r="A5640" s="7" t="inlineStr">
        <is>
          <t>ORD-00905</t>
        </is>
      </c>
      <c r="B5640" s="8" t="n">
        <v>45997</v>
      </c>
      <c r="C5640" s="9" t="n">
        <v>45992</v>
      </c>
      <c r="D5640" s="7" t="n">
        <v>2025</v>
      </c>
      <c r="E5640" s="7" t="inlineStr">
        <is>
          <t>East</t>
        </is>
      </c>
      <c r="F5640" s="7" t="inlineStr">
        <is>
          <t>Furniture</t>
        </is>
      </c>
      <c r="G5640" s="7" t="inlineStr">
        <is>
          <t>Bookcase</t>
        </is>
      </c>
      <c r="H5640" s="7" t="inlineStr">
        <is>
          <t>Consumer</t>
        </is>
      </c>
      <c r="I5640" s="7" t="n">
        <v>2</v>
      </c>
      <c r="J5640" s="10" t="n">
        <v>171.52</v>
      </c>
      <c r="K5640" s="11" t="n">
        <v>0.05</v>
      </c>
      <c r="L5640" s="10">
        <f>I5640*J5640*(1-K5640)</f>
        <v/>
      </c>
      <c r="M5640" s="10" t="n">
        <v>288</v>
      </c>
      <c r="N5640" s="10">
        <f>L5640-M5640</f>
        <v/>
      </c>
    </row>
    <row r="5641">
      <c r="A5641" s="7" t="inlineStr">
        <is>
          <t>ORD-04261</t>
        </is>
      </c>
      <c r="B5641" s="8" t="n">
        <v>45997</v>
      </c>
      <c r="C5641" s="9" t="n">
        <v>45992</v>
      </c>
      <c r="D5641" s="7" t="n">
        <v>2025</v>
      </c>
      <c r="E5641" s="7" t="inlineStr">
        <is>
          <t>North</t>
        </is>
      </c>
      <c r="F5641" s="7" t="inlineStr">
        <is>
          <t>Office Supplies</t>
        </is>
      </c>
      <c r="G5641" s="7" t="inlineStr">
        <is>
          <t>Paper</t>
        </is>
      </c>
      <c r="H5641" s="7" t="inlineStr">
        <is>
          <t>Consumer</t>
        </is>
      </c>
      <c r="I5641" s="7" t="n">
        <v>14</v>
      </c>
      <c r="J5641" s="10" t="n">
        <v>24.07</v>
      </c>
      <c r="K5641" s="11" t="n">
        <v>0</v>
      </c>
      <c r="L5641" s="10">
        <f>I5641*J5641*(1-K5641)</f>
        <v/>
      </c>
      <c r="M5641" s="10" t="n">
        <v>175</v>
      </c>
      <c r="N5641" s="10">
        <f>L5641-M5641</f>
        <v/>
      </c>
    </row>
    <row r="5642">
      <c r="A5642" s="7" t="inlineStr">
        <is>
          <t>ORD-03952</t>
        </is>
      </c>
      <c r="B5642" s="8" t="n">
        <v>45997</v>
      </c>
      <c r="C5642" s="9" t="n">
        <v>45992</v>
      </c>
      <c r="D5642" s="7" t="n">
        <v>2025</v>
      </c>
      <c r="E5642" s="7" t="inlineStr">
        <is>
          <t>North</t>
        </is>
      </c>
      <c r="F5642" s="7" t="inlineStr">
        <is>
          <t>Furniture</t>
        </is>
      </c>
      <c r="G5642" s="7" t="inlineStr">
        <is>
          <t>Office Chair</t>
        </is>
      </c>
      <c r="H5642" s="7" t="inlineStr">
        <is>
          <t>Consumer</t>
        </is>
      </c>
      <c r="I5642" s="7" t="n">
        <v>3</v>
      </c>
      <c r="J5642" s="10" t="n">
        <v>228.62</v>
      </c>
      <c r="K5642" s="11" t="n">
        <v>0.3</v>
      </c>
      <c r="L5642" s="10">
        <f>I5642*J5642*(1-K5642)</f>
        <v/>
      </c>
      <c r="M5642" s="10" t="n">
        <v>541.2</v>
      </c>
      <c r="N5642" s="10">
        <f>L5642-M5642</f>
        <v/>
      </c>
    </row>
    <row r="5643">
      <c r="A5643" s="7" t="inlineStr">
        <is>
          <t>ORD-02535</t>
        </is>
      </c>
      <c r="B5643" s="8" t="n">
        <v>45997</v>
      </c>
      <c r="C5643" s="9" t="n">
        <v>45992</v>
      </c>
      <c r="D5643" s="7" t="n">
        <v>2025</v>
      </c>
      <c r="E5643" s="7" t="inlineStr">
        <is>
          <t>South</t>
        </is>
      </c>
      <c r="F5643" s="7" t="inlineStr">
        <is>
          <t>Office Supplies</t>
        </is>
      </c>
      <c r="G5643" s="7" t="inlineStr">
        <is>
          <t>Paper</t>
        </is>
      </c>
      <c r="H5643" s="7" t="inlineStr">
        <is>
          <t>Home Office</t>
        </is>
      </c>
      <c r="I5643" s="7" t="n">
        <v>9</v>
      </c>
      <c r="J5643" s="10" t="n">
        <v>25.03</v>
      </c>
      <c r="K5643" s="11" t="n">
        <v>0.3</v>
      </c>
      <c r="L5643" s="10">
        <f>I5643*J5643*(1-K5643)</f>
        <v/>
      </c>
      <c r="M5643" s="10" t="n">
        <v>112.5</v>
      </c>
      <c r="N5643" s="10">
        <f>L5643-M5643</f>
        <v/>
      </c>
    </row>
    <row r="5644">
      <c r="A5644" s="7" t="inlineStr">
        <is>
          <t>ORD-01385</t>
        </is>
      </c>
      <c r="B5644" s="8" t="n">
        <v>45997</v>
      </c>
      <c r="C5644" s="9" t="n">
        <v>45992</v>
      </c>
      <c r="D5644" s="7" t="n">
        <v>2025</v>
      </c>
      <c r="E5644" s="7" t="inlineStr">
        <is>
          <t>West</t>
        </is>
      </c>
      <c r="F5644" s="7" t="inlineStr">
        <is>
          <t>Technology</t>
        </is>
      </c>
      <c r="G5644" s="7" t="inlineStr">
        <is>
          <t>Laptop</t>
        </is>
      </c>
      <c r="H5644" s="7" t="inlineStr">
        <is>
          <t>Corporate</t>
        </is>
      </c>
      <c r="I5644" s="7" t="n">
        <v>3</v>
      </c>
      <c r="J5644" s="10" t="n">
        <v>903.36</v>
      </c>
      <c r="K5644" s="11" t="n">
        <v>0</v>
      </c>
      <c r="L5644" s="10">
        <f>I5644*J5644*(1-K5644)</f>
        <v/>
      </c>
      <c r="M5644" s="10" t="n">
        <v>2106</v>
      </c>
      <c r="N5644" s="10">
        <f>L5644-M5644</f>
        <v/>
      </c>
    </row>
    <row r="5645">
      <c r="A5645" s="7" t="inlineStr">
        <is>
          <t>ORD-02491</t>
        </is>
      </c>
      <c r="B5645" s="8" t="n">
        <v>45997</v>
      </c>
      <c r="C5645" s="9" t="n">
        <v>45992</v>
      </c>
      <c r="D5645" s="7" t="n">
        <v>2025</v>
      </c>
      <c r="E5645" s="7" t="inlineStr">
        <is>
          <t>West</t>
        </is>
      </c>
      <c r="F5645" s="7" t="inlineStr">
        <is>
          <t>Technology</t>
        </is>
      </c>
      <c r="G5645" s="7" t="inlineStr">
        <is>
          <t>Headphones</t>
        </is>
      </c>
      <c r="H5645" s="7" t="inlineStr">
        <is>
          <t>Corporate</t>
        </is>
      </c>
      <c r="I5645" s="7" t="n">
        <v>3</v>
      </c>
      <c r="J5645" s="10" t="n">
        <v>121.19</v>
      </c>
      <c r="K5645" s="11" t="n">
        <v>0.05</v>
      </c>
      <c r="L5645" s="10">
        <f>I5645*J5645*(1-K5645)</f>
        <v/>
      </c>
      <c r="M5645" s="10" t="n">
        <v>216</v>
      </c>
      <c r="N5645" s="10">
        <f>L5645-M5645</f>
        <v/>
      </c>
    </row>
    <row r="5646">
      <c r="A5646" s="7" t="inlineStr">
        <is>
          <t>ORD-03845</t>
        </is>
      </c>
      <c r="B5646" s="8" t="n">
        <v>45997</v>
      </c>
      <c r="C5646" s="9" t="n">
        <v>45992</v>
      </c>
      <c r="D5646" s="7" t="n">
        <v>2025</v>
      </c>
      <c r="E5646" s="7" t="inlineStr">
        <is>
          <t>West</t>
        </is>
      </c>
      <c r="F5646" s="7" t="inlineStr">
        <is>
          <t>Office Supplies</t>
        </is>
      </c>
      <c r="G5646" s="7" t="inlineStr">
        <is>
          <t>Pens</t>
        </is>
      </c>
      <c r="H5646" s="7" t="inlineStr">
        <is>
          <t>Home Office</t>
        </is>
      </c>
      <c r="I5646" s="7" t="n">
        <v>14</v>
      </c>
      <c r="J5646" s="10" t="n">
        <v>12.09</v>
      </c>
      <c r="K5646" s="11" t="n">
        <v>0.3</v>
      </c>
      <c r="L5646" s="10">
        <f>I5646*J5646*(1-K5646)</f>
        <v/>
      </c>
      <c r="M5646" s="10" t="n">
        <v>75.59999999999999</v>
      </c>
      <c r="N5646" s="10">
        <f>L5646-M5646</f>
        <v/>
      </c>
    </row>
    <row r="5647">
      <c r="A5647" s="7" t="inlineStr">
        <is>
          <t>ORD-03103</t>
        </is>
      </c>
      <c r="B5647" s="8" t="n">
        <v>45997</v>
      </c>
      <c r="C5647" s="9" t="n">
        <v>45992</v>
      </c>
      <c r="D5647" s="7" t="n">
        <v>2025</v>
      </c>
      <c r="E5647" s="7" t="inlineStr">
        <is>
          <t>East</t>
        </is>
      </c>
      <c r="F5647" s="7" t="inlineStr">
        <is>
          <t>Technology</t>
        </is>
      </c>
      <c r="G5647" s="7" t="inlineStr">
        <is>
          <t>Headphones</t>
        </is>
      </c>
      <c r="H5647" s="7" t="inlineStr">
        <is>
          <t>Corporate</t>
        </is>
      </c>
      <c r="I5647" s="7" t="n">
        <v>1</v>
      </c>
      <c r="J5647" s="10" t="n">
        <v>118.63</v>
      </c>
      <c r="K5647" s="11" t="n">
        <v>0.1</v>
      </c>
      <c r="L5647" s="10">
        <f>I5647*J5647*(1-K5647)</f>
        <v/>
      </c>
      <c r="M5647" s="10" t="n">
        <v>72</v>
      </c>
      <c r="N5647" s="10">
        <f>L5647-M5647</f>
        <v/>
      </c>
    </row>
    <row r="5648">
      <c r="A5648" s="7" t="inlineStr">
        <is>
          <t>ORD-03511</t>
        </is>
      </c>
      <c r="B5648" s="8" t="n">
        <v>45997</v>
      </c>
      <c r="C5648" s="9" t="n">
        <v>45992</v>
      </c>
      <c r="D5648" s="7" t="n">
        <v>2025</v>
      </c>
      <c r="E5648" s="7" t="inlineStr">
        <is>
          <t>East</t>
        </is>
      </c>
      <c r="F5648" s="7" t="inlineStr">
        <is>
          <t>Office Supplies</t>
        </is>
      </c>
      <c r="G5648" s="7" t="inlineStr">
        <is>
          <t>Stapler</t>
        </is>
      </c>
      <c r="H5648" s="7" t="inlineStr">
        <is>
          <t>Consumer</t>
        </is>
      </c>
      <c r="I5648" s="7" t="n">
        <v>7</v>
      </c>
      <c r="J5648" s="10" t="n">
        <v>14.94</v>
      </c>
      <c r="K5648" s="11" t="n">
        <v>0.05</v>
      </c>
      <c r="L5648" s="10">
        <f>I5648*J5648*(1-K5648)</f>
        <v/>
      </c>
      <c r="M5648" s="10" t="n">
        <v>52.5</v>
      </c>
      <c r="N5648" s="10">
        <f>L5648-M5648</f>
        <v/>
      </c>
    </row>
    <row r="5649">
      <c r="A5649" s="7" t="inlineStr">
        <is>
          <t>ORD-00527</t>
        </is>
      </c>
      <c r="B5649" s="8" t="n">
        <v>45997</v>
      </c>
      <c r="C5649" s="9" t="n">
        <v>45992</v>
      </c>
      <c r="D5649" s="7" t="n">
        <v>2025</v>
      </c>
      <c r="E5649" s="7" t="inlineStr">
        <is>
          <t>West</t>
        </is>
      </c>
      <c r="F5649" s="7" t="inlineStr">
        <is>
          <t>Technology</t>
        </is>
      </c>
      <c r="G5649" s="7" t="inlineStr">
        <is>
          <t>Monitor</t>
        </is>
      </c>
      <c r="H5649" s="7" t="inlineStr">
        <is>
          <t>Corporate</t>
        </is>
      </c>
      <c r="I5649" s="7" t="n">
        <v>2</v>
      </c>
      <c r="J5649" s="10" t="n">
        <v>244.51</v>
      </c>
      <c r="K5649" s="11" t="n">
        <v>0.05</v>
      </c>
      <c r="L5649" s="10">
        <f>I5649*J5649*(1-K5649)</f>
        <v/>
      </c>
      <c r="M5649" s="10" t="n">
        <v>360</v>
      </c>
      <c r="N5649" s="10">
        <f>L5649-M5649</f>
        <v/>
      </c>
    </row>
    <row r="5650">
      <c r="A5650" s="7" t="inlineStr">
        <is>
          <t>ORD-00688</t>
        </is>
      </c>
      <c r="B5650" s="8" t="n">
        <v>45997</v>
      </c>
      <c r="C5650" s="9" t="n">
        <v>45992</v>
      </c>
      <c r="D5650" s="7" t="n">
        <v>2025</v>
      </c>
      <c r="E5650" s="7" t="inlineStr">
        <is>
          <t>North</t>
        </is>
      </c>
      <c r="F5650" s="7" t="inlineStr">
        <is>
          <t>Office Supplies</t>
        </is>
      </c>
      <c r="G5650" s="7" t="inlineStr">
        <is>
          <t>Binder</t>
        </is>
      </c>
      <c r="H5650" s="7" t="inlineStr">
        <is>
          <t>Consumer</t>
        </is>
      </c>
      <c r="I5650" s="7" t="n">
        <v>15</v>
      </c>
      <c r="J5650" s="10" t="n">
        <v>8.19</v>
      </c>
      <c r="K5650" s="11" t="n">
        <v>0</v>
      </c>
      <c r="L5650" s="10">
        <f>I5650*J5650*(1-K5650)</f>
        <v/>
      </c>
      <c r="M5650" s="10" t="n">
        <v>48</v>
      </c>
      <c r="N5650" s="10">
        <f>L5650-M5650</f>
        <v/>
      </c>
    </row>
    <row r="5651">
      <c r="A5651" s="7" t="inlineStr">
        <is>
          <t>ORD-01744</t>
        </is>
      </c>
      <c r="B5651" s="8" t="n">
        <v>45997</v>
      </c>
      <c r="C5651" s="9" t="n">
        <v>45992</v>
      </c>
      <c r="D5651" s="7" t="n">
        <v>2025</v>
      </c>
      <c r="E5651" s="7" t="inlineStr">
        <is>
          <t>North</t>
        </is>
      </c>
      <c r="F5651" s="7" t="inlineStr">
        <is>
          <t>Technology</t>
        </is>
      </c>
      <c r="G5651" s="7" t="inlineStr">
        <is>
          <t>Headphones</t>
        </is>
      </c>
      <c r="H5651" s="7" t="inlineStr">
        <is>
          <t>Corporate</t>
        </is>
      </c>
      <c r="I5651" s="7" t="n">
        <v>3</v>
      </c>
      <c r="J5651" s="10" t="n">
        <v>120.71</v>
      </c>
      <c r="K5651" s="11" t="n">
        <v>0</v>
      </c>
      <c r="L5651" s="10">
        <f>I5651*J5651*(1-K5651)</f>
        <v/>
      </c>
      <c r="M5651" s="10" t="n">
        <v>216</v>
      </c>
      <c r="N5651" s="10">
        <f>L5651-M5651</f>
        <v/>
      </c>
    </row>
    <row r="5652">
      <c r="A5652" s="7" t="inlineStr">
        <is>
          <t>ORD-03787</t>
        </is>
      </c>
      <c r="B5652" s="8" t="n">
        <v>45998</v>
      </c>
      <c r="C5652" s="9" t="n">
        <v>45992</v>
      </c>
      <c r="D5652" s="7" t="n">
        <v>2025</v>
      </c>
      <c r="E5652" s="7" t="inlineStr">
        <is>
          <t>West</t>
        </is>
      </c>
      <c r="F5652" s="7" t="inlineStr">
        <is>
          <t>Technology</t>
        </is>
      </c>
      <c r="G5652" s="7" t="inlineStr">
        <is>
          <t>Keyboard</t>
        </is>
      </c>
      <c r="H5652" s="7" t="inlineStr">
        <is>
          <t>Home Office</t>
        </is>
      </c>
      <c r="I5652" s="7" t="n">
        <v>1</v>
      </c>
      <c r="J5652" s="10" t="n">
        <v>46.55</v>
      </c>
      <c r="K5652" s="11" t="n">
        <v>0</v>
      </c>
      <c r="L5652" s="10">
        <f>I5652*J5652*(1-K5652)</f>
        <v/>
      </c>
      <c r="M5652" s="10" t="n">
        <v>24.75</v>
      </c>
      <c r="N5652" s="10">
        <f>L5652-M5652</f>
        <v/>
      </c>
    </row>
    <row r="5653">
      <c r="A5653" s="7" t="inlineStr">
        <is>
          <t>ORD-01502</t>
        </is>
      </c>
      <c r="B5653" s="8" t="n">
        <v>45998</v>
      </c>
      <c r="C5653" s="9" t="n">
        <v>45992</v>
      </c>
      <c r="D5653" s="7" t="n">
        <v>2025</v>
      </c>
      <c r="E5653" s="7" t="inlineStr">
        <is>
          <t>South</t>
        </is>
      </c>
      <c r="F5653" s="7" t="inlineStr">
        <is>
          <t>Technology</t>
        </is>
      </c>
      <c r="G5653" s="7" t="inlineStr">
        <is>
          <t>Smartphone</t>
        </is>
      </c>
      <c r="H5653" s="7" t="inlineStr">
        <is>
          <t>Consumer</t>
        </is>
      </c>
      <c r="I5653" s="7" t="n">
        <v>1</v>
      </c>
      <c r="J5653" s="10" t="n">
        <v>626.45</v>
      </c>
      <c r="K5653" s="11" t="n">
        <v>0.2</v>
      </c>
      <c r="L5653" s="10">
        <f>I5653*J5653*(1-K5653)</f>
        <v/>
      </c>
      <c r="M5653" s="10" t="n">
        <v>450</v>
      </c>
      <c r="N5653" s="10">
        <f>L5653-M5653</f>
        <v/>
      </c>
    </row>
    <row r="5654">
      <c r="A5654" s="7" t="inlineStr">
        <is>
          <t>ORD-05445</t>
        </is>
      </c>
      <c r="B5654" s="8" t="n">
        <v>45998</v>
      </c>
      <c r="C5654" s="9" t="n">
        <v>45992</v>
      </c>
      <c r="D5654" s="7" t="n">
        <v>2025</v>
      </c>
      <c r="E5654" s="7" t="inlineStr">
        <is>
          <t>West</t>
        </is>
      </c>
      <c r="F5654" s="7" t="inlineStr">
        <is>
          <t>Technology</t>
        </is>
      </c>
      <c r="G5654" s="7" t="inlineStr">
        <is>
          <t>Monitor</t>
        </is>
      </c>
      <c r="H5654" s="7" t="inlineStr">
        <is>
          <t>Home Office</t>
        </is>
      </c>
      <c r="I5654" s="7" t="n">
        <v>2</v>
      </c>
      <c r="J5654" s="10" t="n">
        <v>251.12</v>
      </c>
      <c r="K5654" s="11" t="n">
        <v>0</v>
      </c>
      <c r="L5654" s="10">
        <f>I5654*J5654*(1-K5654)</f>
        <v/>
      </c>
      <c r="M5654" s="10" t="n">
        <v>360</v>
      </c>
      <c r="N5654" s="10">
        <f>L5654-M5654</f>
        <v/>
      </c>
    </row>
    <row r="5655">
      <c r="A5655" s="7" t="inlineStr">
        <is>
          <t>ORD-00724</t>
        </is>
      </c>
      <c r="B5655" s="8" t="n">
        <v>45998</v>
      </c>
      <c r="C5655" s="9" t="n">
        <v>45992</v>
      </c>
      <c r="D5655" s="7" t="n">
        <v>2025</v>
      </c>
      <c r="E5655" s="7" t="inlineStr">
        <is>
          <t>West</t>
        </is>
      </c>
      <c r="F5655" s="7" t="inlineStr">
        <is>
          <t>Office Supplies</t>
        </is>
      </c>
      <c r="G5655" s="7" t="inlineStr">
        <is>
          <t>Pens</t>
        </is>
      </c>
      <c r="H5655" s="7" t="inlineStr">
        <is>
          <t>Home Office</t>
        </is>
      </c>
      <c r="I5655" s="7" t="n">
        <v>13</v>
      </c>
      <c r="J5655" s="10" t="n">
        <v>11.51</v>
      </c>
      <c r="K5655" s="11" t="n">
        <v>0</v>
      </c>
      <c r="L5655" s="10">
        <f>I5655*J5655*(1-K5655)</f>
        <v/>
      </c>
      <c r="M5655" s="10" t="n">
        <v>70.2</v>
      </c>
      <c r="N5655" s="10">
        <f>L5655-M5655</f>
        <v/>
      </c>
    </row>
    <row r="5656">
      <c r="A5656" s="7" t="inlineStr">
        <is>
          <t>ORD-03271</t>
        </is>
      </c>
      <c r="B5656" s="8" t="n">
        <v>45998</v>
      </c>
      <c r="C5656" s="9" t="n">
        <v>45992</v>
      </c>
      <c r="D5656" s="7" t="n">
        <v>2025</v>
      </c>
      <c r="E5656" s="7" t="inlineStr">
        <is>
          <t>West</t>
        </is>
      </c>
      <c r="F5656" s="7" t="inlineStr">
        <is>
          <t>Furniture</t>
        </is>
      </c>
      <c r="G5656" s="7" t="inlineStr">
        <is>
          <t>Desk</t>
        </is>
      </c>
      <c r="H5656" s="7" t="inlineStr">
        <is>
          <t>Consumer</t>
        </is>
      </c>
      <c r="I5656" s="7" t="n">
        <v>2</v>
      </c>
      <c r="J5656" s="10" t="n">
        <v>464.84</v>
      </c>
      <c r="K5656" s="11" t="n">
        <v>0</v>
      </c>
      <c r="L5656" s="10">
        <f>I5656*J5656*(1-K5656)</f>
        <v/>
      </c>
      <c r="M5656" s="10" t="n">
        <v>765</v>
      </c>
      <c r="N5656" s="10">
        <f>L5656-M5656</f>
        <v/>
      </c>
    </row>
    <row r="5657">
      <c r="A5657" s="7" t="inlineStr">
        <is>
          <t>ORD-05418</t>
        </is>
      </c>
      <c r="B5657" s="8" t="n">
        <v>45998</v>
      </c>
      <c r="C5657" s="9" t="n">
        <v>45992</v>
      </c>
      <c r="D5657" s="7" t="n">
        <v>2025</v>
      </c>
      <c r="E5657" s="7" t="inlineStr">
        <is>
          <t>East</t>
        </is>
      </c>
      <c r="F5657" s="7" t="inlineStr">
        <is>
          <t>Office Supplies</t>
        </is>
      </c>
      <c r="G5657" s="7" t="inlineStr">
        <is>
          <t>Paper</t>
        </is>
      </c>
      <c r="H5657" s="7" t="inlineStr">
        <is>
          <t>Corporate</t>
        </is>
      </c>
      <c r="I5657" s="7" t="n">
        <v>15</v>
      </c>
      <c r="J5657" s="10" t="n">
        <v>25.31</v>
      </c>
      <c r="K5657" s="11" t="n">
        <v>0.1</v>
      </c>
      <c r="L5657" s="10">
        <f>I5657*J5657*(1-K5657)</f>
        <v/>
      </c>
      <c r="M5657" s="10" t="n">
        <v>187.5</v>
      </c>
      <c r="N5657" s="10">
        <f>L5657-M5657</f>
        <v/>
      </c>
    </row>
    <row r="5658">
      <c r="A5658" s="7" t="inlineStr">
        <is>
          <t>ORD-01699</t>
        </is>
      </c>
      <c r="B5658" s="8" t="n">
        <v>45998</v>
      </c>
      <c r="C5658" s="9" t="n">
        <v>45992</v>
      </c>
      <c r="D5658" s="7" t="n">
        <v>2025</v>
      </c>
      <c r="E5658" s="7" t="inlineStr">
        <is>
          <t>West</t>
        </is>
      </c>
      <c r="F5658" s="7" t="inlineStr">
        <is>
          <t>Technology</t>
        </is>
      </c>
      <c r="G5658" s="7" t="inlineStr">
        <is>
          <t>Smartphone</t>
        </is>
      </c>
      <c r="H5658" s="7" t="inlineStr">
        <is>
          <t>Consumer</t>
        </is>
      </c>
      <c r="I5658" s="7" t="n">
        <v>2</v>
      </c>
      <c r="J5658" s="10" t="n">
        <v>621.8200000000001</v>
      </c>
      <c r="K5658" s="11" t="n">
        <v>0</v>
      </c>
      <c r="L5658" s="10">
        <f>I5658*J5658*(1-K5658)</f>
        <v/>
      </c>
      <c r="M5658" s="10" t="n">
        <v>900</v>
      </c>
      <c r="N5658" s="10">
        <f>L5658-M5658</f>
        <v/>
      </c>
    </row>
    <row r="5659">
      <c r="A5659" s="7" t="inlineStr">
        <is>
          <t>ORD-05884</t>
        </is>
      </c>
      <c r="B5659" s="8" t="n">
        <v>45998</v>
      </c>
      <c r="C5659" s="9" t="n">
        <v>45992</v>
      </c>
      <c r="D5659" s="7" t="n">
        <v>2025</v>
      </c>
      <c r="E5659" s="7" t="inlineStr">
        <is>
          <t>North</t>
        </is>
      </c>
      <c r="F5659" s="7" t="inlineStr">
        <is>
          <t>Office Supplies</t>
        </is>
      </c>
      <c r="G5659" s="7" t="inlineStr">
        <is>
          <t>Paper</t>
        </is>
      </c>
      <c r="H5659" s="7" t="inlineStr">
        <is>
          <t>Consumer</t>
        </is>
      </c>
      <c r="I5659" s="7" t="n">
        <v>5</v>
      </c>
      <c r="J5659" s="10" t="n">
        <v>23.78</v>
      </c>
      <c r="K5659" s="11" t="n">
        <v>0</v>
      </c>
      <c r="L5659" s="10">
        <f>I5659*J5659*(1-K5659)</f>
        <v/>
      </c>
      <c r="M5659" s="10" t="n">
        <v>62.5</v>
      </c>
      <c r="N5659" s="10">
        <f>L5659-M5659</f>
        <v/>
      </c>
    </row>
    <row r="5660">
      <c r="A5660" s="7" t="inlineStr">
        <is>
          <t>ORD-02622</t>
        </is>
      </c>
      <c r="B5660" s="8" t="n">
        <v>45998</v>
      </c>
      <c r="C5660" s="9" t="n">
        <v>45992</v>
      </c>
      <c r="D5660" s="7" t="n">
        <v>2025</v>
      </c>
      <c r="E5660" s="7" t="inlineStr">
        <is>
          <t>South</t>
        </is>
      </c>
      <c r="F5660" s="7" t="inlineStr">
        <is>
          <t>Office Supplies</t>
        </is>
      </c>
      <c r="G5660" s="7" t="inlineStr">
        <is>
          <t>Binder</t>
        </is>
      </c>
      <c r="H5660" s="7" t="inlineStr">
        <is>
          <t>Corporate</t>
        </is>
      </c>
      <c r="I5660" s="7" t="n">
        <v>15</v>
      </c>
      <c r="J5660" s="10" t="n">
        <v>8.390000000000001</v>
      </c>
      <c r="K5660" s="11" t="n">
        <v>0</v>
      </c>
      <c r="L5660" s="10">
        <f>I5660*J5660*(1-K5660)</f>
        <v/>
      </c>
      <c r="M5660" s="10" t="n">
        <v>48</v>
      </c>
      <c r="N5660" s="10">
        <f>L5660-M5660</f>
        <v/>
      </c>
    </row>
    <row r="5661">
      <c r="A5661" s="7" t="inlineStr">
        <is>
          <t>ORD-01832</t>
        </is>
      </c>
      <c r="B5661" s="8" t="n">
        <v>45999</v>
      </c>
      <c r="C5661" s="9" t="n">
        <v>45992</v>
      </c>
      <c r="D5661" s="7" t="n">
        <v>2025</v>
      </c>
      <c r="E5661" s="7" t="inlineStr">
        <is>
          <t>South</t>
        </is>
      </c>
      <c r="F5661" s="7" t="inlineStr">
        <is>
          <t>Office Supplies</t>
        </is>
      </c>
      <c r="G5661" s="7" t="inlineStr">
        <is>
          <t>Stapler</t>
        </is>
      </c>
      <c r="H5661" s="7" t="inlineStr">
        <is>
          <t>Consumer</t>
        </is>
      </c>
      <c r="I5661" s="7" t="n">
        <v>9</v>
      </c>
      <c r="J5661" s="10" t="n">
        <v>14.57</v>
      </c>
      <c r="K5661" s="11" t="n">
        <v>0.2</v>
      </c>
      <c r="L5661" s="10">
        <f>I5661*J5661*(1-K5661)</f>
        <v/>
      </c>
      <c r="M5661" s="10" t="n">
        <v>67.5</v>
      </c>
      <c r="N5661" s="10">
        <f>L5661-M5661</f>
        <v/>
      </c>
    </row>
    <row r="5662">
      <c r="A5662" s="7" t="inlineStr">
        <is>
          <t>ORD-03727</t>
        </is>
      </c>
      <c r="B5662" s="8" t="n">
        <v>45999</v>
      </c>
      <c r="C5662" s="9" t="n">
        <v>45992</v>
      </c>
      <c r="D5662" s="7" t="n">
        <v>2025</v>
      </c>
      <c r="E5662" s="7" t="inlineStr">
        <is>
          <t>West</t>
        </is>
      </c>
      <c r="F5662" s="7" t="inlineStr">
        <is>
          <t>Office Supplies</t>
        </is>
      </c>
      <c r="G5662" s="7" t="inlineStr">
        <is>
          <t>Pens</t>
        </is>
      </c>
      <c r="H5662" s="7" t="inlineStr">
        <is>
          <t>Consumer</t>
        </is>
      </c>
      <c r="I5662" s="7" t="n">
        <v>4</v>
      </c>
      <c r="J5662" s="10" t="n">
        <v>12.22</v>
      </c>
      <c r="K5662" s="11" t="n">
        <v>0</v>
      </c>
      <c r="L5662" s="10">
        <f>I5662*J5662*(1-K5662)</f>
        <v/>
      </c>
      <c r="M5662" s="10" t="n">
        <v>21.6</v>
      </c>
      <c r="N5662" s="10">
        <f>L5662-M5662</f>
        <v/>
      </c>
    </row>
    <row r="5663">
      <c r="A5663" s="7" t="inlineStr">
        <is>
          <t>ORD-03772</t>
        </is>
      </c>
      <c r="B5663" s="8" t="n">
        <v>45999</v>
      </c>
      <c r="C5663" s="9" t="n">
        <v>45992</v>
      </c>
      <c r="D5663" s="7" t="n">
        <v>2025</v>
      </c>
      <c r="E5663" s="7" t="inlineStr">
        <is>
          <t>South</t>
        </is>
      </c>
      <c r="F5663" s="7" t="inlineStr">
        <is>
          <t>Furniture</t>
        </is>
      </c>
      <c r="G5663" s="7" t="inlineStr">
        <is>
          <t>Desk</t>
        </is>
      </c>
      <c r="H5663" s="7" t="inlineStr">
        <is>
          <t>Consumer</t>
        </is>
      </c>
      <c r="I5663" s="7" t="n">
        <v>1</v>
      </c>
      <c r="J5663" s="10" t="n">
        <v>448.57</v>
      </c>
      <c r="K5663" s="11" t="n">
        <v>0.3</v>
      </c>
      <c r="L5663" s="10">
        <f>I5663*J5663*(1-K5663)</f>
        <v/>
      </c>
      <c r="M5663" s="10" t="n">
        <v>382.5</v>
      </c>
      <c r="N5663" s="10">
        <f>L5663-M5663</f>
        <v/>
      </c>
    </row>
    <row r="5664">
      <c r="A5664" s="7" t="inlineStr">
        <is>
          <t>ORD-00100</t>
        </is>
      </c>
      <c r="B5664" s="8" t="n">
        <v>45999</v>
      </c>
      <c r="C5664" s="9" t="n">
        <v>45992</v>
      </c>
      <c r="D5664" s="7" t="n">
        <v>2025</v>
      </c>
      <c r="E5664" s="7" t="inlineStr">
        <is>
          <t>West</t>
        </is>
      </c>
      <c r="F5664" s="7" t="inlineStr">
        <is>
          <t>Furniture</t>
        </is>
      </c>
      <c r="G5664" s="7" t="inlineStr">
        <is>
          <t>Sofa</t>
        </is>
      </c>
      <c r="H5664" s="7" t="inlineStr">
        <is>
          <t>Corporate</t>
        </is>
      </c>
      <c r="I5664" s="7" t="n">
        <v>2</v>
      </c>
      <c r="J5664" s="10" t="n">
        <v>669.5599999999999</v>
      </c>
      <c r="K5664" s="11" t="n">
        <v>0.05</v>
      </c>
      <c r="L5664" s="10">
        <f>I5664*J5664*(1-K5664)</f>
        <v/>
      </c>
      <c r="M5664" s="10" t="n">
        <v>1232</v>
      </c>
      <c r="N5664" s="10">
        <f>L5664-M5664</f>
        <v/>
      </c>
    </row>
    <row r="5665">
      <c r="A5665" s="7" t="inlineStr">
        <is>
          <t>ORD-05911</t>
        </is>
      </c>
      <c r="B5665" s="8" t="n">
        <v>45999</v>
      </c>
      <c r="C5665" s="9" t="n">
        <v>45992</v>
      </c>
      <c r="D5665" s="7" t="n">
        <v>2025</v>
      </c>
      <c r="E5665" s="7" t="inlineStr">
        <is>
          <t>North</t>
        </is>
      </c>
      <c r="F5665" s="7" t="inlineStr">
        <is>
          <t>Office Supplies</t>
        </is>
      </c>
      <c r="G5665" s="7" t="inlineStr">
        <is>
          <t>Stapler</t>
        </is>
      </c>
      <c r="H5665" s="7" t="inlineStr">
        <is>
          <t>Corporate</t>
        </is>
      </c>
      <c r="I5665" s="7" t="n">
        <v>4</v>
      </c>
      <c r="J5665" s="10" t="n">
        <v>14.64</v>
      </c>
      <c r="K5665" s="11" t="n">
        <v>0.05</v>
      </c>
      <c r="L5665" s="10">
        <f>I5665*J5665*(1-K5665)</f>
        <v/>
      </c>
      <c r="M5665" s="10" t="n">
        <v>30</v>
      </c>
      <c r="N5665" s="10">
        <f>L5665-M5665</f>
        <v/>
      </c>
    </row>
    <row r="5666">
      <c r="A5666" s="7" t="inlineStr">
        <is>
          <t>ORD-00850</t>
        </is>
      </c>
      <c r="B5666" s="8" t="n">
        <v>45999</v>
      </c>
      <c r="C5666" s="9" t="n">
        <v>45992</v>
      </c>
      <c r="D5666" s="7" t="n">
        <v>2025</v>
      </c>
      <c r="E5666" s="7" t="inlineStr">
        <is>
          <t>North</t>
        </is>
      </c>
      <c r="F5666" s="7" t="inlineStr">
        <is>
          <t>Technology</t>
        </is>
      </c>
      <c r="G5666" s="7" t="inlineStr">
        <is>
          <t>Smartphone</t>
        </is>
      </c>
      <c r="H5666" s="7" t="inlineStr">
        <is>
          <t>Corporate</t>
        </is>
      </c>
      <c r="I5666" s="7" t="n">
        <v>1</v>
      </c>
      <c r="J5666" s="10" t="n">
        <v>583.17</v>
      </c>
      <c r="K5666" s="11" t="n">
        <v>0.2</v>
      </c>
      <c r="L5666" s="10">
        <f>I5666*J5666*(1-K5666)</f>
        <v/>
      </c>
      <c r="M5666" s="10" t="n">
        <v>450</v>
      </c>
      <c r="N5666" s="10">
        <f>L5666-M5666</f>
        <v/>
      </c>
    </row>
    <row r="5667">
      <c r="A5667" s="7" t="inlineStr">
        <is>
          <t>ORD-05541</t>
        </is>
      </c>
      <c r="B5667" s="8" t="n">
        <v>45999</v>
      </c>
      <c r="C5667" s="9" t="n">
        <v>45992</v>
      </c>
      <c r="D5667" s="7" t="n">
        <v>2025</v>
      </c>
      <c r="E5667" s="7" t="inlineStr">
        <is>
          <t>North</t>
        </is>
      </c>
      <c r="F5667" s="7" t="inlineStr">
        <is>
          <t>Office Supplies</t>
        </is>
      </c>
      <c r="G5667" s="7" t="inlineStr">
        <is>
          <t>Stapler</t>
        </is>
      </c>
      <c r="H5667" s="7" t="inlineStr">
        <is>
          <t>Home Office</t>
        </is>
      </c>
      <c r="I5667" s="7" t="n">
        <v>8</v>
      </c>
      <c r="J5667" s="10" t="n">
        <v>15.57</v>
      </c>
      <c r="K5667" s="11" t="n">
        <v>0.1</v>
      </c>
      <c r="L5667" s="10">
        <f>I5667*J5667*(1-K5667)</f>
        <v/>
      </c>
      <c r="M5667" s="10" t="n">
        <v>60</v>
      </c>
      <c r="N5667" s="10">
        <f>L5667-M5667</f>
        <v/>
      </c>
    </row>
    <row r="5668">
      <c r="A5668" s="7" t="inlineStr">
        <is>
          <t>ORD-04171</t>
        </is>
      </c>
      <c r="B5668" s="8" t="n">
        <v>45999</v>
      </c>
      <c r="C5668" s="9" t="n">
        <v>45992</v>
      </c>
      <c r="D5668" s="7" t="n">
        <v>2025</v>
      </c>
      <c r="E5668" s="7" t="inlineStr">
        <is>
          <t>East</t>
        </is>
      </c>
      <c r="F5668" s="7" t="inlineStr">
        <is>
          <t>Office Supplies</t>
        </is>
      </c>
      <c r="G5668" s="7" t="inlineStr">
        <is>
          <t>Stapler</t>
        </is>
      </c>
      <c r="H5668" s="7" t="inlineStr">
        <is>
          <t>Corporate</t>
        </is>
      </c>
      <c r="I5668" s="7" t="n">
        <v>7</v>
      </c>
      <c r="J5668" s="10" t="n">
        <v>15.35</v>
      </c>
      <c r="K5668" s="11" t="n">
        <v>0.05</v>
      </c>
      <c r="L5668" s="10">
        <f>I5668*J5668*(1-K5668)</f>
        <v/>
      </c>
      <c r="M5668" s="10" t="n">
        <v>52.5</v>
      </c>
      <c r="N5668" s="10">
        <f>L5668-M5668</f>
        <v/>
      </c>
    </row>
    <row r="5669">
      <c r="A5669" s="7" t="inlineStr">
        <is>
          <t>ORD-03780</t>
        </is>
      </c>
      <c r="B5669" s="8" t="n">
        <v>45999</v>
      </c>
      <c r="C5669" s="9" t="n">
        <v>45992</v>
      </c>
      <c r="D5669" s="7" t="n">
        <v>2025</v>
      </c>
      <c r="E5669" s="7" t="inlineStr">
        <is>
          <t>South</t>
        </is>
      </c>
      <c r="F5669" s="7" t="inlineStr">
        <is>
          <t>Office Supplies</t>
        </is>
      </c>
      <c r="G5669" s="7" t="inlineStr">
        <is>
          <t>Paper</t>
        </is>
      </c>
      <c r="H5669" s="7" t="inlineStr">
        <is>
          <t>Consumer</t>
        </is>
      </c>
      <c r="I5669" s="7" t="n">
        <v>13</v>
      </c>
      <c r="J5669" s="10" t="n">
        <v>24.87</v>
      </c>
      <c r="K5669" s="11" t="n">
        <v>0</v>
      </c>
      <c r="L5669" s="10">
        <f>I5669*J5669*(1-K5669)</f>
        <v/>
      </c>
      <c r="M5669" s="10" t="n">
        <v>162.5</v>
      </c>
      <c r="N5669" s="10">
        <f>L5669-M5669</f>
        <v/>
      </c>
    </row>
    <row r="5670">
      <c r="A5670" s="7" t="inlineStr">
        <is>
          <t>ORD-05993</t>
        </is>
      </c>
      <c r="B5670" s="8" t="n">
        <v>46000</v>
      </c>
      <c r="C5670" s="9" t="n">
        <v>45992</v>
      </c>
      <c r="D5670" s="7" t="n">
        <v>2025</v>
      </c>
      <c r="E5670" s="7" t="inlineStr">
        <is>
          <t>North</t>
        </is>
      </c>
      <c r="F5670" s="7" t="inlineStr">
        <is>
          <t>Office Supplies</t>
        </is>
      </c>
      <c r="G5670" s="7" t="inlineStr">
        <is>
          <t>Pens</t>
        </is>
      </c>
      <c r="H5670" s="7" t="inlineStr">
        <is>
          <t>Corporate</t>
        </is>
      </c>
      <c r="I5670" s="7" t="n">
        <v>7</v>
      </c>
      <c r="J5670" s="10" t="n">
        <v>11.98</v>
      </c>
      <c r="K5670" s="11" t="n">
        <v>0.1</v>
      </c>
      <c r="L5670" s="10">
        <f>I5670*J5670*(1-K5670)</f>
        <v/>
      </c>
      <c r="M5670" s="10" t="n">
        <v>37.8</v>
      </c>
      <c r="N5670" s="10">
        <f>L5670-M5670</f>
        <v/>
      </c>
    </row>
    <row r="5671">
      <c r="A5671" s="7" t="inlineStr">
        <is>
          <t>ORD-00605</t>
        </is>
      </c>
      <c r="B5671" s="8" t="n">
        <v>46000</v>
      </c>
      <c r="C5671" s="9" t="n">
        <v>45992</v>
      </c>
      <c r="D5671" s="7" t="n">
        <v>2025</v>
      </c>
      <c r="E5671" s="7" t="inlineStr">
        <is>
          <t>South</t>
        </is>
      </c>
      <c r="F5671" s="7" t="inlineStr">
        <is>
          <t>Office Supplies</t>
        </is>
      </c>
      <c r="G5671" s="7" t="inlineStr">
        <is>
          <t>Paper</t>
        </is>
      </c>
      <c r="H5671" s="7" t="inlineStr">
        <is>
          <t>Consumer</t>
        </is>
      </c>
      <c r="I5671" s="7" t="n">
        <v>11</v>
      </c>
      <c r="J5671" s="10" t="n">
        <v>25.75</v>
      </c>
      <c r="K5671" s="11" t="n">
        <v>0.2</v>
      </c>
      <c r="L5671" s="10">
        <f>I5671*J5671*(1-K5671)</f>
        <v/>
      </c>
      <c r="M5671" s="10" t="n">
        <v>137.5</v>
      </c>
      <c r="N5671" s="10">
        <f>L5671-M5671</f>
        <v/>
      </c>
    </row>
    <row r="5672">
      <c r="A5672" s="7" t="inlineStr">
        <is>
          <t>ORD-05213</t>
        </is>
      </c>
      <c r="B5672" s="8" t="n">
        <v>46000</v>
      </c>
      <c r="C5672" s="9" t="n">
        <v>45992</v>
      </c>
      <c r="D5672" s="7" t="n">
        <v>2025</v>
      </c>
      <c r="E5672" s="7" t="inlineStr">
        <is>
          <t>West</t>
        </is>
      </c>
      <c r="F5672" s="7" t="inlineStr">
        <is>
          <t>Office Supplies</t>
        </is>
      </c>
      <c r="G5672" s="7" t="inlineStr">
        <is>
          <t>Paper</t>
        </is>
      </c>
      <c r="H5672" s="7" t="inlineStr">
        <is>
          <t>Corporate</t>
        </is>
      </c>
      <c r="I5672" s="7" t="n">
        <v>7</v>
      </c>
      <c r="J5672" s="10" t="n">
        <v>23.92</v>
      </c>
      <c r="K5672" s="11" t="n">
        <v>0.05</v>
      </c>
      <c r="L5672" s="10">
        <f>I5672*J5672*(1-K5672)</f>
        <v/>
      </c>
      <c r="M5672" s="10" t="n">
        <v>87.5</v>
      </c>
      <c r="N5672" s="10">
        <f>L5672-M5672</f>
        <v/>
      </c>
    </row>
    <row r="5673">
      <c r="A5673" s="7" t="inlineStr">
        <is>
          <t>ORD-01335</t>
        </is>
      </c>
      <c r="B5673" s="8" t="n">
        <v>46000</v>
      </c>
      <c r="C5673" s="9" t="n">
        <v>45992</v>
      </c>
      <c r="D5673" s="7" t="n">
        <v>2025</v>
      </c>
      <c r="E5673" s="7" t="inlineStr">
        <is>
          <t>East</t>
        </is>
      </c>
      <c r="F5673" s="7" t="inlineStr">
        <is>
          <t>Office Supplies</t>
        </is>
      </c>
      <c r="G5673" s="7" t="inlineStr">
        <is>
          <t>Pens</t>
        </is>
      </c>
      <c r="H5673" s="7" t="inlineStr">
        <is>
          <t>Consumer</t>
        </is>
      </c>
      <c r="I5673" s="7" t="n">
        <v>6</v>
      </c>
      <c r="J5673" s="10" t="n">
        <v>11.75</v>
      </c>
      <c r="K5673" s="11" t="n">
        <v>0.1</v>
      </c>
      <c r="L5673" s="10">
        <f>I5673*J5673*(1-K5673)</f>
        <v/>
      </c>
      <c r="M5673" s="10" t="n">
        <v>32.4</v>
      </c>
      <c r="N5673" s="10">
        <f>L5673-M5673</f>
        <v/>
      </c>
    </row>
    <row r="5674">
      <c r="A5674" s="7" t="inlineStr">
        <is>
          <t>ORD-03072</t>
        </is>
      </c>
      <c r="B5674" s="8" t="n">
        <v>46000</v>
      </c>
      <c r="C5674" s="9" t="n">
        <v>45992</v>
      </c>
      <c r="D5674" s="7" t="n">
        <v>2025</v>
      </c>
      <c r="E5674" s="7" t="inlineStr">
        <is>
          <t>East</t>
        </is>
      </c>
      <c r="F5674" s="7" t="inlineStr">
        <is>
          <t>Technology</t>
        </is>
      </c>
      <c r="G5674" s="7" t="inlineStr">
        <is>
          <t>Smartphone</t>
        </is>
      </c>
      <c r="H5674" s="7" t="inlineStr">
        <is>
          <t>Home Office</t>
        </is>
      </c>
      <c r="I5674" s="7" t="n">
        <v>2</v>
      </c>
      <c r="J5674" s="10" t="n">
        <v>600.8099999999999</v>
      </c>
      <c r="K5674" s="11" t="n">
        <v>0</v>
      </c>
      <c r="L5674" s="10">
        <f>I5674*J5674*(1-K5674)</f>
        <v/>
      </c>
      <c r="M5674" s="10" t="n">
        <v>900</v>
      </c>
      <c r="N5674" s="10">
        <f>L5674-M5674</f>
        <v/>
      </c>
    </row>
    <row r="5675">
      <c r="A5675" s="7" t="inlineStr">
        <is>
          <t>ORD-03094</t>
        </is>
      </c>
      <c r="B5675" s="8" t="n">
        <v>46001</v>
      </c>
      <c r="C5675" s="9" t="n">
        <v>45992</v>
      </c>
      <c r="D5675" s="7" t="n">
        <v>2025</v>
      </c>
      <c r="E5675" s="7" t="inlineStr">
        <is>
          <t>West</t>
        </is>
      </c>
      <c r="F5675" s="7" t="inlineStr">
        <is>
          <t>Office Supplies</t>
        </is>
      </c>
      <c r="G5675" s="7" t="inlineStr">
        <is>
          <t>Pens</t>
        </is>
      </c>
      <c r="H5675" s="7" t="inlineStr">
        <is>
          <t>Corporate</t>
        </is>
      </c>
      <c r="I5675" s="7" t="n">
        <v>7</v>
      </c>
      <c r="J5675" s="10" t="n">
        <v>12.59</v>
      </c>
      <c r="K5675" s="11" t="n">
        <v>0.05</v>
      </c>
      <c r="L5675" s="10">
        <f>I5675*J5675*(1-K5675)</f>
        <v/>
      </c>
      <c r="M5675" s="10" t="n">
        <v>37.8</v>
      </c>
      <c r="N5675" s="10">
        <f>L5675-M5675</f>
        <v/>
      </c>
    </row>
    <row r="5676">
      <c r="A5676" s="7" t="inlineStr">
        <is>
          <t>ORD-01334</t>
        </is>
      </c>
      <c r="B5676" s="8" t="n">
        <v>46001</v>
      </c>
      <c r="C5676" s="9" t="n">
        <v>45992</v>
      </c>
      <c r="D5676" s="7" t="n">
        <v>2025</v>
      </c>
      <c r="E5676" s="7" t="inlineStr">
        <is>
          <t>South</t>
        </is>
      </c>
      <c r="F5676" s="7" t="inlineStr">
        <is>
          <t>Furniture</t>
        </is>
      </c>
      <c r="G5676" s="7" t="inlineStr">
        <is>
          <t>Sofa</t>
        </is>
      </c>
      <c r="H5676" s="7" t="inlineStr">
        <is>
          <t>Consumer</t>
        </is>
      </c>
      <c r="I5676" s="7" t="n">
        <v>2</v>
      </c>
      <c r="J5676" s="10" t="n">
        <v>696.5</v>
      </c>
      <c r="K5676" s="11" t="n">
        <v>0.3</v>
      </c>
      <c r="L5676" s="10">
        <f>I5676*J5676*(1-K5676)</f>
        <v/>
      </c>
      <c r="M5676" s="10" t="n">
        <v>1232</v>
      </c>
      <c r="N5676" s="10">
        <f>L5676-M5676</f>
        <v/>
      </c>
    </row>
    <row r="5677">
      <c r="A5677" s="7" t="inlineStr">
        <is>
          <t>ORD-03620</t>
        </is>
      </c>
      <c r="B5677" s="8" t="n">
        <v>46001</v>
      </c>
      <c r="C5677" s="9" t="n">
        <v>45992</v>
      </c>
      <c r="D5677" s="7" t="n">
        <v>2025</v>
      </c>
      <c r="E5677" s="7" t="inlineStr">
        <is>
          <t>South</t>
        </is>
      </c>
      <c r="F5677" s="7" t="inlineStr">
        <is>
          <t>Furniture</t>
        </is>
      </c>
      <c r="G5677" s="7" t="inlineStr">
        <is>
          <t>Desk</t>
        </is>
      </c>
      <c r="H5677" s="7" t="inlineStr">
        <is>
          <t>Consumer</t>
        </is>
      </c>
      <c r="I5677" s="7" t="n">
        <v>3</v>
      </c>
      <c r="J5677" s="10" t="n">
        <v>470.99</v>
      </c>
      <c r="K5677" s="11" t="n">
        <v>0.05</v>
      </c>
      <c r="L5677" s="10">
        <f>I5677*J5677*(1-K5677)</f>
        <v/>
      </c>
      <c r="M5677" s="10" t="n">
        <v>1147.5</v>
      </c>
      <c r="N5677" s="10">
        <f>L5677-M5677</f>
        <v/>
      </c>
    </row>
    <row r="5678">
      <c r="A5678" s="7" t="inlineStr">
        <is>
          <t>ORD-03162</t>
        </is>
      </c>
      <c r="B5678" s="8" t="n">
        <v>46001</v>
      </c>
      <c r="C5678" s="9" t="n">
        <v>45992</v>
      </c>
      <c r="D5678" s="7" t="n">
        <v>2025</v>
      </c>
      <c r="E5678" s="7" t="inlineStr">
        <is>
          <t>North</t>
        </is>
      </c>
      <c r="F5678" s="7" t="inlineStr">
        <is>
          <t>Furniture</t>
        </is>
      </c>
      <c r="G5678" s="7" t="inlineStr">
        <is>
          <t>Bookcase</t>
        </is>
      </c>
      <c r="H5678" s="7" t="inlineStr">
        <is>
          <t>Consumer</t>
        </is>
      </c>
      <c r="I5678" s="7" t="n">
        <v>3</v>
      </c>
      <c r="J5678" s="10" t="n">
        <v>188.98</v>
      </c>
      <c r="K5678" s="11" t="n">
        <v>0.3</v>
      </c>
      <c r="L5678" s="10">
        <f>I5678*J5678*(1-K5678)</f>
        <v/>
      </c>
      <c r="M5678" s="10" t="n">
        <v>432</v>
      </c>
      <c r="N5678" s="10">
        <f>L5678-M5678</f>
        <v/>
      </c>
    </row>
    <row r="5679">
      <c r="A5679" s="7" t="inlineStr">
        <is>
          <t>ORD-01407</t>
        </is>
      </c>
      <c r="B5679" s="8" t="n">
        <v>46001</v>
      </c>
      <c r="C5679" s="9" t="n">
        <v>45992</v>
      </c>
      <c r="D5679" s="7" t="n">
        <v>2025</v>
      </c>
      <c r="E5679" s="7" t="inlineStr">
        <is>
          <t>North</t>
        </is>
      </c>
      <c r="F5679" s="7" t="inlineStr">
        <is>
          <t>Office Supplies</t>
        </is>
      </c>
      <c r="G5679" s="7" t="inlineStr">
        <is>
          <t>Pens</t>
        </is>
      </c>
      <c r="H5679" s="7" t="inlineStr">
        <is>
          <t>Consumer</t>
        </is>
      </c>
      <c r="I5679" s="7" t="n">
        <v>3</v>
      </c>
      <c r="J5679" s="10" t="n">
        <v>12.32</v>
      </c>
      <c r="K5679" s="11" t="n">
        <v>0.1</v>
      </c>
      <c r="L5679" s="10">
        <f>I5679*J5679*(1-K5679)</f>
        <v/>
      </c>
      <c r="M5679" s="10" t="n">
        <v>16.2</v>
      </c>
      <c r="N5679" s="10">
        <f>L5679-M5679</f>
        <v/>
      </c>
    </row>
    <row r="5680">
      <c r="A5680" s="7" t="inlineStr">
        <is>
          <t>ORD-05497</t>
        </is>
      </c>
      <c r="B5680" s="8" t="n">
        <v>46001</v>
      </c>
      <c r="C5680" s="9" t="n">
        <v>45992</v>
      </c>
      <c r="D5680" s="7" t="n">
        <v>2025</v>
      </c>
      <c r="E5680" s="7" t="inlineStr">
        <is>
          <t>West</t>
        </is>
      </c>
      <c r="F5680" s="7" t="inlineStr">
        <is>
          <t>Technology</t>
        </is>
      </c>
      <c r="G5680" s="7" t="inlineStr">
        <is>
          <t>Keyboard</t>
        </is>
      </c>
      <c r="H5680" s="7" t="inlineStr">
        <is>
          <t>Home Office</t>
        </is>
      </c>
      <c r="I5680" s="7" t="n">
        <v>1</v>
      </c>
      <c r="J5680" s="10" t="n">
        <v>45.22</v>
      </c>
      <c r="K5680" s="11" t="n">
        <v>0.1</v>
      </c>
      <c r="L5680" s="10">
        <f>I5680*J5680*(1-K5680)</f>
        <v/>
      </c>
      <c r="M5680" s="10" t="n">
        <v>24.75</v>
      </c>
      <c r="N5680" s="10">
        <f>L5680-M5680</f>
        <v/>
      </c>
    </row>
    <row r="5681">
      <c r="A5681" s="7" t="inlineStr">
        <is>
          <t>ORD-01607</t>
        </is>
      </c>
      <c r="B5681" s="8" t="n">
        <v>46001</v>
      </c>
      <c r="C5681" s="9" t="n">
        <v>45992</v>
      </c>
      <c r="D5681" s="7" t="n">
        <v>2025</v>
      </c>
      <c r="E5681" s="7" t="inlineStr">
        <is>
          <t>South</t>
        </is>
      </c>
      <c r="F5681" s="7" t="inlineStr">
        <is>
          <t>Office Supplies</t>
        </is>
      </c>
      <c r="G5681" s="7" t="inlineStr">
        <is>
          <t>Stapler</t>
        </is>
      </c>
      <c r="H5681" s="7" t="inlineStr">
        <is>
          <t>Consumer</t>
        </is>
      </c>
      <c r="I5681" s="7" t="n">
        <v>13</v>
      </c>
      <c r="J5681" s="10" t="n">
        <v>14.8</v>
      </c>
      <c r="K5681" s="11" t="n">
        <v>0.1</v>
      </c>
      <c r="L5681" s="10">
        <f>I5681*J5681*(1-K5681)</f>
        <v/>
      </c>
      <c r="M5681" s="10" t="n">
        <v>97.5</v>
      </c>
      <c r="N5681" s="10">
        <f>L5681-M5681</f>
        <v/>
      </c>
    </row>
    <row r="5682">
      <c r="A5682" s="7" t="inlineStr">
        <is>
          <t>ORD-03632</t>
        </is>
      </c>
      <c r="B5682" s="8" t="n">
        <v>46001</v>
      </c>
      <c r="C5682" s="9" t="n">
        <v>45992</v>
      </c>
      <c r="D5682" s="7" t="n">
        <v>2025</v>
      </c>
      <c r="E5682" s="7" t="inlineStr">
        <is>
          <t>North</t>
        </is>
      </c>
      <c r="F5682" s="7" t="inlineStr">
        <is>
          <t>Technology</t>
        </is>
      </c>
      <c r="G5682" s="7" t="inlineStr">
        <is>
          <t>Monitor</t>
        </is>
      </c>
      <c r="H5682" s="7" t="inlineStr">
        <is>
          <t>Corporate</t>
        </is>
      </c>
      <c r="I5682" s="7" t="n">
        <v>1</v>
      </c>
      <c r="J5682" s="10" t="n">
        <v>251.97</v>
      </c>
      <c r="K5682" s="11" t="n">
        <v>0.3</v>
      </c>
      <c r="L5682" s="10">
        <f>I5682*J5682*(1-K5682)</f>
        <v/>
      </c>
      <c r="M5682" s="10" t="n">
        <v>180</v>
      </c>
      <c r="N5682" s="10">
        <f>L5682-M5682</f>
        <v/>
      </c>
    </row>
    <row r="5683">
      <c r="A5683" s="7" t="inlineStr">
        <is>
          <t>ORD-04061</t>
        </is>
      </c>
      <c r="B5683" s="8" t="n">
        <v>46002</v>
      </c>
      <c r="C5683" s="9" t="n">
        <v>45992</v>
      </c>
      <c r="D5683" s="7" t="n">
        <v>2025</v>
      </c>
      <c r="E5683" s="7" t="inlineStr">
        <is>
          <t>North</t>
        </is>
      </c>
      <c r="F5683" s="7" t="inlineStr">
        <is>
          <t>Furniture</t>
        </is>
      </c>
      <c r="G5683" s="7" t="inlineStr">
        <is>
          <t>Desk</t>
        </is>
      </c>
      <c r="H5683" s="7" t="inlineStr">
        <is>
          <t>Corporate</t>
        </is>
      </c>
      <c r="I5683" s="7" t="n">
        <v>3</v>
      </c>
      <c r="J5683" s="10" t="n">
        <v>466.11</v>
      </c>
      <c r="K5683" s="11" t="n">
        <v>0.2</v>
      </c>
      <c r="L5683" s="10">
        <f>I5683*J5683*(1-K5683)</f>
        <v/>
      </c>
      <c r="M5683" s="10" t="n">
        <v>1147.5</v>
      </c>
      <c r="N5683" s="10">
        <f>L5683-M5683</f>
        <v/>
      </c>
    </row>
    <row r="5684">
      <c r="A5684" s="7" t="inlineStr">
        <is>
          <t>ORD-02255</t>
        </is>
      </c>
      <c r="B5684" s="8" t="n">
        <v>46002</v>
      </c>
      <c r="C5684" s="9" t="n">
        <v>45992</v>
      </c>
      <c r="D5684" s="7" t="n">
        <v>2025</v>
      </c>
      <c r="E5684" s="7" t="inlineStr">
        <is>
          <t>South</t>
        </is>
      </c>
      <c r="F5684" s="7" t="inlineStr">
        <is>
          <t>Technology</t>
        </is>
      </c>
      <c r="G5684" s="7" t="inlineStr">
        <is>
          <t>Laptop</t>
        </is>
      </c>
      <c r="H5684" s="7" t="inlineStr">
        <is>
          <t>Home Office</t>
        </is>
      </c>
      <c r="I5684" s="7" t="n">
        <v>2</v>
      </c>
      <c r="J5684" s="10" t="n">
        <v>861.8099999999999</v>
      </c>
      <c r="K5684" s="11" t="n">
        <v>0</v>
      </c>
      <c r="L5684" s="10">
        <f>I5684*J5684*(1-K5684)</f>
        <v/>
      </c>
      <c r="M5684" s="10" t="n">
        <v>1404</v>
      </c>
      <c r="N5684" s="10">
        <f>L5684-M5684</f>
        <v/>
      </c>
    </row>
    <row r="5685">
      <c r="A5685" s="7" t="inlineStr">
        <is>
          <t>ORD-03470</t>
        </is>
      </c>
      <c r="B5685" s="8" t="n">
        <v>46002</v>
      </c>
      <c r="C5685" s="9" t="n">
        <v>45992</v>
      </c>
      <c r="D5685" s="7" t="n">
        <v>2025</v>
      </c>
      <c r="E5685" s="7" t="inlineStr">
        <is>
          <t>West</t>
        </is>
      </c>
      <c r="F5685" s="7" t="inlineStr">
        <is>
          <t>Technology</t>
        </is>
      </c>
      <c r="G5685" s="7" t="inlineStr">
        <is>
          <t>Smartphone</t>
        </is>
      </c>
      <c r="H5685" s="7" t="inlineStr">
        <is>
          <t>Consumer</t>
        </is>
      </c>
      <c r="I5685" s="7" t="n">
        <v>1</v>
      </c>
      <c r="J5685" s="10" t="n">
        <v>625.96</v>
      </c>
      <c r="K5685" s="11" t="n">
        <v>0</v>
      </c>
      <c r="L5685" s="10">
        <f>I5685*J5685*(1-K5685)</f>
        <v/>
      </c>
      <c r="M5685" s="10" t="n">
        <v>450</v>
      </c>
      <c r="N5685" s="10">
        <f>L5685-M5685</f>
        <v/>
      </c>
    </row>
    <row r="5686">
      <c r="A5686" s="7" t="inlineStr">
        <is>
          <t>ORD-00032</t>
        </is>
      </c>
      <c r="B5686" s="8" t="n">
        <v>46002</v>
      </c>
      <c r="C5686" s="9" t="n">
        <v>45992</v>
      </c>
      <c r="D5686" s="7" t="n">
        <v>2025</v>
      </c>
      <c r="E5686" s="7" t="inlineStr">
        <is>
          <t>East</t>
        </is>
      </c>
      <c r="F5686" s="7" t="inlineStr">
        <is>
          <t>Office Supplies</t>
        </is>
      </c>
      <c r="G5686" s="7" t="inlineStr">
        <is>
          <t>Stapler</t>
        </is>
      </c>
      <c r="H5686" s="7" t="inlineStr">
        <is>
          <t>Corporate</t>
        </is>
      </c>
      <c r="I5686" s="7" t="n">
        <v>15</v>
      </c>
      <c r="J5686" s="10" t="n">
        <v>14.91</v>
      </c>
      <c r="K5686" s="11" t="n">
        <v>0.05</v>
      </c>
      <c r="L5686" s="10">
        <f>I5686*J5686*(1-K5686)</f>
        <v/>
      </c>
      <c r="M5686" s="10" t="n">
        <v>112.5</v>
      </c>
      <c r="N5686" s="10">
        <f>L5686-M5686</f>
        <v/>
      </c>
    </row>
    <row r="5687">
      <c r="A5687" s="7" t="inlineStr">
        <is>
          <t>ORD-04785</t>
        </is>
      </c>
      <c r="B5687" s="8" t="n">
        <v>46002</v>
      </c>
      <c r="C5687" s="9" t="n">
        <v>45992</v>
      </c>
      <c r="D5687" s="7" t="n">
        <v>2025</v>
      </c>
      <c r="E5687" s="7" t="inlineStr">
        <is>
          <t>North</t>
        </is>
      </c>
      <c r="F5687" s="7" t="inlineStr">
        <is>
          <t>Furniture</t>
        </is>
      </c>
      <c r="G5687" s="7" t="inlineStr">
        <is>
          <t>Desk</t>
        </is>
      </c>
      <c r="H5687" s="7" t="inlineStr">
        <is>
          <t>Corporate</t>
        </is>
      </c>
      <c r="I5687" s="7" t="n">
        <v>1</v>
      </c>
      <c r="J5687" s="10" t="n">
        <v>456.45</v>
      </c>
      <c r="K5687" s="11" t="n">
        <v>0.3</v>
      </c>
      <c r="L5687" s="10">
        <f>I5687*J5687*(1-K5687)</f>
        <v/>
      </c>
      <c r="M5687" s="10" t="n">
        <v>382.5</v>
      </c>
      <c r="N5687" s="10">
        <f>L5687-M5687</f>
        <v/>
      </c>
    </row>
    <row r="5688">
      <c r="A5688" s="7" t="inlineStr">
        <is>
          <t>ORD-03296</t>
        </is>
      </c>
      <c r="B5688" s="8" t="n">
        <v>46002</v>
      </c>
      <c r="C5688" s="9" t="n">
        <v>45992</v>
      </c>
      <c r="D5688" s="7" t="n">
        <v>2025</v>
      </c>
      <c r="E5688" s="7" t="inlineStr">
        <is>
          <t>East</t>
        </is>
      </c>
      <c r="F5688" s="7" t="inlineStr">
        <is>
          <t>Office Supplies</t>
        </is>
      </c>
      <c r="G5688" s="7" t="inlineStr">
        <is>
          <t>Binder</t>
        </is>
      </c>
      <c r="H5688" s="7" t="inlineStr">
        <is>
          <t>Consumer</t>
        </is>
      </c>
      <c r="I5688" s="7" t="n">
        <v>7</v>
      </c>
      <c r="J5688" s="10" t="n">
        <v>8.390000000000001</v>
      </c>
      <c r="K5688" s="11" t="n">
        <v>0</v>
      </c>
      <c r="L5688" s="10">
        <f>I5688*J5688*(1-K5688)</f>
        <v/>
      </c>
      <c r="M5688" s="10" t="n">
        <v>22.4</v>
      </c>
      <c r="N5688" s="10">
        <f>L5688-M5688</f>
        <v/>
      </c>
    </row>
    <row r="5689">
      <c r="A5689" s="7" t="inlineStr">
        <is>
          <t>ORD-00233</t>
        </is>
      </c>
      <c r="B5689" s="8" t="n">
        <v>46002</v>
      </c>
      <c r="C5689" s="9" t="n">
        <v>45992</v>
      </c>
      <c r="D5689" s="7" t="n">
        <v>2025</v>
      </c>
      <c r="E5689" s="7" t="inlineStr">
        <is>
          <t>South</t>
        </is>
      </c>
      <c r="F5689" s="7" t="inlineStr">
        <is>
          <t>Office Supplies</t>
        </is>
      </c>
      <c r="G5689" s="7" t="inlineStr">
        <is>
          <t>Pens</t>
        </is>
      </c>
      <c r="H5689" s="7" t="inlineStr">
        <is>
          <t>Consumer</t>
        </is>
      </c>
      <c r="I5689" s="7" t="n">
        <v>11</v>
      </c>
      <c r="J5689" s="10" t="n">
        <v>12.58</v>
      </c>
      <c r="K5689" s="11" t="n">
        <v>0.3</v>
      </c>
      <c r="L5689" s="10">
        <f>I5689*J5689*(1-K5689)</f>
        <v/>
      </c>
      <c r="M5689" s="10" t="n">
        <v>59.4</v>
      </c>
      <c r="N5689" s="10">
        <f>L5689-M5689</f>
        <v/>
      </c>
    </row>
    <row r="5690">
      <c r="A5690" s="7" t="inlineStr">
        <is>
          <t>ORD-05750</t>
        </is>
      </c>
      <c r="B5690" s="8" t="n">
        <v>46002</v>
      </c>
      <c r="C5690" s="9" t="n">
        <v>45992</v>
      </c>
      <c r="D5690" s="7" t="n">
        <v>2025</v>
      </c>
      <c r="E5690" s="7" t="inlineStr">
        <is>
          <t>South</t>
        </is>
      </c>
      <c r="F5690" s="7" t="inlineStr">
        <is>
          <t>Office Supplies</t>
        </is>
      </c>
      <c r="G5690" s="7" t="inlineStr">
        <is>
          <t>Binder</t>
        </is>
      </c>
      <c r="H5690" s="7" t="inlineStr">
        <is>
          <t>Consumer</t>
        </is>
      </c>
      <c r="I5690" s="7" t="n">
        <v>9</v>
      </c>
      <c r="J5690" s="10" t="n">
        <v>8.32</v>
      </c>
      <c r="K5690" s="11" t="n">
        <v>0.2</v>
      </c>
      <c r="L5690" s="10">
        <f>I5690*J5690*(1-K5690)</f>
        <v/>
      </c>
      <c r="M5690" s="10" t="n">
        <v>28.8</v>
      </c>
      <c r="N5690" s="10">
        <f>L5690-M5690</f>
        <v/>
      </c>
    </row>
    <row r="5691">
      <c r="A5691" s="7" t="inlineStr">
        <is>
          <t>ORD-05891</t>
        </is>
      </c>
      <c r="B5691" s="8" t="n">
        <v>46002</v>
      </c>
      <c r="C5691" s="9" t="n">
        <v>45992</v>
      </c>
      <c r="D5691" s="7" t="n">
        <v>2025</v>
      </c>
      <c r="E5691" s="7" t="inlineStr">
        <is>
          <t>East</t>
        </is>
      </c>
      <c r="F5691" s="7" t="inlineStr">
        <is>
          <t>Office Supplies</t>
        </is>
      </c>
      <c r="G5691" s="7" t="inlineStr">
        <is>
          <t>Paper</t>
        </is>
      </c>
      <c r="H5691" s="7" t="inlineStr">
        <is>
          <t>Consumer</t>
        </is>
      </c>
      <c r="I5691" s="7" t="n">
        <v>12</v>
      </c>
      <c r="J5691" s="10" t="n">
        <v>24.47</v>
      </c>
      <c r="K5691" s="11" t="n">
        <v>0</v>
      </c>
      <c r="L5691" s="10">
        <f>I5691*J5691*(1-K5691)</f>
        <v/>
      </c>
      <c r="M5691" s="10" t="n">
        <v>150</v>
      </c>
      <c r="N5691" s="10">
        <f>L5691-M5691</f>
        <v/>
      </c>
    </row>
    <row r="5692">
      <c r="A5692" s="7" t="inlineStr">
        <is>
          <t>ORD-05749</t>
        </is>
      </c>
      <c r="B5692" s="8" t="n">
        <v>46003</v>
      </c>
      <c r="C5692" s="9" t="n">
        <v>45992</v>
      </c>
      <c r="D5692" s="7" t="n">
        <v>2025</v>
      </c>
      <c r="E5692" s="7" t="inlineStr">
        <is>
          <t>West</t>
        </is>
      </c>
      <c r="F5692" s="7" t="inlineStr">
        <is>
          <t>Furniture</t>
        </is>
      </c>
      <c r="G5692" s="7" t="inlineStr">
        <is>
          <t>Office Chair</t>
        </is>
      </c>
      <c r="H5692" s="7" t="inlineStr">
        <is>
          <t>Corporate</t>
        </is>
      </c>
      <c r="I5692" s="7" t="n">
        <v>3</v>
      </c>
      <c r="J5692" s="10" t="n">
        <v>227.33</v>
      </c>
      <c r="K5692" s="11" t="n">
        <v>0.3</v>
      </c>
      <c r="L5692" s="10">
        <f>I5692*J5692*(1-K5692)</f>
        <v/>
      </c>
      <c r="M5692" s="10" t="n">
        <v>541.2</v>
      </c>
      <c r="N5692" s="10">
        <f>L5692-M5692</f>
        <v/>
      </c>
    </row>
    <row r="5693">
      <c r="A5693" s="7" t="inlineStr">
        <is>
          <t>ORD-02182</t>
        </is>
      </c>
      <c r="B5693" s="8" t="n">
        <v>46003</v>
      </c>
      <c r="C5693" s="9" t="n">
        <v>45992</v>
      </c>
      <c r="D5693" s="7" t="n">
        <v>2025</v>
      </c>
      <c r="E5693" s="7" t="inlineStr">
        <is>
          <t>South</t>
        </is>
      </c>
      <c r="F5693" s="7" t="inlineStr">
        <is>
          <t>Office Supplies</t>
        </is>
      </c>
      <c r="G5693" s="7" t="inlineStr">
        <is>
          <t>Pens</t>
        </is>
      </c>
      <c r="H5693" s="7" t="inlineStr">
        <is>
          <t>Home Office</t>
        </is>
      </c>
      <c r="I5693" s="7" t="n">
        <v>9</v>
      </c>
      <c r="J5693" s="10" t="n">
        <v>12.51</v>
      </c>
      <c r="K5693" s="11" t="n">
        <v>0.2</v>
      </c>
      <c r="L5693" s="10">
        <f>I5693*J5693*(1-K5693)</f>
        <v/>
      </c>
      <c r="M5693" s="10" t="n">
        <v>48.6</v>
      </c>
      <c r="N5693" s="10">
        <f>L5693-M5693</f>
        <v/>
      </c>
    </row>
    <row r="5694">
      <c r="A5694" s="7" t="inlineStr">
        <is>
          <t>ORD-01403</t>
        </is>
      </c>
      <c r="B5694" s="8" t="n">
        <v>46003</v>
      </c>
      <c r="C5694" s="9" t="n">
        <v>45992</v>
      </c>
      <c r="D5694" s="7" t="n">
        <v>2025</v>
      </c>
      <c r="E5694" s="7" t="inlineStr">
        <is>
          <t>East</t>
        </is>
      </c>
      <c r="F5694" s="7" t="inlineStr">
        <is>
          <t>Office Supplies</t>
        </is>
      </c>
      <c r="G5694" s="7" t="inlineStr">
        <is>
          <t>Pens</t>
        </is>
      </c>
      <c r="H5694" s="7" t="inlineStr">
        <is>
          <t>Consumer</t>
        </is>
      </c>
      <c r="I5694" s="7" t="n">
        <v>7</v>
      </c>
      <c r="J5694" s="10" t="n">
        <v>11.6</v>
      </c>
      <c r="K5694" s="11" t="n">
        <v>0.1</v>
      </c>
      <c r="L5694" s="10">
        <f>I5694*J5694*(1-K5694)</f>
        <v/>
      </c>
      <c r="M5694" s="10" t="n">
        <v>37.8</v>
      </c>
      <c r="N5694" s="10">
        <f>L5694-M5694</f>
        <v/>
      </c>
    </row>
    <row r="5695">
      <c r="A5695" s="7" t="inlineStr">
        <is>
          <t>ORD-05975</t>
        </is>
      </c>
      <c r="B5695" s="8" t="n">
        <v>46003</v>
      </c>
      <c r="C5695" s="9" t="n">
        <v>45992</v>
      </c>
      <c r="D5695" s="7" t="n">
        <v>2025</v>
      </c>
      <c r="E5695" s="7" t="inlineStr">
        <is>
          <t>West</t>
        </is>
      </c>
      <c r="F5695" s="7" t="inlineStr">
        <is>
          <t>Office Supplies</t>
        </is>
      </c>
      <c r="G5695" s="7" t="inlineStr">
        <is>
          <t>Pens</t>
        </is>
      </c>
      <c r="H5695" s="7" t="inlineStr">
        <is>
          <t>Home Office</t>
        </is>
      </c>
      <c r="I5695" s="7" t="n">
        <v>11</v>
      </c>
      <c r="J5695" s="10" t="n">
        <v>12.27</v>
      </c>
      <c r="K5695" s="11" t="n">
        <v>0</v>
      </c>
      <c r="L5695" s="10">
        <f>I5695*J5695*(1-K5695)</f>
        <v/>
      </c>
      <c r="M5695" s="10" t="n">
        <v>59.4</v>
      </c>
      <c r="N5695" s="10">
        <f>L5695-M5695</f>
        <v/>
      </c>
    </row>
    <row r="5696">
      <c r="A5696" s="7" t="inlineStr">
        <is>
          <t>ORD-02907</t>
        </is>
      </c>
      <c r="B5696" s="8" t="n">
        <v>46003</v>
      </c>
      <c r="C5696" s="9" t="n">
        <v>45992</v>
      </c>
      <c r="D5696" s="7" t="n">
        <v>2025</v>
      </c>
      <c r="E5696" s="7" t="inlineStr">
        <is>
          <t>East</t>
        </is>
      </c>
      <c r="F5696" s="7" t="inlineStr">
        <is>
          <t>Office Supplies</t>
        </is>
      </c>
      <c r="G5696" s="7" t="inlineStr">
        <is>
          <t>Pens</t>
        </is>
      </c>
      <c r="H5696" s="7" t="inlineStr">
        <is>
          <t>Corporate</t>
        </is>
      </c>
      <c r="I5696" s="7" t="n">
        <v>6</v>
      </c>
      <c r="J5696" s="10" t="n">
        <v>11.91</v>
      </c>
      <c r="K5696" s="11" t="n">
        <v>0.2</v>
      </c>
      <c r="L5696" s="10">
        <f>I5696*J5696*(1-K5696)</f>
        <v/>
      </c>
      <c r="M5696" s="10" t="n">
        <v>32.4</v>
      </c>
      <c r="N5696" s="10">
        <f>L5696-M5696</f>
        <v/>
      </c>
    </row>
    <row r="5697">
      <c r="A5697" s="7" t="inlineStr">
        <is>
          <t>ORD-02180</t>
        </is>
      </c>
      <c r="B5697" s="8" t="n">
        <v>46004</v>
      </c>
      <c r="C5697" s="9" t="n">
        <v>45992</v>
      </c>
      <c r="D5697" s="7" t="n">
        <v>2025</v>
      </c>
      <c r="E5697" s="7" t="inlineStr">
        <is>
          <t>East</t>
        </is>
      </c>
      <c r="F5697" s="7" t="inlineStr">
        <is>
          <t>Office Supplies</t>
        </is>
      </c>
      <c r="G5697" s="7" t="inlineStr">
        <is>
          <t>Pens</t>
        </is>
      </c>
      <c r="H5697" s="7" t="inlineStr">
        <is>
          <t>Consumer</t>
        </is>
      </c>
      <c r="I5697" s="7" t="n">
        <v>5</v>
      </c>
      <c r="J5697" s="10" t="n">
        <v>11.51</v>
      </c>
      <c r="K5697" s="11" t="n">
        <v>0.05</v>
      </c>
      <c r="L5697" s="10">
        <f>I5697*J5697*(1-K5697)</f>
        <v/>
      </c>
      <c r="M5697" s="10" t="n">
        <v>27</v>
      </c>
      <c r="N5697" s="10">
        <f>L5697-M5697</f>
        <v/>
      </c>
    </row>
    <row r="5698">
      <c r="A5698" s="7" t="inlineStr">
        <is>
          <t>ORD-04464</t>
        </is>
      </c>
      <c r="B5698" s="8" t="n">
        <v>46004</v>
      </c>
      <c r="C5698" s="9" t="n">
        <v>45992</v>
      </c>
      <c r="D5698" s="7" t="n">
        <v>2025</v>
      </c>
      <c r="E5698" s="7" t="inlineStr">
        <is>
          <t>South</t>
        </is>
      </c>
      <c r="F5698" s="7" t="inlineStr">
        <is>
          <t>Office Supplies</t>
        </is>
      </c>
      <c r="G5698" s="7" t="inlineStr">
        <is>
          <t>Printer Ink</t>
        </is>
      </c>
      <c r="H5698" s="7" t="inlineStr">
        <is>
          <t>Consumer</t>
        </is>
      </c>
      <c r="I5698" s="7" t="n">
        <v>2</v>
      </c>
      <c r="J5698" s="10" t="n">
        <v>62.32</v>
      </c>
      <c r="K5698" s="11" t="n">
        <v>0</v>
      </c>
      <c r="L5698" s="10">
        <f>I5698*J5698*(1-K5698)</f>
        <v/>
      </c>
      <c r="M5698" s="10" t="n">
        <v>72</v>
      </c>
      <c r="N5698" s="10">
        <f>L5698-M5698</f>
        <v/>
      </c>
    </row>
    <row r="5699">
      <c r="A5699" s="7" t="inlineStr">
        <is>
          <t>ORD-00613</t>
        </is>
      </c>
      <c r="B5699" s="8" t="n">
        <v>46004</v>
      </c>
      <c r="C5699" s="9" t="n">
        <v>45992</v>
      </c>
      <c r="D5699" s="7" t="n">
        <v>2025</v>
      </c>
      <c r="E5699" s="7" t="inlineStr">
        <is>
          <t>East</t>
        </is>
      </c>
      <c r="F5699" s="7" t="inlineStr">
        <is>
          <t>Furniture</t>
        </is>
      </c>
      <c r="G5699" s="7" t="inlineStr">
        <is>
          <t>Sofa</t>
        </is>
      </c>
      <c r="H5699" s="7" t="inlineStr">
        <is>
          <t>Consumer</t>
        </is>
      </c>
      <c r="I5699" s="7" t="n">
        <v>2</v>
      </c>
      <c r="J5699" s="10" t="n">
        <v>711.8</v>
      </c>
      <c r="K5699" s="11" t="n">
        <v>0</v>
      </c>
      <c r="L5699" s="10">
        <f>I5699*J5699*(1-K5699)</f>
        <v/>
      </c>
      <c r="M5699" s="10" t="n">
        <v>1232</v>
      </c>
      <c r="N5699" s="10">
        <f>L5699-M5699</f>
        <v/>
      </c>
    </row>
    <row r="5700">
      <c r="A5700" s="7" t="inlineStr">
        <is>
          <t>ORD-00104</t>
        </is>
      </c>
      <c r="B5700" s="8" t="n">
        <v>46004</v>
      </c>
      <c r="C5700" s="9" t="n">
        <v>45992</v>
      </c>
      <c r="D5700" s="7" t="n">
        <v>2025</v>
      </c>
      <c r="E5700" s="7" t="inlineStr">
        <is>
          <t>North</t>
        </is>
      </c>
      <c r="F5700" s="7" t="inlineStr">
        <is>
          <t>Furniture</t>
        </is>
      </c>
      <c r="G5700" s="7" t="inlineStr">
        <is>
          <t>Bookcase</t>
        </is>
      </c>
      <c r="H5700" s="7" t="inlineStr">
        <is>
          <t>Corporate</t>
        </is>
      </c>
      <c r="I5700" s="7" t="n">
        <v>4</v>
      </c>
      <c r="J5700" s="10" t="n">
        <v>176.16</v>
      </c>
      <c r="K5700" s="11" t="n">
        <v>0.3</v>
      </c>
      <c r="L5700" s="10">
        <f>I5700*J5700*(1-K5700)</f>
        <v/>
      </c>
      <c r="M5700" s="10" t="n">
        <v>576</v>
      </c>
      <c r="N5700" s="10">
        <f>L5700-M5700</f>
        <v/>
      </c>
    </row>
    <row r="5701">
      <c r="A5701" s="7" t="inlineStr">
        <is>
          <t>ORD-01956</t>
        </is>
      </c>
      <c r="B5701" s="8" t="n">
        <v>46004</v>
      </c>
      <c r="C5701" s="9" t="n">
        <v>45992</v>
      </c>
      <c r="D5701" s="7" t="n">
        <v>2025</v>
      </c>
      <c r="E5701" s="7" t="inlineStr">
        <is>
          <t>South</t>
        </is>
      </c>
      <c r="F5701" s="7" t="inlineStr">
        <is>
          <t>Office Supplies</t>
        </is>
      </c>
      <c r="G5701" s="7" t="inlineStr">
        <is>
          <t>Stapler</t>
        </is>
      </c>
      <c r="H5701" s="7" t="inlineStr">
        <is>
          <t>Corporate</t>
        </is>
      </c>
      <c r="I5701" s="7" t="n">
        <v>3</v>
      </c>
      <c r="J5701" s="10" t="n">
        <v>14.96</v>
      </c>
      <c r="K5701" s="11" t="n">
        <v>0</v>
      </c>
      <c r="L5701" s="10">
        <f>I5701*J5701*(1-K5701)</f>
        <v/>
      </c>
      <c r="M5701" s="10" t="n">
        <v>22.5</v>
      </c>
      <c r="N5701" s="10">
        <f>L5701-M5701</f>
        <v/>
      </c>
    </row>
    <row r="5702">
      <c r="A5702" s="7" t="inlineStr">
        <is>
          <t>ORD-01954</t>
        </is>
      </c>
      <c r="B5702" s="8" t="n">
        <v>46004</v>
      </c>
      <c r="C5702" s="9" t="n">
        <v>45992</v>
      </c>
      <c r="D5702" s="7" t="n">
        <v>2025</v>
      </c>
      <c r="E5702" s="7" t="inlineStr">
        <is>
          <t>West</t>
        </is>
      </c>
      <c r="F5702" s="7" t="inlineStr">
        <is>
          <t>Office Supplies</t>
        </is>
      </c>
      <c r="G5702" s="7" t="inlineStr">
        <is>
          <t>Stapler</t>
        </is>
      </c>
      <c r="H5702" s="7" t="inlineStr">
        <is>
          <t>Home Office</t>
        </is>
      </c>
      <c r="I5702" s="7" t="n">
        <v>10</v>
      </c>
      <c r="J5702" s="10" t="n">
        <v>14.51</v>
      </c>
      <c r="K5702" s="11" t="n">
        <v>0</v>
      </c>
      <c r="L5702" s="10">
        <f>I5702*J5702*(1-K5702)</f>
        <v/>
      </c>
      <c r="M5702" s="10" t="n">
        <v>75</v>
      </c>
      <c r="N5702" s="10">
        <f>L5702-M5702</f>
        <v/>
      </c>
    </row>
    <row r="5703">
      <c r="A5703" s="7" t="inlineStr">
        <is>
          <t>ORD-00023</t>
        </is>
      </c>
      <c r="B5703" s="8" t="n">
        <v>46004</v>
      </c>
      <c r="C5703" s="9" t="n">
        <v>45992</v>
      </c>
      <c r="D5703" s="7" t="n">
        <v>2025</v>
      </c>
      <c r="E5703" s="7" t="inlineStr">
        <is>
          <t>West</t>
        </is>
      </c>
      <c r="F5703" s="7" t="inlineStr">
        <is>
          <t>Technology</t>
        </is>
      </c>
      <c r="G5703" s="7" t="inlineStr">
        <is>
          <t>Headphones</t>
        </is>
      </c>
      <c r="H5703" s="7" t="inlineStr">
        <is>
          <t>Consumer</t>
        </is>
      </c>
      <c r="I5703" s="7" t="n">
        <v>1</v>
      </c>
      <c r="J5703" s="10" t="n">
        <v>118.73</v>
      </c>
      <c r="K5703" s="11" t="n">
        <v>0.2</v>
      </c>
      <c r="L5703" s="10">
        <f>I5703*J5703*(1-K5703)</f>
        <v/>
      </c>
      <c r="M5703" s="10" t="n">
        <v>72</v>
      </c>
      <c r="N5703" s="10">
        <f>L5703-M5703</f>
        <v/>
      </c>
    </row>
    <row r="5704">
      <c r="A5704" s="7" t="inlineStr">
        <is>
          <t>ORD-02547</t>
        </is>
      </c>
      <c r="B5704" s="8" t="n">
        <v>46004</v>
      </c>
      <c r="C5704" s="9" t="n">
        <v>45992</v>
      </c>
      <c r="D5704" s="7" t="n">
        <v>2025</v>
      </c>
      <c r="E5704" s="7" t="inlineStr">
        <is>
          <t>South</t>
        </is>
      </c>
      <c r="F5704" s="7" t="inlineStr">
        <is>
          <t>Office Supplies</t>
        </is>
      </c>
      <c r="G5704" s="7" t="inlineStr">
        <is>
          <t>Binder</t>
        </is>
      </c>
      <c r="H5704" s="7" t="inlineStr">
        <is>
          <t>Corporate</t>
        </is>
      </c>
      <c r="I5704" s="7" t="n">
        <v>8</v>
      </c>
      <c r="J5704" s="10" t="n">
        <v>8.220000000000001</v>
      </c>
      <c r="K5704" s="11" t="n">
        <v>0.1</v>
      </c>
      <c r="L5704" s="10">
        <f>I5704*J5704*(1-K5704)</f>
        <v/>
      </c>
      <c r="M5704" s="10" t="n">
        <v>25.6</v>
      </c>
      <c r="N5704" s="10">
        <f>L5704-M5704</f>
        <v/>
      </c>
    </row>
    <row r="5705">
      <c r="A5705" s="7" t="inlineStr">
        <is>
          <t>ORD-02962</t>
        </is>
      </c>
      <c r="B5705" s="8" t="n">
        <v>46004</v>
      </c>
      <c r="C5705" s="9" t="n">
        <v>45992</v>
      </c>
      <c r="D5705" s="7" t="n">
        <v>2025</v>
      </c>
      <c r="E5705" s="7" t="inlineStr">
        <is>
          <t>East</t>
        </is>
      </c>
      <c r="F5705" s="7" t="inlineStr">
        <is>
          <t>Furniture</t>
        </is>
      </c>
      <c r="G5705" s="7" t="inlineStr">
        <is>
          <t>Office Chair</t>
        </is>
      </c>
      <c r="H5705" s="7" t="inlineStr">
        <is>
          <t>Consumer</t>
        </is>
      </c>
      <c r="I5705" s="7" t="n">
        <v>2</v>
      </c>
      <c r="J5705" s="10" t="n">
        <v>214.18</v>
      </c>
      <c r="K5705" s="11" t="n">
        <v>0</v>
      </c>
      <c r="L5705" s="10">
        <f>I5705*J5705*(1-K5705)</f>
        <v/>
      </c>
      <c r="M5705" s="10" t="n">
        <v>360.8</v>
      </c>
      <c r="N5705" s="10">
        <f>L5705-M5705</f>
        <v/>
      </c>
    </row>
    <row r="5706">
      <c r="A5706" s="7" t="inlineStr">
        <is>
          <t>ORD-01972</t>
        </is>
      </c>
      <c r="B5706" s="8" t="n">
        <v>46004</v>
      </c>
      <c r="C5706" s="9" t="n">
        <v>45992</v>
      </c>
      <c r="D5706" s="7" t="n">
        <v>2025</v>
      </c>
      <c r="E5706" s="7" t="inlineStr">
        <is>
          <t>West</t>
        </is>
      </c>
      <c r="F5706" s="7" t="inlineStr">
        <is>
          <t>Office Supplies</t>
        </is>
      </c>
      <c r="G5706" s="7" t="inlineStr">
        <is>
          <t>Pens</t>
        </is>
      </c>
      <c r="H5706" s="7" t="inlineStr">
        <is>
          <t>Consumer</t>
        </is>
      </c>
      <c r="I5706" s="7" t="n">
        <v>9</v>
      </c>
      <c r="J5706" s="10" t="n">
        <v>12.5</v>
      </c>
      <c r="K5706" s="11" t="n">
        <v>0.3</v>
      </c>
      <c r="L5706" s="10">
        <f>I5706*J5706*(1-K5706)</f>
        <v/>
      </c>
      <c r="M5706" s="10" t="n">
        <v>48.6</v>
      </c>
      <c r="N5706" s="10">
        <f>L5706-M5706</f>
        <v/>
      </c>
    </row>
    <row r="5707">
      <c r="A5707" s="7" t="inlineStr">
        <is>
          <t>ORD-04480</t>
        </is>
      </c>
      <c r="B5707" s="8" t="n">
        <v>46004</v>
      </c>
      <c r="C5707" s="9" t="n">
        <v>45992</v>
      </c>
      <c r="D5707" s="7" t="n">
        <v>2025</v>
      </c>
      <c r="E5707" s="7" t="inlineStr">
        <is>
          <t>North</t>
        </is>
      </c>
      <c r="F5707" s="7" t="inlineStr">
        <is>
          <t>Office Supplies</t>
        </is>
      </c>
      <c r="G5707" s="7" t="inlineStr">
        <is>
          <t>Paper</t>
        </is>
      </c>
      <c r="H5707" s="7" t="inlineStr">
        <is>
          <t>Consumer</t>
        </is>
      </c>
      <c r="I5707" s="7" t="n">
        <v>10</v>
      </c>
      <c r="J5707" s="10" t="n">
        <v>25.57</v>
      </c>
      <c r="K5707" s="11" t="n">
        <v>0.1</v>
      </c>
      <c r="L5707" s="10">
        <f>I5707*J5707*(1-K5707)</f>
        <v/>
      </c>
      <c r="M5707" s="10" t="n">
        <v>125</v>
      </c>
      <c r="N5707" s="10">
        <f>L5707-M5707</f>
        <v/>
      </c>
    </row>
    <row r="5708">
      <c r="A5708" s="7" t="inlineStr">
        <is>
          <t>ORD-01420</t>
        </is>
      </c>
      <c r="B5708" s="8" t="n">
        <v>46005</v>
      </c>
      <c r="C5708" s="9" t="n">
        <v>45992</v>
      </c>
      <c r="D5708" s="7" t="n">
        <v>2025</v>
      </c>
      <c r="E5708" s="7" t="inlineStr">
        <is>
          <t>West</t>
        </is>
      </c>
      <c r="F5708" s="7" t="inlineStr">
        <is>
          <t>Office Supplies</t>
        </is>
      </c>
      <c r="G5708" s="7" t="inlineStr">
        <is>
          <t>Pens</t>
        </is>
      </c>
      <c r="H5708" s="7" t="inlineStr">
        <is>
          <t>Corporate</t>
        </is>
      </c>
      <c r="I5708" s="7" t="n">
        <v>3</v>
      </c>
      <c r="J5708" s="10" t="n">
        <v>12.18</v>
      </c>
      <c r="K5708" s="11" t="n">
        <v>0.05</v>
      </c>
      <c r="L5708" s="10">
        <f>I5708*J5708*(1-K5708)</f>
        <v/>
      </c>
      <c r="M5708" s="10" t="n">
        <v>16.2</v>
      </c>
      <c r="N5708" s="10">
        <f>L5708-M5708</f>
        <v/>
      </c>
    </row>
    <row r="5709">
      <c r="A5709" s="7" t="inlineStr">
        <is>
          <t>ORD-02291</t>
        </is>
      </c>
      <c r="B5709" s="8" t="n">
        <v>46005</v>
      </c>
      <c r="C5709" s="9" t="n">
        <v>45992</v>
      </c>
      <c r="D5709" s="7" t="n">
        <v>2025</v>
      </c>
      <c r="E5709" s="7" t="inlineStr">
        <is>
          <t>South</t>
        </is>
      </c>
      <c r="F5709" s="7" t="inlineStr">
        <is>
          <t>Office Supplies</t>
        </is>
      </c>
      <c r="G5709" s="7" t="inlineStr">
        <is>
          <t>Pens</t>
        </is>
      </c>
      <c r="H5709" s="7" t="inlineStr">
        <is>
          <t>Home Office</t>
        </is>
      </c>
      <c r="I5709" s="7" t="n">
        <v>13</v>
      </c>
      <c r="J5709" s="10" t="n">
        <v>12.23</v>
      </c>
      <c r="K5709" s="11" t="n">
        <v>0.05</v>
      </c>
      <c r="L5709" s="10">
        <f>I5709*J5709*(1-K5709)</f>
        <v/>
      </c>
      <c r="M5709" s="10" t="n">
        <v>70.2</v>
      </c>
      <c r="N5709" s="10">
        <f>L5709-M5709</f>
        <v/>
      </c>
    </row>
    <row r="5710">
      <c r="A5710" s="7" t="inlineStr">
        <is>
          <t>ORD-03251</t>
        </is>
      </c>
      <c r="B5710" s="8" t="n">
        <v>46005</v>
      </c>
      <c r="C5710" s="9" t="n">
        <v>45992</v>
      </c>
      <c r="D5710" s="7" t="n">
        <v>2025</v>
      </c>
      <c r="E5710" s="7" t="inlineStr">
        <is>
          <t>West</t>
        </is>
      </c>
      <c r="F5710" s="7" t="inlineStr">
        <is>
          <t>Technology</t>
        </is>
      </c>
      <c r="G5710" s="7" t="inlineStr">
        <is>
          <t>Keyboard</t>
        </is>
      </c>
      <c r="H5710" s="7" t="inlineStr">
        <is>
          <t>Corporate</t>
        </is>
      </c>
      <c r="I5710" s="7" t="n">
        <v>1</v>
      </c>
      <c r="J5710" s="10" t="n">
        <v>47.22</v>
      </c>
      <c r="K5710" s="11" t="n">
        <v>0.3</v>
      </c>
      <c r="L5710" s="10">
        <f>I5710*J5710*(1-K5710)</f>
        <v/>
      </c>
      <c r="M5710" s="10" t="n">
        <v>24.75</v>
      </c>
      <c r="N5710" s="10">
        <f>L5710-M5710</f>
        <v/>
      </c>
    </row>
    <row r="5711">
      <c r="A5711" s="7" t="inlineStr">
        <is>
          <t>ORD-02711</t>
        </is>
      </c>
      <c r="B5711" s="8" t="n">
        <v>46005</v>
      </c>
      <c r="C5711" s="9" t="n">
        <v>45992</v>
      </c>
      <c r="D5711" s="7" t="n">
        <v>2025</v>
      </c>
      <c r="E5711" s="7" t="inlineStr">
        <is>
          <t>South</t>
        </is>
      </c>
      <c r="F5711" s="7" t="inlineStr">
        <is>
          <t>Office Supplies</t>
        </is>
      </c>
      <c r="G5711" s="7" t="inlineStr">
        <is>
          <t>Printer Ink</t>
        </is>
      </c>
      <c r="H5711" s="7" t="inlineStr">
        <is>
          <t>Consumer</t>
        </is>
      </c>
      <c r="I5711" s="7" t="n">
        <v>12</v>
      </c>
      <c r="J5711" s="10" t="n">
        <v>62.18</v>
      </c>
      <c r="K5711" s="11" t="n">
        <v>0.1</v>
      </c>
      <c r="L5711" s="10">
        <f>I5711*J5711*(1-K5711)</f>
        <v/>
      </c>
      <c r="M5711" s="10" t="n">
        <v>432</v>
      </c>
      <c r="N5711" s="10">
        <f>L5711-M5711</f>
        <v/>
      </c>
    </row>
    <row r="5712">
      <c r="A5712" s="7" t="inlineStr">
        <is>
          <t>ORD-00202</t>
        </is>
      </c>
      <c r="B5712" s="8" t="n">
        <v>46005</v>
      </c>
      <c r="C5712" s="9" t="n">
        <v>45992</v>
      </c>
      <c r="D5712" s="7" t="n">
        <v>2025</v>
      </c>
      <c r="E5712" s="7" t="inlineStr">
        <is>
          <t>East</t>
        </is>
      </c>
      <c r="F5712" s="7" t="inlineStr">
        <is>
          <t>Furniture</t>
        </is>
      </c>
      <c r="G5712" s="7" t="inlineStr">
        <is>
          <t>Office Chair</t>
        </is>
      </c>
      <c r="H5712" s="7" t="inlineStr">
        <is>
          <t>Corporate</t>
        </is>
      </c>
      <c r="I5712" s="7" t="n">
        <v>2</v>
      </c>
      <c r="J5712" s="10" t="n">
        <v>219.51</v>
      </c>
      <c r="K5712" s="11" t="n">
        <v>0.2</v>
      </c>
      <c r="L5712" s="10">
        <f>I5712*J5712*(1-K5712)</f>
        <v/>
      </c>
      <c r="M5712" s="10" t="n">
        <v>360.8</v>
      </c>
      <c r="N5712" s="10">
        <f>L5712-M5712</f>
        <v/>
      </c>
    </row>
    <row r="5713">
      <c r="A5713" s="7" t="inlineStr">
        <is>
          <t>ORD-01758</t>
        </is>
      </c>
      <c r="B5713" s="8" t="n">
        <v>46005</v>
      </c>
      <c r="C5713" s="9" t="n">
        <v>45992</v>
      </c>
      <c r="D5713" s="7" t="n">
        <v>2025</v>
      </c>
      <c r="E5713" s="7" t="inlineStr">
        <is>
          <t>West</t>
        </is>
      </c>
      <c r="F5713" s="7" t="inlineStr">
        <is>
          <t>Technology</t>
        </is>
      </c>
      <c r="G5713" s="7" t="inlineStr">
        <is>
          <t>Keyboard</t>
        </is>
      </c>
      <c r="H5713" s="7" t="inlineStr">
        <is>
          <t>Consumer</t>
        </is>
      </c>
      <c r="I5713" s="7" t="n">
        <v>3</v>
      </c>
      <c r="J5713" s="10" t="n">
        <v>43.73</v>
      </c>
      <c r="K5713" s="11" t="n">
        <v>0</v>
      </c>
      <c r="L5713" s="10">
        <f>I5713*J5713*(1-K5713)</f>
        <v/>
      </c>
      <c r="M5713" s="10" t="n">
        <v>74.25</v>
      </c>
      <c r="N5713" s="10">
        <f>L5713-M5713</f>
        <v/>
      </c>
    </row>
    <row r="5714">
      <c r="A5714" s="7" t="inlineStr">
        <is>
          <t>ORD-01271</t>
        </is>
      </c>
      <c r="B5714" s="8" t="n">
        <v>46005</v>
      </c>
      <c r="C5714" s="9" t="n">
        <v>45992</v>
      </c>
      <c r="D5714" s="7" t="n">
        <v>2025</v>
      </c>
      <c r="E5714" s="7" t="inlineStr">
        <is>
          <t>North</t>
        </is>
      </c>
      <c r="F5714" s="7" t="inlineStr">
        <is>
          <t>Technology</t>
        </is>
      </c>
      <c r="G5714" s="7" t="inlineStr">
        <is>
          <t>Laptop</t>
        </is>
      </c>
      <c r="H5714" s="7" t="inlineStr">
        <is>
          <t>Consumer</t>
        </is>
      </c>
      <c r="I5714" s="7" t="n">
        <v>2</v>
      </c>
      <c r="J5714" s="10" t="n">
        <v>892.5700000000001</v>
      </c>
      <c r="K5714" s="11" t="n">
        <v>0.05</v>
      </c>
      <c r="L5714" s="10">
        <f>I5714*J5714*(1-K5714)</f>
        <v/>
      </c>
      <c r="M5714" s="10" t="n">
        <v>1404</v>
      </c>
      <c r="N5714" s="10">
        <f>L5714-M5714</f>
        <v/>
      </c>
    </row>
    <row r="5715">
      <c r="A5715" s="7" t="inlineStr">
        <is>
          <t>ORD-05547</t>
        </is>
      </c>
      <c r="B5715" s="8" t="n">
        <v>46005</v>
      </c>
      <c r="C5715" s="9" t="n">
        <v>45992</v>
      </c>
      <c r="D5715" s="7" t="n">
        <v>2025</v>
      </c>
      <c r="E5715" s="7" t="inlineStr">
        <is>
          <t>East</t>
        </is>
      </c>
      <c r="F5715" s="7" t="inlineStr">
        <is>
          <t>Technology</t>
        </is>
      </c>
      <c r="G5715" s="7" t="inlineStr">
        <is>
          <t>Monitor</t>
        </is>
      </c>
      <c r="H5715" s="7" t="inlineStr">
        <is>
          <t>Consumer</t>
        </is>
      </c>
      <c r="I5715" s="7" t="n">
        <v>1</v>
      </c>
      <c r="J5715" s="10" t="n">
        <v>251.64</v>
      </c>
      <c r="K5715" s="11" t="n">
        <v>0</v>
      </c>
      <c r="L5715" s="10">
        <f>I5715*J5715*(1-K5715)</f>
        <v/>
      </c>
      <c r="M5715" s="10" t="n">
        <v>180</v>
      </c>
      <c r="N5715" s="10">
        <f>L5715-M5715</f>
        <v/>
      </c>
    </row>
    <row r="5716">
      <c r="A5716" s="7" t="inlineStr">
        <is>
          <t>ORD-02068</t>
        </is>
      </c>
      <c r="B5716" s="8" t="n">
        <v>46005</v>
      </c>
      <c r="C5716" s="9" t="n">
        <v>45992</v>
      </c>
      <c r="D5716" s="7" t="n">
        <v>2025</v>
      </c>
      <c r="E5716" s="7" t="inlineStr">
        <is>
          <t>East</t>
        </is>
      </c>
      <c r="F5716" s="7" t="inlineStr">
        <is>
          <t>Office Supplies</t>
        </is>
      </c>
      <c r="G5716" s="7" t="inlineStr">
        <is>
          <t>Binder</t>
        </is>
      </c>
      <c r="H5716" s="7" t="inlineStr">
        <is>
          <t>Corporate</t>
        </is>
      </c>
      <c r="I5716" s="7" t="n">
        <v>8</v>
      </c>
      <c r="J5716" s="10" t="n">
        <v>7.94</v>
      </c>
      <c r="K5716" s="11" t="n">
        <v>0.2</v>
      </c>
      <c r="L5716" s="10">
        <f>I5716*J5716*(1-K5716)</f>
        <v/>
      </c>
      <c r="M5716" s="10" t="n">
        <v>25.6</v>
      </c>
      <c r="N5716" s="10">
        <f>L5716-M5716</f>
        <v/>
      </c>
    </row>
    <row r="5717">
      <c r="A5717" s="7" t="inlineStr">
        <is>
          <t>ORD-03514</t>
        </is>
      </c>
      <c r="B5717" s="8" t="n">
        <v>46005</v>
      </c>
      <c r="C5717" s="9" t="n">
        <v>45992</v>
      </c>
      <c r="D5717" s="7" t="n">
        <v>2025</v>
      </c>
      <c r="E5717" s="7" t="inlineStr">
        <is>
          <t>South</t>
        </is>
      </c>
      <c r="F5717" s="7" t="inlineStr">
        <is>
          <t>Technology</t>
        </is>
      </c>
      <c r="G5717" s="7" t="inlineStr">
        <is>
          <t>Keyboard</t>
        </is>
      </c>
      <c r="H5717" s="7" t="inlineStr">
        <is>
          <t>Consumer</t>
        </is>
      </c>
      <c r="I5717" s="7" t="n">
        <v>1</v>
      </c>
      <c r="J5717" s="10" t="n">
        <v>44.09</v>
      </c>
      <c r="K5717" s="11" t="n">
        <v>0.3</v>
      </c>
      <c r="L5717" s="10">
        <f>I5717*J5717*(1-K5717)</f>
        <v/>
      </c>
      <c r="M5717" s="10" t="n">
        <v>24.75</v>
      </c>
      <c r="N5717" s="10">
        <f>L5717-M5717</f>
        <v/>
      </c>
    </row>
    <row r="5718">
      <c r="A5718" s="7" t="inlineStr">
        <is>
          <t>ORD-03565</t>
        </is>
      </c>
      <c r="B5718" s="8" t="n">
        <v>46006</v>
      </c>
      <c r="C5718" s="9" t="n">
        <v>45992</v>
      </c>
      <c r="D5718" s="7" t="n">
        <v>2025</v>
      </c>
      <c r="E5718" s="7" t="inlineStr">
        <is>
          <t>South</t>
        </is>
      </c>
      <c r="F5718" s="7" t="inlineStr">
        <is>
          <t>Office Supplies</t>
        </is>
      </c>
      <c r="G5718" s="7" t="inlineStr">
        <is>
          <t>Pens</t>
        </is>
      </c>
      <c r="H5718" s="7" t="inlineStr">
        <is>
          <t>Corporate</t>
        </is>
      </c>
      <c r="I5718" s="7" t="n">
        <v>12</v>
      </c>
      <c r="J5718" s="10" t="n">
        <v>11.41</v>
      </c>
      <c r="K5718" s="11" t="n">
        <v>0.05</v>
      </c>
      <c r="L5718" s="10">
        <f>I5718*J5718*(1-K5718)</f>
        <v/>
      </c>
      <c r="M5718" s="10" t="n">
        <v>64.8</v>
      </c>
      <c r="N5718" s="10">
        <f>L5718-M5718</f>
        <v/>
      </c>
    </row>
    <row r="5719">
      <c r="A5719" s="7" t="inlineStr">
        <is>
          <t>ORD-04610</t>
        </is>
      </c>
      <c r="B5719" s="8" t="n">
        <v>46006</v>
      </c>
      <c r="C5719" s="9" t="n">
        <v>45992</v>
      </c>
      <c r="D5719" s="7" t="n">
        <v>2025</v>
      </c>
      <c r="E5719" s="7" t="inlineStr">
        <is>
          <t>South</t>
        </is>
      </c>
      <c r="F5719" s="7" t="inlineStr">
        <is>
          <t>Technology</t>
        </is>
      </c>
      <c r="G5719" s="7" t="inlineStr">
        <is>
          <t>Keyboard</t>
        </is>
      </c>
      <c r="H5719" s="7" t="inlineStr">
        <is>
          <t>Home Office</t>
        </is>
      </c>
      <c r="I5719" s="7" t="n">
        <v>1</v>
      </c>
      <c r="J5719" s="10" t="n">
        <v>44.25</v>
      </c>
      <c r="K5719" s="11" t="n">
        <v>0.05</v>
      </c>
      <c r="L5719" s="10">
        <f>I5719*J5719*(1-K5719)</f>
        <v/>
      </c>
      <c r="M5719" s="10" t="n">
        <v>24.75</v>
      </c>
      <c r="N5719" s="10">
        <f>L5719-M5719</f>
        <v/>
      </c>
    </row>
    <row r="5720">
      <c r="A5720" s="7" t="inlineStr">
        <is>
          <t>ORD-02897</t>
        </is>
      </c>
      <c r="B5720" s="8" t="n">
        <v>46007</v>
      </c>
      <c r="C5720" s="9" t="n">
        <v>45992</v>
      </c>
      <c r="D5720" s="7" t="n">
        <v>2025</v>
      </c>
      <c r="E5720" s="7" t="inlineStr">
        <is>
          <t>West</t>
        </is>
      </c>
      <c r="F5720" s="7" t="inlineStr">
        <is>
          <t>Office Supplies</t>
        </is>
      </c>
      <c r="G5720" s="7" t="inlineStr">
        <is>
          <t>Paper</t>
        </is>
      </c>
      <c r="H5720" s="7" t="inlineStr">
        <is>
          <t>Consumer</t>
        </is>
      </c>
      <c r="I5720" s="7" t="n">
        <v>6</v>
      </c>
      <c r="J5720" s="10" t="n">
        <v>23.94</v>
      </c>
      <c r="K5720" s="11" t="n">
        <v>0.05</v>
      </c>
      <c r="L5720" s="10">
        <f>I5720*J5720*(1-K5720)</f>
        <v/>
      </c>
      <c r="M5720" s="10" t="n">
        <v>75</v>
      </c>
      <c r="N5720" s="10">
        <f>L5720-M5720</f>
        <v/>
      </c>
    </row>
    <row r="5721">
      <c r="A5721" s="7" t="inlineStr">
        <is>
          <t>ORD-00006</t>
        </is>
      </c>
      <c r="B5721" s="8" t="n">
        <v>46007</v>
      </c>
      <c r="C5721" s="9" t="n">
        <v>45992</v>
      </c>
      <c r="D5721" s="7" t="n">
        <v>2025</v>
      </c>
      <c r="E5721" s="7" t="inlineStr">
        <is>
          <t>East</t>
        </is>
      </c>
      <c r="F5721" s="7" t="inlineStr">
        <is>
          <t>Office Supplies</t>
        </is>
      </c>
      <c r="G5721" s="7" t="inlineStr">
        <is>
          <t>Pens</t>
        </is>
      </c>
      <c r="H5721" s="7" t="inlineStr">
        <is>
          <t>Consumer</t>
        </is>
      </c>
      <c r="I5721" s="7" t="n">
        <v>4</v>
      </c>
      <c r="J5721" s="10" t="n">
        <v>11.44</v>
      </c>
      <c r="K5721" s="11" t="n">
        <v>0</v>
      </c>
      <c r="L5721" s="10">
        <f>I5721*J5721*(1-K5721)</f>
        <v/>
      </c>
      <c r="M5721" s="10" t="n">
        <v>21.6</v>
      </c>
      <c r="N5721" s="10">
        <f>L5721-M5721</f>
        <v/>
      </c>
    </row>
    <row r="5722">
      <c r="A5722" s="7" t="inlineStr">
        <is>
          <t>ORD-01194</t>
        </is>
      </c>
      <c r="B5722" s="8" t="n">
        <v>46007</v>
      </c>
      <c r="C5722" s="9" t="n">
        <v>45992</v>
      </c>
      <c r="D5722" s="7" t="n">
        <v>2025</v>
      </c>
      <c r="E5722" s="7" t="inlineStr">
        <is>
          <t>East</t>
        </is>
      </c>
      <c r="F5722" s="7" t="inlineStr">
        <is>
          <t>Office Supplies</t>
        </is>
      </c>
      <c r="G5722" s="7" t="inlineStr">
        <is>
          <t>Pens</t>
        </is>
      </c>
      <c r="H5722" s="7" t="inlineStr">
        <is>
          <t>Consumer</t>
        </is>
      </c>
      <c r="I5722" s="7" t="n">
        <v>11</v>
      </c>
      <c r="J5722" s="10" t="n">
        <v>12.43</v>
      </c>
      <c r="K5722" s="11" t="n">
        <v>0</v>
      </c>
      <c r="L5722" s="10">
        <f>I5722*J5722*(1-K5722)</f>
        <v/>
      </c>
      <c r="M5722" s="10" t="n">
        <v>59.4</v>
      </c>
      <c r="N5722" s="10">
        <f>L5722-M5722</f>
        <v/>
      </c>
    </row>
    <row r="5723">
      <c r="A5723" s="7" t="inlineStr">
        <is>
          <t>ORD-02412</t>
        </is>
      </c>
      <c r="B5723" s="8" t="n">
        <v>46007</v>
      </c>
      <c r="C5723" s="9" t="n">
        <v>45992</v>
      </c>
      <c r="D5723" s="7" t="n">
        <v>2025</v>
      </c>
      <c r="E5723" s="7" t="inlineStr">
        <is>
          <t>East</t>
        </is>
      </c>
      <c r="F5723" s="7" t="inlineStr">
        <is>
          <t>Technology</t>
        </is>
      </c>
      <c r="G5723" s="7" t="inlineStr">
        <is>
          <t>Smartphone</t>
        </is>
      </c>
      <c r="H5723" s="7" t="inlineStr">
        <is>
          <t>Consumer</t>
        </is>
      </c>
      <c r="I5723" s="7" t="n">
        <v>1</v>
      </c>
      <c r="J5723" s="10" t="n">
        <v>570.87</v>
      </c>
      <c r="K5723" s="11" t="n">
        <v>0.1</v>
      </c>
      <c r="L5723" s="10">
        <f>I5723*J5723*(1-K5723)</f>
        <v/>
      </c>
      <c r="M5723" s="10" t="n">
        <v>450</v>
      </c>
      <c r="N5723" s="10">
        <f>L5723-M5723</f>
        <v/>
      </c>
    </row>
    <row r="5724">
      <c r="A5724" s="7" t="inlineStr">
        <is>
          <t>ORD-05196</t>
        </is>
      </c>
      <c r="B5724" s="8" t="n">
        <v>46007</v>
      </c>
      <c r="C5724" s="9" t="n">
        <v>45992</v>
      </c>
      <c r="D5724" s="7" t="n">
        <v>2025</v>
      </c>
      <c r="E5724" s="7" t="inlineStr">
        <is>
          <t>South</t>
        </is>
      </c>
      <c r="F5724" s="7" t="inlineStr">
        <is>
          <t>Technology</t>
        </is>
      </c>
      <c r="G5724" s="7" t="inlineStr">
        <is>
          <t>Smartphone</t>
        </is>
      </c>
      <c r="H5724" s="7" t="inlineStr">
        <is>
          <t>Home Office</t>
        </is>
      </c>
      <c r="I5724" s="7" t="n">
        <v>2</v>
      </c>
      <c r="J5724" s="10" t="n">
        <v>606.63</v>
      </c>
      <c r="K5724" s="11" t="n">
        <v>0</v>
      </c>
      <c r="L5724" s="10">
        <f>I5724*J5724*(1-K5724)</f>
        <v/>
      </c>
      <c r="M5724" s="10" t="n">
        <v>900</v>
      </c>
      <c r="N5724" s="10">
        <f>L5724-M5724</f>
        <v/>
      </c>
    </row>
    <row r="5725">
      <c r="A5725" s="7" t="inlineStr">
        <is>
          <t>ORD-03736</t>
        </is>
      </c>
      <c r="B5725" s="8" t="n">
        <v>46007</v>
      </c>
      <c r="C5725" s="9" t="n">
        <v>45992</v>
      </c>
      <c r="D5725" s="7" t="n">
        <v>2025</v>
      </c>
      <c r="E5725" s="7" t="inlineStr">
        <is>
          <t>East</t>
        </is>
      </c>
      <c r="F5725" s="7" t="inlineStr">
        <is>
          <t>Office Supplies</t>
        </is>
      </c>
      <c r="G5725" s="7" t="inlineStr">
        <is>
          <t>Binder</t>
        </is>
      </c>
      <c r="H5725" s="7" t="inlineStr">
        <is>
          <t>Corporate</t>
        </is>
      </c>
      <c r="I5725" s="7" t="n">
        <v>14</v>
      </c>
      <c r="J5725" s="10" t="n">
        <v>8.039999999999999</v>
      </c>
      <c r="K5725" s="11" t="n">
        <v>0.05</v>
      </c>
      <c r="L5725" s="10">
        <f>I5725*J5725*(1-K5725)</f>
        <v/>
      </c>
      <c r="M5725" s="10" t="n">
        <v>44.8</v>
      </c>
      <c r="N5725" s="10">
        <f>L5725-M5725</f>
        <v/>
      </c>
    </row>
    <row r="5726">
      <c r="A5726" s="7" t="inlineStr">
        <is>
          <t>ORD-03885</t>
        </is>
      </c>
      <c r="B5726" s="8" t="n">
        <v>46007</v>
      </c>
      <c r="C5726" s="9" t="n">
        <v>45992</v>
      </c>
      <c r="D5726" s="7" t="n">
        <v>2025</v>
      </c>
      <c r="E5726" s="7" t="inlineStr">
        <is>
          <t>West</t>
        </is>
      </c>
      <c r="F5726" s="7" t="inlineStr">
        <is>
          <t>Furniture</t>
        </is>
      </c>
      <c r="G5726" s="7" t="inlineStr">
        <is>
          <t>Desk</t>
        </is>
      </c>
      <c r="H5726" s="7" t="inlineStr">
        <is>
          <t>Corporate</t>
        </is>
      </c>
      <c r="I5726" s="7" t="n">
        <v>2</v>
      </c>
      <c r="J5726" s="10" t="n">
        <v>467.55</v>
      </c>
      <c r="K5726" s="11" t="n">
        <v>0.2</v>
      </c>
      <c r="L5726" s="10">
        <f>I5726*J5726*(1-K5726)</f>
        <v/>
      </c>
      <c r="M5726" s="10" t="n">
        <v>765</v>
      </c>
      <c r="N5726" s="10">
        <f>L5726-M5726</f>
        <v/>
      </c>
    </row>
    <row r="5727">
      <c r="A5727" s="7" t="inlineStr">
        <is>
          <t>ORD-03393</t>
        </is>
      </c>
      <c r="B5727" s="8" t="n">
        <v>46007</v>
      </c>
      <c r="C5727" s="9" t="n">
        <v>45992</v>
      </c>
      <c r="D5727" s="7" t="n">
        <v>2025</v>
      </c>
      <c r="E5727" s="7" t="inlineStr">
        <is>
          <t>East</t>
        </is>
      </c>
      <c r="F5727" s="7" t="inlineStr">
        <is>
          <t>Technology</t>
        </is>
      </c>
      <c r="G5727" s="7" t="inlineStr">
        <is>
          <t>Headphones</t>
        </is>
      </c>
      <c r="H5727" s="7" t="inlineStr">
        <is>
          <t>Home Office</t>
        </is>
      </c>
      <c r="I5727" s="7" t="n">
        <v>2</v>
      </c>
      <c r="J5727" s="10" t="n">
        <v>122.42</v>
      </c>
      <c r="K5727" s="11" t="n">
        <v>0</v>
      </c>
      <c r="L5727" s="10">
        <f>I5727*J5727*(1-K5727)</f>
        <v/>
      </c>
      <c r="M5727" s="10" t="n">
        <v>144</v>
      </c>
      <c r="N5727" s="10">
        <f>L5727-M5727</f>
        <v/>
      </c>
    </row>
    <row r="5728">
      <c r="A5728" s="7" t="inlineStr">
        <is>
          <t>ORD-01375</t>
        </is>
      </c>
      <c r="B5728" s="8" t="n">
        <v>46007</v>
      </c>
      <c r="C5728" s="9" t="n">
        <v>45992</v>
      </c>
      <c r="D5728" s="7" t="n">
        <v>2025</v>
      </c>
      <c r="E5728" s="7" t="inlineStr">
        <is>
          <t>East</t>
        </is>
      </c>
      <c r="F5728" s="7" t="inlineStr">
        <is>
          <t>Office Supplies</t>
        </is>
      </c>
      <c r="G5728" s="7" t="inlineStr">
        <is>
          <t>Paper</t>
        </is>
      </c>
      <c r="H5728" s="7" t="inlineStr">
        <is>
          <t>Home Office</t>
        </is>
      </c>
      <c r="I5728" s="7" t="n">
        <v>8</v>
      </c>
      <c r="J5728" s="10" t="n">
        <v>24.84</v>
      </c>
      <c r="K5728" s="11" t="n">
        <v>0.05</v>
      </c>
      <c r="L5728" s="10">
        <f>I5728*J5728*(1-K5728)</f>
        <v/>
      </c>
      <c r="M5728" s="10" t="n">
        <v>100</v>
      </c>
      <c r="N5728" s="10">
        <f>L5728-M5728</f>
        <v/>
      </c>
    </row>
    <row r="5729">
      <c r="A5729" s="7" t="inlineStr">
        <is>
          <t>ORD-03046</t>
        </is>
      </c>
      <c r="B5729" s="8" t="n">
        <v>46007</v>
      </c>
      <c r="C5729" s="9" t="n">
        <v>45992</v>
      </c>
      <c r="D5729" s="7" t="n">
        <v>2025</v>
      </c>
      <c r="E5729" s="7" t="inlineStr">
        <is>
          <t>West</t>
        </is>
      </c>
      <c r="F5729" s="7" t="inlineStr">
        <is>
          <t>Office Supplies</t>
        </is>
      </c>
      <c r="G5729" s="7" t="inlineStr">
        <is>
          <t>Pens</t>
        </is>
      </c>
      <c r="H5729" s="7" t="inlineStr">
        <is>
          <t>Home Office</t>
        </is>
      </c>
      <c r="I5729" s="7" t="n">
        <v>9</v>
      </c>
      <c r="J5729" s="10" t="n">
        <v>12.56</v>
      </c>
      <c r="K5729" s="11" t="n">
        <v>0.3</v>
      </c>
      <c r="L5729" s="10">
        <f>I5729*J5729*(1-K5729)</f>
        <v/>
      </c>
      <c r="M5729" s="10" t="n">
        <v>48.6</v>
      </c>
      <c r="N5729" s="10">
        <f>L5729-M5729</f>
        <v/>
      </c>
    </row>
    <row r="5730">
      <c r="A5730" s="7" t="inlineStr">
        <is>
          <t>ORD-04219</t>
        </is>
      </c>
      <c r="B5730" s="8" t="n">
        <v>46008</v>
      </c>
      <c r="C5730" s="9" t="n">
        <v>45992</v>
      </c>
      <c r="D5730" s="7" t="n">
        <v>2025</v>
      </c>
      <c r="E5730" s="7" t="inlineStr">
        <is>
          <t>West</t>
        </is>
      </c>
      <c r="F5730" s="7" t="inlineStr">
        <is>
          <t>Technology</t>
        </is>
      </c>
      <c r="G5730" s="7" t="inlineStr">
        <is>
          <t>Keyboard</t>
        </is>
      </c>
      <c r="H5730" s="7" t="inlineStr">
        <is>
          <t>Corporate</t>
        </is>
      </c>
      <c r="I5730" s="7" t="n">
        <v>1</v>
      </c>
      <c r="J5730" s="10" t="n">
        <v>43.06</v>
      </c>
      <c r="K5730" s="11" t="n">
        <v>0.2</v>
      </c>
      <c r="L5730" s="10">
        <f>I5730*J5730*(1-K5730)</f>
        <v/>
      </c>
      <c r="M5730" s="10" t="n">
        <v>24.75</v>
      </c>
      <c r="N5730" s="10">
        <f>L5730-M5730</f>
        <v/>
      </c>
    </row>
    <row r="5731">
      <c r="A5731" s="7" t="inlineStr">
        <is>
          <t>ORD-01066</t>
        </is>
      </c>
      <c r="B5731" s="8" t="n">
        <v>46008</v>
      </c>
      <c r="C5731" s="9" t="n">
        <v>45992</v>
      </c>
      <c r="D5731" s="7" t="n">
        <v>2025</v>
      </c>
      <c r="E5731" s="7" t="inlineStr">
        <is>
          <t>South</t>
        </is>
      </c>
      <c r="F5731" s="7" t="inlineStr">
        <is>
          <t>Office Supplies</t>
        </is>
      </c>
      <c r="G5731" s="7" t="inlineStr">
        <is>
          <t>Binder</t>
        </is>
      </c>
      <c r="H5731" s="7" t="inlineStr">
        <is>
          <t>Consumer</t>
        </is>
      </c>
      <c r="I5731" s="7" t="n">
        <v>8</v>
      </c>
      <c r="J5731" s="10" t="n">
        <v>7.65</v>
      </c>
      <c r="K5731" s="11" t="n">
        <v>0.3</v>
      </c>
      <c r="L5731" s="10">
        <f>I5731*J5731*(1-K5731)</f>
        <v/>
      </c>
      <c r="M5731" s="10" t="n">
        <v>25.6</v>
      </c>
      <c r="N5731" s="10">
        <f>L5731-M5731</f>
        <v/>
      </c>
    </row>
    <row r="5732">
      <c r="A5732" s="7" t="inlineStr">
        <is>
          <t>ORD-04231</t>
        </is>
      </c>
      <c r="B5732" s="8" t="n">
        <v>46008</v>
      </c>
      <c r="C5732" s="9" t="n">
        <v>45992</v>
      </c>
      <c r="D5732" s="7" t="n">
        <v>2025</v>
      </c>
      <c r="E5732" s="7" t="inlineStr">
        <is>
          <t>East</t>
        </is>
      </c>
      <c r="F5732" s="7" t="inlineStr">
        <is>
          <t>Office Supplies</t>
        </is>
      </c>
      <c r="G5732" s="7" t="inlineStr">
        <is>
          <t>Pens</t>
        </is>
      </c>
      <c r="H5732" s="7" t="inlineStr">
        <is>
          <t>Consumer</t>
        </is>
      </c>
      <c r="I5732" s="7" t="n">
        <v>14</v>
      </c>
      <c r="J5732" s="10" t="n">
        <v>12.43</v>
      </c>
      <c r="K5732" s="11" t="n">
        <v>0.2</v>
      </c>
      <c r="L5732" s="10">
        <f>I5732*J5732*(1-K5732)</f>
        <v/>
      </c>
      <c r="M5732" s="10" t="n">
        <v>75.59999999999999</v>
      </c>
      <c r="N5732" s="10">
        <f>L5732-M5732</f>
        <v/>
      </c>
    </row>
    <row r="5733">
      <c r="A5733" s="7" t="inlineStr">
        <is>
          <t>ORD-05130</t>
        </is>
      </c>
      <c r="B5733" s="8" t="n">
        <v>46008</v>
      </c>
      <c r="C5733" s="9" t="n">
        <v>45992</v>
      </c>
      <c r="D5733" s="7" t="n">
        <v>2025</v>
      </c>
      <c r="E5733" s="7" t="inlineStr">
        <is>
          <t>South</t>
        </is>
      </c>
      <c r="F5733" s="7" t="inlineStr">
        <is>
          <t>Furniture</t>
        </is>
      </c>
      <c r="G5733" s="7" t="inlineStr">
        <is>
          <t>Office Chair</t>
        </is>
      </c>
      <c r="H5733" s="7" t="inlineStr">
        <is>
          <t>Consumer</t>
        </is>
      </c>
      <c r="I5733" s="7" t="n">
        <v>3</v>
      </c>
      <c r="J5733" s="10" t="n">
        <v>229.22</v>
      </c>
      <c r="K5733" s="11" t="n">
        <v>0.2</v>
      </c>
      <c r="L5733" s="10">
        <f>I5733*J5733*(1-K5733)</f>
        <v/>
      </c>
      <c r="M5733" s="10" t="n">
        <v>541.2</v>
      </c>
      <c r="N5733" s="10">
        <f>L5733-M5733</f>
        <v/>
      </c>
    </row>
    <row r="5734">
      <c r="A5734" s="7" t="inlineStr">
        <is>
          <t>ORD-01412</t>
        </is>
      </c>
      <c r="B5734" s="8" t="n">
        <v>46008</v>
      </c>
      <c r="C5734" s="9" t="n">
        <v>45992</v>
      </c>
      <c r="D5734" s="7" t="n">
        <v>2025</v>
      </c>
      <c r="E5734" s="7" t="inlineStr">
        <is>
          <t>South</t>
        </is>
      </c>
      <c r="F5734" s="7" t="inlineStr">
        <is>
          <t>Technology</t>
        </is>
      </c>
      <c r="G5734" s="7" t="inlineStr">
        <is>
          <t>Monitor</t>
        </is>
      </c>
      <c r="H5734" s="7" t="inlineStr">
        <is>
          <t>Consumer</t>
        </is>
      </c>
      <c r="I5734" s="7" t="n">
        <v>1</v>
      </c>
      <c r="J5734" s="10" t="n">
        <v>252.29</v>
      </c>
      <c r="K5734" s="11" t="n">
        <v>0.1</v>
      </c>
      <c r="L5734" s="10">
        <f>I5734*J5734*(1-K5734)</f>
        <v/>
      </c>
      <c r="M5734" s="10" t="n">
        <v>180</v>
      </c>
      <c r="N5734" s="10">
        <f>L5734-M5734</f>
        <v/>
      </c>
    </row>
    <row r="5735">
      <c r="A5735" s="7" t="inlineStr">
        <is>
          <t>ORD-01436</t>
        </is>
      </c>
      <c r="B5735" s="8" t="n">
        <v>46008</v>
      </c>
      <c r="C5735" s="9" t="n">
        <v>45992</v>
      </c>
      <c r="D5735" s="7" t="n">
        <v>2025</v>
      </c>
      <c r="E5735" s="7" t="inlineStr">
        <is>
          <t>East</t>
        </is>
      </c>
      <c r="F5735" s="7" t="inlineStr">
        <is>
          <t>Office Supplies</t>
        </is>
      </c>
      <c r="G5735" s="7" t="inlineStr">
        <is>
          <t>Pens</t>
        </is>
      </c>
      <c r="H5735" s="7" t="inlineStr">
        <is>
          <t>Consumer</t>
        </is>
      </c>
      <c r="I5735" s="7" t="n">
        <v>8</v>
      </c>
      <c r="J5735" s="10" t="n">
        <v>12.03</v>
      </c>
      <c r="K5735" s="11" t="n">
        <v>0.05</v>
      </c>
      <c r="L5735" s="10">
        <f>I5735*J5735*(1-K5735)</f>
        <v/>
      </c>
      <c r="M5735" s="10" t="n">
        <v>43.2</v>
      </c>
      <c r="N5735" s="10">
        <f>L5735-M5735</f>
        <v/>
      </c>
    </row>
    <row r="5736">
      <c r="A5736" s="7" t="inlineStr">
        <is>
          <t>ORD-01135</t>
        </is>
      </c>
      <c r="B5736" s="8" t="n">
        <v>46008</v>
      </c>
      <c r="C5736" s="9" t="n">
        <v>45992</v>
      </c>
      <c r="D5736" s="7" t="n">
        <v>2025</v>
      </c>
      <c r="E5736" s="7" t="inlineStr">
        <is>
          <t>West</t>
        </is>
      </c>
      <c r="F5736" s="7" t="inlineStr">
        <is>
          <t>Technology</t>
        </is>
      </c>
      <c r="G5736" s="7" t="inlineStr">
        <is>
          <t>Keyboard</t>
        </is>
      </c>
      <c r="H5736" s="7" t="inlineStr">
        <is>
          <t>Consumer</t>
        </is>
      </c>
      <c r="I5736" s="7" t="n">
        <v>3</v>
      </c>
      <c r="J5736" s="10" t="n">
        <v>45.11</v>
      </c>
      <c r="K5736" s="11" t="n">
        <v>0.2</v>
      </c>
      <c r="L5736" s="10">
        <f>I5736*J5736*(1-K5736)</f>
        <v/>
      </c>
      <c r="M5736" s="10" t="n">
        <v>74.25</v>
      </c>
      <c r="N5736" s="10">
        <f>L5736-M5736</f>
        <v/>
      </c>
    </row>
    <row r="5737">
      <c r="A5737" s="7" t="inlineStr">
        <is>
          <t>ORD-02077</t>
        </is>
      </c>
      <c r="B5737" s="8" t="n">
        <v>46008</v>
      </c>
      <c r="C5737" s="9" t="n">
        <v>45992</v>
      </c>
      <c r="D5737" s="7" t="n">
        <v>2025</v>
      </c>
      <c r="E5737" s="7" t="inlineStr">
        <is>
          <t>West</t>
        </is>
      </c>
      <c r="F5737" s="7" t="inlineStr">
        <is>
          <t>Technology</t>
        </is>
      </c>
      <c r="G5737" s="7" t="inlineStr">
        <is>
          <t>Keyboard</t>
        </is>
      </c>
      <c r="H5737" s="7" t="inlineStr">
        <is>
          <t>Consumer</t>
        </is>
      </c>
      <c r="I5737" s="7" t="n">
        <v>2</v>
      </c>
      <c r="J5737" s="10" t="n">
        <v>43.86</v>
      </c>
      <c r="K5737" s="11" t="n">
        <v>0</v>
      </c>
      <c r="L5737" s="10">
        <f>I5737*J5737*(1-K5737)</f>
        <v/>
      </c>
      <c r="M5737" s="10" t="n">
        <v>49.5</v>
      </c>
      <c r="N5737" s="10">
        <f>L5737-M5737</f>
        <v/>
      </c>
    </row>
    <row r="5738">
      <c r="A5738" s="7" t="inlineStr">
        <is>
          <t>ORD-01440</t>
        </is>
      </c>
      <c r="B5738" s="8" t="n">
        <v>46008</v>
      </c>
      <c r="C5738" s="9" t="n">
        <v>45992</v>
      </c>
      <c r="D5738" s="7" t="n">
        <v>2025</v>
      </c>
      <c r="E5738" s="7" t="inlineStr">
        <is>
          <t>North</t>
        </is>
      </c>
      <c r="F5738" s="7" t="inlineStr">
        <is>
          <t>Technology</t>
        </is>
      </c>
      <c r="G5738" s="7" t="inlineStr">
        <is>
          <t>Keyboard</t>
        </is>
      </c>
      <c r="H5738" s="7" t="inlineStr">
        <is>
          <t>Consumer</t>
        </is>
      </c>
      <c r="I5738" s="7" t="n">
        <v>1</v>
      </c>
      <c r="J5738" s="10" t="n">
        <v>43.93</v>
      </c>
      <c r="K5738" s="11" t="n">
        <v>0.05</v>
      </c>
      <c r="L5738" s="10">
        <f>I5738*J5738*(1-K5738)</f>
        <v/>
      </c>
      <c r="M5738" s="10" t="n">
        <v>24.75</v>
      </c>
      <c r="N5738" s="10">
        <f>L5738-M5738</f>
        <v/>
      </c>
    </row>
    <row r="5739">
      <c r="A5739" s="7" t="inlineStr">
        <is>
          <t>ORD-00625</t>
        </is>
      </c>
      <c r="B5739" s="8" t="n">
        <v>46009</v>
      </c>
      <c r="C5739" s="9" t="n">
        <v>45992</v>
      </c>
      <c r="D5739" s="7" t="n">
        <v>2025</v>
      </c>
      <c r="E5739" s="7" t="inlineStr">
        <is>
          <t>West</t>
        </is>
      </c>
      <c r="F5739" s="7" t="inlineStr">
        <is>
          <t>Furniture</t>
        </is>
      </c>
      <c r="G5739" s="7" t="inlineStr">
        <is>
          <t>Bookcase</t>
        </is>
      </c>
      <c r="H5739" s="7" t="inlineStr">
        <is>
          <t>Home Office</t>
        </is>
      </c>
      <c r="I5739" s="7" t="n">
        <v>1</v>
      </c>
      <c r="J5739" s="10" t="n">
        <v>171.88</v>
      </c>
      <c r="K5739" s="11" t="n">
        <v>0</v>
      </c>
      <c r="L5739" s="10">
        <f>I5739*J5739*(1-K5739)</f>
        <v/>
      </c>
      <c r="M5739" s="10" t="n">
        <v>144</v>
      </c>
      <c r="N5739" s="10">
        <f>L5739-M5739</f>
        <v/>
      </c>
    </row>
    <row r="5740">
      <c r="A5740" s="7" t="inlineStr">
        <is>
          <t>ORD-02057</t>
        </is>
      </c>
      <c r="B5740" s="8" t="n">
        <v>46009</v>
      </c>
      <c r="C5740" s="9" t="n">
        <v>45992</v>
      </c>
      <c r="D5740" s="7" t="n">
        <v>2025</v>
      </c>
      <c r="E5740" s="7" t="inlineStr">
        <is>
          <t>East</t>
        </is>
      </c>
      <c r="F5740" s="7" t="inlineStr">
        <is>
          <t>Office Supplies</t>
        </is>
      </c>
      <c r="G5740" s="7" t="inlineStr">
        <is>
          <t>Printer Ink</t>
        </is>
      </c>
      <c r="H5740" s="7" t="inlineStr">
        <is>
          <t>Corporate</t>
        </is>
      </c>
      <c r="I5740" s="7" t="n">
        <v>14</v>
      </c>
      <c r="J5740" s="10" t="n">
        <v>61.52</v>
      </c>
      <c r="K5740" s="11" t="n">
        <v>0.2</v>
      </c>
      <c r="L5740" s="10">
        <f>I5740*J5740*(1-K5740)</f>
        <v/>
      </c>
      <c r="M5740" s="10" t="n">
        <v>504</v>
      </c>
      <c r="N5740" s="10">
        <f>L5740-M5740</f>
        <v/>
      </c>
    </row>
    <row r="5741">
      <c r="A5741" s="7" t="inlineStr">
        <is>
          <t>ORD-04596</t>
        </is>
      </c>
      <c r="B5741" s="8" t="n">
        <v>46009</v>
      </c>
      <c r="C5741" s="9" t="n">
        <v>45992</v>
      </c>
      <c r="D5741" s="7" t="n">
        <v>2025</v>
      </c>
      <c r="E5741" s="7" t="inlineStr">
        <is>
          <t>East</t>
        </is>
      </c>
      <c r="F5741" s="7" t="inlineStr">
        <is>
          <t>Technology</t>
        </is>
      </c>
      <c r="G5741" s="7" t="inlineStr">
        <is>
          <t>Headphones</t>
        </is>
      </c>
      <c r="H5741" s="7" t="inlineStr">
        <is>
          <t>Consumer</t>
        </is>
      </c>
      <c r="I5741" s="7" t="n">
        <v>2</v>
      </c>
      <c r="J5741" s="10" t="n">
        <v>125.25</v>
      </c>
      <c r="K5741" s="11" t="n">
        <v>0.2</v>
      </c>
      <c r="L5741" s="10">
        <f>I5741*J5741*(1-K5741)</f>
        <v/>
      </c>
      <c r="M5741" s="10" t="n">
        <v>144</v>
      </c>
      <c r="N5741" s="10">
        <f>L5741-M5741</f>
        <v/>
      </c>
    </row>
    <row r="5742">
      <c r="A5742" s="7" t="inlineStr">
        <is>
          <t>ORD-05393</t>
        </is>
      </c>
      <c r="B5742" s="8" t="n">
        <v>46009</v>
      </c>
      <c r="C5742" s="9" t="n">
        <v>45992</v>
      </c>
      <c r="D5742" s="7" t="n">
        <v>2025</v>
      </c>
      <c r="E5742" s="7" t="inlineStr">
        <is>
          <t>South</t>
        </is>
      </c>
      <c r="F5742" s="7" t="inlineStr">
        <is>
          <t>Office Supplies</t>
        </is>
      </c>
      <c r="G5742" s="7" t="inlineStr">
        <is>
          <t>Pens</t>
        </is>
      </c>
      <c r="H5742" s="7" t="inlineStr">
        <is>
          <t>Corporate</t>
        </is>
      </c>
      <c r="I5742" s="7" t="n">
        <v>3</v>
      </c>
      <c r="J5742" s="10" t="n">
        <v>11.65</v>
      </c>
      <c r="K5742" s="11" t="n">
        <v>0.2</v>
      </c>
      <c r="L5742" s="10">
        <f>I5742*J5742*(1-K5742)</f>
        <v/>
      </c>
      <c r="M5742" s="10" t="n">
        <v>16.2</v>
      </c>
      <c r="N5742" s="10">
        <f>L5742-M5742</f>
        <v/>
      </c>
    </row>
    <row r="5743">
      <c r="A5743" s="7" t="inlineStr">
        <is>
          <t>ORD-04701</t>
        </is>
      </c>
      <c r="B5743" s="8" t="n">
        <v>46009</v>
      </c>
      <c r="C5743" s="9" t="n">
        <v>45992</v>
      </c>
      <c r="D5743" s="7" t="n">
        <v>2025</v>
      </c>
      <c r="E5743" s="7" t="inlineStr">
        <is>
          <t>South</t>
        </is>
      </c>
      <c r="F5743" s="7" t="inlineStr">
        <is>
          <t>Furniture</t>
        </is>
      </c>
      <c r="G5743" s="7" t="inlineStr">
        <is>
          <t>Office Chair</t>
        </is>
      </c>
      <c r="H5743" s="7" t="inlineStr">
        <is>
          <t>Consumer</t>
        </is>
      </c>
      <c r="I5743" s="7" t="n">
        <v>1</v>
      </c>
      <c r="J5743" s="10" t="n">
        <v>226.1</v>
      </c>
      <c r="K5743" s="11" t="n">
        <v>0.1</v>
      </c>
      <c r="L5743" s="10">
        <f>I5743*J5743*(1-K5743)</f>
        <v/>
      </c>
      <c r="M5743" s="10" t="n">
        <v>180.4</v>
      </c>
      <c r="N5743" s="10">
        <f>L5743-M5743</f>
        <v/>
      </c>
    </row>
    <row r="5744">
      <c r="A5744" s="7" t="inlineStr">
        <is>
          <t>ORD-04364</t>
        </is>
      </c>
      <c r="B5744" s="8" t="n">
        <v>46009</v>
      </c>
      <c r="C5744" s="9" t="n">
        <v>45992</v>
      </c>
      <c r="D5744" s="7" t="n">
        <v>2025</v>
      </c>
      <c r="E5744" s="7" t="inlineStr">
        <is>
          <t>South</t>
        </is>
      </c>
      <c r="F5744" s="7" t="inlineStr">
        <is>
          <t>Office Supplies</t>
        </is>
      </c>
      <c r="G5744" s="7" t="inlineStr">
        <is>
          <t>Pens</t>
        </is>
      </c>
      <c r="H5744" s="7" t="inlineStr">
        <is>
          <t>Consumer</t>
        </is>
      </c>
      <c r="I5744" s="7" t="n">
        <v>4</v>
      </c>
      <c r="J5744" s="10" t="n">
        <v>11.62</v>
      </c>
      <c r="K5744" s="11" t="n">
        <v>0.2</v>
      </c>
      <c r="L5744" s="10">
        <f>I5744*J5744*(1-K5744)</f>
        <v/>
      </c>
      <c r="M5744" s="10" t="n">
        <v>21.6</v>
      </c>
      <c r="N5744" s="10">
        <f>L5744-M5744</f>
        <v/>
      </c>
    </row>
    <row r="5745">
      <c r="A5745" s="7" t="inlineStr">
        <is>
          <t>ORD-01268</t>
        </is>
      </c>
      <c r="B5745" s="8" t="n">
        <v>46009</v>
      </c>
      <c r="C5745" s="9" t="n">
        <v>45992</v>
      </c>
      <c r="D5745" s="7" t="n">
        <v>2025</v>
      </c>
      <c r="E5745" s="7" t="inlineStr">
        <is>
          <t>South</t>
        </is>
      </c>
      <c r="F5745" s="7" t="inlineStr">
        <is>
          <t>Office Supplies</t>
        </is>
      </c>
      <c r="G5745" s="7" t="inlineStr">
        <is>
          <t>Paper</t>
        </is>
      </c>
      <c r="H5745" s="7" t="inlineStr">
        <is>
          <t>Consumer</t>
        </is>
      </c>
      <c r="I5745" s="7" t="n">
        <v>13</v>
      </c>
      <c r="J5745" s="10" t="n">
        <v>25.44</v>
      </c>
      <c r="K5745" s="11" t="n">
        <v>0</v>
      </c>
      <c r="L5745" s="10">
        <f>I5745*J5745*(1-K5745)</f>
        <v/>
      </c>
      <c r="M5745" s="10" t="n">
        <v>162.5</v>
      </c>
      <c r="N5745" s="10">
        <f>L5745-M5745</f>
        <v/>
      </c>
    </row>
    <row r="5746">
      <c r="A5746" s="7" t="inlineStr">
        <is>
          <t>ORD-01085</t>
        </is>
      </c>
      <c r="B5746" s="8" t="n">
        <v>46009</v>
      </c>
      <c r="C5746" s="9" t="n">
        <v>45992</v>
      </c>
      <c r="D5746" s="7" t="n">
        <v>2025</v>
      </c>
      <c r="E5746" s="7" t="inlineStr">
        <is>
          <t>South</t>
        </is>
      </c>
      <c r="F5746" s="7" t="inlineStr">
        <is>
          <t>Office Supplies</t>
        </is>
      </c>
      <c r="G5746" s="7" t="inlineStr">
        <is>
          <t>Pens</t>
        </is>
      </c>
      <c r="H5746" s="7" t="inlineStr">
        <is>
          <t>Consumer</t>
        </is>
      </c>
      <c r="I5746" s="7" t="n">
        <v>3</v>
      </c>
      <c r="J5746" s="10" t="n">
        <v>11.48</v>
      </c>
      <c r="K5746" s="11" t="n">
        <v>0.3</v>
      </c>
      <c r="L5746" s="10">
        <f>I5746*J5746*(1-K5746)</f>
        <v/>
      </c>
      <c r="M5746" s="10" t="n">
        <v>16.2</v>
      </c>
      <c r="N5746" s="10">
        <f>L5746-M5746</f>
        <v/>
      </c>
    </row>
    <row r="5747">
      <c r="A5747" s="7" t="inlineStr">
        <is>
          <t>ORD-03991</t>
        </is>
      </c>
      <c r="B5747" s="8" t="n">
        <v>46010</v>
      </c>
      <c r="C5747" s="9" t="n">
        <v>45992</v>
      </c>
      <c r="D5747" s="7" t="n">
        <v>2025</v>
      </c>
      <c r="E5747" s="7" t="inlineStr">
        <is>
          <t>West</t>
        </is>
      </c>
      <c r="F5747" s="7" t="inlineStr">
        <is>
          <t>Technology</t>
        </is>
      </c>
      <c r="G5747" s="7" t="inlineStr">
        <is>
          <t>Smartphone</t>
        </is>
      </c>
      <c r="H5747" s="7" t="inlineStr">
        <is>
          <t>Consumer</t>
        </is>
      </c>
      <c r="I5747" s="7" t="n">
        <v>1</v>
      </c>
      <c r="J5747" s="10" t="n">
        <v>610.0700000000001</v>
      </c>
      <c r="K5747" s="11" t="n">
        <v>0</v>
      </c>
      <c r="L5747" s="10">
        <f>I5747*J5747*(1-K5747)</f>
        <v/>
      </c>
      <c r="M5747" s="10" t="n">
        <v>450</v>
      </c>
      <c r="N5747" s="10">
        <f>L5747-M5747</f>
        <v/>
      </c>
    </row>
    <row r="5748">
      <c r="A5748" s="7" t="inlineStr">
        <is>
          <t>ORD-00447</t>
        </is>
      </c>
      <c r="B5748" s="8" t="n">
        <v>46010</v>
      </c>
      <c r="C5748" s="9" t="n">
        <v>45992</v>
      </c>
      <c r="D5748" s="7" t="n">
        <v>2025</v>
      </c>
      <c r="E5748" s="7" t="inlineStr">
        <is>
          <t>South</t>
        </is>
      </c>
      <c r="F5748" s="7" t="inlineStr">
        <is>
          <t>Office Supplies</t>
        </is>
      </c>
      <c r="G5748" s="7" t="inlineStr">
        <is>
          <t>Paper</t>
        </is>
      </c>
      <c r="H5748" s="7" t="inlineStr">
        <is>
          <t>Corporate</t>
        </is>
      </c>
      <c r="I5748" s="7" t="n">
        <v>13</v>
      </c>
      <c r="J5748" s="10" t="n">
        <v>25.15</v>
      </c>
      <c r="K5748" s="11" t="n">
        <v>0.05</v>
      </c>
      <c r="L5748" s="10">
        <f>I5748*J5748*(1-K5748)</f>
        <v/>
      </c>
      <c r="M5748" s="10" t="n">
        <v>162.5</v>
      </c>
      <c r="N5748" s="10">
        <f>L5748-M5748</f>
        <v/>
      </c>
    </row>
    <row r="5749">
      <c r="A5749" s="7" t="inlineStr">
        <is>
          <t>ORD-00873</t>
        </is>
      </c>
      <c r="B5749" s="8" t="n">
        <v>46010</v>
      </c>
      <c r="C5749" s="9" t="n">
        <v>45992</v>
      </c>
      <c r="D5749" s="7" t="n">
        <v>2025</v>
      </c>
      <c r="E5749" s="7" t="inlineStr">
        <is>
          <t>East</t>
        </is>
      </c>
      <c r="F5749" s="7" t="inlineStr">
        <is>
          <t>Office Supplies</t>
        </is>
      </c>
      <c r="G5749" s="7" t="inlineStr">
        <is>
          <t>Binder</t>
        </is>
      </c>
      <c r="H5749" s="7" t="inlineStr">
        <is>
          <t>Consumer</t>
        </is>
      </c>
      <c r="I5749" s="7" t="n">
        <v>10</v>
      </c>
      <c r="J5749" s="10" t="n">
        <v>7.82</v>
      </c>
      <c r="K5749" s="11" t="n">
        <v>0</v>
      </c>
      <c r="L5749" s="10">
        <f>I5749*J5749*(1-K5749)</f>
        <v/>
      </c>
      <c r="M5749" s="10" t="n">
        <v>32</v>
      </c>
      <c r="N5749" s="10">
        <f>L5749-M5749</f>
        <v/>
      </c>
    </row>
    <row r="5750">
      <c r="A5750" s="7" t="inlineStr">
        <is>
          <t>ORD-00457</t>
        </is>
      </c>
      <c r="B5750" s="8" t="n">
        <v>46010</v>
      </c>
      <c r="C5750" s="9" t="n">
        <v>45992</v>
      </c>
      <c r="D5750" s="7" t="n">
        <v>2025</v>
      </c>
      <c r="E5750" s="7" t="inlineStr">
        <is>
          <t>East</t>
        </is>
      </c>
      <c r="F5750" s="7" t="inlineStr">
        <is>
          <t>Office Supplies</t>
        </is>
      </c>
      <c r="G5750" s="7" t="inlineStr">
        <is>
          <t>Pens</t>
        </is>
      </c>
      <c r="H5750" s="7" t="inlineStr">
        <is>
          <t>Consumer</t>
        </is>
      </c>
      <c r="I5750" s="7" t="n">
        <v>14</v>
      </c>
      <c r="J5750" s="10" t="n">
        <v>11.44</v>
      </c>
      <c r="K5750" s="11" t="n">
        <v>0</v>
      </c>
      <c r="L5750" s="10">
        <f>I5750*J5750*(1-K5750)</f>
        <v/>
      </c>
      <c r="M5750" s="10" t="n">
        <v>75.59999999999999</v>
      </c>
      <c r="N5750" s="10">
        <f>L5750-M5750</f>
        <v/>
      </c>
    </row>
    <row r="5751">
      <c r="A5751" s="7" t="inlineStr">
        <is>
          <t>ORD-00297</t>
        </is>
      </c>
      <c r="B5751" s="8" t="n">
        <v>46010</v>
      </c>
      <c r="C5751" s="9" t="n">
        <v>45992</v>
      </c>
      <c r="D5751" s="7" t="n">
        <v>2025</v>
      </c>
      <c r="E5751" s="7" t="inlineStr">
        <is>
          <t>South</t>
        </is>
      </c>
      <c r="F5751" s="7" t="inlineStr">
        <is>
          <t>Technology</t>
        </is>
      </c>
      <c r="G5751" s="7" t="inlineStr">
        <is>
          <t>Keyboard</t>
        </is>
      </c>
      <c r="H5751" s="7" t="inlineStr">
        <is>
          <t>Home Office</t>
        </is>
      </c>
      <c r="I5751" s="7" t="n">
        <v>1</v>
      </c>
      <c r="J5751" s="10" t="n">
        <v>42.83</v>
      </c>
      <c r="K5751" s="11" t="n">
        <v>0.2</v>
      </c>
      <c r="L5751" s="10">
        <f>I5751*J5751*(1-K5751)</f>
        <v/>
      </c>
      <c r="M5751" s="10" t="n">
        <v>24.75</v>
      </c>
      <c r="N5751" s="10">
        <f>L5751-M5751</f>
        <v/>
      </c>
    </row>
    <row r="5752">
      <c r="A5752" s="7" t="inlineStr">
        <is>
          <t>ORD-04547</t>
        </is>
      </c>
      <c r="B5752" s="8" t="n">
        <v>46010</v>
      </c>
      <c r="C5752" s="9" t="n">
        <v>45992</v>
      </c>
      <c r="D5752" s="7" t="n">
        <v>2025</v>
      </c>
      <c r="E5752" s="7" t="inlineStr">
        <is>
          <t>East</t>
        </is>
      </c>
      <c r="F5752" s="7" t="inlineStr">
        <is>
          <t>Furniture</t>
        </is>
      </c>
      <c r="G5752" s="7" t="inlineStr">
        <is>
          <t>Office Chair</t>
        </is>
      </c>
      <c r="H5752" s="7" t="inlineStr">
        <is>
          <t>Consumer</t>
        </is>
      </c>
      <c r="I5752" s="7" t="n">
        <v>2</v>
      </c>
      <c r="J5752" s="10" t="n">
        <v>227.99</v>
      </c>
      <c r="K5752" s="11" t="n">
        <v>0</v>
      </c>
      <c r="L5752" s="10">
        <f>I5752*J5752*(1-K5752)</f>
        <v/>
      </c>
      <c r="M5752" s="10" t="n">
        <v>360.8</v>
      </c>
      <c r="N5752" s="10">
        <f>L5752-M5752</f>
        <v/>
      </c>
    </row>
    <row r="5753">
      <c r="A5753" s="7" t="inlineStr">
        <is>
          <t>ORD-01713</t>
        </is>
      </c>
      <c r="B5753" s="8" t="n">
        <v>46010</v>
      </c>
      <c r="C5753" s="9" t="n">
        <v>45992</v>
      </c>
      <c r="D5753" s="7" t="n">
        <v>2025</v>
      </c>
      <c r="E5753" s="7" t="inlineStr">
        <is>
          <t>East</t>
        </is>
      </c>
      <c r="F5753" s="7" t="inlineStr">
        <is>
          <t>Office Supplies</t>
        </is>
      </c>
      <c r="G5753" s="7" t="inlineStr">
        <is>
          <t>Binder</t>
        </is>
      </c>
      <c r="H5753" s="7" t="inlineStr">
        <is>
          <t>Home Office</t>
        </is>
      </c>
      <c r="I5753" s="7" t="n">
        <v>4</v>
      </c>
      <c r="J5753" s="10" t="n">
        <v>7.97</v>
      </c>
      <c r="K5753" s="11" t="n">
        <v>0.05</v>
      </c>
      <c r="L5753" s="10">
        <f>I5753*J5753*(1-K5753)</f>
        <v/>
      </c>
      <c r="M5753" s="10" t="n">
        <v>12.8</v>
      </c>
      <c r="N5753" s="10">
        <f>L5753-M5753</f>
        <v/>
      </c>
    </row>
    <row r="5754">
      <c r="A5754" s="7" t="inlineStr">
        <is>
          <t>ORD-05050</t>
        </is>
      </c>
      <c r="B5754" s="8" t="n">
        <v>46010</v>
      </c>
      <c r="C5754" s="9" t="n">
        <v>45992</v>
      </c>
      <c r="D5754" s="7" t="n">
        <v>2025</v>
      </c>
      <c r="E5754" s="7" t="inlineStr">
        <is>
          <t>West</t>
        </is>
      </c>
      <c r="F5754" s="7" t="inlineStr">
        <is>
          <t>Furniture</t>
        </is>
      </c>
      <c r="G5754" s="7" t="inlineStr">
        <is>
          <t>Bookcase</t>
        </is>
      </c>
      <c r="H5754" s="7" t="inlineStr">
        <is>
          <t>Consumer</t>
        </is>
      </c>
      <c r="I5754" s="7" t="n">
        <v>1</v>
      </c>
      <c r="J5754" s="10" t="n">
        <v>173.48</v>
      </c>
      <c r="K5754" s="11" t="n">
        <v>0.1</v>
      </c>
      <c r="L5754" s="10">
        <f>I5754*J5754*(1-K5754)</f>
        <v/>
      </c>
      <c r="M5754" s="10" t="n">
        <v>144</v>
      </c>
      <c r="N5754" s="10">
        <f>L5754-M5754</f>
        <v/>
      </c>
    </row>
    <row r="5755">
      <c r="A5755" s="7" t="inlineStr">
        <is>
          <t>ORD-02999</t>
        </is>
      </c>
      <c r="B5755" s="8" t="n">
        <v>46010</v>
      </c>
      <c r="C5755" s="9" t="n">
        <v>45992</v>
      </c>
      <c r="D5755" s="7" t="n">
        <v>2025</v>
      </c>
      <c r="E5755" s="7" t="inlineStr">
        <is>
          <t>North</t>
        </is>
      </c>
      <c r="F5755" s="7" t="inlineStr">
        <is>
          <t>Office Supplies</t>
        </is>
      </c>
      <c r="G5755" s="7" t="inlineStr">
        <is>
          <t>Pens</t>
        </is>
      </c>
      <c r="H5755" s="7" t="inlineStr">
        <is>
          <t>Consumer</t>
        </is>
      </c>
      <c r="I5755" s="7" t="n">
        <v>11</v>
      </c>
      <c r="J5755" s="10" t="n">
        <v>12.55</v>
      </c>
      <c r="K5755" s="11" t="n">
        <v>0.3</v>
      </c>
      <c r="L5755" s="10">
        <f>I5755*J5755*(1-K5755)</f>
        <v/>
      </c>
      <c r="M5755" s="10" t="n">
        <v>59.4</v>
      </c>
      <c r="N5755" s="10">
        <f>L5755-M5755</f>
        <v/>
      </c>
    </row>
    <row r="5756">
      <c r="A5756" s="7" t="inlineStr">
        <is>
          <t>ORD-01115</t>
        </is>
      </c>
      <c r="B5756" s="8" t="n">
        <v>46011</v>
      </c>
      <c r="C5756" s="9" t="n">
        <v>45992</v>
      </c>
      <c r="D5756" s="7" t="n">
        <v>2025</v>
      </c>
      <c r="E5756" s="7" t="inlineStr">
        <is>
          <t>South</t>
        </is>
      </c>
      <c r="F5756" s="7" t="inlineStr">
        <is>
          <t>Technology</t>
        </is>
      </c>
      <c r="G5756" s="7" t="inlineStr">
        <is>
          <t>Smartphone</t>
        </is>
      </c>
      <c r="H5756" s="7" t="inlineStr">
        <is>
          <t>Consumer</t>
        </is>
      </c>
      <c r="I5756" s="7" t="n">
        <v>2</v>
      </c>
      <c r="J5756" s="10" t="n">
        <v>624.9299999999999</v>
      </c>
      <c r="K5756" s="11" t="n">
        <v>0</v>
      </c>
      <c r="L5756" s="10">
        <f>I5756*J5756*(1-K5756)</f>
        <v/>
      </c>
      <c r="M5756" s="10" t="n">
        <v>900</v>
      </c>
      <c r="N5756" s="10">
        <f>L5756-M5756</f>
        <v/>
      </c>
    </row>
    <row r="5757">
      <c r="A5757" s="7" t="inlineStr">
        <is>
          <t>ORD-02892</t>
        </is>
      </c>
      <c r="B5757" s="8" t="n">
        <v>46011</v>
      </c>
      <c r="C5757" s="9" t="n">
        <v>45992</v>
      </c>
      <c r="D5757" s="7" t="n">
        <v>2025</v>
      </c>
      <c r="E5757" s="7" t="inlineStr">
        <is>
          <t>South</t>
        </is>
      </c>
      <c r="F5757" s="7" t="inlineStr">
        <is>
          <t>Technology</t>
        </is>
      </c>
      <c r="G5757" s="7" t="inlineStr">
        <is>
          <t>Keyboard</t>
        </is>
      </c>
      <c r="H5757" s="7" t="inlineStr">
        <is>
          <t>Consumer</t>
        </is>
      </c>
      <c r="I5757" s="7" t="n">
        <v>2</v>
      </c>
      <c r="J5757" s="10" t="n">
        <v>46.06</v>
      </c>
      <c r="K5757" s="11" t="n">
        <v>0.3</v>
      </c>
      <c r="L5757" s="10">
        <f>I5757*J5757*(1-K5757)</f>
        <v/>
      </c>
      <c r="M5757" s="10" t="n">
        <v>49.5</v>
      </c>
      <c r="N5757" s="10">
        <f>L5757-M5757</f>
        <v/>
      </c>
    </row>
    <row r="5758">
      <c r="A5758" s="7" t="inlineStr">
        <is>
          <t>ORD-05516</t>
        </is>
      </c>
      <c r="B5758" s="8" t="n">
        <v>46011</v>
      </c>
      <c r="C5758" s="9" t="n">
        <v>45992</v>
      </c>
      <c r="D5758" s="7" t="n">
        <v>2025</v>
      </c>
      <c r="E5758" s="7" t="inlineStr">
        <is>
          <t>East</t>
        </is>
      </c>
      <c r="F5758" s="7" t="inlineStr">
        <is>
          <t>Technology</t>
        </is>
      </c>
      <c r="G5758" s="7" t="inlineStr">
        <is>
          <t>Laptop</t>
        </is>
      </c>
      <c r="H5758" s="7" t="inlineStr">
        <is>
          <t>Consumer</t>
        </is>
      </c>
      <c r="I5758" s="7" t="n">
        <v>3</v>
      </c>
      <c r="J5758" s="10" t="n">
        <v>919.83</v>
      </c>
      <c r="K5758" s="11" t="n">
        <v>0</v>
      </c>
      <c r="L5758" s="10">
        <f>I5758*J5758*(1-K5758)</f>
        <v/>
      </c>
      <c r="M5758" s="10" t="n">
        <v>2106</v>
      </c>
      <c r="N5758" s="10">
        <f>L5758-M5758</f>
        <v/>
      </c>
    </row>
    <row r="5759">
      <c r="A5759" s="7" t="inlineStr">
        <is>
          <t>ORD-02045</t>
        </is>
      </c>
      <c r="B5759" s="8" t="n">
        <v>46011</v>
      </c>
      <c r="C5759" s="9" t="n">
        <v>45992</v>
      </c>
      <c r="D5759" s="7" t="n">
        <v>2025</v>
      </c>
      <c r="E5759" s="7" t="inlineStr">
        <is>
          <t>North</t>
        </is>
      </c>
      <c r="F5759" s="7" t="inlineStr">
        <is>
          <t>Furniture</t>
        </is>
      </c>
      <c r="G5759" s="7" t="inlineStr">
        <is>
          <t>Desk</t>
        </is>
      </c>
      <c r="H5759" s="7" t="inlineStr">
        <is>
          <t>Home Office</t>
        </is>
      </c>
      <c r="I5759" s="7" t="n">
        <v>3</v>
      </c>
      <c r="J5759" s="10" t="n">
        <v>449.31</v>
      </c>
      <c r="K5759" s="11" t="n">
        <v>0.05</v>
      </c>
      <c r="L5759" s="10">
        <f>I5759*J5759*(1-K5759)</f>
        <v/>
      </c>
      <c r="M5759" s="10" t="n">
        <v>1147.5</v>
      </c>
      <c r="N5759" s="10">
        <f>L5759-M5759</f>
        <v/>
      </c>
    </row>
    <row r="5760">
      <c r="A5760" s="7" t="inlineStr">
        <is>
          <t>ORD-01487</t>
        </is>
      </c>
      <c r="B5760" s="8" t="n">
        <v>46011</v>
      </c>
      <c r="C5760" s="9" t="n">
        <v>45992</v>
      </c>
      <c r="D5760" s="7" t="n">
        <v>2025</v>
      </c>
      <c r="E5760" s="7" t="inlineStr">
        <is>
          <t>West</t>
        </is>
      </c>
      <c r="F5760" s="7" t="inlineStr">
        <is>
          <t>Office Supplies</t>
        </is>
      </c>
      <c r="G5760" s="7" t="inlineStr">
        <is>
          <t>Binder</t>
        </is>
      </c>
      <c r="H5760" s="7" t="inlineStr">
        <is>
          <t>Consumer</t>
        </is>
      </c>
      <c r="I5760" s="7" t="n">
        <v>4</v>
      </c>
      <c r="J5760" s="10" t="n">
        <v>7.91</v>
      </c>
      <c r="K5760" s="11" t="n">
        <v>0</v>
      </c>
      <c r="L5760" s="10">
        <f>I5760*J5760*(1-K5760)</f>
        <v/>
      </c>
      <c r="M5760" s="10" t="n">
        <v>12.8</v>
      </c>
      <c r="N5760" s="10">
        <f>L5760-M5760</f>
        <v/>
      </c>
    </row>
    <row r="5761">
      <c r="A5761" s="7" t="inlineStr">
        <is>
          <t>ORD-04954</t>
        </is>
      </c>
      <c r="B5761" s="8" t="n">
        <v>46011</v>
      </c>
      <c r="C5761" s="9" t="n">
        <v>45992</v>
      </c>
      <c r="D5761" s="7" t="n">
        <v>2025</v>
      </c>
      <c r="E5761" s="7" t="inlineStr">
        <is>
          <t>South</t>
        </is>
      </c>
      <c r="F5761" s="7" t="inlineStr">
        <is>
          <t>Office Supplies</t>
        </is>
      </c>
      <c r="G5761" s="7" t="inlineStr">
        <is>
          <t>Printer Ink</t>
        </is>
      </c>
      <c r="H5761" s="7" t="inlineStr">
        <is>
          <t>Home Office</t>
        </is>
      </c>
      <c r="I5761" s="7" t="n">
        <v>11</v>
      </c>
      <c r="J5761" s="10" t="n">
        <v>59.24</v>
      </c>
      <c r="K5761" s="11" t="n">
        <v>0</v>
      </c>
      <c r="L5761" s="10">
        <f>I5761*J5761*(1-K5761)</f>
        <v/>
      </c>
      <c r="M5761" s="10" t="n">
        <v>396</v>
      </c>
      <c r="N5761" s="10">
        <f>L5761-M5761</f>
        <v/>
      </c>
    </row>
    <row r="5762">
      <c r="A5762" s="7" t="inlineStr">
        <is>
          <t>ORD-00599</t>
        </is>
      </c>
      <c r="B5762" s="8" t="n">
        <v>46011</v>
      </c>
      <c r="C5762" s="9" t="n">
        <v>45992</v>
      </c>
      <c r="D5762" s="7" t="n">
        <v>2025</v>
      </c>
      <c r="E5762" s="7" t="inlineStr">
        <is>
          <t>West</t>
        </is>
      </c>
      <c r="F5762" s="7" t="inlineStr">
        <is>
          <t>Technology</t>
        </is>
      </c>
      <c r="G5762" s="7" t="inlineStr">
        <is>
          <t>Monitor</t>
        </is>
      </c>
      <c r="H5762" s="7" t="inlineStr">
        <is>
          <t>Corporate</t>
        </is>
      </c>
      <c r="I5762" s="7" t="n">
        <v>1</v>
      </c>
      <c r="J5762" s="10" t="n">
        <v>254.09</v>
      </c>
      <c r="K5762" s="11" t="n">
        <v>0</v>
      </c>
      <c r="L5762" s="10">
        <f>I5762*J5762*(1-K5762)</f>
        <v/>
      </c>
      <c r="M5762" s="10" t="n">
        <v>180</v>
      </c>
      <c r="N5762" s="10">
        <f>L5762-M5762</f>
        <v/>
      </c>
    </row>
    <row r="5763">
      <c r="A5763" s="7" t="inlineStr">
        <is>
          <t>ORD-04584</t>
        </is>
      </c>
      <c r="B5763" s="8" t="n">
        <v>46011</v>
      </c>
      <c r="C5763" s="9" t="n">
        <v>45992</v>
      </c>
      <c r="D5763" s="7" t="n">
        <v>2025</v>
      </c>
      <c r="E5763" s="7" t="inlineStr">
        <is>
          <t>East</t>
        </is>
      </c>
      <c r="F5763" s="7" t="inlineStr">
        <is>
          <t>Office Supplies</t>
        </is>
      </c>
      <c r="G5763" s="7" t="inlineStr">
        <is>
          <t>Pens</t>
        </is>
      </c>
      <c r="H5763" s="7" t="inlineStr">
        <is>
          <t>Home Office</t>
        </is>
      </c>
      <c r="I5763" s="7" t="n">
        <v>5</v>
      </c>
      <c r="J5763" s="10" t="n">
        <v>11.51</v>
      </c>
      <c r="K5763" s="11" t="n">
        <v>0.05</v>
      </c>
      <c r="L5763" s="10">
        <f>I5763*J5763*(1-K5763)</f>
        <v/>
      </c>
      <c r="M5763" s="10" t="n">
        <v>27</v>
      </c>
      <c r="N5763" s="10">
        <f>L5763-M5763</f>
        <v/>
      </c>
    </row>
    <row r="5764">
      <c r="A5764" s="7" t="inlineStr">
        <is>
          <t>ORD-02825</t>
        </is>
      </c>
      <c r="B5764" s="8" t="n">
        <v>46011</v>
      </c>
      <c r="C5764" s="9" t="n">
        <v>45992</v>
      </c>
      <c r="D5764" s="7" t="n">
        <v>2025</v>
      </c>
      <c r="E5764" s="7" t="inlineStr">
        <is>
          <t>North</t>
        </is>
      </c>
      <c r="F5764" s="7" t="inlineStr">
        <is>
          <t>Office Supplies</t>
        </is>
      </c>
      <c r="G5764" s="7" t="inlineStr">
        <is>
          <t>Paper</t>
        </is>
      </c>
      <c r="H5764" s="7" t="inlineStr">
        <is>
          <t>Consumer</t>
        </is>
      </c>
      <c r="I5764" s="7" t="n">
        <v>5</v>
      </c>
      <c r="J5764" s="10" t="n">
        <v>24.79</v>
      </c>
      <c r="K5764" s="11" t="n">
        <v>0.05</v>
      </c>
      <c r="L5764" s="10">
        <f>I5764*J5764*(1-K5764)</f>
        <v/>
      </c>
      <c r="M5764" s="10" t="n">
        <v>62.5</v>
      </c>
      <c r="N5764" s="10">
        <f>L5764-M5764</f>
        <v/>
      </c>
    </row>
    <row r="5765">
      <c r="A5765" s="7" t="inlineStr">
        <is>
          <t>ORD-05577</t>
        </is>
      </c>
      <c r="B5765" s="8" t="n">
        <v>46012</v>
      </c>
      <c r="C5765" s="9" t="n">
        <v>45992</v>
      </c>
      <c r="D5765" s="7" t="n">
        <v>2025</v>
      </c>
      <c r="E5765" s="7" t="inlineStr">
        <is>
          <t>East</t>
        </is>
      </c>
      <c r="F5765" s="7" t="inlineStr">
        <is>
          <t>Office Supplies</t>
        </is>
      </c>
      <c r="G5765" s="7" t="inlineStr">
        <is>
          <t>Paper</t>
        </is>
      </c>
      <c r="H5765" s="7" t="inlineStr">
        <is>
          <t>Home Office</t>
        </is>
      </c>
      <c r="I5765" s="7" t="n">
        <v>9</v>
      </c>
      <c r="J5765" s="10" t="n">
        <v>23.86</v>
      </c>
      <c r="K5765" s="11" t="n">
        <v>0</v>
      </c>
      <c r="L5765" s="10">
        <f>I5765*J5765*(1-K5765)</f>
        <v/>
      </c>
      <c r="M5765" s="10" t="n">
        <v>112.5</v>
      </c>
      <c r="N5765" s="10">
        <f>L5765-M5765</f>
        <v/>
      </c>
    </row>
    <row r="5766">
      <c r="A5766" s="7" t="inlineStr">
        <is>
          <t>ORD-00915</t>
        </is>
      </c>
      <c r="B5766" s="8" t="n">
        <v>46012</v>
      </c>
      <c r="C5766" s="9" t="n">
        <v>45992</v>
      </c>
      <c r="D5766" s="7" t="n">
        <v>2025</v>
      </c>
      <c r="E5766" s="7" t="inlineStr">
        <is>
          <t>South</t>
        </is>
      </c>
      <c r="F5766" s="7" t="inlineStr">
        <is>
          <t>Office Supplies</t>
        </is>
      </c>
      <c r="G5766" s="7" t="inlineStr">
        <is>
          <t>Pens</t>
        </is>
      </c>
      <c r="H5766" s="7" t="inlineStr">
        <is>
          <t>Consumer</t>
        </is>
      </c>
      <c r="I5766" s="7" t="n">
        <v>13</v>
      </c>
      <c r="J5766" s="10" t="n">
        <v>11.9</v>
      </c>
      <c r="K5766" s="11" t="n">
        <v>0.1</v>
      </c>
      <c r="L5766" s="10">
        <f>I5766*J5766*(1-K5766)</f>
        <v/>
      </c>
      <c r="M5766" s="10" t="n">
        <v>70.2</v>
      </c>
      <c r="N5766" s="10">
        <f>L5766-M5766</f>
        <v/>
      </c>
    </row>
    <row r="5767">
      <c r="A5767" s="7" t="inlineStr">
        <is>
          <t>ORD-01345</t>
        </is>
      </c>
      <c r="B5767" s="8" t="n">
        <v>46012</v>
      </c>
      <c r="C5767" s="9" t="n">
        <v>45992</v>
      </c>
      <c r="D5767" s="7" t="n">
        <v>2025</v>
      </c>
      <c r="E5767" s="7" t="inlineStr">
        <is>
          <t>West</t>
        </is>
      </c>
      <c r="F5767" s="7" t="inlineStr">
        <is>
          <t>Office Supplies</t>
        </is>
      </c>
      <c r="G5767" s="7" t="inlineStr">
        <is>
          <t>Binder</t>
        </is>
      </c>
      <c r="H5767" s="7" t="inlineStr">
        <is>
          <t>Consumer</t>
        </is>
      </c>
      <c r="I5767" s="7" t="n">
        <v>13</v>
      </c>
      <c r="J5767" s="10" t="n">
        <v>7.66</v>
      </c>
      <c r="K5767" s="11" t="n">
        <v>0</v>
      </c>
      <c r="L5767" s="10">
        <f>I5767*J5767*(1-K5767)</f>
        <v/>
      </c>
      <c r="M5767" s="10" t="n">
        <v>41.6</v>
      </c>
      <c r="N5767" s="10">
        <f>L5767-M5767</f>
        <v/>
      </c>
    </row>
    <row r="5768">
      <c r="A5768" s="7" t="inlineStr">
        <is>
          <t>ORD-00838</t>
        </is>
      </c>
      <c r="B5768" s="8" t="n">
        <v>46012</v>
      </c>
      <c r="C5768" s="9" t="n">
        <v>45992</v>
      </c>
      <c r="D5768" s="7" t="n">
        <v>2025</v>
      </c>
      <c r="E5768" s="7" t="inlineStr">
        <is>
          <t>South</t>
        </is>
      </c>
      <c r="F5768" s="7" t="inlineStr">
        <is>
          <t>Office Supplies</t>
        </is>
      </c>
      <c r="G5768" s="7" t="inlineStr">
        <is>
          <t>Paper</t>
        </is>
      </c>
      <c r="H5768" s="7" t="inlineStr">
        <is>
          <t>Consumer</t>
        </is>
      </c>
      <c r="I5768" s="7" t="n">
        <v>10</v>
      </c>
      <c r="J5768" s="10" t="n">
        <v>24.15</v>
      </c>
      <c r="K5768" s="11" t="n">
        <v>0.2</v>
      </c>
      <c r="L5768" s="10">
        <f>I5768*J5768*(1-K5768)</f>
        <v/>
      </c>
      <c r="M5768" s="10" t="n">
        <v>125</v>
      </c>
      <c r="N5768" s="10">
        <f>L5768-M5768</f>
        <v/>
      </c>
    </row>
    <row r="5769">
      <c r="A5769" s="7" t="inlineStr">
        <is>
          <t>ORD-05713</t>
        </is>
      </c>
      <c r="B5769" s="8" t="n">
        <v>46012</v>
      </c>
      <c r="C5769" s="9" t="n">
        <v>45992</v>
      </c>
      <c r="D5769" s="7" t="n">
        <v>2025</v>
      </c>
      <c r="E5769" s="7" t="inlineStr">
        <is>
          <t>West</t>
        </is>
      </c>
      <c r="F5769" s="7" t="inlineStr">
        <is>
          <t>Office Supplies</t>
        </is>
      </c>
      <c r="G5769" s="7" t="inlineStr">
        <is>
          <t>Binder</t>
        </is>
      </c>
      <c r="H5769" s="7" t="inlineStr">
        <is>
          <t>Home Office</t>
        </is>
      </c>
      <c r="I5769" s="7" t="n">
        <v>8</v>
      </c>
      <c r="J5769" s="10" t="n">
        <v>8.01</v>
      </c>
      <c r="K5769" s="11" t="n">
        <v>0</v>
      </c>
      <c r="L5769" s="10">
        <f>I5769*J5769*(1-K5769)</f>
        <v/>
      </c>
      <c r="M5769" s="10" t="n">
        <v>25.6</v>
      </c>
      <c r="N5769" s="10">
        <f>L5769-M5769</f>
        <v/>
      </c>
    </row>
    <row r="5770">
      <c r="A5770" s="7" t="inlineStr">
        <is>
          <t>ORD-03161</t>
        </is>
      </c>
      <c r="B5770" s="8" t="n">
        <v>46012</v>
      </c>
      <c r="C5770" s="9" t="n">
        <v>45992</v>
      </c>
      <c r="D5770" s="7" t="n">
        <v>2025</v>
      </c>
      <c r="E5770" s="7" t="inlineStr">
        <is>
          <t>East</t>
        </is>
      </c>
      <c r="F5770" s="7" t="inlineStr">
        <is>
          <t>Technology</t>
        </is>
      </c>
      <c r="G5770" s="7" t="inlineStr">
        <is>
          <t>Keyboard</t>
        </is>
      </c>
      <c r="H5770" s="7" t="inlineStr">
        <is>
          <t>Consumer</t>
        </is>
      </c>
      <c r="I5770" s="7" t="n">
        <v>3</v>
      </c>
      <c r="J5770" s="10" t="n">
        <v>46.72</v>
      </c>
      <c r="K5770" s="11" t="n">
        <v>0</v>
      </c>
      <c r="L5770" s="10">
        <f>I5770*J5770*(1-K5770)</f>
        <v/>
      </c>
      <c r="M5770" s="10" t="n">
        <v>74.25</v>
      </c>
      <c r="N5770" s="10">
        <f>L5770-M5770</f>
        <v/>
      </c>
    </row>
    <row r="5771">
      <c r="A5771" s="7" t="inlineStr">
        <is>
          <t>ORD-01635</t>
        </is>
      </c>
      <c r="B5771" s="8" t="n">
        <v>46012</v>
      </c>
      <c r="C5771" s="9" t="n">
        <v>45992</v>
      </c>
      <c r="D5771" s="7" t="n">
        <v>2025</v>
      </c>
      <c r="E5771" s="7" t="inlineStr">
        <is>
          <t>West</t>
        </is>
      </c>
      <c r="F5771" s="7" t="inlineStr">
        <is>
          <t>Office Supplies</t>
        </is>
      </c>
      <c r="G5771" s="7" t="inlineStr">
        <is>
          <t>Pens</t>
        </is>
      </c>
      <c r="H5771" s="7" t="inlineStr">
        <is>
          <t>Corporate</t>
        </is>
      </c>
      <c r="I5771" s="7" t="n">
        <v>8</v>
      </c>
      <c r="J5771" s="10" t="n">
        <v>11.7</v>
      </c>
      <c r="K5771" s="11" t="n">
        <v>0.1</v>
      </c>
      <c r="L5771" s="10">
        <f>I5771*J5771*(1-K5771)</f>
        <v/>
      </c>
      <c r="M5771" s="10" t="n">
        <v>43.2</v>
      </c>
      <c r="N5771" s="10">
        <f>L5771-M5771</f>
        <v/>
      </c>
    </row>
    <row r="5772">
      <c r="A5772" s="7" t="inlineStr">
        <is>
          <t>ORD-04944</t>
        </is>
      </c>
      <c r="B5772" s="8" t="n">
        <v>46013</v>
      </c>
      <c r="C5772" s="9" t="n">
        <v>45992</v>
      </c>
      <c r="D5772" s="7" t="n">
        <v>2025</v>
      </c>
      <c r="E5772" s="7" t="inlineStr">
        <is>
          <t>East</t>
        </is>
      </c>
      <c r="F5772" s="7" t="inlineStr">
        <is>
          <t>Office Supplies</t>
        </is>
      </c>
      <c r="G5772" s="7" t="inlineStr">
        <is>
          <t>Paper</t>
        </is>
      </c>
      <c r="H5772" s="7" t="inlineStr">
        <is>
          <t>Home Office</t>
        </is>
      </c>
      <c r="I5772" s="7" t="n">
        <v>15</v>
      </c>
      <c r="J5772" s="10" t="n">
        <v>24.29</v>
      </c>
      <c r="K5772" s="11" t="n">
        <v>0</v>
      </c>
      <c r="L5772" s="10">
        <f>I5772*J5772*(1-K5772)</f>
        <v/>
      </c>
      <c r="M5772" s="10" t="n">
        <v>187.5</v>
      </c>
      <c r="N5772" s="10">
        <f>L5772-M5772</f>
        <v/>
      </c>
    </row>
    <row r="5773">
      <c r="A5773" s="7" t="inlineStr">
        <is>
          <t>ORD-01874</t>
        </is>
      </c>
      <c r="B5773" s="8" t="n">
        <v>46013</v>
      </c>
      <c r="C5773" s="9" t="n">
        <v>45992</v>
      </c>
      <c r="D5773" s="7" t="n">
        <v>2025</v>
      </c>
      <c r="E5773" s="7" t="inlineStr">
        <is>
          <t>West</t>
        </is>
      </c>
      <c r="F5773" s="7" t="inlineStr">
        <is>
          <t>Technology</t>
        </is>
      </c>
      <c r="G5773" s="7" t="inlineStr">
        <is>
          <t>Keyboard</t>
        </is>
      </c>
      <c r="H5773" s="7" t="inlineStr">
        <is>
          <t>Home Office</t>
        </is>
      </c>
      <c r="I5773" s="7" t="n">
        <v>3</v>
      </c>
      <c r="J5773" s="10" t="n">
        <v>44.52</v>
      </c>
      <c r="K5773" s="11" t="n">
        <v>0.05</v>
      </c>
      <c r="L5773" s="10">
        <f>I5773*J5773*(1-K5773)</f>
        <v/>
      </c>
      <c r="M5773" s="10" t="n">
        <v>74.25</v>
      </c>
      <c r="N5773" s="10">
        <f>L5773-M5773</f>
        <v/>
      </c>
    </row>
    <row r="5774">
      <c r="A5774" s="7" t="inlineStr">
        <is>
          <t>ORD-05075</t>
        </is>
      </c>
      <c r="B5774" s="8" t="n">
        <v>46013</v>
      </c>
      <c r="C5774" s="9" t="n">
        <v>45992</v>
      </c>
      <c r="D5774" s="7" t="n">
        <v>2025</v>
      </c>
      <c r="E5774" s="7" t="inlineStr">
        <is>
          <t>North</t>
        </is>
      </c>
      <c r="F5774" s="7" t="inlineStr">
        <is>
          <t>Technology</t>
        </is>
      </c>
      <c r="G5774" s="7" t="inlineStr">
        <is>
          <t>Headphones</t>
        </is>
      </c>
      <c r="H5774" s="7" t="inlineStr">
        <is>
          <t>Consumer</t>
        </is>
      </c>
      <c r="I5774" s="7" t="n">
        <v>3</v>
      </c>
      <c r="J5774" s="10" t="n">
        <v>122.64</v>
      </c>
      <c r="K5774" s="11" t="n">
        <v>0.05</v>
      </c>
      <c r="L5774" s="10">
        <f>I5774*J5774*(1-K5774)</f>
        <v/>
      </c>
      <c r="M5774" s="10" t="n">
        <v>216</v>
      </c>
      <c r="N5774" s="10">
        <f>L5774-M5774</f>
        <v/>
      </c>
    </row>
    <row r="5775">
      <c r="A5775" s="7" t="inlineStr">
        <is>
          <t>ORD-03035</t>
        </is>
      </c>
      <c r="B5775" s="8" t="n">
        <v>46013</v>
      </c>
      <c r="C5775" s="9" t="n">
        <v>45992</v>
      </c>
      <c r="D5775" s="7" t="n">
        <v>2025</v>
      </c>
      <c r="E5775" s="7" t="inlineStr">
        <is>
          <t>East</t>
        </is>
      </c>
      <c r="F5775" s="7" t="inlineStr">
        <is>
          <t>Office Supplies</t>
        </is>
      </c>
      <c r="G5775" s="7" t="inlineStr">
        <is>
          <t>Binder</t>
        </is>
      </c>
      <c r="H5775" s="7" t="inlineStr">
        <is>
          <t>Home Office</t>
        </is>
      </c>
      <c r="I5775" s="7" t="n">
        <v>4</v>
      </c>
      <c r="J5775" s="10" t="n">
        <v>8.039999999999999</v>
      </c>
      <c r="K5775" s="11" t="n">
        <v>0</v>
      </c>
      <c r="L5775" s="10">
        <f>I5775*J5775*(1-K5775)</f>
        <v/>
      </c>
      <c r="M5775" s="10" t="n">
        <v>12.8</v>
      </c>
      <c r="N5775" s="10">
        <f>L5775-M5775</f>
        <v/>
      </c>
    </row>
    <row r="5776">
      <c r="A5776" s="7" t="inlineStr">
        <is>
          <t>ORD-00785</t>
        </is>
      </c>
      <c r="B5776" s="8" t="n">
        <v>46013</v>
      </c>
      <c r="C5776" s="9" t="n">
        <v>45992</v>
      </c>
      <c r="D5776" s="7" t="n">
        <v>2025</v>
      </c>
      <c r="E5776" s="7" t="inlineStr">
        <is>
          <t>South</t>
        </is>
      </c>
      <c r="F5776" s="7" t="inlineStr">
        <is>
          <t>Furniture</t>
        </is>
      </c>
      <c r="G5776" s="7" t="inlineStr">
        <is>
          <t>Office Chair</t>
        </is>
      </c>
      <c r="H5776" s="7" t="inlineStr">
        <is>
          <t>Corporate</t>
        </is>
      </c>
      <c r="I5776" s="7" t="n">
        <v>1</v>
      </c>
      <c r="J5776" s="10" t="n">
        <v>215.86</v>
      </c>
      <c r="K5776" s="11" t="n">
        <v>0.1</v>
      </c>
      <c r="L5776" s="10">
        <f>I5776*J5776*(1-K5776)</f>
        <v/>
      </c>
      <c r="M5776" s="10" t="n">
        <v>180.4</v>
      </c>
      <c r="N5776" s="10">
        <f>L5776-M5776</f>
        <v/>
      </c>
    </row>
    <row r="5777">
      <c r="A5777" s="7" t="inlineStr">
        <is>
          <t>ORD-03174</t>
        </is>
      </c>
      <c r="B5777" s="8" t="n">
        <v>46013</v>
      </c>
      <c r="C5777" s="9" t="n">
        <v>45992</v>
      </c>
      <c r="D5777" s="7" t="n">
        <v>2025</v>
      </c>
      <c r="E5777" s="7" t="inlineStr">
        <is>
          <t>West</t>
        </is>
      </c>
      <c r="F5777" s="7" t="inlineStr">
        <is>
          <t>Office Supplies</t>
        </is>
      </c>
      <c r="G5777" s="7" t="inlineStr">
        <is>
          <t>Printer Ink</t>
        </is>
      </c>
      <c r="H5777" s="7" t="inlineStr">
        <is>
          <t>Home Office</t>
        </is>
      </c>
      <c r="I5777" s="7" t="n">
        <v>2</v>
      </c>
      <c r="J5777" s="10" t="n">
        <v>57.77</v>
      </c>
      <c r="K5777" s="11" t="n">
        <v>0</v>
      </c>
      <c r="L5777" s="10">
        <f>I5777*J5777*(1-K5777)</f>
        <v/>
      </c>
      <c r="M5777" s="10" t="n">
        <v>72</v>
      </c>
      <c r="N5777" s="10">
        <f>L5777-M5777</f>
        <v/>
      </c>
    </row>
    <row r="5778">
      <c r="A5778" s="7" t="inlineStr">
        <is>
          <t>ORD-01702</t>
        </is>
      </c>
      <c r="B5778" s="8" t="n">
        <v>46013</v>
      </c>
      <c r="C5778" s="9" t="n">
        <v>45992</v>
      </c>
      <c r="D5778" s="7" t="n">
        <v>2025</v>
      </c>
      <c r="E5778" s="7" t="inlineStr">
        <is>
          <t>East</t>
        </is>
      </c>
      <c r="F5778" s="7" t="inlineStr">
        <is>
          <t>Office Supplies</t>
        </is>
      </c>
      <c r="G5778" s="7" t="inlineStr">
        <is>
          <t>Binder</t>
        </is>
      </c>
      <c r="H5778" s="7" t="inlineStr">
        <is>
          <t>Consumer</t>
        </is>
      </c>
      <c r="I5778" s="7" t="n">
        <v>13</v>
      </c>
      <c r="J5778" s="10" t="n">
        <v>8.369999999999999</v>
      </c>
      <c r="K5778" s="11" t="n">
        <v>0.1</v>
      </c>
      <c r="L5778" s="10">
        <f>I5778*J5778*(1-K5778)</f>
        <v/>
      </c>
      <c r="M5778" s="10" t="n">
        <v>41.6</v>
      </c>
      <c r="N5778" s="10">
        <f>L5778-M5778</f>
        <v/>
      </c>
    </row>
    <row r="5779">
      <c r="A5779" s="7" t="inlineStr">
        <is>
          <t>ORD-00614</t>
        </is>
      </c>
      <c r="B5779" s="8" t="n">
        <v>46013</v>
      </c>
      <c r="C5779" s="9" t="n">
        <v>45992</v>
      </c>
      <c r="D5779" s="7" t="n">
        <v>2025</v>
      </c>
      <c r="E5779" s="7" t="inlineStr">
        <is>
          <t>West</t>
        </is>
      </c>
      <c r="F5779" s="7" t="inlineStr">
        <is>
          <t>Office Supplies</t>
        </is>
      </c>
      <c r="G5779" s="7" t="inlineStr">
        <is>
          <t>Printer Ink</t>
        </is>
      </c>
      <c r="H5779" s="7" t="inlineStr">
        <is>
          <t>Corporate</t>
        </is>
      </c>
      <c r="I5779" s="7" t="n">
        <v>5</v>
      </c>
      <c r="J5779" s="10" t="n">
        <v>62.65</v>
      </c>
      <c r="K5779" s="11" t="n">
        <v>0</v>
      </c>
      <c r="L5779" s="10">
        <f>I5779*J5779*(1-K5779)</f>
        <v/>
      </c>
      <c r="M5779" s="10" t="n">
        <v>180</v>
      </c>
      <c r="N5779" s="10">
        <f>L5779-M5779</f>
        <v/>
      </c>
    </row>
    <row r="5780">
      <c r="A5780" s="7" t="inlineStr">
        <is>
          <t>ORD-00914</t>
        </is>
      </c>
      <c r="B5780" s="8" t="n">
        <v>46013</v>
      </c>
      <c r="C5780" s="9" t="n">
        <v>45992</v>
      </c>
      <c r="D5780" s="7" t="n">
        <v>2025</v>
      </c>
      <c r="E5780" s="7" t="inlineStr">
        <is>
          <t>South</t>
        </is>
      </c>
      <c r="F5780" s="7" t="inlineStr">
        <is>
          <t>Office Supplies</t>
        </is>
      </c>
      <c r="G5780" s="7" t="inlineStr">
        <is>
          <t>Pens</t>
        </is>
      </c>
      <c r="H5780" s="7" t="inlineStr">
        <is>
          <t>Home Office</t>
        </is>
      </c>
      <c r="I5780" s="7" t="n">
        <v>13</v>
      </c>
      <c r="J5780" s="10" t="n">
        <v>12.46</v>
      </c>
      <c r="K5780" s="11" t="n">
        <v>0.2</v>
      </c>
      <c r="L5780" s="10">
        <f>I5780*J5780*(1-K5780)</f>
        <v/>
      </c>
      <c r="M5780" s="10" t="n">
        <v>70.2</v>
      </c>
      <c r="N5780" s="10">
        <f>L5780-M5780</f>
        <v/>
      </c>
    </row>
    <row r="5781">
      <c r="A5781" s="7" t="inlineStr">
        <is>
          <t>ORD-03433</t>
        </is>
      </c>
      <c r="B5781" s="8" t="n">
        <v>46013</v>
      </c>
      <c r="C5781" s="9" t="n">
        <v>45992</v>
      </c>
      <c r="D5781" s="7" t="n">
        <v>2025</v>
      </c>
      <c r="E5781" s="7" t="inlineStr">
        <is>
          <t>East</t>
        </is>
      </c>
      <c r="F5781" s="7" t="inlineStr">
        <is>
          <t>Technology</t>
        </is>
      </c>
      <c r="G5781" s="7" t="inlineStr">
        <is>
          <t>Smartphone</t>
        </is>
      </c>
      <c r="H5781" s="7" t="inlineStr">
        <is>
          <t>Home Office</t>
        </is>
      </c>
      <c r="I5781" s="7" t="n">
        <v>1</v>
      </c>
      <c r="J5781" s="10" t="n">
        <v>608.12</v>
      </c>
      <c r="K5781" s="11" t="n">
        <v>0.05</v>
      </c>
      <c r="L5781" s="10">
        <f>I5781*J5781*(1-K5781)</f>
        <v/>
      </c>
      <c r="M5781" s="10" t="n">
        <v>450</v>
      </c>
      <c r="N5781" s="10">
        <f>L5781-M5781</f>
        <v/>
      </c>
    </row>
    <row r="5782">
      <c r="A5782" s="7" t="inlineStr">
        <is>
          <t>ORD-02895</t>
        </is>
      </c>
      <c r="B5782" s="8" t="n">
        <v>46014</v>
      </c>
      <c r="C5782" s="9" t="n">
        <v>45992</v>
      </c>
      <c r="D5782" s="7" t="n">
        <v>2025</v>
      </c>
      <c r="E5782" s="7" t="inlineStr">
        <is>
          <t>East</t>
        </is>
      </c>
      <c r="F5782" s="7" t="inlineStr">
        <is>
          <t>Office Supplies</t>
        </is>
      </c>
      <c r="G5782" s="7" t="inlineStr">
        <is>
          <t>Paper</t>
        </is>
      </c>
      <c r="H5782" s="7" t="inlineStr">
        <is>
          <t>Consumer</t>
        </is>
      </c>
      <c r="I5782" s="7" t="n">
        <v>15</v>
      </c>
      <c r="J5782" s="10" t="n">
        <v>25.9</v>
      </c>
      <c r="K5782" s="11" t="n">
        <v>0</v>
      </c>
      <c r="L5782" s="10">
        <f>I5782*J5782*(1-K5782)</f>
        <v/>
      </c>
      <c r="M5782" s="10" t="n">
        <v>187.5</v>
      </c>
      <c r="N5782" s="10">
        <f>L5782-M5782</f>
        <v/>
      </c>
    </row>
    <row r="5783">
      <c r="A5783" s="7" t="inlineStr">
        <is>
          <t>ORD-00386</t>
        </is>
      </c>
      <c r="B5783" s="8" t="n">
        <v>46014</v>
      </c>
      <c r="C5783" s="9" t="n">
        <v>45992</v>
      </c>
      <c r="D5783" s="7" t="n">
        <v>2025</v>
      </c>
      <c r="E5783" s="7" t="inlineStr">
        <is>
          <t>North</t>
        </is>
      </c>
      <c r="F5783" s="7" t="inlineStr">
        <is>
          <t>Technology</t>
        </is>
      </c>
      <c r="G5783" s="7" t="inlineStr">
        <is>
          <t>Keyboard</t>
        </is>
      </c>
      <c r="H5783" s="7" t="inlineStr">
        <is>
          <t>Consumer</t>
        </is>
      </c>
      <c r="I5783" s="7" t="n">
        <v>2</v>
      </c>
      <c r="J5783" s="10" t="n">
        <v>45.36</v>
      </c>
      <c r="K5783" s="11" t="n">
        <v>0</v>
      </c>
      <c r="L5783" s="10">
        <f>I5783*J5783*(1-K5783)</f>
        <v/>
      </c>
      <c r="M5783" s="10" t="n">
        <v>49.5</v>
      </c>
      <c r="N5783" s="10">
        <f>L5783-M5783</f>
        <v/>
      </c>
    </row>
    <row r="5784">
      <c r="A5784" s="7" t="inlineStr">
        <is>
          <t>ORD-02694</t>
        </is>
      </c>
      <c r="B5784" s="8" t="n">
        <v>46014</v>
      </c>
      <c r="C5784" s="9" t="n">
        <v>45992</v>
      </c>
      <c r="D5784" s="7" t="n">
        <v>2025</v>
      </c>
      <c r="E5784" s="7" t="inlineStr">
        <is>
          <t>West</t>
        </is>
      </c>
      <c r="F5784" s="7" t="inlineStr">
        <is>
          <t>Office Supplies</t>
        </is>
      </c>
      <c r="G5784" s="7" t="inlineStr">
        <is>
          <t>Printer Ink</t>
        </is>
      </c>
      <c r="H5784" s="7" t="inlineStr">
        <is>
          <t>Consumer</t>
        </is>
      </c>
      <c r="I5784" s="7" t="n">
        <v>4</v>
      </c>
      <c r="J5784" s="10" t="n">
        <v>60.07</v>
      </c>
      <c r="K5784" s="11" t="n">
        <v>0</v>
      </c>
      <c r="L5784" s="10">
        <f>I5784*J5784*(1-K5784)</f>
        <v/>
      </c>
      <c r="M5784" s="10" t="n">
        <v>144</v>
      </c>
      <c r="N5784" s="10">
        <f>L5784-M5784</f>
        <v/>
      </c>
    </row>
    <row r="5785">
      <c r="A5785" s="7" t="inlineStr">
        <is>
          <t>ORD-03887</t>
        </is>
      </c>
      <c r="B5785" s="8" t="n">
        <v>46014</v>
      </c>
      <c r="C5785" s="9" t="n">
        <v>45992</v>
      </c>
      <c r="D5785" s="7" t="n">
        <v>2025</v>
      </c>
      <c r="E5785" s="7" t="inlineStr">
        <is>
          <t>South</t>
        </is>
      </c>
      <c r="F5785" s="7" t="inlineStr">
        <is>
          <t>Office Supplies</t>
        </is>
      </c>
      <c r="G5785" s="7" t="inlineStr">
        <is>
          <t>Printer Ink</t>
        </is>
      </c>
      <c r="H5785" s="7" t="inlineStr">
        <is>
          <t>Home Office</t>
        </is>
      </c>
      <c r="I5785" s="7" t="n">
        <v>11</v>
      </c>
      <c r="J5785" s="10" t="n">
        <v>62.07</v>
      </c>
      <c r="K5785" s="11" t="n">
        <v>0.3</v>
      </c>
      <c r="L5785" s="10">
        <f>I5785*J5785*(1-K5785)</f>
        <v/>
      </c>
      <c r="M5785" s="10" t="n">
        <v>396</v>
      </c>
      <c r="N5785" s="10">
        <f>L5785-M5785</f>
        <v/>
      </c>
    </row>
    <row r="5786">
      <c r="A5786" s="7" t="inlineStr">
        <is>
          <t>ORD-02262</t>
        </is>
      </c>
      <c r="B5786" s="8" t="n">
        <v>46014</v>
      </c>
      <c r="C5786" s="9" t="n">
        <v>45992</v>
      </c>
      <c r="D5786" s="7" t="n">
        <v>2025</v>
      </c>
      <c r="E5786" s="7" t="inlineStr">
        <is>
          <t>West</t>
        </is>
      </c>
      <c r="F5786" s="7" t="inlineStr">
        <is>
          <t>Technology</t>
        </is>
      </c>
      <c r="G5786" s="7" t="inlineStr">
        <is>
          <t>Monitor</t>
        </is>
      </c>
      <c r="H5786" s="7" t="inlineStr">
        <is>
          <t>Corporate</t>
        </is>
      </c>
      <c r="I5786" s="7" t="n">
        <v>1</v>
      </c>
      <c r="J5786" s="10" t="n">
        <v>259.57</v>
      </c>
      <c r="K5786" s="11" t="n">
        <v>0.1</v>
      </c>
      <c r="L5786" s="10">
        <f>I5786*J5786*(1-K5786)</f>
        <v/>
      </c>
      <c r="M5786" s="10" t="n">
        <v>180</v>
      </c>
      <c r="N5786" s="10">
        <f>L5786-M5786</f>
        <v/>
      </c>
    </row>
    <row r="5787">
      <c r="A5787" s="7" t="inlineStr">
        <is>
          <t>ORD-01873</t>
        </is>
      </c>
      <c r="B5787" s="8" t="n">
        <v>46014</v>
      </c>
      <c r="C5787" s="9" t="n">
        <v>45992</v>
      </c>
      <c r="D5787" s="7" t="n">
        <v>2025</v>
      </c>
      <c r="E5787" s="7" t="inlineStr">
        <is>
          <t>West</t>
        </is>
      </c>
      <c r="F5787" s="7" t="inlineStr">
        <is>
          <t>Office Supplies</t>
        </is>
      </c>
      <c r="G5787" s="7" t="inlineStr">
        <is>
          <t>Pens</t>
        </is>
      </c>
      <c r="H5787" s="7" t="inlineStr">
        <is>
          <t>Home Office</t>
        </is>
      </c>
      <c r="I5787" s="7" t="n">
        <v>15</v>
      </c>
      <c r="J5787" s="10" t="n">
        <v>12.03</v>
      </c>
      <c r="K5787" s="11" t="n">
        <v>0.2</v>
      </c>
      <c r="L5787" s="10">
        <f>I5787*J5787*(1-K5787)</f>
        <v/>
      </c>
      <c r="M5787" s="10" t="n">
        <v>81</v>
      </c>
      <c r="N5787" s="10">
        <f>L5787-M5787</f>
        <v/>
      </c>
    </row>
    <row r="5788">
      <c r="A5788" s="7" t="inlineStr">
        <is>
          <t>ORD-02941</t>
        </is>
      </c>
      <c r="B5788" s="8" t="n">
        <v>46014</v>
      </c>
      <c r="C5788" s="9" t="n">
        <v>45992</v>
      </c>
      <c r="D5788" s="7" t="n">
        <v>2025</v>
      </c>
      <c r="E5788" s="7" t="inlineStr">
        <is>
          <t>West</t>
        </is>
      </c>
      <c r="F5788" s="7" t="inlineStr">
        <is>
          <t>Office Supplies</t>
        </is>
      </c>
      <c r="G5788" s="7" t="inlineStr">
        <is>
          <t>Pens</t>
        </is>
      </c>
      <c r="H5788" s="7" t="inlineStr">
        <is>
          <t>Corporate</t>
        </is>
      </c>
      <c r="I5788" s="7" t="n">
        <v>5</v>
      </c>
      <c r="J5788" s="10" t="n">
        <v>12.16</v>
      </c>
      <c r="K5788" s="11" t="n">
        <v>0</v>
      </c>
      <c r="L5788" s="10">
        <f>I5788*J5788*(1-K5788)</f>
        <v/>
      </c>
      <c r="M5788" s="10" t="n">
        <v>27</v>
      </c>
      <c r="N5788" s="10">
        <f>L5788-M5788</f>
        <v/>
      </c>
    </row>
    <row r="5789">
      <c r="A5789" s="7" t="inlineStr">
        <is>
          <t>ORD-02326</t>
        </is>
      </c>
      <c r="B5789" s="8" t="n">
        <v>46014</v>
      </c>
      <c r="C5789" s="9" t="n">
        <v>45992</v>
      </c>
      <c r="D5789" s="7" t="n">
        <v>2025</v>
      </c>
      <c r="E5789" s="7" t="inlineStr">
        <is>
          <t>West</t>
        </is>
      </c>
      <c r="F5789" s="7" t="inlineStr">
        <is>
          <t>Office Supplies</t>
        </is>
      </c>
      <c r="G5789" s="7" t="inlineStr">
        <is>
          <t>Pens</t>
        </is>
      </c>
      <c r="H5789" s="7" t="inlineStr">
        <is>
          <t>Corporate</t>
        </is>
      </c>
      <c r="I5789" s="7" t="n">
        <v>14</v>
      </c>
      <c r="J5789" s="10" t="n">
        <v>11.89</v>
      </c>
      <c r="K5789" s="11" t="n">
        <v>0</v>
      </c>
      <c r="L5789" s="10">
        <f>I5789*J5789*(1-K5789)</f>
        <v/>
      </c>
      <c r="M5789" s="10" t="n">
        <v>75.59999999999999</v>
      </c>
      <c r="N5789" s="10">
        <f>L5789-M5789</f>
        <v/>
      </c>
    </row>
    <row r="5790">
      <c r="A5790" s="7" t="inlineStr">
        <is>
          <t>ORD-00623</t>
        </is>
      </c>
      <c r="B5790" s="8" t="n">
        <v>46014</v>
      </c>
      <c r="C5790" s="9" t="n">
        <v>45992</v>
      </c>
      <c r="D5790" s="7" t="n">
        <v>2025</v>
      </c>
      <c r="E5790" s="7" t="inlineStr">
        <is>
          <t>West</t>
        </is>
      </c>
      <c r="F5790" s="7" t="inlineStr">
        <is>
          <t>Technology</t>
        </is>
      </c>
      <c r="G5790" s="7" t="inlineStr">
        <is>
          <t>Laptop</t>
        </is>
      </c>
      <c r="H5790" s="7" t="inlineStr">
        <is>
          <t>Corporate</t>
        </is>
      </c>
      <c r="I5790" s="7" t="n">
        <v>3</v>
      </c>
      <c r="J5790" s="10" t="n">
        <v>917.91</v>
      </c>
      <c r="K5790" s="11" t="n">
        <v>0.1</v>
      </c>
      <c r="L5790" s="10">
        <f>I5790*J5790*(1-K5790)</f>
        <v/>
      </c>
      <c r="M5790" s="10" t="n">
        <v>2106</v>
      </c>
      <c r="N5790" s="10">
        <f>L5790-M5790</f>
        <v/>
      </c>
    </row>
    <row r="5791">
      <c r="A5791" s="7" t="inlineStr">
        <is>
          <t>ORD-04603</t>
        </is>
      </c>
      <c r="B5791" s="8" t="n">
        <v>46014</v>
      </c>
      <c r="C5791" s="9" t="n">
        <v>45992</v>
      </c>
      <c r="D5791" s="7" t="n">
        <v>2025</v>
      </c>
      <c r="E5791" s="7" t="inlineStr">
        <is>
          <t>North</t>
        </is>
      </c>
      <c r="F5791" s="7" t="inlineStr">
        <is>
          <t>Furniture</t>
        </is>
      </c>
      <c r="G5791" s="7" t="inlineStr">
        <is>
          <t>Sofa</t>
        </is>
      </c>
      <c r="H5791" s="7" t="inlineStr">
        <is>
          <t>Consumer</t>
        </is>
      </c>
      <c r="I5791" s="7" t="n">
        <v>2</v>
      </c>
      <c r="J5791" s="10" t="n">
        <v>666.4</v>
      </c>
      <c r="K5791" s="11" t="n">
        <v>0.2</v>
      </c>
      <c r="L5791" s="10">
        <f>I5791*J5791*(1-K5791)</f>
        <v/>
      </c>
      <c r="M5791" s="10" t="n">
        <v>1232</v>
      </c>
      <c r="N5791" s="10">
        <f>L5791-M5791</f>
        <v/>
      </c>
    </row>
    <row r="5792">
      <c r="A5792" s="7" t="inlineStr">
        <is>
          <t>ORD-04178</t>
        </is>
      </c>
      <c r="B5792" s="8" t="n">
        <v>46014</v>
      </c>
      <c r="C5792" s="9" t="n">
        <v>45992</v>
      </c>
      <c r="D5792" s="7" t="n">
        <v>2025</v>
      </c>
      <c r="E5792" s="7" t="inlineStr">
        <is>
          <t>South</t>
        </is>
      </c>
      <c r="F5792" s="7" t="inlineStr">
        <is>
          <t>Technology</t>
        </is>
      </c>
      <c r="G5792" s="7" t="inlineStr">
        <is>
          <t>Monitor</t>
        </is>
      </c>
      <c r="H5792" s="7" t="inlineStr">
        <is>
          <t>Corporate</t>
        </is>
      </c>
      <c r="I5792" s="7" t="n">
        <v>1</v>
      </c>
      <c r="J5792" s="10" t="n">
        <v>252.13</v>
      </c>
      <c r="K5792" s="11" t="n">
        <v>0.3</v>
      </c>
      <c r="L5792" s="10">
        <f>I5792*J5792*(1-K5792)</f>
        <v/>
      </c>
      <c r="M5792" s="10" t="n">
        <v>180</v>
      </c>
      <c r="N5792" s="10">
        <f>L5792-M5792</f>
        <v/>
      </c>
    </row>
    <row r="5793">
      <c r="A5793" s="7" t="inlineStr">
        <is>
          <t>ORD-05283</t>
        </is>
      </c>
      <c r="B5793" s="8" t="n">
        <v>46014</v>
      </c>
      <c r="C5793" s="9" t="n">
        <v>45992</v>
      </c>
      <c r="D5793" s="7" t="n">
        <v>2025</v>
      </c>
      <c r="E5793" s="7" t="inlineStr">
        <is>
          <t>East</t>
        </is>
      </c>
      <c r="F5793" s="7" t="inlineStr">
        <is>
          <t>Office Supplies</t>
        </is>
      </c>
      <c r="G5793" s="7" t="inlineStr">
        <is>
          <t>Binder</t>
        </is>
      </c>
      <c r="H5793" s="7" t="inlineStr">
        <is>
          <t>Home Office</t>
        </is>
      </c>
      <c r="I5793" s="7" t="n">
        <v>9</v>
      </c>
      <c r="J5793" s="10" t="n">
        <v>8.220000000000001</v>
      </c>
      <c r="K5793" s="11" t="n">
        <v>0.05</v>
      </c>
      <c r="L5793" s="10">
        <f>I5793*J5793*(1-K5793)</f>
        <v/>
      </c>
      <c r="M5793" s="10" t="n">
        <v>28.8</v>
      </c>
      <c r="N5793" s="10">
        <f>L5793-M5793</f>
        <v/>
      </c>
    </row>
    <row r="5794">
      <c r="A5794" s="7" t="inlineStr">
        <is>
          <t>ORD-03171</t>
        </is>
      </c>
      <c r="B5794" s="8" t="n">
        <v>46014</v>
      </c>
      <c r="C5794" s="9" t="n">
        <v>45992</v>
      </c>
      <c r="D5794" s="7" t="n">
        <v>2025</v>
      </c>
      <c r="E5794" s="7" t="inlineStr">
        <is>
          <t>West</t>
        </is>
      </c>
      <c r="F5794" s="7" t="inlineStr">
        <is>
          <t>Office Supplies</t>
        </is>
      </c>
      <c r="G5794" s="7" t="inlineStr">
        <is>
          <t>Paper</t>
        </is>
      </c>
      <c r="H5794" s="7" t="inlineStr">
        <is>
          <t>Consumer</t>
        </is>
      </c>
      <c r="I5794" s="7" t="n">
        <v>10</v>
      </c>
      <c r="J5794" s="10" t="n">
        <v>24.22</v>
      </c>
      <c r="K5794" s="11" t="n">
        <v>0</v>
      </c>
      <c r="L5794" s="10">
        <f>I5794*J5794*(1-K5794)</f>
        <v/>
      </c>
      <c r="M5794" s="10" t="n">
        <v>125</v>
      </c>
      <c r="N5794" s="10">
        <f>L5794-M5794</f>
        <v/>
      </c>
    </row>
    <row r="5795">
      <c r="A5795" s="7" t="inlineStr">
        <is>
          <t>ORD-01706</t>
        </is>
      </c>
      <c r="B5795" s="8" t="n">
        <v>46014</v>
      </c>
      <c r="C5795" s="9" t="n">
        <v>45992</v>
      </c>
      <c r="D5795" s="7" t="n">
        <v>2025</v>
      </c>
      <c r="E5795" s="7" t="inlineStr">
        <is>
          <t>East</t>
        </is>
      </c>
      <c r="F5795" s="7" t="inlineStr">
        <is>
          <t>Office Supplies</t>
        </is>
      </c>
      <c r="G5795" s="7" t="inlineStr">
        <is>
          <t>Binder</t>
        </is>
      </c>
      <c r="H5795" s="7" t="inlineStr">
        <is>
          <t>Corporate</t>
        </is>
      </c>
      <c r="I5795" s="7" t="n">
        <v>3</v>
      </c>
      <c r="J5795" s="10" t="n">
        <v>7.98</v>
      </c>
      <c r="K5795" s="11" t="n">
        <v>0.1</v>
      </c>
      <c r="L5795" s="10">
        <f>I5795*J5795*(1-K5795)</f>
        <v/>
      </c>
      <c r="M5795" s="10" t="n">
        <v>9.6</v>
      </c>
      <c r="N5795" s="10">
        <f>L5795-M5795</f>
        <v/>
      </c>
    </row>
    <row r="5796">
      <c r="A5796" s="7" t="inlineStr">
        <is>
          <t>ORD-02051</t>
        </is>
      </c>
      <c r="B5796" s="8" t="n">
        <v>46015</v>
      </c>
      <c r="C5796" s="9" t="n">
        <v>45992</v>
      </c>
      <c r="D5796" s="7" t="n">
        <v>2025</v>
      </c>
      <c r="E5796" s="7" t="inlineStr">
        <is>
          <t>East</t>
        </is>
      </c>
      <c r="F5796" s="7" t="inlineStr">
        <is>
          <t>Furniture</t>
        </is>
      </c>
      <c r="G5796" s="7" t="inlineStr">
        <is>
          <t>Office Chair</t>
        </is>
      </c>
      <c r="H5796" s="7" t="inlineStr">
        <is>
          <t>Consumer</t>
        </is>
      </c>
      <c r="I5796" s="7" t="n">
        <v>4</v>
      </c>
      <c r="J5796" s="10" t="n">
        <v>210.79</v>
      </c>
      <c r="K5796" s="11" t="n">
        <v>0</v>
      </c>
      <c r="L5796" s="10">
        <f>I5796*J5796*(1-K5796)</f>
        <v/>
      </c>
      <c r="M5796" s="10" t="n">
        <v>721.6</v>
      </c>
      <c r="N5796" s="10">
        <f>L5796-M5796</f>
        <v/>
      </c>
    </row>
    <row r="5797">
      <c r="A5797" s="7" t="inlineStr">
        <is>
          <t>ORD-03761</t>
        </is>
      </c>
      <c r="B5797" s="8" t="n">
        <v>46015</v>
      </c>
      <c r="C5797" s="9" t="n">
        <v>45992</v>
      </c>
      <c r="D5797" s="7" t="n">
        <v>2025</v>
      </c>
      <c r="E5797" s="7" t="inlineStr">
        <is>
          <t>North</t>
        </is>
      </c>
      <c r="F5797" s="7" t="inlineStr">
        <is>
          <t>Furniture</t>
        </is>
      </c>
      <c r="G5797" s="7" t="inlineStr">
        <is>
          <t>Desk</t>
        </is>
      </c>
      <c r="H5797" s="7" t="inlineStr">
        <is>
          <t>Consumer</t>
        </is>
      </c>
      <c r="I5797" s="7" t="n">
        <v>4</v>
      </c>
      <c r="J5797" s="10" t="n">
        <v>446.85</v>
      </c>
      <c r="K5797" s="11" t="n">
        <v>0</v>
      </c>
      <c r="L5797" s="10">
        <f>I5797*J5797*(1-K5797)</f>
        <v/>
      </c>
      <c r="M5797" s="10" t="n">
        <v>1530</v>
      </c>
      <c r="N5797" s="10">
        <f>L5797-M5797</f>
        <v/>
      </c>
    </row>
    <row r="5798">
      <c r="A5798" s="7" t="inlineStr">
        <is>
          <t>ORD-02794</t>
        </is>
      </c>
      <c r="B5798" s="8" t="n">
        <v>46015</v>
      </c>
      <c r="C5798" s="9" t="n">
        <v>45992</v>
      </c>
      <c r="D5798" s="7" t="n">
        <v>2025</v>
      </c>
      <c r="E5798" s="7" t="inlineStr">
        <is>
          <t>South</t>
        </is>
      </c>
      <c r="F5798" s="7" t="inlineStr">
        <is>
          <t>Office Supplies</t>
        </is>
      </c>
      <c r="G5798" s="7" t="inlineStr">
        <is>
          <t>Pens</t>
        </is>
      </c>
      <c r="H5798" s="7" t="inlineStr">
        <is>
          <t>Home Office</t>
        </is>
      </c>
      <c r="I5798" s="7" t="n">
        <v>7</v>
      </c>
      <c r="J5798" s="10" t="n">
        <v>11.71</v>
      </c>
      <c r="K5798" s="11" t="n">
        <v>0.2</v>
      </c>
      <c r="L5798" s="10">
        <f>I5798*J5798*(1-K5798)</f>
        <v/>
      </c>
      <c r="M5798" s="10" t="n">
        <v>37.8</v>
      </c>
      <c r="N5798" s="10">
        <f>L5798-M5798</f>
        <v/>
      </c>
    </row>
    <row r="5799">
      <c r="A5799" s="7" t="inlineStr">
        <is>
          <t>ORD-00981</t>
        </is>
      </c>
      <c r="B5799" s="8" t="n">
        <v>46015</v>
      </c>
      <c r="C5799" s="9" t="n">
        <v>45992</v>
      </c>
      <c r="D5799" s="7" t="n">
        <v>2025</v>
      </c>
      <c r="E5799" s="7" t="inlineStr">
        <is>
          <t>North</t>
        </is>
      </c>
      <c r="F5799" s="7" t="inlineStr">
        <is>
          <t>Furniture</t>
        </is>
      </c>
      <c r="G5799" s="7" t="inlineStr">
        <is>
          <t>Sofa</t>
        </is>
      </c>
      <c r="H5799" s="7" t="inlineStr">
        <is>
          <t>Consumer</t>
        </is>
      </c>
      <c r="I5799" s="7" t="n">
        <v>4</v>
      </c>
      <c r="J5799" s="10" t="n">
        <v>665.49</v>
      </c>
      <c r="K5799" s="11" t="n">
        <v>0</v>
      </c>
      <c r="L5799" s="10">
        <f>I5799*J5799*(1-K5799)</f>
        <v/>
      </c>
      <c r="M5799" s="10" t="n">
        <v>2464</v>
      </c>
      <c r="N5799" s="10">
        <f>L5799-M5799</f>
        <v/>
      </c>
    </row>
    <row r="5800">
      <c r="A5800" s="7" t="inlineStr">
        <is>
          <t>ORD-01989</t>
        </is>
      </c>
      <c r="B5800" s="8" t="n">
        <v>46015</v>
      </c>
      <c r="C5800" s="9" t="n">
        <v>45992</v>
      </c>
      <c r="D5800" s="7" t="n">
        <v>2025</v>
      </c>
      <c r="E5800" s="7" t="inlineStr">
        <is>
          <t>South</t>
        </is>
      </c>
      <c r="F5800" s="7" t="inlineStr">
        <is>
          <t>Office Supplies</t>
        </is>
      </c>
      <c r="G5800" s="7" t="inlineStr">
        <is>
          <t>Paper</t>
        </is>
      </c>
      <c r="H5800" s="7" t="inlineStr">
        <is>
          <t>Home Office</t>
        </is>
      </c>
      <c r="I5800" s="7" t="n">
        <v>11</v>
      </c>
      <c r="J5800" s="10" t="n">
        <v>24.78</v>
      </c>
      <c r="K5800" s="11" t="n">
        <v>0</v>
      </c>
      <c r="L5800" s="10">
        <f>I5800*J5800*(1-K5800)</f>
        <v/>
      </c>
      <c r="M5800" s="10" t="n">
        <v>137.5</v>
      </c>
      <c r="N5800" s="10">
        <f>L5800-M5800</f>
        <v/>
      </c>
    </row>
    <row r="5801">
      <c r="A5801" s="7" t="inlineStr">
        <is>
          <t>ORD-02387</t>
        </is>
      </c>
      <c r="B5801" s="8" t="n">
        <v>46015</v>
      </c>
      <c r="C5801" s="9" t="n">
        <v>45992</v>
      </c>
      <c r="D5801" s="7" t="n">
        <v>2025</v>
      </c>
      <c r="E5801" s="7" t="inlineStr">
        <is>
          <t>North</t>
        </is>
      </c>
      <c r="F5801" s="7" t="inlineStr">
        <is>
          <t>Office Supplies</t>
        </is>
      </c>
      <c r="G5801" s="7" t="inlineStr">
        <is>
          <t>Stapler</t>
        </is>
      </c>
      <c r="H5801" s="7" t="inlineStr">
        <is>
          <t>Corporate</t>
        </is>
      </c>
      <c r="I5801" s="7" t="n">
        <v>5</v>
      </c>
      <c r="J5801" s="10" t="n">
        <v>14.93</v>
      </c>
      <c r="K5801" s="11" t="n">
        <v>0</v>
      </c>
      <c r="L5801" s="10">
        <f>I5801*J5801*(1-K5801)</f>
        <v/>
      </c>
      <c r="M5801" s="10" t="n">
        <v>37.5</v>
      </c>
      <c r="N5801" s="10">
        <f>L5801-M5801</f>
        <v/>
      </c>
    </row>
    <row r="5802">
      <c r="A5802" s="7" t="inlineStr">
        <is>
          <t>ORD-03513</t>
        </is>
      </c>
      <c r="B5802" s="8" t="n">
        <v>46015</v>
      </c>
      <c r="C5802" s="9" t="n">
        <v>45992</v>
      </c>
      <c r="D5802" s="7" t="n">
        <v>2025</v>
      </c>
      <c r="E5802" s="7" t="inlineStr">
        <is>
          <t>West</t>
        </is>
      </c>
      <c r="F5802" s="7" t="inlineStr">
        <is>
          <t>Office Supplies</t>
        </is>
      </c>
      <c r="G5802" s="7" t="inlineStr">
        <is>
          <t>Printer Ink</t>
        </is>
      </c>
      <c r="H5802" s="7" t="inlineStr">
        <is>
          <t>Home Office</t>
        </is>
      </c>
      <c r="I5802" s="7" t="n">
        <v>10</v>
      </c>
      <c r="J5802" s="10" t="n">
        <v>60.21</v>
      </c>
      <c r="K5802" s="11" t="n">
        <v>0.2</v>
      </c>
      <c r="L5802" s="10">
        <f>I5802*J5802*(1-K5802)</f>
        <v/>
      </c>
      <c r="M5802" s="10" t="n">
        <v>360</v>
      </c>
      <c r="N5802" s="10">
        <f>L5802-M5802</f>
        <v/>
      </c>
    </row>
    <row r="5803">
      <c r="A5803" s="7" t="inlineStr">
        <is>
          <t>ORD-02359</t>
        </is>
      </c>
      <c r="B5803" s="8" t="n">
        <v>46016</v>
      </c>
      <c r="C5803" s="9" t="n">
        <v>45992</v>
      </c>
      <c r="D5803" s="7" t="n">
        <v>2025</v>
      </c>
      <c r="E5803" s="7" t="inlineStr">
        <is>
          <t>North</t>
        </is>
      </c>
      <c r="F5803" s="7" t="inlineStr">
        <is>
          <t>Furniture</t>
        </is>
      </c>
      <c r="G5803" s="7" t="inlineStr">
        <is>
          <t>Office Chair</t>
        </is>
      </c>
      <c r="H5803" s="7" t="inlineStr">
        <is>
          <t>Consumer</t>
        </is>
      </c>
      <c r="I5803" s="7" t="n">
        <v>2</v>
      </c>
      <c r="J5803" s="10" t="n">
        <v>214.06</v>
      </c>
      <c r="K5803" s="11" t="n">
        <v>0.2</v>
      </c>
      <c r="L5803" s="10">
        <f>I5803*J5803*(1-K5803)</f>
        <v/>
      </c>
      <c r="M5803" s="10" t="n">
        <v>360.8</v>
      </c>
      <c r="N5803" s="10">
        <f>L5803-M5803</f>
        <v/>
      </c>
    </row>
    <row r="5804">
      <c r="A5804" s="7" t="inlineStr">
        <is>
          <t>ORD-04758</t>
        </is>
      </c>
      <c r="B5804" s="8" t="n">
        <v>46016</v>
      </c>
      <c r="C5804" s="9" t="n">
        <v>45992</v>
      </c>
      <c r="D5804" s="7" t="n">
        <v>2025</v>
      </c>
      <c r="E5804" s="7" t="inlineStr">
        <is>
          <t>East</t>
        </is>
      </c>
      <c r="F5804" s="7" t="inlineStr">
        <is>
          <t>Office Supplies</t>
        </is>
      </c>
      <c r="G5804" s="7" t="inlineStr">
        <is>
          <t>Printer Ink</t>
        </is>
      </c>
      <c r="H5804" s="7" t="inlineStr">
        <is>
          <t>Corporate</t>
        </is>
      </c>
      <c r="I5804" s="7" t="n">
        <v>11</v>
      </c>
      <c r="J5804" s="10" t="n">
        <v>60.28</v>
      </c>
      <c r="K5804" s="11" t="n">
        <v>0</v>
      </c>
      <c r="L5804" s="10">
        <f>I5804*J5804*(1-K5804)</f>
        <v/>
      </c>
      <c r="M5804" s="10" t="n">
        <v>396</v>
      </c>
      <c r="N5804" s="10">
        <f>L5804-M5804</f>
        <v/>
      </c>
    </row>
    <row r="5805">
      <c r="A5805" s="7" t="inlineStr">
        <is>
          <t>ORD-04561</t>
        </is>
      </c>
      <c r="B5805" s="8" t="n">
        <v>46016</v>
      </c>
      <c r="C5805" s="9" t="n">
        <v>45992</v>
      </c>
      <c r="D5805" s="7" t="n">
        <v>2025</v>
      </c>
      <c r="E5805" s="7" t="inlineStr">
        <is>
          <t>East</t>
        </is>
      </c>
      <c r="F5805" s="7" t="inlineStr">
        <is>
          <t>Office Supplies</t>
        </is>
      </c>
      <c r="G5805" s="7" t="inlineStr">
        <is>
          <t>Pens</t>
        </is>
      </c>
      <c r="H5805" s="7" t="inlineStr">
        <is>
          <t>Corporate</t>
        </is>
      </c>
      <c r="I5805" s="7" t="n">
        <v>8</v>
      </c>
      <c r="J5805" s="10" t="n">
        <v>11.51</v>
      </c>
      <c r="K5805" s="11" t="n">
        <v>0.05</v>
      </c>
      <c r="L5805" s="10">
        <f>I5805*J5805*(1-K5805)</f>
        <v/>
      </c>
      <c r="M5805" s="10" t="n">
        <v>43.2</v>
      </c>
      <c r="N5805" s="10">
        <f>L5805-M5805</f>
        <v/>
      </c>
    </row>
    <row r="5806">
      <c r="A5806" s="7" t="inlineStr">
        <is>
          <t>ORD-00541</t>
        </is>
      </c>
      <c r="B5806" s="8" t="n">
        <v>46016</v>
      </c>
      <c r="C5806" s="9" t="n">
        <v>45992</v>
      </c>
      <c r="D5806" s="7" t="n">
        <v>2025</v>
      </c>
      <c r="E5806" s="7" t="inlineStr">
        <is>
          <t>North</t>
        </is>
      </c>
      <c r="F5806" s="7" t="inlineStr">
        <is>
          <t>Office Supplies</t>
        </is>
      </c>
      <c r="G5806" s="7" t="inlineStr">
        <is>
          <t>Binder</t>
        </is>
      </c>
      <c r="H5806" s="7" t="inlineStr">
        <is>
          <t>Consumer</t>
        </is>
      </c>
      <c r="I5806" s="7" t="n">
        <v>13</v>
      </c>
      <c r="J5806" s="10" t="n">
        <v>8.359999999999999</v>
      </c>
      <c r="K5806" s="11" t="n">
        <v>0.2</v>
      </c>
      <c r="L5806" s="10">
        <f>I5806*J5806*(1-K5806)</f>
        <v/>
      </c>
      <c r="M5806" s="10" t="n">
        <v>41.6</v>
      </c>
      <c r="N5806" s="10">
        <f>L5806-M5806</f>
        <v/>
      </c>
    </row>
    <row r="5807">
      <c r="A5807" s="7" t="inlineStr">
        <is>
          <t>ORD-03989</t>
        </is>
      </c>
      <c r="B5807" s="8" t="n">
        <v>46017</v>
      </c>
      <c r="C5807" s="9" t="n">
        <v>45992</v>
      </c>
      <c r="D5807" s="7" t="n">
        <v>2025</v>
      </c>
      <c r="E5807" s="7" t="inlineStr">
        <is>
          <t>East</t>
        </is>
      </c>
      <c r="F5807" s="7" t="inlineStr">
        <is>
          <t>Office Supplies</t>
        </is>
      </c>
      <c r="G5807" s="7" t="inlineStr">
        <is>
          <t>Paper</t>
        </is>
      </c>
      <c r="H5807" s="7" t="inlineStr">
        <is>
          <t>Consumer</t>
        </is>
      </c>
      <c r="I5807" s="7" t="n">
        <v>13</v>
      </c>
      <c r="J5807" s="10" t="n">
        <v>25.88</v>
      </c>
      <c r="K5807" s="11" t="n">
        <v>0.05</v>
      </c>
      <c r="L5807" s="10">
        <f>I5807*J5807*(1-K5807)</f>
        <v/>
      </c>
      <c r="M5807" s="10" t="n">
        <v>162.5</v>
      </c>
      <c r="N5807" s="10">
        <f>L5807-M5807</f>
        <v/>
      </c>
    </row>
    <row r="5808">
      <c r="A5808" s="7" t="inlineStr">
        <is>
          <t>ORD-05297</t>
        </is>
      </c>
      <c r="B5808" s="8" t="n">
        <v>46017</v>
      </c>
      <c r="C5808" s="9" t="n">
        <v>45992</v>
      </c>
      <c r="D5808" s="7" t="n">
        <v>2025</v>
      </c>
      <c r="E5808" s="7" t="inlineStr">
        <is>
          <t>South</t>
        </is>
      </c>
      <c r="F5808" s="7" t="inlineStr">
        <is>
          <t>Furniture</t>
        </is>
      </c>
      <c r="G5808" s="7" t="inlineStr">
        <is>
          <t>Bookcase</t>
        </is>
      </c>
      <c r="H5808" s="7" t="inlineStr">
        <is>
          <t>Consumer</t>
        </is>
      </c>
      <c r="I5808" s="7" t="n">
        <v>1</v>
      </c>
      <c r="J5808" s="10" t="n">
        <v>181.91</v>
      </c>
      <c r="K5808" s="11" t="n">
        <v>0.2</v>
      </c>
      <c r="L5808" s="10">
        <f>I5808*J5808*(1-K5808)</f>
        <v/>
      </c>
      <c r="M5808" s="10" t="n">
        <v>144</v>
      </c>
      <c r="N5808" s="10">
        <f>L5808-M5808</f>
        <v/>
      </c>
    </row>
    <row r="5809">
      <c r="A5809" s="7" t="inlineStr">
        <is>
          <t>ORD-01863</t>
        </is>
      </c>
      <c r="B5809" s="8" t="n">
        <v>46017</v>
      </c>
      <c r="C5809" s="9" t="n">
        <v>45992</v>
      </c>
      <c r="D5809" s="7" t="n">
        <v>2025</v>
      </c>
      <c r="E5809" s="7" t="inlineStr">
        <is>
          <t>West</t>
        </is>
      </c>
      <c r="F5809" s="7" t="inlineStr">
        <is>
          <t>Office Supplies</t>
        </is>
      </c>
      <c r="G5809" s="7" t="inlineStr">
        <is>
          <t>Printer Ink</t>
        </is>
      </c>
      <c r="H5809" s="7" t="inlineStr">
        <is>
          <t>Consumer</t>
        </is>
      </c>
      <c r="I5809" s="7" t="n">
        <v>2</v>
      </c>
      <c r="J5809" s="10" t="n">
        <v>57.27</v>
      </c>
      <c r="K5809" s="11" t="n">
        <v>0</v>
      </c>
      <c r="L5809" s="10">
        <f>I5809*J5809*(1-K5809)</f>
        <v/>
      </c>
      <c r="M5809" s="10" t="n">
        <v>72</v>
      </c>
      <c r="N5809" s="10">
        <f>L5809-M5809</f>
        <v/>
      </c>
    </row>
    <row r="5810">
      <c r="A5810" s="7" t="inlineStr">
        <is>
          <t>ORD-05161</t>
        </is>
      </c>
      <c r="B5810" s="8" t="n">
        <v>46017</v>
      </c>
      <c r="C5810" s="9" t="n">
        <v>45992</v>
      </c>
      <c r="D5810" s="7" t="n">
        <v>2025</v>
      </c>
      <c r="E5810" s="7" t="inlineStr">
        <is>
          <t>West</t>
        </is>
      </c>
      <c r="F5810" s="7" t="inlineStr">
        <is>
          <t>Technology</t>
        </is>
      </c>
      <c r="G5810" s="7" t="inlineStr">
        <is>
          <t>Keyboard</t>
        </is>
      </c>
      <c r="H5810" s="7" t="inlineStr">
        <is>
          <t>Corporate</t>
        </is>
      </c>
      <c r="I5810" s="7" t="n">
        <v>2</v>
      </c>
      <c r="J5810" s="10" t="n">
        <v>46.3</v>
      </c>
      <c r="K5810" s="11" t="n">
        <v>0.2</v>
      </c>
      <c r="L5810" s="10">
        <f>I5810*J5810*(1-K5810)</f>
        <v/>
      </c>
      <c r="M5810" s="10" t="n">
        <v>49.5</v>
      </c>
      <c r="N5810" s="10">
        <f>L5810-M5810</f>
        <v/>
      </c>
    </row>
    <row r="5811">
      <c r="A5811" s="7" t="inlineStr">
        <is>
          <t>ORD-02770</t>
        </is>
      </c>
      <c r="B5811" s="8" t="n">
        <v>46017</v>
      </c>
      <c r="C5811" s="9" t="n">
        <v>45992</v>
      </c>
      <c r="D5811" s="7" t="n">
        <v>2025</v>
      </c>
      <c r="E5811" s="7" t="inlineStr">
        <is>
          <t>West</t>
        </is>
      </c>
      <c r="F5811" s="7" t="inlineStr">
        <is>
          <t>Office Supplies</t>
        </is>
      </c>
      <c r="G5811" s="7" t="inlineStr">
        <is>
          <t>Pens</t>
        </is>
      </c>
      <c r="H5811" s="7" t="inlineStr">
        <is>
          <t>Consumer</t>
        </is>
      </c>
      <c r="I5811" s="7" t="n">
        <v>11</v>
      </c>
      <c r="J5811" s="10" t="n">
        <v>11.94</v>
      </c>
      <c r="K5811" s="11" t="n">
        <v>0</v>
      </c>
      <c r="L5811" s="10">
        <f>I5811*J5811*(1-K5811)</f>
        <v/>
      </c>
      <c r="M5811" s="10" t="n">
        <v>59.4</v>
      </c>
      <c r="N5811" s="10">
        <f>L5811-M5811</f>
        <v/>
      </c>
    </row>
    <row r="5812">
      <c r="A5812" s="7" t="inlineStr">
        <is>
          <t>ORD-01188</t>
        </is>
      </c>
      <c r="B5812" s="8" t="n">
        <v>46017</v>
      </c>
      <c r="C5812" s="9" t="n">
        <v>45992</v>
      </c>
      <c r="D5812" s="7" t="n">
        <v>2025</v>
      </c>
      <c r="E5812" s="7" t="inlineStr">
        <is>
          <t>East</t>
        </is>
      </c>
      <c r="F5812" s="7" t="inlineStr">
        <is>
          <t>Office Supplies</t>
        </is>
      </c>
      <c r="G5812" s="7" t="inlineStr">
        <is>
          <t>Pens</t>
        </is>
      </c>
      <c r="H5812" s="7" t="inlineStr">
        <is>
          <t>Consumer</t>
        </is>
      </c>
      <c r="I5812" s="7" t="n">
        <v>14</v>
      </c>
      <c r="J5812" s="10" t="n">
        <v>11.65</v>
      </c>
      <c r="K5812" s="11" t="n">
        <v>0</v>
      </c>
      <c r="L5812" s="10">
        <f>I5812*J5812*(1-K5812)</f>
        <v/>
      </c>
      <c r="M5812" s="10" t="n">
        <v>75.59999999999999</v>
      </c>
      <c r="N5812" s="10">
        <f>L5812-M5812</f>
        <v/>
      </c>
    </row>
    <row r="5813">
      <c r="A5813" s="7" t="inlineStr">
        <is>
          <t>ORD-02133</t>
        </is>
      </c>
      <c r="B5813" s="8" t="n">
        <v>46017</v>
      </c>
      <c r="C5813" s="9" t="n">
        <v>45992</v>
      </c>
      <c r="D5813" s="7" t="n">
        <v>2025</v>
      </c>
      <c r="E5813" s="7" t="inlineStr">
        <is>
          <t>South</t>
        </is>
      </c>
      <c r="F5813" s="7" t="inlineStr">
        <is>
          <t>Office Supplies</t>
        </is>
      </c>
      <c r="G5813" s="7" t="inlineStr">
        <is>
          <t>Pens</t>
        </is>
      </c>
      <c r="H5813" s="7" t="inlineStr">
        <is>
          <t>Home Office</t>
        </is>
      </c>
      <c r="I5813" s="7" t="n">
        <v>6</v>
      </c>
      <c r="J5813" s="10" t="n">
        <v>11.63</v>
      </c>
      <c r="K5813" s="11" t="n">
        <v>0.05</v>
      </c>
      <c r="L5813" s="10">
        <f>I5813*J5813*(1-K5813)</f>
        <v/>
      </c>
      <c r="M5813" s="10" t="n">
        <v>32.4</v>
      </c>
      <c r="N5813" s="10">
        <f>L5813-M5813</f>
        <v/>
      </c>
    </row>
    <row r="5814">
      <c r="A5814" s="7" t="inlineStr">
        <is>
          <t>ORD-02396</t>
        </is>
      </c>
      <c r="B5814" s="8" t="n">
        <v>46017</v>
      </c>
      <c r="C5814" s="9" t="n">
        <v>45992</v>
      </c>
      <c r="D5814" s="7" t="n">
        <v>2025</v>
      </c>
      <c r="E5814" s="7" t="inlineStr">
        <is>
          <t>East</t>
        </is>
      </c>
      <c r="F5814" s="7" t="inlineStr">
        <is>
          <t>Office Supplies</t>
        </is>
      </c>
      <c r="G5814" s="7" t="inlineStr">
        <is>
          <t>Stapler</t>
        </is>
      </c>
      <c r="H5814" s="7" t="inlineStr">
        <is>
          <t>Consumer</t>
        </is>
      </c>
      <c r="I5814" s="7" t="n">
        <v>13</v>
      </c>
      <c r="J5814" s="10" t="n">
        <v>14.74</v>
      </c>
      <c r="K5814" s="11" t="n">
        <v>0.2</v>
      </c>
      <c r="L5814" s="10">
        <f>I5814*J5814*(1-K5814)</f>
        <v/>
      </c>
      <c r="M5814" s="10" t="n">
        <v>97.5</v>
      </c>
      <c r="N5814" s="10">
        <f>L5814-M5814</f>
        <v/>
      </c>
    </row>
    <row r="5815">
      <c r="A5815" s="7" t="inlineStr">
        <is>
          <t>ORD-02718</t>
        </is>
      </c>
      <c r="B5815" s="8" t="n">
        <v>46017</v>
      </c>
      <c r="C5815" s="9" t="n">
        <v>45992</v>
      </c>
      <c r="D5815" s="7" t="n">
        <v>2025</v>
      </c>
      <c r="E5815" s="7" t="inlineStr">
        <is>
          <t>West</t>
        </is>
      </c>
      <c r="F5815" s="7" t="inlineStr">
        <is>
          <t>Office Supplies</t>
        </is>
      </c>
      <c r="G5815" s="7" t="inlineStr">
        <is>
          <t>Pens</t>
        </is>
      </c>
      <c r="H5815" s="7" t="inlineStr">
        <is>
          <t>Corporate</t>
        </is>
      </c>
      <c r="I5815" s="7" t="n">
        <v>10</v>
      </c>
      <c r="J5815" s="10" t="n">
        <v>12.23</v>
      </c>
      <c r="K5815" s="11" t="n">
        <v>0</v>
      </c>
      <c r="L5815" s="10">
        <f>I5815*J5815*(1-K5815)</f>
        <v/>
      </c>
      <c r="M5815" s="10" t="n">
        <v>54</v>
      </c>
      <c r="N5815" s="10">
        <f>L5815-M5815</f>
        <v/>
      </c>
    </row>
    <row r="5816">
      <c r="A5816" s="7" t="inlineStr">
        <is>
          <t>ORD-00810</t>
        </is>
      </c>
      <c r="B5816" s="8" t="n">
        <v>46017</v>
      </c>
      <c r="C5816" s="9" t="n">
        <v>45992</v>
      </c>
      <c r="D5816" s="7" t="n">
        <v>2025</v>
      </c>
      <c r="E5816" s="7" t="inlineStr">
        <is>
          <t>South</t>
        </is>
      </c>
      <c r="F5816" s="7" t="inlineStr">
        <is>
          <t>Office Supplies</t>
        </is>
      </c>
      <c r="G5816" s="7" t="inlineStr">
        <is>
          <t>Paper</t>
        </is>
      </c>
      <c r="H5816" s="7" t="inlineStr">
        <is>
          <t>Consumer</t>
        </is>
      </c>
      <c r="I5816" s="7" t="n">
        <v>6</v>
      </c>
      <c r="J5816" s="10" t="n">
        <v>23.97</v>
      </c>
      <c r="K5816" s="11" t="n">
        <v>0.05</v>
      </c>
      <c r="L5816" s="10">
        <f>I5816*J5816*(1-K5816)</f>
        <v/>
      </c>
      <c r="M5816" s="10" t="n">
        <v>75</v>
      </c>
      <c r="N5816" s="10">
        <f>L5816-M5816</f>
        <v/>
      </c>
    </row>
    <row r="5817">
      <c r="A5817" s="7" t="inlineStr">
        <is>
          <t>ORD-03455</t>
        </is>
      </c>
      <c r="B5817" s="8" t="n">
        <v>46017</v>
      </c>
      <c r="C5817" s="9" t="n">
        <v>45992</v>
      </c>
      <c r="D5817" s="7" t="n">
        <v>2025</v>
      </c>
      <c r="E5817" s="7" t="inlineStr">
        <is>
          <t>East</t>
        </is>
      </c>
      <c r="F5817" s="7" t="inlineStr">
        <is>
          <t>Office Supplies</t>
        </is>
      </c>
      <c r="G5817" s="7" t="inlineStr">
        <is>
          <t>Printer Ink</t>
        </is>
      </c>
      <c r="H5817" s="7" t="inlineStr">
        <is>
          <t>Consumer</t>
        </is>
      </c>
      <c r="I5817" s="7" t="n">
        <v>10</v>
      </c>
      <c r="J5817" s="10" t="n">
        <v>59.62</v>
      </c>
      <c r="K5817" s="11" t="n">
        <v>0.3</v>
      </c>
      <c r="L5817" s="10">
        <f>I5817*J5817*(1-K5817)</f>
        <v/>
      </c>
      <c r="M5817" s="10" t="n">
        <v>360</v>
      </c>
      <c r="N5817" s="10">
        <f>L5817-M5817</f>
        <v/>
      </c>
    </row>
    <row r="5818">
      <c r="A5818" s="7" t="inlineStr">
        <is>
          <t>ORD-00544</t>
        </is>
      </c>
      <c r="B5818" s="8" t="n">
        <v>46017</v>
      </c>
      <c r="C5818" s="9" t="n">
        <v>45992</v>
      </c>
      <c r="D5818" s="7" t="n">
        <v>2025</v>
      </c>
      <c r="E5818" s="7" t="inlineStr">
        <is>
          <t>East</t>
        </is>
      </c>
      <c r="F5818" s="7" t="inlineStr">
        <is>
          <t>Office Supplies</t>
        </is>
      </c>
      <c r="G5818" s="7" t="inlineStr">
        <is>
          <t>Paper</t>
        </is>
      </c>
      <c r="H5818" s="7" t="inlineStr">
        <is>
          <t>Corporate</t>
        </is>
      </c>
      <c r="I5818" s="7" t="n">
        <v>5</v>
      </c>
      <c r="J5818" s="10" t="n">
        <v>25.6</v>
      </c>
      <c r="K5818" s="11" t="n">
        <v>0.05</v>
      </c>
      <c r="L5818" s="10">
        <f>I5818*J5818*(1-K5818)</f>
        <v/>
      </c>
      <c r="M5818" s="10" t="n">
        <v>62.5</v>
      </c>
      <c r="N5818" s="10">
        <f>L5818-M5818</f>
        <v/>
      </c>
    </row>
    <row r="5819">
      <c r="A5819" s="7" t="inlineStr">
        <is>
          <t>ORD-00999</t>
        </is>
      </c>
      <c r="B5819" s="8" t="n">
        <v>46018</v>
      </c>
      <c r="C5819" s="9" t="n">
        <v>45992</v>
      </c>
      <c r="D5819" s="7" t="n">
        <v>2025</v>
      </c>
      <c r="E5819" s="7" t="inlineStr">
        <is>
          <t>North</t>
        </is>
      </c>
      <c r="F5819" s="7" t="inlineStr">
        <is>
          <t>Office Supplies</t>
        </is>
      </c>
      <c r="G5819" s="7" t="inlineStr">
        <is>
          <t>Binder</t>
        </is>
      </c>
      <c r="H5819" s="7" t="inlineStr">
        <is>
          <t>Home Office</t>
        </is>
      </c>
      <c r="I5819" s="7" t="n">
        <v>11</v>
      </c>
      <c r="J5819" s="10" t="n">
        <v>8.31</v>
      </c>
      <c r="K5819" s="11" t="n">
        <v>0</v>
      </c>
      <c r="L5819" s="10">
        <f>I5819*J5819*(1-K5819)</f>
        <v/>
      </c>
      <c r="M5819" s="10" t="n">
        <v>35.2</v>
      </c>
      <c r="N5819" s="10">
        <f>L5819-M5819</f>
        <v/>
      </c>
    </row>
    <row r="5820">
      <c r="A5820" s="7" t="inlineStr">
        <is>
          <t>ORD-05931</t>
        </is>
      </c>
      <c r="B5820" s="8" t="n">
        <v>46018</v>
      </c>
      <c r="C5820" s="9" t="n">
        <v>45992</v>
      </c>
      <c r="D5820" s="7" t="n">
        <v>2025</v>
      </c>
      <c r="E5820" s="7" t="inlineStr">
        <is>
          <t>South</t>
        </is>
      </c>
      <c r="F5820" s="7" t="inlineStr">
        <is>
          <t>Office Supplies</t>
        </is>
      </c>
      <c r="G5820" s="7" t="inlineStr">
        <is>
          <t>Pens</t>
        </is>
      </c>
      <c r="H5820" s="7" t="inlineStr">
        <is>
          <t>Consumer</t>
        </is>
      </c>
      <c r="I5820" s="7" t="n">
        <v>2</v>
      </c>
      <c r="J5820" s="10" t="n">
        <v>12.06</v>
      </c>
      <c r="K5820" s="11" t="n">
        <v>0.2</v>
      </c>
      <c r="L5820" s="10">
        <f>I5820*J5820*(1-K5820)</f>
        <v/>
      </c>
      <c r="M5820" s="10" t="n">
        <v>10.8</v>
      </c>
      <c r="N5820" s="10">
        <f>L5820-M5820</f>
        <v/>
      </c>
    </row>
    <row r="5821">
      <c r="A5821" s="7" t="inlineStr">
        <is>
          <t>ORD-03713</t>
        </is>
      </c>
      <c r="B5821" s="8" t="n">
        <v>46018</v>
      </c>
      <c r="C5821" s="9" t="n">
        <v>45992</v>
      </c>
      <c r="D5821" s="7" t="n">
        <v>2025</v>
      </c>
      <c r="E5821" s="7" t="inlineStr">
        <is>
          <t>North</t>
        </is>
      </c>
      <c r="F5821" s="7" t="inlineStr">
        <is>
          <t>Office Supplies</t>
        </is>
      </c>
      <c r="G5821" s="7" t="inlineStr">
        <is>
          <t>Paper</t>
        </is>
      </c>
      <c r="H5821" s="7" t="inlineStr">
        <is>
          <t>Consumer</t>
        </is>
      </c>
      <c r="I5821" s="7" t="n">
        <v>15</v>
      </c>
      <c r="J5821" s="10" t="n">
        <v>24.44</v>
      </c>
      <c r="K5821" s="11" t="n">
        <v>0.1</v>
      </c>
      <c r="L5821" s="10">
        <f>I5821*J5821*(1-K5821)</f>
        <v/>
      </c>
      <c r="M5821" s="10" t="n">
        <v>187.5</v>
      </c>
      <c r="N5821" s="10">
        <f>L5821-M5821</f>
        <v/>
      </c>
    </row>
    <row r="5822">
      <c r="A5822" s="7" t="inlineStr">
        <is>
          <t>ORD-01130</t>
        </is>
      </c>
      <c r="B5822" s="8" t="n">
        <v>46018</v>
      </c>
      <c r="C5822" s="9" t="n">
        <v>45992</v>
      </c>
      <c r="D5822" s="7" t="n">
        <v>2025</v>
      </c>
      <c r="E5822" s="7" t="inlineStr">
        <is>
          <t>West</t>
        </is>
      </c>
      <c r="F5822" s="7" t="inlineStr">
        <is>
          <t>Office Supplies</t>
        </is>
      </c>
      <c r="G5822" s="7" t="inlineStr">
        <is>
          <t>Binder</t>
        </is>
      </c>
      <c r="H5822" s="7" t="inlineStr">
        <is>
          <t>Consumer</t>
        </is>
      </c>
      <c r="I5822" s="7" t="n">
        <v>11</v>
      </c>
      <c r="J5822" s="10" t="n">
        <v>8.1</v>
      </c>
      <c r="K5822" s="11" t="n">
        <v>0.1</v>
      </c>
      <c r="L5822" s="10">
        <f>I5822*J5822*(1-K5822)</f>
        <v/>
      </c>
      <c r="M5822" s="10" t="n">
        <v>35.2</v>
      </c>
      <c r="N5822" s="10">
        <f>L5822-M5822</f>
        <v/>
      </c>
    </row>
    <row r="5823">
      <c r="A5823" s="7" t="inlineStr">
        <is>
          <t>ORD-00178</t>
        </is>
      </c>
      <c r="B5823" s="8" t="n">
        <v>46018</v>
      </c>
      <c r="C5823" s="9" t="n">
        <v>45992</v>
      </c>
      <c r="D5823" s="7" t="n">
        <v>2025</v>
      </c>
      <c r="E5823" s="7" t="inlineStr">
        <is>
          <t>East</t>
        </is>
      </c>
      <c r="F5823" s="7" t="inlineStr">
        <is>
          <t>Office Supplies</t>
        </is>
      </c>
      <c r="G5823" s="7" t="inlineStr">
        <is>
          <t>Paper</t>
        </is>
      </c>
      <c r="H5823" s="7" t="inlineStr">
        <is>
          <t>Home Office</t>
        </is>
      </c>
      <c r="I5823" s="7" t="n">
        <v>4</v>
      </c>
      <c r="J5823" s="10" t="n">
        <v>25.11</v>
      </c>
      <c r="K5823" s="11" t="n">
        <v>0</v>
      </c>
      <c r="L5823" s="10">
        <f>I5823*J5823*(1-K5823)</f>
        <v/>
      </c>
      <c r="M5823" s="10" t="n">
        <v>50</v>
      </c>
      <c r="N5823" s="10">
        <f>L5823-M5823</f>
        <v/>
      </c>
    </row>
    <row r="5824">
      <c r="A5824" s="7" t="inlineStr">
        <is>
          <t>ORD-00813</t>
        </is>
      </c>
      <c r="B5824" s="8" t="n">
        <v>46018</v>
      </c>
      <c r="C5824" s="9" t="n">
        <v>45992</v>
      </c>
      <c r="D5824" s="7" t="n">
        <v>2025</v>
      </c>
      <c r="E5824" s="7" t="inlineStr">
        <is>
          <t>East</t>
        </is>
      </c>
      <c r="F5824" s="7" t="inlineStr">
        <is>
          <t>Office Supplies</t>
        </is>
      </c>
      <c r="G5824" s="7" t="inlineStr">
        <is>
          <t>Printer Ink</t>
        </is>
      </c>
      <c r="H5824" s="7" t="inlineStr">
        <is>
          <t>Consumer</t>
        </is>
      </c>
      <c r="I5824" s="7" t="n">
        <v>7</v>
      </c>
      <c r="J5824" s="10" t="n">
        <v>62.87</v>
      </c>
      <c r="K5824" s="11" t="n">
        <v>0.05</v>
      </c>
      <c r="L5824" s="10">
        <f>I5824*J5824*(1-K5824)</f>
        <v/>
      </c>
      <c r="M5824" s="10" t="n">
        <v>252</v>
      </c>
      <c r="N5824" s="10">
        <f>L5824-M5824</f>
        <v/>
      </c>
    </row>
    <row r="5825">
      <c r="A5825" s="7" t="inlineStr">
        <is>
          <t>ORD-02108</t>
        </is>
      </c>
      <c r="B5825" s="8" t="n">
        <v>46018</v>
      </c>
      <c r="C5825" s="9" t="n">
        <v>45992</v>
      </c>
      <c r="D5825" s="7" t="n">
        <v>2025</v>
      </c>
      <c r="E5825" s="7" t="inlineStr">
        <is>
          <t>North</t>
        </is>
      </c>
      <c r="F5825" s="7" t="inlineStr">
        <is>
          <t>Office Supplies</t>
        </is>
      </c>
      <c r="G5825" s="7" t="inlineStr">
        <is>
          <t>Binder</t>
        </is>
      </c>
      <c r="H5825" s="7" t="inlineStr">
        <is>
          <t>Consumer</t>
        </is>
      </c>
      <c r="I5825" s="7" t="n">
        <v>2</v>
      </c>
      <c r="J5825" s="10" t="n">
        <v>8.07</v>
      </c>
      <c r="K5825" s="11" t="n">
        <v>0</v>
      </c>
      <c r="L5825" s="10">
        <f>I5825*J5825*(1-K5825)</f>
        <v/>
      </c>
      <c r="M5825" s="10" t="n">
        <v>6.4</v>
      </c>
      <c r="N5825" s="10">
        <f>L5825-M5825</f>
        <v/>
      </c>
    </row>
    <row r="5826">
      <c r="A5826" s="7" t="inlineStr">
        <is>
          <t>ORD-02651</t>
        </is>
      </c>
      <c r="B5826" s="8" t="n">
        <v>46018</v>
      </c>
      <c r="C5826" s="9" t="n">
        <v>45992</v>
      </c>
      <c r="D5826" s="7" t="n">
        <v>2025</v>
      </c>
      <c r="E5826" s="7" t="inlineStr">
        <is>
          <t>East</t>
        </is>
      </c>
      <c r="F5826" s="7" t="inlineStr">
        <is>
          <t>Technology</t>
        </is>
      </c>
      <c r="G5826" s="7" t="inlineStr">
        <is>
          <t>Headphones</t>
        </is>
      </c>
      <c r="H5826" s="7" t="inlineStr">
        <is>
          <t>Corporate</t>
        </is>
      </c>
      <c r="I5826" s="7" t="n">
        <v>3</v>
      </c>
      <c r="J5826" s="10" t="n">
        <v>124.16</v>
      </c>
      <c r="K5826" s="11" t="n">
        <v>0.05</v>
      </c>
      <c r="L5826" s="10">
        <f>I5826*J5826*(1-K5826)</f>
        <v/>
      </c>
      <c r="M5826" s="10" t="n">
        <v>216</v>
      </c>
      <c r="N5826" s="10">
        <f>L5826-M5826</f>
        <v/>
      </c>
    </row>
    <row r="5827">
      <c r="A5827" s="7" t="inlineStr">
        <is>
          <t>ORD-04469</t>
        </is>
      </c>
      <c r="B5827" s="8" t="n">
        <v>46018</v>
      </c>
      <c r="C5827" s="9" t="n">
        <v>45992</v>
      </c>
      <c r="D5827" s="7" t="n">
        <v>2025</v>
      </c>
      <c r="E5827" s="7" t="inlineStr">
        <is>
          <t>East</t>
        </is>
      </c>
      <c r="F5827" s="7" t="inlineStr">
        <is>
          <t>Technology</t>
        </is>
      </c>
      <c r="G5827" s="7" t="inlineStr">
        <is>
          <t>Monitor</t>
        </is>
      </c>
      <c r="H5827" s="7" t="inlineStr">
        <is>
          <t>Consumer</t>
        </is>
      </c>
      <c r="I5827" s="7" t="n">
        <v>1</v>
      </c>
      <c r="J5827" s="10" t="n">
        <v>238.87</v>
      </c>
      <c r="K5827" s="11" t="n">
        <v>0.1</v>
      </c>
      <c r="L5827" s="10">
        <f>I5827*J5827*(1-K5827)</f>
        <v/>
      </c>
      <c r="M5827" s="10" t="n">
        <v>180</v>
      </c>
      <c r="N5827" s="10">
        <f>L5827-M5827</f>
        <v/>
      </c>
    </row>
    <row r="5828">
      <c r="A5828" s="7" t="inlineStr">
        <is>
          <t>ORD-01579</t>
        </is>
      </c>
      <c r="B5828" s="8" t="n">
        <v>46019</v>
      </c>
      <c r="C5828" s="9" t="n">
        <v>45992</v>
      </c>
      <c r="D5828" s="7" t="n">
        <v>2025</v>
      </c>
      <c r="E5828" s="7" t="inlineStr">
        <is>
          <t>West</t>
        </is>
      </c>
      <c r="F5828" s="7" t="inlineStr">
        <is>
          <t>Technology</t>
        </is>
      </c>
      <c r="G5828" s="7" t="inlineStr">
        <is>
          <t>Smartphone</t>
        </is>
      </c>
      <c r="H5828" s="7" t="inlineStr">
        <is>
          <t>Home Office</t>
        </is>
      </c>
      <c r="I5828" s="7" t="n">
        <v>1</v>
      </c>
      <c r="J5828" s="10" t="n">
        <v>587.03</v>
      </c>
      <c r="K5828" s="11" t="n">
        <v>0.05</v>
      </c>
      <c r="L5828" s="10">
        <f>I5828*J5828*(1-K5828)</f>
        <v/>
      </c>
      <c r="M5828" s="10" t="n">
        <v>450</v>
      </c>
      <c r="N5828" s="10">
        <f>L5828-M5828</f>
        <v/>
      </c>
    </row>
    <row r="5829">
      <c r="A5829" s="7" t="inlineStr">
        <is>
          <t>ORD-05095</t>
        </is>
      </c>
      <c r="B5829" s="8" t="n">
        <v>46019</v>
      </c>
      <c r="C5829" s="9" t="n">
        <v>45992</v>
      </c>
      <c r="D5829" s="7" t="n">
        <v>2025</v>
      </c>
      <c r="E5829" s="7" t="inlineStr">
        <is>
          <t>West</t>
        </is>
      </c>
      <c r="F5829" s="7" t="inlineStr">
        <is>
          <t>Technology</t>
        </is>
      </c>
      <c r="G5829" s="7" t="inlineStr">
        <is>
          <t>Monitor</t>
        </is>
      </c>
      <c r="H5829" s="7" t="inlineStr">
        <is>
          <t>Home Office</t>
        </is>
      </c>
      <c r="I5829" s="7" t="n">
        <v>2</v>
      </c>
      <c r="J5829" s="10" t="n">
        <v>262.37</v>
      </c>
      <c r="K5829" s="11" t="n">
        <v>0</v>
      </c>
      <c r="L5829" s="10">
        <f>I5829*J5829*(1-K5829)</f>
        <v/>
      </c>
      <c r="M5829" s="10" t="n">
        <v>360</v>
      </c>
      <c r="N5829" s="10">
        <f>L5829-M5829</f>
        <v/>
      </c>
    </row>
    <row r="5830">
      <c r="A5830" s="7" t="inlineStr">
        <is>
          <t>ORD-00711</t>
        </is>
      </c>
      <c r="B5830" s="8" t="n">
        <v>46019</v>
      </c>
      <c r="C5830" s="9" t="n">
        <v>45992</v>
      </c>
      <c r="D5830" s="7" t="n">
        <v>2025</v>
      </c>
      <c r="E5830" s="7" t="inlineStr">
        <is>
          <t>West</t>
        </is>
      </c>
      <c r="F5830" s="7" t="inlineStr">
        <is>
          <t>Office Supplies</t>
        </is>
      </c>
      <c r="G5830" s="7" t="inlineStr">
        <is>
          <t>Paper</t>
        </is>
      </c>
      <c r="H5830" s="7" t="inlineStr">
        <is>
          <t>Corporate</t>
        </is>
      </c>
      <c r="I5830" s="7" t="n">
        <v>3</v>
      </c>
      <c r="J5830" s="10" t="n">
        <v>24.04</v>
      </c>
      <c r="K5830" s="11" t="n">
        <v>0.3</v>
      </c>
      <c r="L5830" s="10">
        <f>I5830*J5830*(1-K5830)</f>
        <v/>
      </c>
      <c r="M5830" s="10" t="n">
        <v>37.5</v>
      </c>
      <c r="N5830" s="10">
        <f>L5830-M5830</f>
        <v/>
      </c>
    </row>
    <row r="5831">
      <c r="A5831" s="7" t="inlineStr">
        <is>
          <t>ORD-04289</t>
        </is>
      </c>
      <c r="B5831" s="8" t="n">
        <v>46019</v>
      </c>
      <c r="C5831" s="9" t="n">
        <v>45992</v>
      </c>
      <c r="D5831" s="7" t="n">
        <v>2025</v>
      </c>
      <c r="E5831" s="7" t="inlineStr">
        <is>
          <t>East</t>
        </is>
      </c>
      <c r="F5831" s="7" t="inlineStr">
        <is>
          <t>Technology</t>
        </is>
      </c>
      <c r="G5831" s="7" t="inlineStr">
        <is>
          <t>Laptop</t>
        </is>
      </c>
      <c r="H5831" s="7" t="inlineStr">
        <is>
          <t>Consumer</t>
        </is>
      </c>
      <c r="I5831" s="7" t="n">
        <v>2</v>
      </c>
      <c r="J5831" s="10" t="n">
        <v>931.8</v>
      </c>
      <c r="K5831" s="11" t="n">
        <v>0.1</v>
      </c>
      <c r="L5831" s="10">
        <f>I5831*J5831*(1-K5831)</f>
        <v/>
      </c>
      <c r="M5831" s="10" t="n">
        <v>1404</v>
      </c>
      <c r="N5831" s="10">
        <f>L5831-M5831</f>
        <v/>
      </c>
    </row>
    <row r="5832">
      <c r="A5832" s="7" t="inlineStr">
        <is>
          <t>ORD-01862</t>
        </is>
      </c>
      <c r="B5832" s="8" t="n">
        <v>46019</v>
      </c>
      <c r="C5832" s="9" t="n">
        <v>45992</v>
      </c>
      <c r="D5832" s="7" t="n">
        <v>2025</v>
      </c>
      <c r="E5832" s="7" t="inlineStr">
        <is>
          <t>West</t>
        </is>
      </c>
      <c r="F5832" s="7" t="inlineStr">
        <is>
          <t>Office Supplies</t>
        </is>
      </c>
      <c r="G5832" s="7" t="inlineStr">
        <is>
          <t>Paper</t>
        </is>
      </c>
      <c r="H5832" s="7" t="inlineStr">
        <is>
          <t>Home Office</t>
        </is>
      </c>
      <c r="I5832" s="7" t="n">
        <v>15</v>
      </c>
      <c r="J5832" s="10" t="n">
        <v>26</v>
      </c>
      <c r="K5832" s="11" t="n">
        <v>0.05</v>
      </c>
      <c r="L5832" s="10">
        <f>I5832*J5832*(1-K5832)</f>
        <v/>
      </c>
      <c r="M5832" s="10" t="n">
        <v>187.5</v>
      </c>
      <c r="N5832" s="10">
        <f>L5832-M5832</f>
        <v/>
      </c>
    </row>
    <row r="5833">
      <c r="A5833" s="7" t="inlineStr">
        <is>
          <t>ORD-01478</t>
        </is>
      </c>
      <c r="B5833" s="8" t="n">
        <v>46019</v>
      </c>
      <c r="C5833" s="9" t="n">
        <v>45992</v>
      </c>
      <c r="D5833" s="7" t="n">
        <v>2025</v>
      </c>
      <c r="E5833" s="7" t="inlineStr">
        <is>
          <t>West</t>
        </is>
      </c>
      <c r="F5833" s="7" t="inlineStr">
        <is>
          <t>Office Supplies</t>
        </is>
      </c>
      <c r="G5833" s="7" t="inlineStr">
        <is>
          <t>Paper</t>
        </is>
      </c>
      <c r="H5833" s="7" t="inlineStr">
        <is>
          <t>Corporate</t>
        </is>
      </c>
      <c r="I5833" s="7" t="n">
        <v>9</v>
      </c>
      <c r="J5833" s="10" t="n">
        <v>25.75</v>
      </c>
      <c r="K5833" s="11" t="n">
        <v>0</v>
      </c>
      <c r="L5833" s="10">
        <f>I5833*J5833*(1-K5833)</f>
        <v/>
      </c>
      <c r="M5833" s="10" t="n">
        <v>112.5</v>
      </c>
      <c r="N5833" s="10">
        <f>L5833-M5833</f>
        <v/>
      </c>
    </row>
    <row r="5834">
      <c r="A5834" s="7" t="inlineStr">
        <is>
          <t>ORD-05851</t>
        </is>
      </c>
      <c r="B5834" s="8" t="n">
        <v>46019</v>
      </c>
      <c r="C5834" s="9" t="n">
        <v>45992</v>
      </c>
      <c r="D5834" s="7" t="n">
        <v>2025</v>
      </c>
      <c r="E5834" s="7" t="inlineStr">
        <is>
          <t>West</t>
        </is>
      </c>
      <c r="F5834" s="7" t="inlineStr">
        <is>
          <t>Technology</t>
        </is>
      </c>
      <c r="G5834" s="7" t="inlineStr">
        <is>
          <t>Laptop</t>
        </is>
      </c>
      <c r="H5834" s="7" t="inlineStr">
        <is>
          <t>Consumer</t>
        </is>
      </c>
      <c r="I5834" s="7" t="n">
        <v>3</v>
      </c>
      <c r="J5834" s="10" t="n">
        <v>910.71</v>
      </c>
      <c r="K5834" s="11" t="n">
        <v>0</v>
      </c>
      <c r="L5834" s="10">
        <f>I5834*J5834*(1-K5834)</f>
        <v/>
      </c>
      <c r="M5834" s="10" t="n">
        <v>2106</v>
      </c>
      <c r="N5834" s="10">
        <f>L5834-M5834</f>
        <v/>
      </c>
    </row>
    <row r="5835">
      <c r="A5835" s="7" t="inlineStr">
        <is>
          <t>ORD-04646</t>
        </is>
      </c>
      <c r="B5835" s="8" t="n">
        <v>46019</v>
      </c>
      <c r="C5835" s="9" t="n">
        <v>45992</v>
      </c>
      <c r="D5835" s="7" t="n">
        <v>2025</v>
      </c>
      <c r="E5835" s="7" t="inlineStr">
        <is>
          <t>East</t>
        </is>
      </c>
      <c r="F5835" s="7" t="inlineStr">
        <is>
          <t>Office Supplies</t>
        </is>
      </c>
      <c r="G5835" s="7" t="inlineStr">
        <is>
          <t>Stapler</t>
        </is>
      </c>
      <c r="H5835" s="7" t="inlineStr">
        <is>
          <t>Consumer</t>
        </is>
      </c>
      <c r="I5835" s="7" t="n">
        <v>8</v>
      </c>
      <c r="J5835" s="10" t="n">
        <v>14.97</v>
      </c>
      <c r="K5835" s="11" t="n">
        <v>0</v>
      </c>
      <c r="L5835" s="10">
        <f>I5835*J5835*(1-K5835)</f>
        <v/>
      </c>
      <c r="M5835" s="10" t="n">
        <v>60</v>
      </c>
      <c r="N5835" s="10">
        <f>L5835-M5835</f>
        <v/>
      </c>
    </row>
    <row r="5836">
      <c r="A5836" s="7" t="inlineStr">
        <is>
          <t>ORD-02311</t>
        </is>
      </c>
      <c r="B5836" s="8" t="n">
        <v>46019</v>
      </c>
      <c r="C5836" s="9" t="n">
        <v>45992</v>
      </c>
      <c r="D5836" s="7" t="n">
        <v>2025</v>
      </c>
      <c r="E5836" s="7" t="inlineStr">
        <is>
          <t>North</t>
        </is>
      </c>
      <c r="F5836" s="7" t="inlineStr">
        <is>
          <t>Technology</t>
        </is>
      </c>
      <c r="G5836" s="7" t="inlineStr">
        <is>
          <t>Laptop</t>
        </is>
      </c>
      <c r="H5836" s="7" t="inlineStr">
        <is>
          <t>Consumer</t>
        </is>
      </c>
      <c r="I5836" s="7" t="n">
        <v>1</v>
      </c>
      <c r="J5836" s="10" t="n">
        <v>891.0599999999999</v>
      </c>
      <c r="K5836" s="11" t="n">
        <v>0.2</v>
      </c>
      <c r="L5836" s="10">
        <f>I5836*J5836*(1-K5836)</f>
        <v/>
      </c>
      <c r="M5836" s="10" t="n">
        <v>702</v>
      </c>
      <c r="N5836" s="10">
        <f>L5836-M5836</f>
        <v/>
      </c>
    </row>
    <row r="5837">
      <c r="A5837" s="7" t="inlineStr">
        <is>
          <t>ORD-05782</t>
        </is>
      </c>
      <c r="B5837" s="8" t="n">
        <v>46019</v>
      </c>
      <c r="C5837" s="9" t="n">
        <v>45992</v>
      </c>
      <c r="D5837" s="7" t="n">
        <v>2025</v>
      </c>
      <c r="E5837" s="7" t="inlineStr">
        <is>
          <t>East</t>
        </is>
      </c>
      <c r="F5837" s="7" t="inlineStr">
        <is>
          <t>Technology</t>
        </is>
      </c>
      <c r="G5837" s="7" t="inlineStr">
        <is>
          <t>Laptop</t>
        </is>
      </c>
      <c r="H5837" s="7" t="inlineStr">
        <is>
          <t>Home Office</t>
        </is>
      </c>
      <c r="I5837" s="7" t="n">
        <v>2</v>
      </c>
      <c r="J5837" s="10" t="n">
        <v>921.71</v>
      </c>
      <c r="K5837" s="11" t="n">
        <v>0</v>
      </c>
      <c r="L5837" s="10">
        <f>I5837*J5837*(1-K5837)</f>
        <v/>
      </c>
      <c r="M5837" s="10" t="n">
        <v>1404</v>
      </c>
      <c r="N5837" s="10">
        <f>L5837-M5837</f>
        <v/>
      </c>
    </row>
    <row r="5838">
      <c r="A5838" s="7" t="inlineStr">
        <is>
          <t>ORD-02148</t>
        </is>
      </c>
      <c r="B5838" s="8" t="n">
        <v>46019</v>
      </c>
      <c r="C5838" s="9" t="n">
        <v>45992</v>
      </c>
      <c r="D5838" s="7" t="n">
        <v>2025</v>
      </c>
      <c r="E5838" s="7" t="inlineStr">
        <is>
          <t>West</t>
        </is>
      </c>
      <c r="F5838" s="7" t="inlineStr">
        <is>
          <t>Office Supplies</t>
        </is>
      </c>
      <c r="G5838" s="7" t="inlineStr">
        <is>
          <t>Paper</t>
        </is>
      </c>
      <c r="H5838" s="7" t="inlineStr">
        <is>
          <t>Home Office</t>
        </is>
      </c>
      <c r="I5838" s="7" t="n">
        <v>9</v>
      </c>
      <c r="J5838" s="10" t="n">
        <v>25.47</v>
      </c>
      <c r="K5838" s="11" t="n">
        <v>0</v>
      </c>
      <c r="L5838" s="10">
        <f>I5838*J5838*(1-K5838)</f>
        <v/>
      </c>
      <c r="M5838" s="10" t="n">
        <v>112.5</v>
      </c>
      <c r="N5838" s="10">
        <f>L5838-M5838</f>
        <v/>
      </c>
    </row>
    <row r="5839">
      <c r="A5839" s="7" t="inlineStr">
        <is>
          <t>ORD-01384</t>
        </is>
      </c>
      <c r="B5839" s="8" t="n">
        <v>46019</v>
      </c>
      <c r="C5839" s="9" t="n">
        <v>45992</v>
      </c>
      <c r="D5839" s="7" t="n">
        <v>2025</v>
      </c>
      <c r="E5839" s="7" t="inlineStr">
        <is>
          <t>West</t>
        </is>
      </c>
      <c r="F5839" s="7" t="inlineStr">
        <is>
          <t>Office Supplies</t>
        </is>
      </c>
      <c r="G5839" s="7" t="inlineStr">
        <is>
          <t>Pens</t>
        </is>
      </c>
      <c r="H5839" s="7" t="inlineStr">
        <is>
          <t>Consumer</t>
        </is>
      </c>
      <c r="I5839" s="7" t="n">
        <v>5</v>
      </c>
      <c r="J5839" s="10" t="n">
        <v>11.67</v>
      </c>
      <c r="K5839" s="11" t="n">
        <v>0.1</v>
      </c>
      <c r="L5839" s="10">
        <f>I5839*J5839*(1-K5839)</f>
        <v/>
      </c>
      <c r="M5839" s="10" t="n">
        <v>27</v>
      </c>
      <c r="N5839" s="10">
        <f>L5839-M5839</f>
        <v/>
      </c>
    </row>
    <row r="5840">
      <c r="A5840" s="7" t="inlineStr">
        <is>
          <t>ORD-01260</t>
        </is>
      </c>
      <c r="B5840" s="8" t="n">
        <v>46020</v>
      </c>
      <c r="C5840" s="9" t="n">
        <v>45992</v>
      </c>
      <c r="D5840" s="7" t="n">
        <v>2025</v>
      </c>
      <c r="E5840" s="7" t="inlineStr">
        <is>
          <t>West</t>
        </is>
      </c>
      <c r="F5840" s="7" t="inlineStr">
        <is>
          <t>Technology</t>
        </is>
      </c>
      <c r="G5840" s="7" t="inlineStr">
        <is>
          <t>Keyboard</t>
        </is>
      </c>
      <c r="H5840" s="7" t="inlineStr">
        <is>
          <t>Home Office</t>
        </is>
      </c>
      <c r="I5840" s="7" t="n">
        <v>1</v>
      </c>
      <c r="J5840" s="10" t="n">
        <v>45.39</v>
      </c>
      <c r="K5840" s="11" t="n">
        <v>0</v>
      </c>
      <c r="L5840" s="10">
        <f>I5840*J5840*(1-K5840)</f>
        <v/>
      </c>
      <c r="M5840" s="10" t="n">
        <v>24.75</v>
      </c>
      <c r="N5840" s="10">
        <f>L5840-M5840</f>
        <v/>
      </c>
    </row>
    <row r="5841">
      <c r="A5841" s="7" t="inlineStr">
        <is>
          <t>ORD-02570</t>
        </is>
      </c>
      <c r="B5841" s="8" t="n">
        <v>46020</v>
      </c>
      <c r="C5841" s="9" t="n">
        <v>45992</v>
      </c>
      <c r="D5841" s="7" t="n">
        <v>2025</v>
      </c>
      <c r="E5841" s="7" t="inlineStr">
        <is>
          <t>South</t>
        </is>
      </c>
      <c r="F5841" s="7" t="inlineStr">
        <is>
          <t>Office Supplies</t>
        </is>
      </c>
      <c r="G5841" s="7" t="inlineStr">
        <is>
          <t>Stapler</t>
        </is>
      </c>
      <c r="H5841" s="7" t="inlineStr">
        <is>
          <t>Home Office</t>
        </is>
      </c>
      <c r="I5841" s="7" t="n">
        <v>8</v>
      </c>
      <c r="J5841" s="10" t="n">
        <v>15.6</v>
      </c>
      <c r="K5841" s="11" t="n">
        <v>0.1</v>
      </c>
      <c r="L5841" s="10">
        <f>I5841*J5841*(1-K5841)</f>
        <v/>
      </c>
      <c r="M5841" s="10" t="n">
        <v>60</v>
      </c>
      <c r="N5841" s="10">
        <f>L5841-M5841</f>
        <v/>
      </c>
    </row>
    <row r="5842">
      <c r="A5842" s="7" t="inlineStr">
        <is>
          <t>ORD-04493</t>
        </is>
      </c>
      <c r="B5842" s="8" t="n">
        <v>46020</v>
      </c>
      <c r="C5842" s="9" t="n">
        <v>45992</v>
      </c>
      <c r="D5842" s="7" t="n">
        <v>2025</v>
      </c>
      <c r="E5842" s="7" t="inlineStr">
        <is>
          <t>North</t>
        </is>
      </c>
      <c r="F5842" s="7" t="inlineStr">
        <is>
          <t>Office Supplies</t>
        </is>
      </c>
      <c r="G5842" s="7" t="inlineStr">
        <is>
          <t>Pens</t>
        </is>
      </c>
      <c r="H5842" s="7" t="inlineStr">
        <is>
          <t>Corporate</t>
        </is>
      </c>
      <c r="I5842" s="7" t="n">
        <v>11</v>
      </c>
      <c r="J5842" s="10" t="n">
        <v>11.85</v>
      </c>
      <c r="K5842" s="11" t="n">
        <v>0.3</v>
      </c>
      <c r="L5842" s="10">
        <f>I5842*J5842*(1-K5842)</f>
        <v/>
      </c>
      <c r="M5842" s="10" t="n">
        <v>59.4</v>
      </c>
      <c r="N5842" s="10">
        <f>L5842-M5842</f>
        <v/>
      </c>
    </row>
    <row r="5843">
      <c r="A5843" s="7" t="inlineStr">
        <is>
          <t>ORD-05974</t>
        </is>
      </c>
      <c r="B5843" s="8" t="n">
        <v>46020</v>
      </c>
      <c r="C5843" s="9" t="n">
        <v>45992</v>
      </c>
      <c r="D5843" s="7" t="n">
        <v>2025</v>
      </c>
      <c r="E5843" s="7" t="inlineStr">
        <is>
          <t>East</t>
        </is>
      </c>
      <c r="F5843" s="7" t="inlineStr">
        <is>
          <t>Office Supplies</t>
        </is>
      </c>
      <c r="G5843" s="7" t="inlineStr">
        <is>
          <t>Paper</t>
        </is>
      </c>
      <c r="H5843" s="7" t="inlineStr">
        <is>
          <t>Home Office</t>
        </is>
      </c>
      <c r="I5843" s="7" t="n">
        <v>2</v>
      </c>
      <c r="J5843" s="10" t="n">
        <v>24.63</v>
      </c>
      <c r="K5843" s="11" t="n">
        <v>0.05</v>
      </c>
      <c r="L5843" s="10">
        <f>I5843*J5843*(1-K5843)</f>
        <v/>
      </c>
      <c r="M5843" s="10" t="n">
        <v>25</v>
      </c>
      <c r="N5843" s="10">
        <f>L5843-M5843</f>
        <v/>
      </c>
    </row>
    <row r="5844">
      <c r="A5844" s="7" t="inlineStr">
        <is>
          <t>ORD-05781</t>
        </is>
      </c>
      <c r="B5844" s="8" t="n">
        <v>46020</v>
      </c>
      <c r="C5844" s="9" t="n">
        <v>45992</v>
      </c>
      <c r="D5844" s="7" t="n">
        <v>2025</v>
      </c>
      <c r="E5844" s="7" t="inlineStr">
        <is>
          <t>West</t>
        </is>
      </c>
      <c r="F5844" s="7" t="inlineStr">
        <is>
          <t>Office Supplies</t>
        </is>
      </c>
      <c r="G5844" s="7" t="inlineStr">
        <is>
          <t>Binder</t>
        </is>
      </c>
      <c r="H5844" s="7" t="inlineStr">
        <is>
          <t>Consumer</t>
        </is>
      </c>
      <c r="I5844" s="7" t="n">
        <v>5</v>
      </c>
      <c r="J5844" s="10" t="n">
        <v>8.23</v>
      </c>
      <c r="K5844" s="11" t="n">
        <v>0.05</v>
      </c>
      <c r="L5844" s="10">
        <f>I5844*J5844*(1-K5844)</f>
        <v/>
      </c>
      <c r="M5844" s="10" t="n">
        <v>16</v>
      </c>
      <c r="N5844" s="10">
        <f>L5844-M5844</f>
        <v/>
      </c>
    </row>
    <row r="5845">
      <c r="A5845" s="7" t="inlineStr">
        <is>
          <t>ORD-03143</t>
        </is>
      </c>
      <c r="B5845" s="8" t="n">
        <v>46020</v>
      </c>
      <c r="C5845" s="9" t="n">
        <v>45992</v>
      </c>
      <c r="D5845" s="7" t="n">
        <v>2025</v>
      </c>
      <c r="E5845" s="7" t="inlineStr">
        <is>
          <t>West</t>
        </is>
      </c>
      <c r="F5845" s="7" t="inlineStr">
        <is>
          <t>Office Supplies</t>
        </is>
      </c>
      <c r="G5845" s="7" t="inlineStr">
        <is>
          <t>Printer Ink</t>
        </is>
      </c>
      <c r="H5845" s="7" t="inlineStr">
        <is>
          <t>Consumer</t>
        </is>
      </c>
      <c r="I5845" s="7" t="n">
        <v>4</v>
      </c>
      <c r="J5845" s="10" t="n">
        <v>60.18</v>
      </c>
      <c r="K5845" s="11" t="n">
        <v>0.05</v>
      </c>
      <c r="L5845" s="10">
        <f>I5845*J5845*(1-K5845)</f>
        <v/>
      </c>
      <c r="M5845" s="10" t="n">
        <v>144</v>
      </c>
      <c r="N5845" s="10">
        <f>L5845-M5845</f>
        <v/>
      </c>
    </row>
    <row r="5846">
      <c r="A5846" s="7" t="inlineStr">
        <is>
          <t>ORD-03990</t>
        </is>
      </c>
      <c r="B5846" s="8" t="n">
        <v>46020</v>
      </c>
      <c r="C5846" s="9" t="n">
        <v>45992</v>
      </c>
      <c r="D5846" s="7" t="n">
        <v>2025</v>
      </c>
      <c r="E5846" s="7" t="inlineStr">
        <is>
          <t>East</t>
        </is>
      </c>
      <c r="F5846" s="7" t="inlineStr">
        <is>
          <t>Technology</t>
        </is>
      </c>
      <c r="G5846" s="7" t="inlineStr">
        <is>
          <t>Smartphone</t>
        </is>
      </c>
      <c r="H5846" s="7" t="inlineStr">
        <is>
          <t>Consumer</t>
        </is>
      </c>
      <c r="I5846" s="7" t="n">
        <v>2</v>
      </c>
      <c r="J5846" s="10" t="n">
        <v>623.36</v>
      </c>
      <c r="K5846" s="11" t="n">
        <v>0.1</v>
      </c>
      <c r="L5846" s="10">
        <f>I5846*J5846*(1-K5846)</f>
        <v/>
      </c>
      <c r="M5846" s="10" t="n">
        <v>900</v>
      </c>
      <c r="N5846" s="10">
        <f>L5846-M5846</f>
        <v/>
      </c>
    </row>
    <row r="5847">
      <c r="A5847" s="7" t="inlineStr">
        <is>
          <t>ORD-00528</t>
        </is>
      </c>
      <c r="B5847" s="8" t="n">
        <v>46020</v>
      </c>
      <c r="C5847" s="9" t="n">
        <v>45992</v>
      </c>
      <c r="D5847" s="7" t="n">
        <v>2025</v>
      </c>
      <c r="E5847" s="7" t="inlineStr">
        <is>
          <t>West</t>
        </is>
      </c>
      <c r="F5847" s="7" t="inlineStr">
        <is>
          <t>Furniture</t>
        </is>
      </c>
      <c r="G5847" s="7" t="inlineStr">
        <is>
          <t>Office Chair</t>
        </is>
      </c>
      <c r="H5847" s="7" t="inlineStr">
        <is>
          <t>Consumer</t>
        </is>
      </c>
      <c r="I5847" s="7" t="n">
        <v>2</v>
      </c>
      <c r="J5847" s="10" t="n">
        <v>222.02</v>
      </c>
      <c r="K5847" s="11" t="n">
        <v>0.3</v>
      </c>
      <c r="L5847" s="10">
        <f>I5847*J5847*(1-K5847)</f>
        <v/>
      </c>
      <c r="M5847" s="10" t="n">
        <v>360.8</v>
      </c>
      <c r="N5847" s="10">
        <f>L5847-M5847</f>
        <v/>
      </c>
    </row>
    <row r="5848">
      <c r="A5848" s="7" t="inlineStr">
        <is>
          <t>ORD-04173</t>
        </is>
      </c>
      <c r="B5848" s="8" t="n">
        <v>46020</v>
      </c>
      <c r="C5848" s="9" t="n">
        <v>45992</v>
      </c>
      <c r="D5848" s="7" t="n">
        <v>2025</v>
      </c>
      <c r="E5848" s="7" t="inlineStr">
        <is>
          <t>North</t>
        </is>
      </c>
      <c r="F5848" s="7" t="inlineStr">
        <is>
          <t>Office Supplies</t>
        </is>
      </c>
      <c r="G5848" s="7" t="inlineStr">
        <is>
          <t>Printer Ink</t>
        </is>
      </c>
      <c r="H5848" s="7" t="inlineStr">
        <is>
          <t>Consumer</t>
        </is>
      </c>
      <c r="I5848" s="7" t="n">
        <v>12</v>
      </c>
      <c r="J5848" s="10" t="n">
        <v>62.38</v>
      </c>
      <c r="K5848" s="11" t="n">
        <v>0</v>
      </c>
      <c r="L5848" s="10">
        <f>I5848*J5848*(1-K5848)</f>
        <v/>
      </c>
      <c r="M5848" s="10" t="n">
        <v>432</v>
      </c>
      <c r="N5848" s="10">
        <f>L5848-M5848</f>
        <v/>
      </c>
    </row>
    <row r="5849">
      <c r="A5849" s="7" t="inlineStr">
        <is>
          <t>ORD-04303</t>
        </is>
      </c>
      <c r="B5849" s="8" t="n">
        <v>46021</v>
      </c>
      <c r="C5849" s="9" t="n">
        <v>45992</v>
      </c>
      <c r="D5849" s="7" t="n">
        <v>2025</v>
      </c>
      <c r="E5849" s="7" t="inlineStr">
        <is>
          <t>South</t>
        </is>
      </c>
      <c r="F5849" s="7" t="inlineStr">
        <is>
          <t>Technology</t>
        </is>
      </c>
      <c r="G5849" s="7" t="inlineStr">
        <is>
          <t>Monitor</t>
        </is>
      </c>
      <c r="H5849" s="7" t="inlineStr">
        <is>
          <t>Consumer</t>
        </is>
      </c>
      <c r="I5849" s="7" t="n">
        <v>2</v>
      </c>
      <c r="J5849" s="10" t="n">
        <v>258.46</v>
      </c>
      <c r="K5849" s="11" t="n">
        <v>0</v>
      </c>
      <c r="L5849" s="10">
        <f>I5849*J5849*(1-K5849)</f>
        <v/>
      </c>
      <c r="M5849" s="10" t="n">
        <v>360</v>
      </c>
      <c r="N5849" s="10">
        <f>L5849-M5849</f>
        <v/>
      </c>
    </row>
    <row r="5850">
      <c r="A5850" s="7" t="inlineStr">
        <is>
          <t>ORD-02801</t>
        </is>
      </c>
      <c r="B5850" s="8" t="n">
        <v>46021</v>
      </c>
      <c r="C5850" s="9" t="n">
        <v>45992</v>
      </c>
      <c r="D5850" s="7" t="n">
        <v>2025</v>
      </c>
      <c r="E5850" s="7" t="inlineStr">
        <is>
          <t>West</t>
        </is>
      </c>
      <c r="F5850" s="7" t="inlineStr">
        <is>
          <t>Technology</t>
        </is>
      </c>
      <c r="G5850" s="7" t="inlineStr">
        <is>
          <t>Smartphone</t>
        </is>
      </c>
      <c r="H5850" s="7" t="inlineStr">
        <is>
          <t>Consumer</t>
        </is>
      </c>
      <c r="I5850" s="7" t="n">
        <v>3</v>
      </c>
      <c r="J5850" s="10" t="n">
        <v>581.91</v>
      </c>
      <c r="K5850" s="11" t="n">
        <v>0</v>
      </c>
      <c r="L5850" s="10">
        <f>I5850*J5850*(1-K5850)</f>
        <v/>
      </c>
      <c r="M5850" s="10" t="n">
        <v>1350</v>
      </c>
      <c r="N5850" s="10">
        <f>L5850-M5850</f>
        <v/>
      </c>
    </row>
    <row r="5851">
      <c r="A5851" s="7" t="inlineStr">
        <is>
          <t>ORD-05718</t>
        </is>
      </c>
      <c r="B5851" s="8" t="n">
        <v>46021</v>
      </c>
      <c r="C5851" s="9" t="n">
        <v>45992</v>
      </c>
      <c r="D5851" s="7" t="n">
        <v>2025</v>
      </c>
      <c r="E5851" s="7" t="inlineStr">
        <is>
          <t>South</t>
        </is>
      </c>
      <c r="F5851" s="7" t="inlineStr">
        <is>
          <t>Office Supplies</t>
        </is>
      </c>
      <c r="G5851" s="7" t="inlineStr">
        <is>
          <t>Printer Ink</t>
        </is>
      </c>
      <c r="H5851" s="7" t="inlineStr">
        <is>
          <t>Corporate</t>
        </is>
      </c>
      <c r="I5851" s="7" t="n">
        <v>15</v>
      </c>
      <c r="J5851" s="10" t="n">
        <v>58.96</v>
      </c>
      <c r="K5851" s="11" t="n">
        <v>0.3</v>
      </c>
      <c r="L5851" s="10">
        <f>I5851*J5851*(1-K5851)</f>
        <v/>
      </c>
      <c r="M5851" s="10" t="n">
        <v>540</v>
      </c>
      <c r="N5851" s="10">
        <f>L5851-M5851</f>
        <v/>
      </c>
    </row>
    <row r="5852">
      <c r="A5852" s="7" t="inlineStr">
        <is>
          <t>ORD-04685</t>
        </is>
      </c>
      <c r="B5852" s="8" t="n">
        <v>46021</v>
      </c>
      <c r="C5852" s="9" t="n">
        <v>45992</v>
      </c>
      <c r="D5852" s="7" t="n">
        <v>2025</v>
      </c>
      <c r="E5852" s="7" t="inlineStr">
        <is>
          <t>South</t>
        </is>
      </c>
      <c r="F5852" s="7" t="inlineStr">
        <is>
          <t>Office Supplies</t>
        </is>
      </c>
      <c r="G5852" s="7" t="inlineStr">
        <is>
          <t>Paper</t>
        </is>
      </c>
      <c r="H5852" s="7" t="inlineStr">
        <is>
          <t>Consumer</t>
        </is>
      </c>
      <c r="I5852" s="7" t="n">
        <v>3</v>
      </c>
      <c r="J5852" s="10" t="n">
        <v>25.06</v>
      </c>
      <c r="K5852" s="11" t="n">
        <v>0.05</v>
      </c>
      <c r="L5852" s="10">
        <f>I5852*J5852*(1-K5852)</f>
        <v/>
      </c>
      <c r="M5852" s="10" t="n">
        <v>37.5</v>
      </c>
      <c r="N5852" s="10">
        <f>L5852-M5852</f>
        <v/>
      </c>
    </row>
    <row r="5853">
      <c r="A5853" s="7" t="inlineStr">
        <is>
          <t>ORD-03596</t>
        </is>
      </c>
      <c r="B5853" s="8" t="n">
        <v>46021</v>
      </c>
      <c r="C5853" s="9" t="n">
        <v>45992</v>
      </c>
      <c r="D5853" s="7" t="n">
        <v>2025</v>
      </c>
      <c r="E5853" s="7" t="inlineStr">
        <is>
          <t>East</t>
        </is>
      </c>
      <c r="F5853" s="7" t="inlineStr">
        <is>
          <t>Furniture</t>
        </is>
      </c>
      <c r="G5853" s="7" t="inlineStr">
        <is>
          <t>Desk</t>
        </is>
      </c>
      <c r="H5853" s="7" t="inlineStr">
        <is>
          <t>Consumer</t>
        </is>
      </c>
      <c r="I5853" s="7" t="n">
        <v>4</v>
      </c>
      <c r="J5853" s="10" t="n">
        <v>460.35</v>
      </c>
      <c r="K5853" s="11" t="n">
        <v>0</v>
      </c>
      <c r="L5853" s="10">
        <f>I5853*J5853*(1-K5853)</f>
        <v/>
      </c>
      <c r="M5853" s="10" t="n">
        <v>1530</v>
      </c>
      <c r="N5853" s="10">
        <f>L5853-M5853</f>
        <v/>
      </c>
    </row>
    <row r="5854">
      <c r="A5854" s="7" t="inlineStr">
        <is>
          <t>ORD-04782</t>
        </is>
      </c>
      <c r="B5854" s="8" t="n">
        <v>46021</v>
      </c>
      <c r="C5854" s="9" t="n">
        <v>45992</v>
      </c>
      <c r="D5854" s="7" t="n">
        <v>2025</v>
      </c>
      <c r="E5854" s="7" t="inlineStr">
        <is>
          <t>South</t>
        </is>
      </c>
      <c r="F5854" s="7" t="inlineStr">
        <is>
          <t>Technology</t>
        </is>
      </c>
      <c r="G5854" s="7" t="inlineStr">
        <is>
          <t>Laptop</t>
        </is>
      </c>
      <c r="H5854" s="7" t="inlineStr">
        <is>
          <t>Home Office</t>
        </is>
      </c>
      <c r="I5854" s="7" t="n">
        <v>3</v>
      </c>
      <c r="J5854" s="10" t="n">
        <v>867.11</v>
      </c>
      <c r="K5854" s="11" t="n">
        <v>0.2</v>
      </c>
      <c r="L5854" s="10">
        <f>I5854*J5854*(1-K5854)</f>
        <v/>
      </c>
      <c r="M5854" s="10" t="n">
        <v>2106</v>
      </c>
      <c r="N5854" s="10">
        <f>L5854-M5854</f>
        <v/>
      </c>
    </row>
    <row r="5855">
      <c r="A5855" s="7" t="inlineStr">
        <is>
          <t>ORD-02904</t>
        </is>
      </c>
      <c r="B5855" s="8" t="n">
        <v>46021</v>
      </c>
      <c r="C5855" s="9" t="n">
        <v>45992</v>
      </c>
      <c r="D5855" s="7" t="n">
        <v>2025</v>
      </c>
      <c r="E5855" s="7" t="inlineStr">
        <is>
          <t>East</t>
        </is>
      </c>
      <c r="F5855" s="7" t="inlineStr">
        <is>
          <t>Office Supplies</t>
        </is>
      </c>
      <c r="G5855" s="7" t="inlineStr">
        <is>
          <t>Pens</t>
        </is>
      </c>
      <c r="H5855" s="7" t="inlineStr">
        <is>
          <t>Consumer</t>
        </is>
      </c>
      <c r="I5855" s="7" t="n">
        <v>2</v>
      </c>
      <c r="J5855" s="10" t="n">
        <v>12.15</v>
      </c>
      <c r="K5855" s="11" t="n">
        <v>0</v>
      </c>
      <c r="L5855" s="10">
        <f>I5855*J5855*(1-K5855)</f>
        <v/>
      </c>
      <c r="M5855" s="10" t="n">
        <v>10.8</v>
      </c>
      <c r="N5855" s="10">
        <f>L5855-M5855</f>
        <v/>
      </c>
    </row>
    <row r="5856">
      <c r="A5856" s="7" t="inlineStr">
        <is>
          <t>ORD-04271</t>
        </is>
      </c>
      <c r="B5856" s="8" t="n">
        <v>46021</v>
      </c>
      <c r="C5856" s="9" t="n">
        <v>45992</v>
      </c>
      <c r="D5856" s="7" t="n">
        <v>2025</v>
      </c>
      <c r="E5856" s="7" t="inlineStr">
        <is>
          <t>South</t>
        </is>
      </c>
      <c r="F5856" s="7" t="inlineStr">
        <is>
          <t>Technology</t>
        </is>
      </c>
      <c r="G5856" s="7" t="inlineStr">
        <is>
          <t>Headphones</t>
        </is>
      </c>
      <c r="H5856" s="7" t="inlineStr">
        <is>
          <t>Home Office</t>
        </is>
      </c>
      <c r="I5856" s="7" t="n">
        <v>1</v>
      </c>
      <c r="J5856" s="10" t="n">
        <v>116.02</v>
      </c>
      <c r="K5856" s="11" t="n">
        <v>0.1</v>
      </c>
      <c r="L5856" s="10">
        <f>I5856*J5856*(1-K5856)</f>
        <v/>
      </c>
      <c r="M5856" s="10" t="n">
        <v>72</v>
      </c>
      <c r="N5856" s="10">
        <f>L5856-M5856</f>
        <v/>
      </c>
    </row>
    <row r="5857">
      <c r="A5857" s="7" t="inlineStr">
        <is>
          <t>ORD-03548</t>
        </is>
      </c>
      <c r="B5857" s="8" t="n">
        <v>46021</v>
      </c>
      <c r="C5857" s="9" t="n">
        <v>45992</v>
      </c>
      <c r="D5857" s="7" t="n">
        <v>2025</v>
      </c>
      <c r="E5857" s="7" t="inlineStr">
        <is>
          <t>South</t>
        </is>
      </c>
      <c r="F5857" s="7" t="inlineStr">
        <is>
          <t>Office Supplies</t>
        </is>
      </c>
      <c r="G5857" s="7" t="inlineStr">
        <is>
          <t>Paper</t>
        </is>
      </c>
      <c r="H5857" s="7" t="inlineStr">
        <is>
          <t>Consumer</t>
        </is>
      </c>
      <c r="I5857" s="7" t="n">
        <v>3</v>
      </c>
      <c r="J5857" s="10" t="n">
        <v>24.88</v>
      </c>
      <c r="K5857" s="11" t="n">
        <v>0.1</v>
      </c>
      <c r="L5857" s="10">
        <f>I5857*J5857*(1-K5857)</f>
        <v/>
      </c>
      <c r="M5857" s="10" t="n">
        <v>37.5</v>
      </c>
      <c r="N5857" s="10">
        <f>L5857-M5857</f>
        <v/>
      </c>
    </row>
    <row r="5858">
      <c r="A5858" s="7" t="inlineStr">
        <is>
          <t>ORD-00405</t>
        </is>
      </c>
      <c r="B5858" s="8" t="n">
        <v>46021</v>
      </c>
      <c r="C5858" s="9" t="n">
        <v>45992</v>
      </c>
      <c r="D5858" s="7" t="n">
        <v>2025</v>
      </c>
      <c r="E5858" s="7" t="inlineStr">
        <is>
          <t>West</t>
        </is>
      </c>
      <c r="F5858" s="7" t="inlineStr">
        <is>
          <t>Technology</t>
        </is>
      </c>
      <c r="G5858" s="7" t="inlineStr">
        <is>
          <t>Headphones</t>
        </is>
      </c>
      <c r="H5858" s="7" t="inlineStr">
        <is>
          <t>Home Office</t>
        </is>
      </c>
      <c r="I5858" s="7" t="n">
        <v>3</v>
      </c>
      <c r="J5858" s="10" t="n">
        <v>114.07</v>
      </c>
      <c r="K5858" s="11" t="n">
        <v>0</v>
      </c>
      <c r="L5858" s="10">
        <f>I5858*J5858*(1-K5858)</f>
        <v/>
      </c>
      <c r="M5858" s="10" t="n">
        <v>216</v>
      </c>
      <c r="N5858" s="10">
        <f>L5858-M5858</f>
        <v/>
      </c>
    </row>
    <row r="5859">
      <c r="A5859" s="7" t="inlineStr">
        <is>
          <t>ORD-00673</t>
        </is>
      </c>
      <c r="B5859" s="8" t="n">
        <v>46021</v>
      </c>
      <c r="C5859" s="9" t="n">
        <v>45992</v>
      </c>
      <c r="D5859" s="7" t="n">
        <v>2025</v>
      </c>
      <c r="E5859" s="7" t="inlineStr">
        <is>
          <t>East</t>
        </is>
      </c>
      <c r="F5859" s="7" t="inlineStr">
        <is>
          <t>Furniture</t>
        </is>
      </c>
      <c r="G5859" s="7" t="inlineStr">
        <is>
          <t>Office Chair</t>
        </is>
      </c>
      <c r="H5859" s="7" t="inlineStr">
        <is>
          <t>Consumer</t>
        </is>
      </c>
      <c r="I5859" s="7" t="n">
        <v>1</v>
      </c>
      <c r="J5859" s="10" t="n">
        <v>210.66</v>
      </c>
      <c r="K5859" s="11" t="n">
        <v>0.1</v>
      </c>
      <c r="L5859" s="10">
        <f>I5859*J5859*(1-K5859)</f>
        <v/>
      </c>
      <c r="M5859" s="10" t="n">
        <v>180.4</v>
      </c>
      <c r="N5859" s="10">
        <f>L5859-M5859</f>
        <v/>
      </c>
    </row>
    <row r="5860">
      <c r="A5860" s="7" t="inlineStr">
        <is>
          <t>ORD-02441</t>
        </is>
      </c>
      <c r="B5860" s="8" t="n">
        <v>46021</v>
      </c>
      <c r="C5860" s="9" t="n">
        <v>45992</v>
      </c>
      <c r="D5860" s="7" t="n">
        <v>2025</v>
      </c>
      <c r="E5860" s="7" t="inlineStr">
        <is>
          <t>South</t>
        </is>
      </c>
      <c r="F5860" s="7" t="inlineStr">
        <is>
          <t>Office Supplies</t>
        </is>
      </c>
      <c r="G5860" s="7" t="inlineStr">
        <is>
          <t>Printer Ink</t>
        </is>
      </c>
      <c r="H5860" s="7" t="inlineStr">
        <is>
          <t>Consumer</t>
        </is>
      </c>
      <c r="I5860" s="7" t="n">
        <v>4</v>
      </c>
      <c r="J5860" s="10" t="n">
        <v>62.3</v>
      </c>
      <c r="K5860" s="11" t="n">
        <v>0</v>
      </c>
      <c r="L5860" s="10">
        <f>I5860*J5860*(1-K5860)</f>
        <v/>
      </c>
      <c r="M5860" s="10" t="n">
        <v>144</v>
      </c>
      <c r="N5860" s="10">
        <f>L5860-M5860</f>
        <v/>
      </c>
    </row>
    <row r="5861">
      <c r="A5861" s="7" t="inlineStr">
        <is>
          <t>ORD-05372</t>
        </is>
      </c>
      <c r="B5861" s="8" t="n">
        <v>46021</v>
      </c>
      <c r="C5861" s="9" t="n">
        <v>45992</v>
      </c>
      <c r="D5861" s="7" t="n">
        <v>2025</v>
      </c>
      <c r="E5861" s="7" t="inlineStr">
        <is>
          <t>East</t>
        </is>
      </c>
      <c r="F5861" s="7" t="inlineStr">
        <is>
          <t>Office Supplies</t>
        </is>
      </c>
      <c r="G5861" s="7" t="inlineStr">
        <is>
          <t>Paper</t>
        </is>
      </c>
      <c r="H5861" s="7" t="inlineStr">
        <is>
          <t>Consumer</t>
        </is>
      </c>
      <c r="I5861" s="7" t="n">
        <v>8</v>
      </c>
      <c r="J5861" s="10" t="n">
        <v>25.63</v>
      </c>
      <c r="K5861" s="11" t="n">
        <v>0</v>
      </c>
      <c r="L5861" s="10">
        <f>I5861*J5861*(1-K5861)</f>
        <v/>
      </c>
      <c r="M5861" s="10" t="n">
        <v>100</v>
      </c>
      <c r="N5861" s="10">
        <f>L5861-M5861</f>
        <v/>
      </c>
    </row>
    <row r="5862">
      <c r="A5862" s="7" t="inlineStr">
        <is>
          <t>ORD-01856</t>
        </is>
      </c>
      <c r="B5862" s="8" t="n">
        <v>46022</v>
      </c>
      <c r="C5862" s="9" t="n">
        <v>45992</v>
      </c>
      <c r="D5862" s="7" t="n">
        <v>2025</v>
      </c>
      <c r="E5862" s="7" t="inlineStr">
        <is>
          <t>South</t>
        </is>
      </c>
      <c r="F5862" s="7" t="inlineStr">
        <is>
          <t>Technology</t>
        </is>
      </c>
      <c r="G5862" s="7" t="inlineStr">
        <is>
          <t>Headphones</t>
        </is>
      </c>
      <c r="H5862" s="7" t="inlineStr">
        <is>
          <t>Corporate</t>
        </is>
      </c>
      <c r="I5862" s="7" t="n">
        <v>2</v>
      </c>
      <c r="J5862" s="10" t="n">
        <v>125.71</v>
      </c>
      <c r="K5862" s="11" t="n">
        <v>0.05</v>
      </c>
      <c r="L5862" s="10">
        <f>I5862*J5862*(1-K5862)</f>
        <v/>
      </c>
      <c r="M5862" s="10" t="n">
        <v>144</v>
      </c>
      <c r="N5862" s="10">
        <f>L5862-M5862</f>
        <v/>
      </c>
    </row>
    <row r="5863">
      <c r="A5863" s="7" t="inlineStr">
        <is>
          <t>ORD-05307</t>
        </is>
      </c>
      <c r="B5863" s="8" t="n">
        <v>46022</v>
      </c>
      <c r="C5863" s="9" t="n">
        <v>45992</v>
      </c>
      <c r="D5863" s="7" t="n">
        <v>2025</v>
      </c>
      <c r="E5863" s="7" t="inlineStr">
        <is>
          <t>West</t>
        </is>
      </c>
      <c r="F5863" s="7" t="inlineStr">
        <is>
          <t>Office Supplies</t>
        </is>
      </c>
      <c r="G5863" s="7" t="inlineStr">
        <is>
          <t>Paper</t>
        </is>
      </c>
      <c r="H5863" s="7" t="inlineStr">
        <is>
          <t>Consumer</t>
        </is>
      </c>
      <c r="I5863" s="7" t="n">
        <v>8</v>
      </c>
      <c r="J5863" s="10" t="n">
        <v>25.23</v>
      </c>
      <c r="K5863" s="11" t="n">
        <v>0.2</v>
      </c>
      <c r="L5863" s="10">
        <f>I5863*J5863*(1-K5863)</f>
        <v/>
      </c>
      <c r="M5863" s="10" t="n">
        <v>100</v>
      </c>
      <c r="N5863" s="10">
        <f>L5863-M5863</f>
        <v/>
      </c>
    </row>
    <row r="5864">
      <c r="A5864" s="7" t="inlineStr">
        <is>
          <t>ORD-05046</t>
        </is>
      </c>
      <c r="B5864" s="8" t="n">
        <v>46022</v>
      </c>
      <c r="C5864" s="9" t="n">
        <v>45992</v>
      </c>
      <c r="D5864" s="7" t="n">
        <v>2025</v>
      </c>
      <c r="E5864" s="7" t="inlineStr">
        <is>
          <t>South</t>
        </is>
      </c>
      <c r="F5864" s="7" t="inlineStr">
        <is>
          <t>Office Supplies</t>
        </is>
      </c>
      <c r="G5864" s="7" t="inlineStr">
        <is>
          <t>Printer Ink</t>
        </is>
      </c>
      <c r="H5864" s="7" t="inlineStr">
        <is>
          <t>Home Office</t>
        </is>
      </c>
      <c r="I5864" s="7" t="n">
        <v>12</v>
      </c>
      <c r="J5864" s="10" t="n">
        <v>61.42</v>
      </c>
      <c r="K5864" s="11" t="n">
        <v>0.1</v>
      </c>
      <c r="L5864" s="10">
        <f>I5864*J5864*(1-K5864)</f>
        <v/>
      </c>
      <c r="M5864" s="10" t="n">
        <v>432</v>
      </c>
      <c r="N5864" s="10">
        <f>L5864-M5864</f>
        <v/>
      </c>
    </row>
    <row r="5865">
      <c r="A5865" s="7" t="inlineStr">
        <is>
          <t>ORD-03875</t>
        </is>
      </c>
      <c r="B5865" s="8" t="n">
        <v>46022</v>
      </c>
      <c r="C5865" s="9" t="n">
        <v>45992</v>
      </c>
      <c r="D5865" s="7" t="n">
        <v>2025</v>
      </c>
      <c r="E5865" s="7" t="inlineStr">
        <is>
          <t>West</t>
        </is>
      </c>
      <c r="F5865" s="7" t="inlineStr">
        <is>
          <t>Technology</t>
        </is>
      </c>
      <c r="G5865" s="7" t="inlineStr">
        <is>
          <t>Headphones</t>
        </is>
      </c>
      <c r="H5865" s="7" t="inlineStr">
        <is>
          <t>Home Office</t>
        </is>
      </c>
      <c r="I5865" s="7" t="n">
        <v>2</v>
      </c>
      <c r="J5865" s="10" t="n">
        <v>118.11</v>
      </c>
      <c r="K5865" s="11" t="n">
        <v>0.1</v>
      </c>
      <c r="L5865" s="10">
        <f>I5865*J5865*(1-K5865)</f>
        <v/>
      </c>
      <c r="M5865" s="10" t="n">
        <v>144</v>
      </c>
      <c r="N5865" s="10">
        <f>L5865-M5865</f>
        <v/>
      </c>
    </row>
    <row r="5866">
      <c r="A5866" s="7" t="inlineStr">
        <is>
          <t>ORD-03304</t>
        </is>
      </c>
      <c r="B5866" s="8" t="n">
        <v>46022</v>
      </c>
      <c r="C5866" s="9" t="n">
        <v>45992</v>
      </c>
      <c r="D5866" s="7" t="n">
        <v>2025</v>
      </c>
      <c r="E5866" s="7" t="inlineStr">
        <is>
          <t>East</t>
        </is>
      </c>
      <c r="F5866" s="7" t="inlineStr">
        <is>
          <t>Office Supplies</t>
        </is>
      </c>
      <c r="G5866" s="7" t="inlineStr">
        <is>
          <t>Stapler</t>
        </is>
      </c>
      <c r="H5866" s="7" t="inlineStr">
        <is>
          <t>Consumer</t>
        </is>
      </c>
      <c r="I5866" s="7" t="n">
        <v>13</v>
      </c>
      <c r="J5866" s="10" t="n">
        <v>15.23</v>
      </c>
      <c r="K5866" s="11" t="n">
        <v>0.05</v>
      </c>
      <c r="L5866" s="10">
        <f>I5866*J5866*(1-K5866)</f>
        <v/>
      </c>
      <c r="M5866" s="10" t="n">
        <v>97.5</v>
      </c>
      <c r="N5866" s="10">
        <f>L5866-M5866</f>
        <v/>
      </c>
    </row>
    <row r="5867">
      <c r="A5867" s="7" t="inlineStr">
        <is>
          <t>ORD-01131</t>
        </is>
      </c>
      <c r="B5867" s="8" t="n">
        <v>46022</v>
      </c>
      <c r="C5867" s="9" t="n">
        <v>45992</v>
      </c>
      <c r="D5867" s="7" t="n">
        <v>2025</v>
      </c>
      <c r="E5867" s="7" t="inlineStr">
        <is>
          <t>East</t>
        </is>
      </c>
      <c r="F5867" s="7" t="inlineStr">
        <is>
          <t>Furniture</t>
        </is>
      </c>
      <c r="G5867" s="7" t="inlineStr">
        <is>
          <t>Sofa</t>
        </is>
      </c>
      <c r="H5867" s="7" t="inlineStr">
        <is>
          <t>Corporate</t>
        </is>
      </c>
      <c r="I5867" s="7" t="n">
        <v>3</v>
      </c>
      <c r="J5867" s="10" t="n">
        <v>665.5</v>
      </c>
      <c r="K5867" s="11" t="n">
        <v>0.1</v>
      </c>
      <c r="L5867" s="10">
        <f>I5867*J5867*(1-K5867)</f>
        <v/>
      </c>
      <c r="M5867" s="10" t="n">
        <v>1848</v>
      </c>
      <c r="N5867" s="10">
        <f>L5867-M5867</f>
        <v/>
      </c>
    </row>
    <row r="5868">
      <c r="A5868" s="7" t="inlineStr">
        <is>
          <t>ORD-05480</t>
        </is>
      </c>
      <c r="B5868" s="8" t="n">
        <v>46022</v>
      </c>
      <c r="C5868" s="9" t="n">
        <v>45992</v>
      </c>
      <c r="D5868" s="7" t="n">
        <v>2025</v>
      </c>
      <c r="E5868" s="7" t="inlineStr">
        <is>
          <t>North</t>
        </is>
      </c>
      <c r="F5868" s="7" t="inlineStr">
        <is>
          <t>Office Supplies</t>
        </is>
      </c>
      <c r="G5868" s="7" t="inlineStr">
        <is>
          <t>Pens</t>
        </is>
      </c>
      <c r="H5868" s="7" t="inlineStr">
        <is>
          <t>Corporate</t>
        </is>
      </c>
      <c r="I5868" s="7" t="n">
        <v>2</v>
      </c>
      <c r="J5868" s="10" t="n">
        <v>12.59</v>
      </c>
      <c r="K5868" s="11" t="n">
        <v>0</v>
      </c>
      <c r="L5868" s="10">
        <f>I5868*J5868*(1-K5868)</f>
        <v/>
      </c>
      <c r="M5868" s="10" t="n">
        <v>10.8</v>
      </c>
      <c r="N5868" s="10">
        <f>L5868-M5868</f>
        <v/>
      </c>
    </row>
    <row r="5869">
      <c r="A5869" s="7" t="inlineStr">
        <is>
          <t>ORD-00410</t>
        </is>
      </c>
      <c r="B5869" s="8" t="n">
        <v>46022</v>
      </c>
      <c r="C5869" s="9" t="n">
        <v>45992</v>
      </c>
      <c r="D5869" s="7" t="n">
        <v>2025</v>
      </c>
      <c r="E5869" s="7" t="inlineStr">
        <is>
          <t>West</t>
        </is>
      </c>
      <c r="F5869" s="7" t="inlineStr">
        <is>
          <t>Office Supplies</t>
        </is>
      </c>
      <c r="G5869" s="7" t="inlineStr">
        <is>
          <t>Binder</t>
        </is>
      </c>
      <c r="H5869" s="7" t="inlineStr">
        <is>
          <t>Corporate</t>
        </is>
      </c>
      <c r="I5869" s="7" t="n">
        <v>2</v>
      </c>
      <c r="J5869" s="10" t="n">
        <v>8.33</v>
      </c>
      <c r="K5869" s="11" t="n">
        <v>0.2</v>
      </c>
      <c r="L5869" s="10">
        <f>I5869*J5869*(1-K5869)</f>
        <v/>
      </c>
      <c r="M5869" s="10" t="n">
        <v>6.4</v>
      </c>
      <c r="N5869" s="10">
        <f>L5869-M5869</f>
        <v/>
      </c>
    </row>
    <row r="5870">
      <c r="A5870" s="7" t="inlineStr">
        <is>
          <t>ORD-00668</t>
        </is>
      </c>
      <c r="B5870" s="8" t="n">
        <v>46022</v>
      </c>
      <c r="C5870" s="9" t="n">
        <v>45992</v>
      </c>
      <c r="D5870" s="7" t="n">
        <v>2025</v>
      </c>
      <c r="E5870" s="7" t="inlineStr">
        <is>
          <t>East</t>
        </is>
      </c>
      <c r="F5870" s="7" t="inlineStr">
        <is>
          <t>Office Supplies</t>
        </is>
      </c>
      <c r="G5870" s="7" t="inlineStr">
        <is>
          <t>Printer Ink</t>
        </is>
      </c>
      <c r="H5870" s="7" t="inlineStr">
        <is>
          <t>Corporate</t>
        </is>
      </c>
      <c r="I5870" s="7" t="n">
        <v>4</v>
      </c>
      <c r="J5870" s="10" t="n">
        <v>61.16</v>
      </c>
      <c r="K5870" s="11" t="n">
        <v>0.3</v>
      </c>
      <c r="L5870" s="10">
        <f>I5870*J5870*(1-K5870)</f>
        <v/>
      </c>
      <c r="M5870" s="10" t="n">
        <v>144</v>
      </c>
      <c r="N5870" s="10">
        <f>L5870-M5870</f>
        <v/>
      </c>
    </row>
    <row r="5871">
      <c r="A5871" s="7" t="inlineStr">
        <is>
          <t>ORD-02921</t>
        </is>
      </c>
      <c r="B5871" s="8" t="n">
        <v>46022</v>
      </c>
      <c r="C5871" s="9" t="n">
        <v>45992</v>
      </c>
      <c r="D5871" s="7" t="n">
        <v>2025</v>
      </c>
      <c r="E5871" s="7" t="inlineStr">
        <is>
          <t>East</t>
        </is>
      </c>
      <c r="F5871" s="7" t="inlineStr">
        <is>
          <t>Office Supplies</t>
        </is>
      </c>
      <c r="G5871" s="7" t="inlineStr">
        <is>
          <t>Binder</t>
        </is>
      </c>
      <c r="H5871" s="7" t="inlineStr">
        <is>
          <t>Consumer</t>
        </is>
      </c>
      <c r="I5871" s="7" t="n">
        <v>13</v>
      </c>
      <c r="J5871" s="10" t="n">
        <v>8.300000000000001</v>
      </c>
      <c r="K5871" s="11" t="n">
        <v>0</v>
      </c>
      <c r="L5871" s="10">
        <f>I5871*J5871*(1-K5871)</f>
        <v/>
      </c>
      <c r="M5871" s="10" t="n">
        <v>41.6</v>
      </c>
      <c r="N5871" s="10">
        <f>L5871-M5871</f>
        <v/>
      </c>
    </row>
    <row r="5872">
      <c r="A5872" s="7" t="inlineStr">
        <is>
          <t>ORD-02211</t>
        </is>
      </c>
      <c r="B5872" s="8" t="n">
        <v>46022</v>
      </c>
      <c r="C5872" s="9" t="n">
        <v>45992</v>
      </c>
      <c r="D5872" s="7" t="n">
        <v>2025</v>
      </c>
      <c r="E5872" s="7" t="inlineStr">
        <is>
          <t>East</t>
        </is>
      </c>
      <c r="F5872" s="7" t="inlineStr">
        <is>
          <t>Office Supplies</t>
        </is>
      </c>
      <c r="G5872" s="7" t="inlineStr">
        <is>
          <t>Printer Ink</t>
        </is>
      </c>
      <c r="H5872" s="7" t="inlineStr">
        <is>
          <t>Corporate</t>
        </is>
      </c>
      <c r="I5872" s="7" t="n">
        <v>8</v>
      </c>
      <c r="J5872" s="10" t="n">
        <v>61.33</v>
      </c>
      <c r="K5872" s="11" t="n">
        <v>0</v>
      </c>
      <c r="L5872" s="10">
        <f>I5872*J5872*(1-K5872)</f>
        <v/>
      </c>
      <c r="M5872" s="10" t="n">
        <v>288</v>
      </c>
      <c r="N5872" s="10">
        <f>L5872-M5872</f>
        <v/>
      </c>
    </row>
    <row r="5873">
      <c r="A5873" s="7" t="inlineStr">
        <is>
          <t>ORD-01109</t>
        </is>
      </c>
      <c r="B5873" s="8" t="n">
        <v>46022</v>
      </c>
      <c r="C5873" s="9" t="n">
        <v>45992</v>
      </c>
      <c r="D5873" s="7" t="n">
        <v>2025</v>
      </c>
      <c r="E5873" s="7" t="inlineStr">
        <is>
          <t>East</t>
        </is>
      </c>
      <c r="F5873" s="7" t="inlineStr">
        <is>
          <t>Office Supplies</t>
        </is>
      </c>
      <c r="G5873" s="7" t="inlineStr">
        <is>
          <t>Pens</t>
        </is>
      </c>
      <c r="H5873" s="7" t="inlineStr">
        <is>
          <t>Home Office</t>
        </is>
      </c>
      <c r="I5873" s="7" t="n">
        <v>15</v>
      </c>
      <c r="J5873" s="10" t="n">
        <v>11.81</v>
      </c>
      <c r="K5873" s="11" t="n">
        <v>0.05</v>
      </c>
      <c r="L5873" s="10">
        <f>I5873*J5873*(1-K5873)</f>
        <v/>
      </c>
      <c r="M5873" s="10" t="n">
        <v>81</v>
      </c>
      <c r="N5873" s="10">
        <f>L5873-M5873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Monthly</t>
        </is>
      </c>
      <c r="B1" s="6" t="inlineStr">
        <is>
          <t>Revenue</t>
        </is>
      </c>
      <c r="C1" s="6" t="inlineStr">
        <is>
          <t>Profit</t>
        </is>
      </c>
      <c r="D1" s="6" t="inlineStr">
        <is>
          <t>Margin %</t>
        </is>
      </c>
      <c r="E1" s="6" t="inlineStr">
        <is>
          <t>Revenue Share</t>
        </is>
      </c>
      <c r="F1" s="6" t="inlineStr">
        <is>
          <t>Orders</t>
        </is>
      </c>
      <c r="G1" s="6" t="inlineStr">
        <is>
          <t>MoM Growth</t>
        </is>
      </c>
    </row>
    <row r="2">
      <c r="A2" s="9" t="n">
        <v>44927</v>
      </c>
      <c r="B2" s="12">
        <f>SUMIFS(Clean_Data!$L$2:$L$5873,Clean_Data!$C$2:$C$5873,A2)</f>
        <v/>
      </c>
      <c r="C2" s="12">
        <f>SUMIFS(Clean_Data!$N$2:$N$5873,Clean_Data!$C$2:$C$5873,A2)</f>
        <v/>
      </c>
      <c r="D2" s="13">
        <f>IFERROR(C2/B2,0)</f>
        <v/>
      </c>
      <c r="E2" s="13">
        <f>B2/SUM($B$2:$B$37)</f>
        <v/>
      </c>
      <c r="F2" s="7">
        <f>COUNTIFS(Clean_Data!$C$2:$C$5873,A2)</f>
        <v/>
      </c>
    </row>
    <row r="3">
      <c r="A3" s="9" t="n">
        <v>44958</v>
      </c>
      <c r="B3" s="12">
        <f>SUMIFS(Clean_Data!$L$2:$L$5873,Clean_Data!$C$2:$C$5873,A3)</f>
        <v/>
      </c>
      <c r="C3" s="12">
        <f>SUMIFS(Clean_Data!$N$2:$N$5873,Clean_Data!$C$2:$C$5873,A3)</f>
        <v/>
      </c>
      <c r="D3" s="13">
        <f>IFERROR(C3/B3,0)</f>
        <v/>
      </c>
      <c r="E3" s="13">
        <f>B3/SUM($B$2:$B$37)</f>
        <v/>
      </c>
      <c r="F3" s="7">
        <f>COUNTIFS(Clean_Data!$C$2:$C$5873,A3)</f>
        <v/>
      </c>
      <c r="G3" s="13">
        <f>IFERROR(B3/B2-1,0)</f>
        <v/>
      </c>
    </row>
    <row r="4">
      <c r="A4" s="9" t="n">
        <v>44986</v>
      </c>
      <c r="B4" s="12">
        <f>SUMIFS(Clean_Data!$L$2:$L$5873,Clean_Data!$C$2:$C$5873,A4)</f>
        <v/>
      </c>
      <c r="C4" s="12">
        <f>SUMIFS(Clean_Data!$N$2:$N$5873,Clean_Data!$C$2:$C$5873,A4)</f>
        <v/>
      </c>
      <c r="D4" s="13">
        <f>IFERROR(C4/B4,0)</f>
        <v/>
      </c>
      <c r="E4" s="13">
        <f>B4/SUM($B$2:$B$37)</f>
        <v/>
      </c>
      <c r="F4" s="7">
        <f>COUNTIFS(Clean_Data!$C$2:$C$5873,A4)</f>
        <v/>
      </c>
      <c r="G4" s="13">
        <f>IFERROR(B4/B3-1,0)</f>
        <v/>
      </c>
    </row>
    <row r="5">
      <c r="A5" s="9" t="n">
        <v>45017</v>
      </c>
      <c r="B5" s="12">
        <f>SUMIFS(Clean_Data!$L$2:$L$5873,Clean_Data!$C$2:$C$5873,A5)</f>
        <v/>
      </c>
      <c r="C5" s="12">
        <f>SUMIFS(Clean_Data!$N$2:$N$5873,Clean_Data!$C$2:$C$5873,A5)</f>
        <v/>
      </c>
      <c r="D5" s="13">
        <f>IFERROR(C5/B5,0)</f>
        <v/>
      </c>
      <c r="E5" s="13">
        <f>B5/SUM($B$2:$B$37)</f>
        <v/>
      </c>
      <c r="F5" s="7">
        <f>COUNTIFS(Clean_Data!$C$2:$C$5873,A5)</f>
        <v/>
      </c>
      <c r="G5" s="13">
        <f>IFERROR(B5/B4-1,0)</f>
        <v/>
      </c>
    </row>
    <row r="6">
      <c r="A6" s="9" t="n">
        <v>45047</v>
      </c>
      <c r="B6" s="12">
        <f>SUMIFS(Clean_Data!$L$2:$L$5873,Clean_Data!$C$2:$C$5873,A6)</f>
        <v/>
      </c>
      <c r="C6" s="12">
        <f>SUMIFS(Clean_Data!$N$2:$N$5873,Clean_Data!$C$2:$C$5873,A6)</f>
        <v/>
      </c>
      <c r="D6" s="13">
        <f>IFERROR(C6/B6,0)</f>
        <v/>
      </c>
      <c r="E6" s="13">
        <f>B6/SUM($B$2:$B$37)</f>
        <v/>
      </c>
      <c r="F6" s="7">
        <f>COUNTIFS(Clean_Data!$C$2:$C$5873,A6)</f>
        <v/>
      </c>
      <c r="G6" s="13">
        <f>IFERROR(B6/B5-1,0)</f>
        <v/>
      </c>
    </row>
    <row r="7">
      <c r="A7" s="9" t="n">
        <v>45078</v>
      </c>
      <c r="B7" s="12">
        <f>SUMIFS(Clean_Data!$L$2:$L$5873,Clean_Data!$C$2:$C$5873,A7)</f>
        <v/>
      </c>
      <c r="C7" s="12">
        <f>SUMIFS(Clean_Data!$N$2:$N$5873,Clean_Data!$C$2:$C$5873,A7)</f>
        <v/>
      </c>
      <c r="D7" s="13">
        <f>IFERROR(C7/B7,0)</f>
        <v/>
      </c>
      <c r="E7" s="13">
        <f>B7/SUM($B$2:$B$37)</f>
        <v/>
      </c>
      <c r="F7" s="7">
        <f>COUNTIFS(Clean_Data!$C$2:$C$5873,A7)</f>
        <v/>
      </c>
      <c r="G7" s="13">
        <f>IFERROR(B7/B6-1,0)</f>
        <v/>
      </c>
    </row>
    <row r="8">
      <c r="A8" s="9" t="n">
        <v>45108</v>
      </c>
      <c r="B8" s="12">
        <f>SUMIFS(Clean_Data!$L$2:$L$5873,Clean_Data!$C$2:$C$5873,A8)</f>
        <v/>
      </c>
      <c r="C8" s="12">
        <f>SUMIFS(Clean_Data!$N$2:$N$5873,Clean_Data!$C$2:$C$5873,A8)</f>
        <v/>
      </c>
      <c r="D8" s="13">
        <f>IFERROR(C8/B8,0)</f>
        <v/>
      </c>
      <c r="E8" s="13">
        <f>B8/SUM($B$2:$B$37)</f>
        <v/>
      </c>
      <c r="F8" s="7">
        <f>COUNTIFS(Clean_Data!$C$2:$C$5873,A8)</f>
        <v/>
      </c>
      <c r="G8" s="13">
        <f>IFERROR(B8/B7-1,0)</f>
        <v/>
      </c>
    </row>
    <row r="9">
      <c r="A9" s="9" t="n">
        <v>45139</v>
      </c>
      <c r="B9" s="12">
        <f>SUMIFS(Clean_Data!$L$2:$L$5873,Clean_Data!$C$2:$C$5873,A9)</f>
        <v/>
      </c>
      <c r="C9" s="12">
        <f>SUMIFS(Clean_Data!$N$2:$N$5873,Clean_Data!$C$2:$C$5873,A9)</f>
        <v/>
      </c>
      <c r="D9" s="13">
        <f>IFERROR(C9/B9,0)</f>
        <v/>
      </c>
      <c r="E9" s="13">
        <f>B9/SUM($B$2:$B$37)</f>
        <v/>
      </c>
      <c r="F9" s="7">
        <f>COUNTIFS(Clean_Data!$C$2:$C$5873,A9)</f>
        <v/>
      </c>
      <c r="G9" s="13">
        <f>IFERROR(B9/B8-1,0)</f>
        <v/>
      </c>
    </row>
    <row r="10">
      <c r="A10" s="9" t="n">
        <v>45170</v>
      </c>
      <c r="B10" s="12">
        <f>SUMIFS(Clean_Data!$L$2:$L$5873,Clean_Data!$C$2:$C$5873,A10)</f>
        <v/>
      </c>
      <c r="C10" s="12">
        <f>SUMIFS(Clean_Data!$N$2:$N$5873,Clean_Data!$C$2:$C$5873,A10)</f>
        <v/>
      </c>
      <c r="D10" s="13">
        <f>IFERROR(C10/B10,0)</f>
        <v/>
      </c>
      <c r="E10" s="13">
        <f>B10/SUM($B$2:$B$37)</f>
        <v/>
      </c>
      <c r="F10" s="7">
        <f>COUNTIFS(Clean_Data!$C$2:$C$5873,A10)</f>
        <v/>
      </c>
      <c r="G10" s="13">
        <f>IFERROR(B10/B9-1,0)</f>
        <v/>
      </c>
    </row>
    <row r="11">
      <c r="A11" s="9" t="n">
        <v>45200</v>
      </c>
      <c r="B11" s="12">
        <f>SUMIFS(Clean_Data!$L$2:$L$5873,Clean_Data!$C$2:$C$5873,A11)</f>
        <v/>
      </c>
      <c r="C11" s="12">
        <f>SUMIFS(Clean_Data!$N$2:$N$5873,Clean_Data!$C$2:$C$5873,A11)</f>
        <v/>
      </c>
      <c r="D11" s="13">
        <f>IFERROR(C11/B11,0)</f>
        <v/>
      </c>
      <c r="E11" s="13">
        <f>B11/SUM($B$2:$B$37)</f>
        <v/>
      </c>
      <c r="F11" s="7">
        <f>COUNTIFS(Clean_Data!$C$2:$C$5873,A11)</f>
        <v/>
      </c>
      <c r="G11" s="13">
        <f>IFERROR(B11/B10-1,0)</f>
        <v/>
      </c>
    </row>
    <row r="12">
      <c r="A12" s="9" t="n">
        <v>45231</v>
      </c>
      <c r="B12" s="12">
        <f>SUMIFS(Clean_Data!$L$2:$L$5873,Clean_Data!$C$2:$C$5873,A12)</f>
        <v/>
      </c>
      <c r="C12" s="12">
        <f>SUMIFS(Clean_Data!$N$2:$N$5873,Clean_Data!$C$2:$C$5873,A12)</f>
        <v/>
      </c>
      <c r="D12" s="13">
        <f>IFERROR(C12/B12,0)</f>
        <v/>
      </c>
      <c r="E12" s="13">
        <f>B12/SUM($B$2:$B$37)</f>
        <v/>
      </c>
      <c r="F12" s="7">
        <f>COUNTIFS(Clean_Data!$C$2:$C$5873,A12)</f>
        <v/>
      </c>
      <c r="G12" s="13">
        <f>IFERROR(B12/B11-1,0)</f>
        <v/>
      </c>
    </row>
    <row r="13">
      <c r="A13" s="9" t="n">
        <v>45261</v>
      </c>
      <c r="B13" s="12">
        <f>SUMIFS(Clean_Data!$L$2:$L$5873,Clean_Data!$C$2:$C$5873,A13)</f>
        <v/>
      </c>
      <c r="C13" s="12">
        <f>SUMIFS(Clean_Data!$N$2:$N$5873,Clean_Data!$C$2:$C$5873,A13)</f>
        <v/>
      </c>
      <c r="D13" s="13">
        <f>IFERROR(C13/B13,0)</f>
        <v/>
      </c>
      <c r="E13" s="13">
        <f>B13/SUM($B$2:$B$37)</f>
        <v/>
      </c>
      <c r="F13" s="7">
        <f>COUNTIFS(Clean_Data!$C$2:$C$5873,A13)</f>
        <v/>
      </c>
      <c r="G13" s="13">
        <f>IFERROR(B13/B12-1,0)</f>
        <v/>
      </c>
    </row>
    <row r="14">
      <c r="A14" s="9" t="n">
        <v>45292</v>
      </c>
      <c r="B14" s="12">
        <f>SUMIFS(Clean_Data!$L$2:$L$5873,Clean_Data!$C$2:$C$5873,A14)</f>
        <v/>
      </c>
      <c r="C14" s="12">
        <f>SUMIFS(Clean_Data!$N$2:$N$5873,Clean_Data!$C$2:$C$5873,A14)</f>
        <v/>
      </c>
      <c r="D14" s="13">
        <f>IFERROR(C14/B14,0)</f>
        <v/>
      </c>
      <c r="E14" s="13">
        <f>B14/SUM($B$2:$B$37)</f>
        <v/>
      </c>
      <c r="F14" s="7">
        <f>COUNTIFS(Clean_Data!$C$2:$C$5873,A14)</f>
        <v/>
      </c>
      <c r="G14" s="13">
        <f>IFERROR(B14/B13-1,0)</f>
        <v/>
      </c>
    </row>
    <row r="15">
      <c r="A15" s="9" t="n">
        <v>45323</v>
      </c>
      <c r="B15" s="12">
        <f>SUMIFS(Clean_Data!$L$2:$L$5873,Clean_Data!$C$2:$C$5873,A15)</f>
        <v/>
      </c>
      <c r="C15" s="12">
        <f>SUMIFS(Clean_Data!$N$2:$N$5873,Clean_Data!$C$2:$C$5873,A15)</f>
        <v/>
      </c>
      <c r="D15" s="13">
        <f>IFERROR(C15/B15,0)</f>
        <v/>
      </c>
      <c r="E15" s="13">
        <f>B15/SUM($B$2:$B$37)</f>
        <v/>
      </c>
      <c r="F15" s="7">
        <f>COUNTIFS(Clean_Data!$C$2:$C$5873,A15)</f>
        <v/>
      </c>
      <c r="G15" s="13">
        <f>IFERROR(B15/B14-1,0)</f>
        <v/>
      </c>
    </row>
    <row r="16">
      <c r="A16" s="9" t="n">
        <v>45352</v>
      </c>
      <c r="B16" s="12">
        <f>SUMIFS(Clean_Data!$L$2:$L$5873,Clean_Data!$C$2:$C$5873,A16)</f>
        <v/>
      </c>
      <c r="C16" s="12">
        <f>SUMIFS(Clean_Data!$N$2:$N$5873,Clean_Data!$C$2:$C$5873,A16)</f>
        <v/>
      </c>
      <c r="D16" s="13">
        <f>IFERROR(C16/B16,0)</f>
        <v/>
      </c>
      <c r="E16" s="13">
        <f>B16/SUM($B$2:$B$37)</f>
        <v/>
      </c>
      <c r="F16" s="7">
        <f>COUNTIFS(Clean_Data!$C$2:$C$5873,A16)</f>
        <v/>
      </c>
      <c r="G16" s="13">
        <f>IFERROR(B16/B15-1,0)</f>
        <v/>
      </c>
    </row>
    <row r="17">
      <c r="A17" s="9" t="n">
        <v>45383</v>
      </c>
      <c r="B17" s="12">
        <f>SUMIFS(Clean_Data!$L$2:$L$5873,Clean_Data!$C$2:$C$5873,A17)</f>
        <v/>
      </c>
      <c r="C17" s="12">
        <f>SUMIFS(Clean_Data!$N$2:$N$5873,Clean_Data!$C$2:$C$5873,A17)</f>
        <v/>
      </c>
      <c r="D17" s="13">
        <f>IFERROR(C17/B17,0)</f>
        <v/>
      </c>
      <c r="E17" s="13">
        <f>B17/SUM($B$2:$B$37)</f>
        <v/>
      </c>
      <c r="F17" s="7">
        <f>COUNTIFS(Clean_Data!$C$2:$C$5873,A17)</f>
        <v/>
      </c>
      <c r="G17" s="13">
        <f>IFERROR(B17/B16-1,0)</f>
        <v/>
      </c>
    </row>
    <row r="18">
      <c r="A18" s="9" t="n">
        <v>45413</v>
      </c>
      <c r="B18" s="12">
        <f>SUMIFS(Clean_Data!$L$2:$L$5873,Clean_Data!$C$2:$C$5873,A18)</f>
        <v/>
      </c>
      <c r="C18" s="12">
        <f>SUMIFS(Clean_Data!$N$2:$N$5873,Clean_Data!$C$2:$C$5873,A18)</f>
        <v/>
      </c>
      <c r="D18" s="13">
        <f>IFERROR(C18/B18,0)</f>
        <v/>
      </c>
      <c r="E18" s="13">
        <f>B18/SUM($B$2:$B$37)</f>
        <v/>
      </c>
      <c r="F18" s="7">
        <f>COUNTIFS(Clean_Data!$C$2:$C$5873,A18)</f>
        <v/>
      </c>
      <c r="G18" s="13">
        <f>IFERROR(B18/B17-1,0)</f>
        <v/>
      </c>
    </row>
    <row r="19">
      <c r="A19" s="9" t="n">
        <v>45444</v>
      </c>
      <c r="B19" s="12">
        <f>SUMIFS(Clean_Data!$L$2:$L$5873,Clean_Data!$C$2:$C$5873,A19)</f>
        <v/>
      </c>
      <c r="C19" s="12">
        <f>SUMIFS(Clean_Data!$N$2:$N$5873,Clean_Data!$C$2:$C$5873,A19)</f>
        <v/>
      </c>
      <c r="D19" s="13">
        <f>IFERROR(C19/B19,0)</f>
        <v/>
      </c>
      <c r="E19" s="13">
        <f>B19/SUM($B$2:$B$37)</f>
        <v/>
      </c>
      <c r="F19" s="7">
        <f>COUNTIFS(Clean_Data!$C$2:$C$5873,A19)</f>
        <v/>
      </c>
      <c r="G19" s="13">
        <f>IFERROR(B19/B18-1,0)</f>
        <v/>
      </c>
    </row>
    <row r="20">
      <c r="A20" s="9" t="n">
        <v>45474</v>
      </c>
      <c r="B20" s="12">
        <f>SUMIFS(Clean_Data!$L$2:$L$5873,Clean_Data!$C$2:$C$5873,A20)</f>
        <v/>
      </c>
      <c r="C20" s="12">
        <f>SUMIFS(Clean_Data!$N$2:$N$5873,Clean_Data!$C$2:$C$5873,A20)</f>
        <v/>
      </c>
      <c r="D20" s="13">
        <f>IFERROR(C20/B20,0)</f>
        <v/>
      </c>
      <c r="E20" s="13">
        <f>B20/SUM($B$2:$B$37)</f>
        <v/>
      </c>
      <c r="F20" s="7">
        <f>COUNTIFS(Clean_Data!$C$2:$C$5873,A20)</f>
        <v/>
      </c>
      <c r="G20" s="13">
        <f>IFERROR(B20/B19-1,0)</f>
        <v/>
      </c>
    </row>
    <row r="21">
      <c r="A21" s="9" t="n">
        <v>45505</v>
      </c>
      <c r="B21" s="12">
        <f>SUMIFS(Clean_Data!$L$2:$L$5873,Clean_Data!$C$2:$C$5873,A21)</f>
        <v/>
      </c>
      <c r="C21" s="12">
        <f>SUMIFS(Clean_Data!$N$2:$N$5873,Clean_Data!$C$2:$C$5873,A21)</f>
        <v/>
      </c>
      <c r="D21" s="13">
        <f>IFERROR(C21/B21,0)</f>
        <v/>
      </c>
      <c r="E21" s="13">
        <f>B21/SUM($B$2:$B$37)</f>
        <v/>
      </c>
      <c r="F21" s="7">
        <f>COUNTIFS(Clean_Data!$C$2:$C$5873,A21)</f>
        <v/>
      </c>
      <c r="G21" s="13">
        <f>IFERROR(B21/B20-1,0)</f>
        <v/>
      </c>
    </row>
    <row r="22">
      <c r="A22" s="9" t="n">
        <v>45536</v>
      </c>
      <c r="B22" s="12">
        <f>SUMIFS(Clean_Data!$L$2:$L$5873,Clean_Data!$C$2:$C$5873,A22)</f>
        <v/>
      </c>
      <c r="C22" s="12">
        <f>SUMIFS(Clean_Data!$N$2:$N$5873,Clean_Data!$C$2:$C$5873,A22)</f>
        <v/>
      </c>
      <c r="D22" s="13">
        <f>IFERROR(C22/B22,0)</f>
        <v/>
      </c>
      <c r="E22" s="13">
        <f>B22/SUM($B$2:$B$37)</f>
        <v/>
      </c>
      <c r="F22" s="7">
        <f>COUNTIFS(Clean_Data!$C$2:$C$5873,A22)</f>
        <v/>
      </c>
      <c r="G22" s="13">
        <f>IFERROR(B22/B21-1,0)</f>
        <v/>
      </c>
    </row>
    <row r="23">
      <c r="A23" s="9" t="n">
        <v>45566</v>
      </c>
      <c r="B23" s="12">
        <f>SUMIFS(Clean_Data!$L$2:$L$5873,Clean_Data!$C$2:$C$5873,A23)</f>
        <v/>
      </c>
      <c r="C23" s="12">
        <f>SUMIFS(Clean_Data!$N$2:$N$5873,Clean_Data!$C$2:$C$5873,A23)</f>
        <v/>
      </c>
      <c r="D23" s="13">
        <f>IFERROR(C23/B23,0)</f>
        <v/>
      </c>
      <c r="E23" s="13">
        <f>B23/SUM($B$2:$B$37)</f>
        <v/>
      </c>
      <c r="F23" s="7">
        <f>COUNTIFS(Clean_Data!$C$2:$C$5873,A23)</f>
        <v/>
      </c>
      <c r="G23" s="13">
        <f>IFERROR(B23/B22-1,0)</f>
        <v/>
      </c>
    </row>
    <row r="24">
      <c r="A24" s="9" t="n">
        <v>45597</v>
      </c>
      <c r="B24" s="12">
        <f>SUMIFS(Clean_Data!$L$2:$L$5873,Clean_Data!$C$2:$C$5873,A24)</f>
        <v/>
      </c>
      <c r="C24" s="12">
        <f>SUMIFS(Clean_Data!$N$2:$N$5873,Clean_Data!$C$2:$C$5873,A24)</f>
        <v/>
      </c>
      <c r="D24" s="13">
        <f>IFERROR(C24/B24,0)</f>
        <v/>
      </c>
      <c r="E24" s="13">
        <f>B24/SUM($B$2:$B$37)</f>
        <v/>
      </c>
      <c r="F24" s="7">
        <f>COUNTIFS(Clean_Data!$C$2:$C$5873,A24)</f>
        <v/>
      </c>
      <c r="G24" s="13">
        <f>IFERROR(B24/B23-1,0)</f>
        <v/>
      </c>
    </row>
    <row r="25">
      <c r="A25" s="9" t="n">
        <v>45627</v>
      </c>
      <c r="B25" s="12">
        <f>SUMIFS(Clean_Data!$L$2:$L$5873,Clean_Data!$C$2:$C$5873,A25)</f>
        <v/>
      </c>
      <c r="C25" s="12">
        <f>SUMIFS(Clean_Data!$N$2:$N$5873,Clean_Data!$C$2:$C$5873,A25)</f>
        <v/>
      </c>
      <c r="D25" s="13">
        <f>IFERROR(C25/B25,0)</f>
        <v/>
      </c>
      <c r="E25" s="13">
        <f>B25/SUM($B$2:$B$37)</f>
        <v/>
      </c>
      <c r="F25" s="7">
        <f>COUNTIFS(Clean_Data!$C$2:$C$5873,A25)</f>
        <v/>
      </c>
      <c r="G25" s="13">
        <f>IFERROR(B25/B24-1,0)</f>
        <v/>
      </c>
    </row>
    <row r="26">
      <c r="A26" s="9" t="n">
        <v>45658</v>
      </c>
      <c r="B26" s="12">
        <f>SUMIFS(Clean_Data!$L$2:$L$5873,Clean_Data!$C$2:$C$5873,A26)</f>
        <v/>
      </c>
      <c r="C26" s="12">
        <f>SUMIFS(Clean_Data!$N$2:$N$5873,Clean_Data!$C$2:$C$5873,A26)</f>
        <v/>
      </c>
      <c r="D26" s="13">
        <f>IFERROR(C26/B26,0)</f>
        <v/>
      </c>
      <c r="E26" s="13">
        <f>B26/SUM($B$2:$B$37)</f>
        <v/>
      </c>
      <c r="F26" s="7">
        <f>COUNTIFS(Clean_Data!$C$2:$C$5873,A26)</f>
        <v/>
      </c>
      <c r="G26" s="13">
        <f>IFERROR(B26/B25-1,0)</f>
        <v/>
      </c>
    </row>
    <row r="27">
      <c r="A27" s="9" t="n">
        <v>45689</v>
      </c>
      <c r="B27" s="12">
        <f>SUMIFS(Clean_Data!$L$2:$L$5873,Clean_Data!$C$2:$C$5873,A27)</f>
        <v/>
      </c>
      <c r="C27" s="12">
        <f>SUMIFS(Clean_Data!$N$2:$N$5873,Clean_Data!$C$2:$C$5873,A27)</f>
        <v/>
      </c>
      <c r="D27" s="13">
        <f>IFERROR(C27/B27,0)</f>
        <v/>
      </c>
      <c r="E27" s="13">
        <f>B27/SUM($B$2:$B$37)</f>
        <v/>
      </c>
      <c r="F27" s="7">
        <f>COUNTIFS(Clean_Data!$C$2:$C$5873,A27)</f>
        <v/>
      </c>
      <c r="G27" s="13">
        <f>IFERROR(B27/B26-1,0)</f>
        <v/>
      </c>
    </row>
    <row r="28">
      <c r="A28" s="9" t="n">
        <v>45717</v>
      </c>
      <c r="B28" s="12">
        <f>SUMIFS(Clean_Data!$L$2:$L$5873,Clean_Data!$C$2:$C$5873,A28)</f>
        <v/>
      </c>
      <c r="C28" s="12">
        <f>SUMIFS(Clean_Data!$N$2:$N$5873,Clean_Data!$C$2:$C$5873,A28)</f>
        <v/>
      </c>
      <c r="D28" s="13">
        <f>IFERROR(C28/B28,0)</f>
        <v/>
      </c>
      <c r="E28" s="13">
        <f>B28/SUM($B$2:$B$37)</f>
        <v/>
      </c>
      <c r="F28" s="7">
        <f>COUNTIFS(Clean_Data!$C$2:$C$5873,A28)</f>
        <v/>
      </c>
      <c r="G28" s="13">
        <f>IFERROR(B28/B27-1,0)</f>
        <v/>
      </c>
    </row>
    <row r="29">
      <c r="A29" s="9" t="n">
        <v>45748</v>
      </c>
      <c r="B29" s="12">
        <f>SUMIFS(Clean_Data!$L$2:$L$5873,Clean_Data!$C$2:$C$5873,A29)</f>
        <v/>
      </c>
      <c r="C29" s="12">
        <f>SUMIFS(Clean_Data!$N$2:$N$5873,Clean_Data!$C$2:$C$5873,A29)</f>
        <v/>
      </c>
      <c r="D29" s="13">
        <f>IFERROR(C29/B29,0)</f>
        <v/>
      </c>
      <c r="E29" s="13">
        <f>B29/SUM($B$2:$B$37)</f>
        <v/>
      </c>
      <c r="F29" s="7">
        <f>COUNTIFS(Clean_Data!$C$2:$C$5873,A29)</f>
        <v/>
      </c>
      <c r="G29" s="13">
        <f>IFERROR(B29/B28-1,0)</f>
        <v/>
      </c>
    </row>
    <row r="30">
      <c r="A30" s="9" t="n">
        <v>45778</v>
      </c>
      <c r="B30" s="12">
        <f>SUMIFS(Clean_Data!$L$2:$L$5873,Clean_Data!$C$2:$C$5873,A30)</f>
        <v/>
      </c>
      <c r="C30" s="12">
        <f>SUMIFS(Clean_Data!$N$2:$N$5873,Clean_Data!$C$2:$C$5873,A30)</f>
        <v/>
      </c>
      <c r="D30" s="13">
        <f>IFERROR(C30/B30,0)</f>
        <v/>
      </c>
      <c r="E30" s="13">
        <f>B30/SUM($B$2:$B$37)</f>
        <v/>
      </c>
      <c r="F30" s="7">
        <f>COUNTIFS(Clean_Data!$C$2:$C$5873,A30)</f>
        <v/>
      </c>
      <c r="G30" s="13">
        <f>IFERROR(B30/B29-1,0)</f>
        <v/>
      </c>
    </row>
    <row r="31">
      <c r="A31" s="9" t="n">
        <v>45809</v>
      </c>
      <c r="B31" s="12">
        <f>SUMIFS(Clean_Data!$L$2:$L$5873,Clean_Data!$C$2:$C$5873,A31)</f>
        <v/>
      </c>
      <c r="C31" s="12">
        <f>SUMIFS(Clean_Data!$N$2:$N$5873,Clean_Data!$C$2:$C$5873,A31)</f>
        <v/>
      </c>
      <c r="D31" s="13">
        <f>IFERROR(C31/B31,0)</f>
        <v/>
      </c>
      <c r="E31" s="13">
        <f>B31/SUM($B$2:$B$37)</f>
        <v/>
      </c>
      <c r="F31" s="7">
        <f>COUNTIFS(Clean_Data!$C$2:$C$5873,A31)</f>
        <v/>
      </c>
      <c r="G31" s="13">
        <f>IFERROR(B31/B30-1,0)</f>
        <v/>
      </c>
    </row>
    <row r="32">
      <c r="A32" s="9" t="n">
        <v>45839</v>
      </c>
      <c r="B32" s="12">
        <f>SUMIFS(Clean_Data!$L$2:$L$5873,Clean_Data!$C$2:$C$5873,A32)</f>
        <v/>
      </c>
      <c r="C32" s="12">
        <f>SUMIFS(Clean_Data!$N$2:$N$5873,Clean_Data!$C$2:$C$5873,A32)</f>
        <v/>
      </c>
      <c r="D32" s="13">
        <f>IFERROR(C32/B32,0)</f>
        <v/>
      </c>
      <c r="E32" s="13">
        <f>B32/SUM($B$2:$B$37)</f>
        <v/>
      </c>
      <c r="F32" s="7">
        <f>COUNTIFS(Clean_Data!$C$2:$C$5873,A32)</f>
        <v/>
      </c>
      <c r="G32" s="13">
        <f>IFERROR(B32/B31-1,0)</f>
        <v/>
      </c>
    </row>
    <row r="33">
      <c r="A33" s="9" t="n">
        <v>45870</v>
      </c>
      <c r="B33" s="12">
        <f>SUMIFS(Clean_Data!$L$2:$L$5873,Clean_Data!$C$2:$C$5873,A33)</f>
        <v/>
      </c>
      <c r="C33" s="12">
        <f>SUMIFS(Clean_Data!$N$2:$N$5873,Clean_Data!$C$2:$C$5873,A33)</f>
        <v/>
      </c>
      <c r="D33" s="13">
        <f>IFERROR(C33/B33,0)</f>
        <v/>
      </c>
      <c r="E33" s="13">
        <f>B33/SUM($B$2:$B$37)</f>
        <v/>
      </c>
      <c r="F33" s="7">
        <f>COUNTIFS(Clean_Data!$C$2:$C$5873,A33)</f>
        <v/>
      </c>
      <c r="G33" s="13">
        <f>IFERROR(B33/B32-1,0)</f>
        <v/>
      </c>
    </row>
    <row r="34">
      <c r="A34" s="9" t="n">
        <v>45901</v>
      </c>
      <c r="B34" s="12">
        <f>SUMIFS(Clean_Data!$L$2:$L$5873,Clean_Data!$C$2:$C$5873,A34)</f>
        <v/>
      </c>
      <c r="C34" s="12">
        <f>SUMIFS(Clean_Data!$N$2:$N$5873,Clean_Data!$C$2:$C$5873,A34)</f>
        <v/>
      </c>
      <c r="D34" s="13">
        <f>IFERROR(C34/B34,0)</f>
        <v/>
      </c>
      <c r="E34" s="13">
        <f>B34/SUM($B$2:$B$37)</f>
        <v/>
      </c>
      <c r="F34" s="7">
        <f>COUNTIFS(Clean_Data!$C$2:$C$5873,A34)</f>
        <v/>
      </c>
      <c r="G34" s="13">
        <f>IFERROR(B34/B33-1,0)</f>
        <v/>
      </c>
    </row>
    <row r="35">
      <c r="A35" s="9" t="n">
        <v>45931</v>
      </c>
      <c r="B35" s="12">
        <f>SUMIFS(Clean_Data!$L$2:$L$5873,Clean_Data!$C$2:$C$5873,A35)</f>
        <v/>
      </c>
      <c r="C35" s="12">
        <f>SUMIFS(Clean_Data!$N$2:$N$5873,Clean_Data!$C$2:$C$5873,A35)</f>
        <v/>
      </c>
      <c r="D35" s="13">
        <f>IFERROR(C35/B35,0)</f>
        <v/>
      </c>
      <c r="E35" s="13">
        <f>B35/SUM($B$2:$B$37)</f>
        <v/>
      </c>
      <c r="F35" s="7">
        <f>COUNTIFS(Clean_Data!$C$2:$C$5873,A35)</f>
        <v/>
      </c>
      <c r="G35" s="13">
        <f>IFERROR(B35/B34-1,0)</f>
        <v/>
      </c>
    </row>
    <row r="36">
      <c r="A36" s="9" t="n">
        <v>45962</v>
      </c>
      <c r="B36" s="12">
        <f>SUMIFS(Clean_Data!$L$2:$L$5873,Clean_Data!$C$2:$C$5873,A36)</f>
        <v/>
      </c>
      <c r="C36" s="12">
        <f>SUMIFS(Clean_Data!$N$2:$N$5873,Clean_Data!$C$2:$C$5873,A36)</f>
        <v/>
      </c>
      <c r="D36" s="13">
        <f>IFERROR(C36/B36,0)</f>
        <v/>
      </c>
      <c r="E36" s="13">
        <f>B36/SUM($B$2:$B$37)</f>
        <v/>
      </c>
      <c r="F36" s="7">
        <f>COUNTIFS(Clean_Data!$C$2:$C$5873,A36)</f>
        <v/>
      </c>
      <c r="G36" s="13">
        <f>IFERROR(B36/B35-1,0)</f>
        <v/>
      </c>
    </row>
    <row r="37">
      <c r="A37" s="9" t="n">
        <v>45992</v>
      </c>
      <c r="B37" s="12">
        <f>SUMIFS(Clean_Data!$L$2:$L$5873,Clean_Data!$C$2:$C$5873,A37)</f>
        <v/>
      </c>
      <c r="C37" s="12">
        <f>SUMIFS(Clean_Data!$N$2:$N$5873,Clean_Data!$C$2:$C$5873,A37)</f>
        <v/>
      </c>
      <c r="D37" s="13">
        <f>IFERROR(C37/B37,0)</f>
        <v/>
      </c>
      <c r="E37" s="13">
        <f>B37/SUM($B$2:$B$37)</f>
        <v/>
      </c>
      <c r="F37" s="7">
        <f>COUNTIFS(Clean_Data!$C$2:$C$5873,A37)</f>
        <v/>
      </c>
      <c r="G37" s="13">
        <f>IFERROR(B37/B36-1,0)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Category</t>
        </is>
      </c>
      <c r="B1" s="6" t="inlineStr">
        <is>
          <t>Revenue</t>
        </is>
      </c>
      <c r="C1" s="6" t="inlineStr">
        <is>
          <t>Profit</t>
        </is>
      </c>
      <c r="D1" s="6" t="inlineStr">
        <is>
          <t>Margin %</t>
        </is>
      </c>
      <c r="E1" s="6" t="inlineStr">
        <is>
          <t>Revenue Share</t>
        </is>
      </c>
      <c r="F1" s="6" t="inlineStr">
        <is>
          <t>Orders</t>
        </is>
      </c>
    </row>
    <row r="2">
      <c r="A2" s="7" t="inlineStr">
        <is>
          <t>Technology</t>
        </is>
      </c>
      <c r="B2" s="12">
        <f>SUMIFS(Clean_Data!$L$2:$L$5873,Clean_Data!$F$2:$F$5873,A2)</f>
        <v/>
      </c>
      <c r="C2" s="12">
        <f>SUMIFS(Clean_Data!$N$2:$N$5873,Clean_Data!$F$2:$F$5873,A2)</f>
        <v/>
      </c>
      <c r="D2" s="13">
        <f>IFERROR(C2/B2,0)</f>
        <v/>
      </c>
      <c r="E2" s="13">
        <f>B2/SUM($B$2:$B$4)</f>
        <v/>
      </c>
      <c r="F2" s="7">
        <f>COUNTIFS(Clean_Data!$F$2:$F$5873,A2)</f>
        <v/>
      </c>
    </row>
    <row r="3">
      <c r="A3" s="7" t="inlineStr">
        <is>
          <t>Furniture</t>
        </is>
      </c>
      <c r="B3" s="12">
        <f>SUMIFS(Clean_Data!$L$2:$L$5873,Clean_Data!$F$2:$F$5873,A3)</f>
        <v/>
      </c>
      <c r="C3" s="12">
        <f>SUMIFS(Clean_Data!$N$2:$N$5873,Clean_Data!$F$2:$F$5873,A3)</f>
        <v/>
      </c>
      <c r="D3" s="13">
        <f>IFERROR(C3/B3,0)</f>
        <v/>
      </c>
      <c r="E3" s="13">
        <f>B3/SUM($B$2:$B$4)</f>
        <v/>
      </c>
      <c r="F3" s="7">
        <f>COUNTIFS(Clean_Data!$F$2:$F$5873,A3)</f>
        <v/>
      </c>
    </row>
    <row r="4">
      <c r="A4" s="7" t="inlineStr">
        <is>
          <t>Office Supplies</t>
        </is>
      </c>
      <c r="B4" s="12">
        <f>SUMIFS(Clean_Data!$L$2:$L$5873,Clean_Data!$F$2:$F$5873,A4)</f>
        <v/>
      </c>
      <c r="C4" s="12">
        <f>SUMIFS(Clean_Data!$N$2:$N$5873,Clean_Data!$F$2:$F$5873,A4)</f>
        <v/>
      </c>
      <c r="D4" s="13">
        <f>IFERROR(C4/B4,0)</f>
        <v/>
      </c>
      <c r="E4" s="13">
        <f>B4/SUM($B$2:$B$4)</f>
        <v/>
      </c>
      <c r="F4" s="7">
        <f>COUNTIFS(Clean_Data!$F$2:$F$5873,A4)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Region</t>
        </is>
      </c>
      <c r="B1" s="6" t="inlineStr">
        <is>
          <t>Revenue</t>
        </is>
      </c>
      <c r="C1" s="6" t="inlineStr">
        <is>
          <t>Profit</t>
        </is>
      </c>
      <c r="D1" s="6" t="inlineStr">
        <is>
          <t>Margin %</t>
        </is>
      </c>
      <c r="E1" s="6" t="inlineStr">
        <is>
          <t>Revenue Share</t>
        </is>
      </c>
      <c r="F1" s="6" t="inlineStr">
        <is>
          <t>Orders</t>
        </is>
      </c>
    </row>
    <row r="2">
      <c r="A2" s="7" t="inlineStr">
        <is>
          <t>West</t>
        </is>
      </c>
      <c r="B2" s="12">
        <f>SUMIFS(Clean_Data!$L$2:$L$5873,Clean_Data!$E$2:$E$5873,A2)</f>
        <v/>
      </c>
      <c r="C2" s="12">
        <f>SUMIFS(Clean_Data!$N$2:$N$5873,Clean_Data!$E$2:$E$5873,A2)</f>
        <v/>
      </c>
      <c r="D2" s="13">
        <f>IFERROR(C2/B2,0)</f>
        <v/>
      </c>
      <c r="E2" s="13">
        <f>B2/SUM($B$2:$B$5)</f>
        <v/>
      </c>
      <c r="F2" s="7">
        <f>COUNTIFS(Clean_Data!$E$2:$E$5873,A2)</f>
        <v/>
      </c>
    </row>
    <row r="3">
      <c r="A3" s="7" t="inlineStr">
        <is>
          <t>East</t>
        </is>
      </c>
      <c r="B3" s="12">
        <f>SUMIFS(Clean_Data!$L$2:$L$5873,Clean_Data!$E$2:$E$5873,A3)</f>
        <v/>
      </c>
      <c r="C3" s="12">
        <f>SUMIFS(Clean_Data!$N$2:$N$5873,Clean_Data!$E$2:$E$5873,A3)</f>
        <v/>
      </c>
      <c r="D3" s="13">
        <f>IFERROR(C3/B3,0)</f>
        <v/>
      </c>
      <c r="E3" s="13">
        <f>B3/SUM($B$2:$B$5)</f>
        <v/>
      </c>
      <c r="F3" s="7">
        <f>COUNTIFS(Clean_Data!$E$2:$E$5873,A3)</f>
        <v/>
      </c>
    </row>
    <row r="4">
      <c r="A4" s="7" t="inlineStr">
        <is>
          <t>South</t>
        </is>
      </c>
      <c r="B4" s="12">
        <f>SUMIFS(Clean_Data!$L$2:$L$5873,Clean_Data!$E$2:$E$5873,A4)</f>
        <v/>
      </c>
      <c r="C4" s="12">
        <f>SUMIFS(Clean_Data!$N$2:$N$5873,Clean_Data!$E$2:$E$5873,A4)</f>
        <v/>
      </c>
      <c r="D4" s="13">
        <f>IFERROR(C4/B4,0)</f>
        <v/>
      </c>
      <c r="E4" s="13">
        <f>B4/SUM($B$2:$B$5)</f>
        <v/>
      </c>
      <c r="F4" s="7">
        <f>COUNTIFS(Clean_Data!$E$2:$E$5873,A4)</f>
        <v/>
      </c>
    </row>
    <row r="5">
      <c r="A5" s="7" t="inlineStr">
        <is>
          <t>North</t>
        </is>
      </c>
      <c r="B5" s="12">
        <f>SUMIFS(Clean_Data!$L$2:$L$5873,Clean_Data!$E$2:$E$5873,A5)</f>
        <v/>
      </c>
      <c r="C5" s="12">
        <f>SUMIFS(Clean_Data!$N$2:$N$5873,Clean_Data!$E$2:$E$5873,A5)</f>
        <v/>
      </c>
      <c r="D5" s="13">
        <f>IFERROR(C5/B5,0)</f>
        <v/>
      </c>
      <c r="E5" s="13">
        <f>B5/SUM($B$2:$B$5)</f>
        <v/>
      </c>
      <c r="F5" s="7">
        <f>COUNTIFS(Clean_Data!$E$2:$E$5873,A5)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Products</t>
        </is>
      </c>
      <c r="B1" s="6" t="inlineStr">
        <is>
          <t>Revenue</t>
        </is>
      </c>
      <c r="C1" s="6" t="inlineStr">
        <is>
          <t>Profit</t>
        </is>
      </c>
      <c r="D1" s="6" t="inlineStr">
        <is>
          <t>Margin %</t>
        </is>
      </c>
      <c r="E1" s="6" t="inlineStr">
        <is>
          <t>Revenue Share</t>
        </is>
      </c>
      <c r="F1" s="6" t="inlineStr">
        <is>
          <t>Orders</t>
        </is>
      </c>
    </row>
    <row r="2">
      <c r="A2" s="7" t="inlineStr">
        <is>
          <t>Laptop</t>
        </is>
      </c>
      <c r="B2" s="12">
        <f>SUMIFS(Clean_Data!$L$2:$L$5873,Clean_Data!$G$2:$G$5873,A2)</f>
        <v/>
      </c>
      <c r="C2" s="12">
        <f>SUMIFS(Clean_Data!$N$2:$N$5873,Clean_Data!$G$2:$G$5873,A2)</f>
        <v/>
      </c>
      <c r="D2" s="13">
        <f>IFERROR(C2/B2,0)</f>
        <v/>
      </c>
      <c r="E2" s="13">
        <f>B2/SUM($B$2:$B$15)</f>
        <v/>
      </c>
      <c r="F2" s="7">
        <f>COUNTIFS(Clean_Data!$G$2:$G$5873,A2)</f>
        <v/>
      </c>
    </row>
    <row r="3">
      <c r="A3" s="7" t="inlineStr">
        <is>
          <t>Smartphone</t>
        </is>
      </c>
      <c r="B3" s="12">
        <f>SUMIFS(Clean_Data!$L$2:$L$5873,Clean_Data!$G$2:$G$5873,A3)</f>
        <v/>
      </c>
      <c r="C3" s="12">
        <f>SUMIFS(Clean_Data!$N$2:$N$5873,Clean_Data!$G$2:$G$5873,A3)</f>
        <v/>
      </c>
      <c r="D3" s="13">
        <f>IFERROR(C3/B3,0)</f>
        <v/>
      </c>
      <c r="E3" s="13">
        <f>B3/SUM($B$2:$B$15)</f>
        <v/>
      </c>
      <c r="F3" s="7">
        <f>COUNTIFS(Clean_Data!$G$2:$G$5873,A3)</f>
        <v/>
      </c>
    </row>
    <row r="4">
      <c r="A4" s="7" t="inlineStr">
        <is>
          <t>Printer Ink</t>
        </is>
      </c>
      <c r="B4" s="12">
        <f>SUMIFS(Clean_Data!$L$2:$L$5873,Clean_Data!$G$2:$G$5873,A4)</f>
        <v/>
      </c>
      <c r="C4" s="12">
        <f>SUMIFS(Clean_Data!$N$2:$N$5873,Clean_Data!$G$2:$G$5873,A4)</f>
        <v/>
      </c>
      <c r="D4" s="13">
        <f>IFERROR(C4/B4,0)</f>
        <v/>
      </c>
      <c r="E4" s="13">
        <f>B4/SUM($B$2:$B$15)</f>
        <v/>
      </c>
      <c r="F4" s="7">
        <f>COUNTIFS(Clean_Data!$G$2:$G$5873,A4)</f>
        <v/>
      </c>
    </row>
    <row r="5">
      <c r="A5" s="7" t="inlineStr">
        <is>
          <t>Desk</t>
        </is>
      </c>
      <c r="B5" s="12">
        <f>SUMIFS(Clean_Data!$L$2:$L$5873,Clean_Data!$G$2:$G$5873,A5)</f>
        <v/>
      </c>
      <c r="C5" s="12">
        <f>SUMIFS(Clean_Data!$N$2:$N$5873,Clean_Data!$G$2:$G$5873,A5)</f>
        <v/>
      </c>
      <c r="D5" s="13">
        <f>IFERROR(C5/B5,0)</f>
        <v/>
      </c>
      <c r="E5" s="13">
        <f>B5/SUM($B$2:$B$15)</f>
        <v/>
      </c>
      <c r="F5" s="7">
        <f>COUNTIFS(Clean_Data!$G$2:$G$5873,A5)</f>
        <v/>
      </c>
    </row>
    <row r="6">
      <c r="A6" s="7" t="inlineStr">
        <is>
          <t>Paper</t>
        </is>
      </c>
      <c r="B6" s="12">
        <f>SUMIFS(Clean_Data!$L$2:$L$5873,Clean_Data!$G$2:$G$5873,A6)</f>
        <v/>
      </c>
      <c r="C6" s="12">
        <f>SUMIFS(Clean_Data!$N$2:$N$5873,Clean_Data!$G$2:$G$5873,A6)</f>
        <v/>
      </c>
      <c r="D6" s="13">
        <f>IFERROR(C6/B6,0)</f>
        <v/>
      </c>
      <c r="E6" s="13">
        <f>B6/SUM($B$2:$B$15)</f>
        <v/>
      </c>
      <c r="F6" s="7">
        <f>COUNTIFS(Clean_Data!$G$2:$G$5873,A6)</f>
        <v/>
      </c>
    </row>
    <row r="7">
      <c r="A7" s="7" t="inlineStr">
        <is>
          <t>Sofa</t>
        </is>
      </c>
      <c r="B7" s="12">
        <f>SUMIFS(Clean_Data!$L$2:$L$5873,Clean_Data!$G$2:$G$5873,A7)</f>
        <v/>
      </c>
      <c r="C7" s="12">
        <f>SUMIFS(Clean_Data!$N$2:$N$5873,Clean_Data!$G$2:$G$5873,A7)</f>
        <v/>
      </c>
      <c r="D7" s="13">
        <f>IFERROR(C7/B7,0)</f>
        <v/>
      </c>
      <c r="E7" s="13">
        <f>B7/SUM($B$2:$B$15)</f>
        <v/>
      </c>
      <c r="F7" s="7">
        <f>COUNTIFS(Clean_Data!$G$2:$G$5873,A7)</f>
        <v/>
      </c>
    </row>
    <row r="8">
      <c r="A8" s="7" t="inlineStr">
        <is>
          <t>Office Chair</t>
        </is>
      </c>
      <c r="B8" s="12">
        <f>SUMIFS(Clean_Data!$L$2:$L$5873,Clean_Data!$G$2:$G$5873,A8)</f>
        <v/>
      </c>
      <c r="C8" s="12">
        <f>SUMIFS(Clean_Data!$N$2:$N$5873,Clean_Data!$G$2:$G$5873,A8)</f>
        <v/>
      </c>
      <c r="D8" s="13">
        <f>IFERROR(C8/B8,0)</f>
        <v/>
      </c>
      <c r="E8" s="13">
        <f>B8/SUM($B$2:$B$15)</f>
        <v/>
      </c>
      <c r="F8" s="7">
        <f>COUNTIFS(Clean_Data!$G$2:$G$5873,A8)</f>
        <v/>
      </c>
    </row>
    <row r="9">
      <c r="A9" s="7" t="inlineStr">
        <is>
          <t>Monitor</t>
        </is>
      </c>
      <c r="B9" s="12">
        <f>SUMIFS(Clean_Data!$L$2:$L$5873,Clean_Data!$G$2:$G$5873,A9)</f>
        <v/>
      </c>
      <c r="C9" s="12">
        <f>SUMIFS(Clean_Data!$N$2:$N$5873,Clean_Data!$G$2:$G$5873,A9)</f>
        <v/>
      </c>
      <c r="D9" s="13">
        <f>IFERROR(C9/B9,0)</f>
        <v/>
      </c>
      <c r="E9" s="13">
        <f>B9/SUM($B$2:$B$15)</f>
        <v/>
      </c>
      <c r="F9" s="7">
        <f>COUNTIFS(Clean_Data!$G$2:$G$5873,A9)</f>
        <v/>
      </c>
    </row>
    <row r="10">
      <c r="A10" s="7" t="inlineStr">
        <is>
          <t>Bookcase</t>
        </is>
      </c>
      <c r="B10" s="12">
        <f>SUMIFS(Clean_Data!$L$2:$L$5873,Clean_Data!$G$2:$G$5873,A10)</f>
        <v/>
      </c>
      <c r="C10" s="12">
        <f>SUMIFS(Clean_Data!$N$2:$N$5873,Clean_Data!$G$2:$G$5873,A10)</f>
        <v/>
      </c>
      <c r="D10" s="13">
        <f>IFERROR(C10/B10,0)</f>
        <v/>
      </c>
      <c r="E10" s="13">
        <f>B10/SUM($B$2:$B$15)</f>
        <v/>
      </c>
      <c r="F10" s="7">
        <f>COUNTIFS(Clean_Data!$G$2:$G$5873,A10)</f>
        <v/>
      </c>
    </row>
    <row r="11">
      <c r="A11" s="7" t="inlineStr">
        <is>
          <t>Pens</t>
        </is>
      </c>
      <c r="B11" s="12">
        <f>SUMIFS(Clean_Data!$L$2:$L$5873,Clean_Data!$G$2:$G$5873,A11)</f>
        <v/>
      </c>
      <c r="C11" s="12">
        <f>SUMIFS(Clean_Data!$N$2:$N$5873,Clean_Data!$G$2:$G$5873,A11)</f>
        <v/>
      </c>
      <c r="D11" s="13">
        <f>IFERROR(C11/B11,0)</f>
        <v/>
      </c>
      <c r="E11" s="13">
        <f>B11/SUM($B$2:$B$15)</f>
        <v/>
      </c>
      <c r="F11" s="7">
        <f>COUNTIFS(Clean_Data!$G$2:$G$5873,A11)</f>
        <v/>
      </c>
    </row>
    <row r="12">
      <c r="A12" s="7" t="inlineStr">
        <is>
          <t>Headphones</t>
        </is>
      </c>
      <c r="B12" s="12">
        <f>SUMIFS(Clean_Data!$L$2:$L$5873,Clean_Data!$G$2:$G$5873,A12)</f>
        <v/>
      </c>
      <c r="C12" s="12">
        <f>SUMIFS(Clean_Data!$N$2:$N$5873,Clean_Data!$G$2:$G$5873,A12)</f>
        <v/>
      </c>
      <c r="D12" s="13">
        <f>IFERROR(C12/B12,0)</f>
        <v/>
      </c>
      <c r="E12" s="13">
        <f>B12/SUM($B$2:$B$15)</f>
        <v/>
      </c>
      <c r="F12" s="7">
        <f>COUNTIFS(Clean_Data!$G$2:$G$5873,A12)</f>
        <v/>
      </c>
    </row>
    <row r="13">
      <c r="A13" s="7" t="inlineStr">
        <is>
          <t>Binder</t>
        </is>
      </c>
      <c r="B13" s="12">
        <f>SUMIFS(Clean_Data!$L$2:$L$5873,Clean_Data!$G$2:$G$5873,A13)</f>
        <v/>
      </c>
      <c r="C13" s="12">
        <f>SUMIFS(Clean_Data!$N$2:$N$5873,Clean_Data!$G$2:$G$5873,A13)</f>
        <v/>
      </c>
      <c r="D13" s="13">
        <f>IFERROR(C13/B13,0)</f>
        <v/>
      </c>
      <c r="E13" s="13">
        <f>B13/SUM($B$2:$B$15)</f>
        <v/>
      </c>
      <c r="F13" s="7">
        <f>COUNTIFS(Clean_Data!$G$2:$G$5873,A13)</f>
        <v/>
      </c>
    </row>
    <row r="14">
      <c r="A14" s="7" t="inlineStr">
        <is>
          <t>Stapler</t>
        </is>
      </c>
      <c r="B14" s="12">
        <f>SUMIFS(Clean_Data!$L$2:$L$5873,Clean_Data!$G$2:$G$5873,A14)</f>
        <v/>
      </c>
      <c r="C14" s="12">
        <f>SUMIFS(Clean_Data!$N$2:$N$5873,Clean_Data!$G$2:$G$5873,A14)</f>
        <v/>
      </c>
      <c r="D14" s="13">
        <f>IFERROR(C14/B14,0)</f>
        <v/>
      </c>
      <c r="E14" s="13">
        <f>B14/SUM($B$2:$B$15)</f>
        <v/>
      </c>
      <c r="F14" s="7">
        <f>COUNTIFS(Clean_Data!$G$2:$G$5873,A14)</f>
        <v/>
      </c>
    </row>
    <row r="15">
      <c r="A15" s="7" t="inlineStr">
        <is>
          <t>Keyboard</t>
        </is>
      </c>
      <c r="B15" s="12">
        <f>SUMIFS(Clean_Data!$L$2:$L$5873,Clean_Data!$G$2:$G$5873,A15)</f>
        <v/>
      </c>
      <c r="C15" s="12">
        <f>SUMIFS(Clean_Data!$N$2:$N$5873,Clean_Data!$G$2:$G$5873,A15)</f>
        <v/>
      </c>
      <c r="D15" s="13">
        <f>IFERROR(C15/B15,0)</f>
        <v/>
      </c>
      <c r="E15" s="13">
        <f>B15/SUM($B$2:$B$15)</f>
        <v/>
      </c>
      <c r="F15" s="7">
        <f>COUNTIFS(Clean_Data!$G$2:$G$5873,A15)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Yearly</t>
        </is>
      </c>
      <c r="B1" s="6" t="inlineStr">
        <is>
          <t>Revenue</t>
        </is>
      </c>
      <c r="C1" s="6" t="inlineStr">
        <is>
          <t>Profit</t>
        </is>
      </c>
      <c r="D1" s="6" t="inlineStr">
        <is>
          <t>Margin %</t>
        </is>
      </c>
      <c r="E1" s="6" t="inlineStr">
        <is>
          <t>Revenue Share</t>
        </is>
      </c>
      <c r="F1" s="6" t="inlineStr">
        <is>
          <t>Orders</t>
        </is>
      </c>
      <c r="G1" s="6" t="inlineStr">
        <is>
          <t>YoY Growth</t>
        </is>
      </c>
    </row>
    <row r="2">
      <c r="A2" s="7" t="n">
        <v>2023</v>
      </c>
      <c r="B2" s="12">
        <f>SUMIFS(Clean_Data!$L$2:$L$5873,Clean_Data!$D$2:$D$5873,A2)</f>
        <v/>
      </c>
      <c r="C2" s="12">
        <f>SUMIFS(Clean_Data!$N$2:$N$5873,Clean_Data!$D$2:$D$5873,A2)</f>
        <v/>
      </c>
      <c r="D2" s="13">
        <f>IFERROR(C2/B2,0)</f>
        <v/>
      </c>
      <c r="E2" s="13">
        <f>B2/SUM($B$2:$B$4)</f>
        <v/>
      </c>
      <c r="F2" s="7">
        <f>COUNTIFS(Clean_Data!$D$2:$D$5873,A2)</f>
        <v/>
      </c>
    </row>
    <row r="3">
      <c r="A3" s="7" t="n">
        <v>2024</v>
      </c>
      <c r="B3" s="12">
        <f>SUMIFS(Clean_Data!$L$2:$L$5873,Clean_Data!$D$2:$D$5873,A3)</f>
        <v/>
      </c>
      <c r="C3" s="12">
        <f>SUMIFS(Clean_Data!$N$2:$N$5873,Clean_Data!$D$2:$D$5873,A3)</f>
        <v/>
      </c>
      <c r="D3" s="13">
        <f>IFERROR(C3/B3,0)</f>
        <v/>
      </c>
      <c r="E3" s="13">
        <f>B3/SUM($B$2:$B$4)</f>
        <v/>
      </c>
      <c r="F3" s="7">
        <f>COUNTIFS(Clean_Data!$D$2:$D$5873,A3)</f>
        <v/>
      </c>
      <c r="G3" s="13">
        <f>B3/B2-1</f>
        <v/>
      </c>
    </row>
    <row r="4">
      <c r="A4" s="7" t="n">
        <v>2025</v>
      </c>
      <c r="B4" s="12">
        <f>SUMIFS(Clean_Data!$L$2:$L$5873,Clean_Data!$D$2:$D$5873,A4)</f>
        <v/>
      </c>
      <c r="C4" s="12">
        <f>SUMIFS(Clean_Data!$N$2:$N$5873,Clean_Data!$D$2:$D$5873,A4)</f>
        <v/>
      </c>
      <c r="D4" s="13">
        <f>IFERROR(C4/B4,0)</f>
        <v/>
      </c>
      <c r="E4" s="13">
        <f>B4/SUM($B$2:$B$4)</f>
        <v/>
      </c>
      <c r="F4" s="7">
        <f>COUNTIFS(Clean_Data!$D$2:$D$5873,A4)</f>
        <v/>
      </c>
      <c r="G4" s="13">
        <f>B4/B3-1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Discount</t>
        </is>
      </c>
      <c r="B1" s="6" t="inlineStr">
        <is>
          <t>Revenue</t>
        </is>
      </c>
      <c r="C1" s="6" t="inlineStr">
        <is>
          <t>Profit</t>
        </is>
      </c>
      <c r="D1" s="6" t="inlineStr">
        <is>
          <t>Margin %</t>
        </is>
      </c>
      <c r="E1" s="6" t="inlineStr">
        <is>
          <t>Revenue Share</t>
        </is>
      </c>
      <c r="F1" s="6" t="inlineStr">
        <is>
          <t>Orders</t>
        </is>
      </c>
    </row>
    <row r="2">
      <c r="A2" s="11" t="n">
        <v>0</v>
      </c>
      <c r="B2" s="12">
        <f>SUMIFS(Clean_Data!$L$2:$L$5873,Clean_Data!$K$2:$K$5873,A2)</f>
        <v/>
      </c>
      <c r="C2" s="12">
        <f>SUMIFS(Clean_Data!$N$2:$N$5873,Clean_Data!$K$2:$K$5873,A2)</f>
        <v/>
      </c>
      <c r="D2" s="13">
        <f>IFERROR(C2/B2,0)</f>
        <v/>
      </c>
      <c r="E2" s="13">
        <f>B2/SUM($B$2:$B$6)</f>
        <v/>
      </c>
      <c r="F2" s="7">
        <f>COUNTIFS(Clean_Data!$K$2:$K$5873,A2)</f>
        <v/>
      </c>
    </row>
    <row r="3">
      <c r="A3" s="11" t="n">
        <v>0.05</v>
      </c>
      <c r="B3" s="12">
        <f>SUMIFS(Clean_Data!$L$2:$L$5873,Clean_Data!$K$2:$K$5873,A3)</f>
        <v/>
      </c>
      <c r="C3" s="12">
        <f>SUMIFS(Clean_Data!$N$2:$N$5873,Clean_Data!$K$2:$K$5873,A3)</f>
        <v/>
      </c>
      <c r="D3" s="13">
        <f>IFERROR(C3/B3,0)</f>
        <v/>
      </c>
      <c r="E3" s="13">
        <f>B3/SUM($B$2:$B$6)</f>
        <v/>
      </c>
      <c r="F3" s="7">
        <f>COUNTIFS(Clean_Data!$K$2:$K$5873,A3)</f>
        <v/>
      </c>
    </row>
    <row r="4">
      <c r="A4" s="11" t="n">
        <v>0.1</v>
      </c>
      <c r="B4" s="12">
        <f>SUMIFS(Clean_Data!$L$2:$L$5873,Clean_Data!$K$2:$K$5873,A4)</f>
        <v/>
      </c>
      <c r="C4" s="12">
        <f>SUMIFS(Clean_Data!$N$2:$N$5873,Clean_Data!$K$2:$K$5873,A4)</f>
        <v/>
      </c>
      <c r="D4" s="13">
        <f>IFERROR(C4/B4,0)</f>
        <v/>
      </c>
      <c r="E4" s="13">
        <f>B4/SUM($B$2:$B$6)</f>
        <v/>
      </c>
      <c r="F4" s="7">
        <f>COUNTIFS(Clean_Data!$K$2:$K$5873,A4)</f>
        <v/>
      </c>
    </row>
    <row r="5">
      <c r="A5" s="11" t="n">
        <v>0.2</v>
      </c>
      <c r="B5" s="12">
        <f>SUMIFS(Clean_Data!$L$2:$L$5873,Clean_Data!$K$2:$K$5873,A5)</f>
        <v/>
      </c>
      <c r="C5" s="12">
        <f>SUMIFS(Clean_Data!$N$2:$N$5873,Clean_Data!$K$2:$K$5873,A5)</f>
        <v/>
      </c>
      <c r="D5" s="13">
        <f>IFERROR(C5/B5,0)</f>
        <v/>
      </c>
      <c r="E5" s="13">
        <f>B5/SUM($B$2:$B$6)</f>
        <v/>
      </c>
      <c r="F5" s="7">
        <f>COUNTIFS(Clean_Data!$K$2:$K$5873,A5)</f>
        <v/>
      </c>
    </row>
    <row r="6">
      <c r="A6" s="11" t="n">
        <v>0.3</v>
      </c>
      <c r="B6" s="12">
        <f>SUMIFS(Clean_Data!$L$2:$L$5873,Clean_Data!$K$2:$K$5873,A6)</f>
        <v/>
      </c>
      <c r="C6" s="12">
        <f>SUMIFS(Clean_Data!$N$2:$N$5873,Clean_Data!$K$2:$K$5873,A6)</f>
        <v/>
      </c>
      <c r="D6" s="13">
        <f>IFERROR(C6/B6,0)</f>
        <v/>
      </c>
      <c r="E6" s="13">
        <f>B6/SUM($B$2:$B$6)</f>
        <v/>
      </c>
      <c r="F6" s="7">
        <f>COUNTIFS(Clean_Data!$K$2:$K$5873,A6)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</cols>
  <sheetData>
    <row r="1">
      <c r="A1" s="14" t="inlineStr">
        <is>
          <t>Profit margin %</t>
        </is>
      </c>
      <c r="B1" s="14" t="inlineStr">
        <is>
          <t>Furniture</t>
        </is>
      </c>
      <c r="C1" s="14" t="inlineStr">
        <is>
          <t>Office Supplies</t>
        </is>
      </c>
      <c r="D1" s="14" t="inlineStr">
        <is>
          <t>Technology</t>
        </is>
      </c>
    </row>
    <row r="2">
      <c r="A2" s="15" t="inlineStr">
        <is>
          <t>East</t>
        </is>
      </c>
      <c r="B2" s="13">
        <f>IFERROR(SUMIFS(Clean_Data!$N$2:$N$5873,Clean_Data!$E$2:$E$5873,$A2,Clean_Data!$F$2:$F$5873,B$1)/SUMIFS(Clean_Data!$L$2:$L$5873,Clean_Data!$E$2:$E$5873,$A2,Clean_Data!$F$2:$F$5873,B$1),0)</f>
        <v/>
      </c>
      <c r="C2" s="13">
        <f>IFERROR(SUMIFS(Clean_Data!$N$2:$N$5873,Clean_Data!$E$2:$E$5873,$A2,Clean_Data!$F$2:$F$5873,C$1)/SUMIFS(Clean_Data!$L$2:$L$5873,Clean_Data!$E$2:$E$5873,$A2,Clean_Data!$F$2:$F$5873,C$1),0)</f>
        <v/>
      </c>
      <c r="D2" s="13">
        <f>IFERROR(SUMIFS(Clean_Data!$N$2:$N$5873,Clean_Data!$E$2:$E$5873,$A2,Clean_Data!$F$2:$F$5873,D$1)/SUMIFS(Clean_Data!$L$2:$L$5873,Clean_Data!$E$2:$E$5873,$A2,Clean_Data!$F$2:$F$5873,D$1),0)</f>
        <v/>
      </c>
    </row>
    <row r="3">
      <c r="A3" s="15" t="inlineStr">
        <is>
          <t>North</t>
        </is>
      </c>
      <c r="B3" s="13">
        <f>IFERROR(SUMIFS(Clean_Data!$N$2:$N$5873,Clean_Data!$E$2:$E$5873,$A3,Clean_Data!$F$2:$F$5873,B$1)/SUMIFS(Clean_Data!$L$2:$L$5873,Clean_Data!$E$2:$E$5873,$A3,Clean_Data!$F$2:$F$5873,B$1),0)</f>
        <v/>
      </c>
      <c r="C3" s="13">
        <f>IFERROR(SUMIFS(Clean_Data!$N$2:$N$5873,Clean_Data!$E$2:$E$5873,$A3,Clean_Data!$F$2:$F$5873,C$1)/SUMIFS(Clean_Data!$L$2:$L$5873,Clean_Data!$E$2:$E$5873,$A3,Clean_Data!$F$2:$F$5873,C$1),0)</f>
        <v/>
      </c>
      <c r="D3" s="13">
        <f>IFERROR(SUMIFS(Clean_Data!$N$2:$N$5873,Clean_Data!$E$2:$E$5873,$A3,Clean_Data!$F$2:$F$5873,D$1)/SUMIFS(Clean_Data!$L$2:$L$5873,Clean_Data!$E$2:$E$5873,$A3,Clean_Data!$F$2:$F$5873,D$1),0)</f>
        <v/>
      </c>
    </row>
    <row r="4">
      <c r="A4" s="15" t="inlineStr">
        <is>
          <t>South</t>
        </is>
      </c>
      <c r="B4" s="13">
        <f>IFERROR(SUMIFS(Clean_Data!$N$2:$N$5873,Clean_Data!$E$2:$E$5873,$A4,Clean_Data!$F$2:$F$5873,B$1)/SUMIFS(Clean_Data!$L$2:$L$5873,Clean_Data!$E$2:$E$5873,$A4,Clean_Data!$F$2:$F$5873,B$1),0)</f>
        <v/>
      </c>
      <c r="C4" s="13">
        <f>IFERROR(SUMIFS(Clean_Data!$N$2:$N$5873,Clean_Data!$E$2:$E$5873,$A4,Clean_Data!$F$2:$F$5873,C$1)/SUMIFS(Clean_Data!$L$2:$L$5873,Clean_Data!$E$2:$E$5873,$A4,Clean_Data!$F$2:$F$5873,C$1),0)</f>
        <v/>
      </c>
      <c r="D4" s="13">
        <f>IFERROR(SUMIFS(Clean_Data!$N$2:$N$5873,Clean_Data!$E$2:$E$5873,$A4,Clean_Data!$F$2:$F$5873,D$1)/SUMIFS(Clean_Data!$L$2:$L$5873,Clean_Data!$E$2:$E$5873,$A4,Clean_Data!$F$2:$F$5873,D$1),0)</f>
        <v/>
      </c>
    </row>
    <row r="5">
      <c r="A5" s="15" t="inlineStr">
        <is>
          <t>West</t>
        </is>
      </c>
      <c r="B5" s="13">
        <f>IFERROR(SUMIFS(Clean_Data!$N$2:$N$5873,Clean_Data!$E$2:$E$5873,$A5,Clean_Data!$F$2:$F$5873,B$1)/SUMIFS(Clean_Data!$L$2:$L$5873,Clean_Data!$E$2:$E$5873,$A5,Clean_Data!$F$2:$F$5873,B$1),0)</f>
        <v/>
      </c>
      <c r="C5" s="13">
        <f>IFERROR(SUMIFS(Clean_Data!$N$2:$N$5873,Clean_Data!$E$2:$E$5873,$A5,Clean_Data!$F$2:$F$5873,C$1)/SUMIFS(Clean_Data!$L$2:$L$5873,Clean_Data!$E$2:$E$5873,$A5,Clean_Data!$F$2:$F$5873,C$1),0)</f>
        <v/>
      </c>
      <c r="D5" s="13">
        <f>IFERROR(SUMIFS(Clean_Data!$N$2:$N$5873,Clean_Data!$E$2:$E$5873,$A5,Clean_Data!$F$2:$F$5873,D$1)/SUMIFS(Clean_Data!$L$2:$L$5873,Clean_Data!$E$2:$E$5873,$A5,Clean_Data!$F$2:$F$5873,D$1),0)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6" t="inlineStr">
        <is>
          <t>Key Insights</t>
        </is>
      </c>
    </row>
    <row r="3">
      <c r="A3" s="17" t="inlineStr">
        <is>
          <t>1. Total revenue is 2,321,963 with profit 465,935 (overall margin 20.1%) from 5,872 order lines.</t>
        </is>
      </c>
    </row>
    <row r="4">
      <c r="A4" s="17" t="inlineStr">
        <is>
          <t>2. Revenue grew 16.2% in 2024 and 11.1% in 2025 - steady growth.</t>
        </is>
      </c>
    </row>
    <row r="5">
      <c r="A5" s="17" t="inlineStr">
        <is>
          <t>3. Technology is the top category by revenue (48.7% of sales); Office Supplies has the best margin (43.3%).</t>
        </is>
      </c>
    </row>
    <row r="6">
      <c r="A6" s="17" t="inlineStr">
        <is>
          <t>4. Furniture has the weakest margin (1.9%) - discounting is hurting it.</t>
        </is>
      </c>
    </row>
    <row r="7">
      <c r="A7" s="17" t="inlineStr">
        <is>
          <t>5. West is the top region (32.2% of revenue); South has the lowest margin (17.4%) because of heavier discounts.</t>
        </is>
      </c>
    </row>
    <row r="8">
      <c r="A8" s="17" t="inlineStr">
        <is>
          <t>6. Seasonality: Oct-Dec (Q4) brings 33.8% of yearly revenue; best month is December, weakest is January.</t>
        </is>
      </c>
    </row>
    <row r="9">
      <c r="A9" s="17" t="inlineStr">
        <is>
          <t>7. Top 3 products (Laptop, Smartphone, Printer Ink) give 48.6% of revenue.</t>
        </is>
      </c>
    </row>
    <row r="10">
      <c r="A10" s="17" t="inlineStr">
        <is>
          <t>8. Orders with 20%+ discount earn only 0.2% margin vs 29.4% with no discount.</t>
        </is>
      </c>
    </row>
    <row r="11">
      <c r="A11" s="17" t="inlineStr">
        <is>
          <t>9. Furniture sold at 20%+ discount is loss-making (profit -33,475).</t>
        </is>
      </c>
    </row>
    <row r="14">
      <c r="A14" s="16" t="inlineStr">
        <is>
          <t>Recommendations</t>
        </is>
      </c>
    </row>
    <row r="16">
      <c r="A16" s="17" t="inlineStr">
        <is>
          <t>1. Cap discounts at 10% for Furniture and review pricing on Sofa/Desk - protect margin.</t>
        </is>
      </c>
    </row>
    <row r="17">
      <c r="A17" s="17" t="inlineStr">
        <is>
          <t>2. Stock up and run campaigns from September to December; use the slow Jan-Feb period for clearance and bundles.</t>
        </is>
      </c>
    </row>
    <row r="18">
      <c r="A18" s="17" t="inlineStr">
        <is>
          <t>3. Push high-margin Technology and Office Supplies add-ons (e.g. headphones, ink) alongside big-ticket items.</t>
        </is>
      </c>
    </row>
    <row r="19">
      <c r="A19" s="17" t="inlineStr">
        <is>
          <t>4. Fix discount discipline in the South region with approval rules for discounts above 10%.</t>
        </is>
      </c>
    </row>
    <row r="20">
      <c r="A20" s="17" t="inlineStr">
        <is>
          <t>5. Double down on West (largest market) while testing campaigns in the smallest region to grow it.</t>
        </is>
      </c>
    </row>
    <row r="21">
      <c r="A21" s="17" t="inlineStr">
        <is>
          <t>6. Track KPIs monthly: revenue, margin %, AOV, discount rate, and top-5 products.</t>
        </is>
      </c>
    </row>
    <row r="23">
      <c r="A23" s="2" t="inlineStr">
        <is>
          <t>Note: figures in the text are from the Python analysis of the same Clean_Data sheet; dataset is simulated.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6" t="inlineStr">
        <is>
          <t>Cleaning step</t>
        </is>
      </c>
      <c r="B1" s="6" t="inlineStr">
        <is>
          <t>Rows</t>
        </is>
      </c>
    </row>
    <row r="2">
      <c r="A2" s="7" t="inlineStr">
        <is>
          <t>Raw rows</t>
        </is>
      </c>
      <c r="B2" s="7" t="n">
        <v>6180</v>
      </c>
    </row>
    <row r="3">
      <c r="A3" s="7" t="inlineStr">
        <is>
          <t>Duplicate rows removed</t>
        </is>
      </c>
      <c r="B3" s="7" t="n">
        <v>180</v>
      </c>
    </row>
    <row r="4">
      <c r="A4" s="7" t="inlineStr">
        <is>
          <t>Rows with missing Region removed</t>
        </is>
      </c>
      <c r="B4" s="7" t="n">
        <v>90</v>
      </c>
    </row>
    <row r="5">
      <c r="A5" s="7" t="inlineStr">
        <is>
          <t>Rows with invalid (&lt;=0) Quantity removed</t>
        </is>
      </c>
      <c r="B5" s="7" t="n">
        <v>38</v>
      </c>
    </row>
    <row r="6">
      <c r="A6" s="7" t="inlineStr">
        <is>
          <t>Clean rows</t>
        </is>
      </c>
      <c r="B6" s="7" t="n">
        <v>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2026-10-09T06:19:30Z</dcterms:created>
  <dcterms:modified xsi:type="dcterms:W3CDTF">2026-10-09T06:19:32Z</dcterms:modified>
</cp:coreProperties>
</file>